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mv-my.sharepoint.com/personal/ali_ishad_sto_mv/Documents/Desktop/"/>
    </mc:Choice>
  </mc:AlternateContent>
  <xr:revisionPtr revIDLastSave="6958" documentId="8_{E9711027-4133-4837-9B93-E938913DDBAC}" xr6:coauthVersionLast="47" xr6:coauthVersionMax="47" xr10:uidLastSave="{FCED2841-8DF1-4F77-A47E-3DEEE20F73B8}"/>
  <bookViews>
    <workbookView xWindow="-120" yWindow="-120" windowWidth="29040" windowHeight="15840" xr2:uid="{00000000-000D-0000-FFFF-FFFF00000000}"/>
  </bookViews>
  <sheets>
    <sheet name="STOCK" sheetId="1" r:id="rId1"/>
    <sheet name="Sheet1" sheetId="22" r:id="rId2"/>
    <sheet name="Sheet3" sheetId="20" r:id="rId3"/>
  </sheets>
  <externalReferences>
    <externalReference r:id="rId4"/>
    <externalReference r:id="rId5"/>
  </externalReferences>
  <definedNames>
    <definedName name="_xlnm._FilterDatabase" localSheetId="0" hidden="1">STOCK!$A$1:$Y$4578</definedName>
    <definedName name="_xlnm.Print_Area" localSheetId="2">Sheet3!$A$2:$C$21</definedName>
    <definedName name="_xlnm.Print_Area" localSheetId="0">STOCK!$Q$34:$R$35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V25" i="1" s="1"/>
  <c r="U26" i="1"/>
  <c r="V26" i="1" s="1"/>
  <c r="U27" i="1"/>
  <c r="U28" i="1"/>
  <c r="Q12" i="1"/>
  <c r="Q13" i="1"/>
  <c r="Q14" i="1"/>
  <c r="Q15" i="1"/>
  <c r="V15" i="1" s="1"/>
  <c r="V27" i="1" s="1"/>
  <c r="Q3" i="1"/>
  <c r="T3" i="1" s="1"/>
  <c r="Q4" i="1"/>
  <c r="W4" i="1" s="1"/>
  <c r="Q5" i="1"/>
  <c r="W5" i="1" s="1"/>
  <c r="Q6" i="1"/>
  <c r="T6" i="1" s="1"/>
  <c r="Q7" i="1"/>
  <c r="U7" i="1" s="1"/>
  <c r="V7" i="1" s="1"/>
  <c r="Q8" i="1"/>
  <c r="T8" i="1" s="1"/>
  <c r="Q9" i="1"/>
  <c r="Q10" i="1"/>
  <c r="Q11" i="1"/>
  <c r="W7" i="1" s="1"/>
  <c r="V11" i="1"/>
  <c r="V12" i="1"/>
  <c r="V13" i="1"/>
  <c r="Q16" i="1"/>
  <c r="X16" i="1" s="1"/>
  <c r="V16" i="1"/>
  <c r="W16" i="1"/>
  <c r="Q17" i="1"/>
  <c r="W13" i="1" s="1"/>
  <c r="Q18" i="1"/>
  <c r="Q19" i="1"/>
  <c r="W19" i="1" s="1"/>
  <c r="V19" i="1"/>
  <c r="X19" i="1"/>
  <c r="Q20" i="1"/>
  <c r="V20" i="1" s="1"/>
  <c r="W20" i="1"/>
  <c r="X20" i="1"/>
  <c r="Q21" i="1"/>
  <c r="Q22" i="1"/>
  <c r="X22" i="1" s="1"/>
  <c r="V22" i="1"/>
  <c r="W22" i="1"/>
  <c r="Q23" i="1"/>
  <c r="V23" i="1"/>
  <c r="W23" i="1"/>
  <c r="X23" i="1"/>
  <c r="Q24" i="1"/>
  <c r="Q25" i="1"/>
  <c r="W25" i="1" s="1"/>
  <c r="Q26" i="1"/>
  <c r="W26" i="1"/>
  <c r="X26" i="1"/>
  <c r="Q27" i="1"/>
  <c r="W27" i="1"/>
  <c r="X27" i="1"/>
  <c r="Q28" i="1"/>
  <c r="Q29" i="1"/>
  <c r="Q30" i="1"/>
  <c r="Q31" i="1"/>
  <c r="Q32" i="1"/>
  <c r="Q33" i="1"/>
  <c r="B4562" i="1"/>
  <c r="B4563" i="1"/>
  <c r="B4564" i="1"/>
  <c r="B4565" i="1"/>
  <c r="B4566" i="1"/>
  <c r="B4567" i="1"/>
  <c r="B4568" i="1"/>
  <c r="B4569" i="1"/>
  <c r="B4570" i="1"/>
  <c r="B4571" i="1"/>
  <c r="B4572" i="1"/>
  <c r="X6" i="1" l="1"/>
  <c r="X5" i="1"/>
  <c r="T5" i="1"/>
  <c r="X9" i="1"/>
  <c r="T4" i="1"/>
  <c r="V18" i="1"/>
  <c r="W9" i="1"/>
  <c r="X12" i="1"/>
  <c r="W8" i="1"/>
  <c r="U8" i="1"/>
  <c r="V8" i="1" s="1"/>
  <c r="V17" i="1"/>
  <c r="X17" i="1"/>
  <c r="X14" i="1"/>
  <c r="T7" i="1"/>
  <c r="U4" i="1"/>
  <c r="V4" i="1" s="1"/>
  <c r="X24" i="1"/>
  <c r="W17" i="1"/>
  <c r="W14" i="1"/>
  <c r="W12" i="1"/>
  <c r="X10" i="1"/>
  <c r="W6" i="1"/>
  <c r="U5" i="1"/>
  <c r="V5" i="1" s="1"/>
  <c r="X3" i="1"/>
  <c r="W24" i="1"/>
  <c r="X21" i="1"/>
  <c r="X18" i="1"/>
  <c r="W10" i="1"/>
  <c r="U9" i="1"/>
  <c r="V9" i="1" s="1"/>
  <c r="X7" i="1"/>
  <c r="W3" i="1"/>
  <c r="X25" i="1"/>
  <c r="W21" i="1"/>
  <c r="W18" i="1"/>
  <c r="X15" i="1"/>
  <c r="X13" i="1"/>
  <c r="U6" i="1"/>
  <c r="V6" i="1" s="1"/>
  <c r="U3" i="1"/>
  <c r="V3" i="1" s="1"/>
  <c r="V24" i="1"/>
  <c r="V21" i="1"/>
  <c r="W15" i="1"/>
  <c r="X11" i="1"/>
  <c r="V10" i="1"/>
  <c r="X4" i="1"/>
  <c r="W11" i="1"/>
  <c r="X8" i="1"/>
  <c r="V14" i="1"/>
</calcChain>
</file>

<file path=xl/sharedStrings.xml><?xml version="1.0" encoding="utf-8"?>
<sst xmlns="http://schemas.openxmlformats.org/spreadsheetml/2006/main" count="21144" uniqueCount="10848">
  <si>
    <t>MAKITA HAMMER-DRILL HP1630(16MM) 5/8"</t>
  </si>
  <si>
    <t>MAKITA DRILL 6412 (10MM) 3/8"</t>
  </si>
  <si>
    <t>MAKITA HAMMER-DRILL HP2050 (20MM) 3/4"</t>
  </si>
  <si>
    <t>MAKITA ROTARY HAMMER HR3200C 3MODE(32MM)</t>
  </si>
  <si>
    <t>MAKITA DEMOLITION HAMMER HM1306 (30MM)</t>
  </si>
  <si>
    <t>MAKITA ROTARY HAMMER HR2810(3MODE) 28MM</t>
  </si>
  <si>
    <t>MAKITA IMPACT DRIVER TD0101F</t>
  </si>
  <si>
    <t>MAKITA PLANER 2012NB (304MM) 12"</t>
  </si>
  <si>
    <t>MAKITA CIRCULAR SAW 5103N(335MM) 13-1/8"</t>
  </si>
  <si>
    <t>MAKITA CIRCULAR SAW N5900B (235MM)9-1/4"</t>
  </si>
  <si>
    <t>MAKITA CIRCULAR SAW 5806B (185MM) 7-1/4"</t>
  </si>
  <si>
    <t>MAKITA CIRCULAR SAW 5008MG (210MM)8-1/4"</t>
  </si>
  <si>
    <t>MAKITA COMPOUND MITER SAW LS1040 10-1/4"</t>
  </si>
  <si>
    <t>MAKITA JIGSAW 4327M (HOLE TYPE)</t>
  </si>
  <si>
    <t>MAKITA AC BELT SANDER 100X610MM M9400B</t>
  </si>
  <si>
    <t>MAKITA T.C.T SAW BLADE D-50550</t>
  </si>
  <si>
    <t>MAKITA HIGH PER ENGINE OIL 980008606</t>
  </si>
  <si>
    <t>MAKITA SAW CHAIN 10"  SPROCKET 191H08-4</t>
  </si>
  <si>
    <t>MAKITA DC HEDGE TRIMMER 18V DUH506Z</t>
  </si>
  <si>
    <t>MAKITA SDS-PLUS NEMESIS II E-14532</t>
  </si>
  <si>
    <t>MAKITA HAMMER CASE COMPLETE 144787-5</t>
  </si>
  <si>
    <t>MAKITA DC HAMMER DRIVER DRILL DHP484RFE</t>
  </si>
  <si>
    <t>MAKITA DC HAMMER DRIVER DRILL DHP487RFJ</t>
  </si>
  <si>
    <t>MAKITA DC HEDGE TRIMMER 18V DUH507Z</t>
  </si>
  <si>
    <t>MAKITA DC INFLATOR 40V MP001GZ</t>
  </si>
  <si>
    <t>MAKITA DC HEDGE TRIMMER 18V DUH751Z</t>
  </si>
  <si>
    <t>MAKITA DC REBAR TYING TOOL 18V DTR181Z</t>
  </si>
  <si>
    <t>MAKITA DC ANGLEGRINDER 40V 150MM GA036GZ</t>
  </si>
  <si>
    <t>MAKITA DC ANGLEGRINDER 40V 180MM GA037GZ</t>
  </si>
  <si>
    <t>MAKITA DC GRASS TRIMMER 40V UR003GZ</t>
  </si>
  <si>
    <t>MAKITA DC CIRCULAR SAW 40V 235MM HS009GZ</t>
  </si>
  <si>
    <t>MAKITA DIAMOND WHEEL 105MM D-42553</t>
  </si>
  <si>
    <t>MAKITA GUIDE RAIL HOLDER BLUE E-05664</t>
  </si>
  <si>
    <t>MAKITA SLIDE COMPOUNDSAW 40V 12" LS003GZ</t>
  </si>
  <si>
    <t>MAKITA T.C.T SAW BLADE 7" 24T D-50522</t>
  </si>
  <si>
    <t>MAKITA T.C.T SAW BLADE 9" 40TD-03377</t>
  </si>
  <si>
    <t>MAKITA BULL POINT 250MM SDS-PLUS B-64238</t>
  </si>
  <si>
    <t>MAKITA NEMESIS SET SDSPLUS 6X115 B-58811</t>
  </si>
  <si>
    <t>MAKITA TLSCP POLESAW 40V 300MM UA002GZ01</t>
  </si>
  <si>
    <t>MAKITA NEMESIS SET SDSPLUS 8X165 B-58899</t>
  </si>
  <si>
    <t>MAKITA DC BLOWER 40V BL UB001CZ</t>
  </si>
  <si>
    <t>MAKITA NEMESIS SET SDSPLUS B-58992</t>
  </si>
  <si>
    <t>MAKITA SDS-MAX DRILL BIT 22X540 D-34637</t>
  </si>
  <si>
    <t>MAKITA SDS-MAX DRILL BIT 24X540 D-34659</t>
  </si>
  <si>
    <t>MAKITA VACUUM CLEANER 40V (DRY) VC004GLZ</t>
  </si>
  <si>
    <t>MAKITA SDS-MAX DRILL BIT 25X340 D-34665</t>
  </si>
  <si>
    <t>MAKITA SDS-MAX DRILL BIT 25X540 D-34045</t>
  </si>
  <si>
    <t>MAKITA SDS-MAX DRILL BIT 28X370 D-34051</t>
  </si>
  <si>
    <t>MAKITA SDS-MAX DRILL BIT 30X370 D-34073</t>
  </si>
  <si>
    <t>MAKITA DC BLOWER P 40V BL UB002CZ01</t>
  </si>
  <si>
    <t>MAKITA SDS-MAX DRILL BIT 30X570 D-34089</t>
  </si>
  <si>
    <t>MAKITA SDS-MAX DRILL BIT 32X370 D-34095</t>
  </si>
  <si>
    <t>MAKITA SDS-MAX DRILL BIT 32X570 D-34104</t>
  </si>
  <si>
    <t>MAKITA SDS-MAX DRILL BIT 35X370 D-34110</t>
  </si>
  <si>
    <t>MAKITA SDS-MAX DRILL BIT 35X570 D-34126</t>
  </si>
  <si>
    <t>MAKITA SDS-MAX DRILL BIT 38X370 D-34132</t>
  </si>
  <si>
    <t>MAKITA SDS-MAX DRILL BIT 38X570 D-34148</t>
  </si>
  <si>
    <t>MAKITA SDS-MAX DRILL BIT 40X370 D-34154</t>
  </si>
  <si>
    <t>MAKITA SDS-MAX DRILL BIT 40X570 D-34160</t>
  </si>
  <si>
    <t>MAKITA FLAT BIT D-07814 30MM</t>
  </si>
  <si>
    <t>MAKITA ABRASIVE DISC GRIT:120 794069-1</t>
  </si>
  <si>
    <t>MAKITA ABRASIVE DISC GRIT:100 794227-9</t>
  </si>
  <si>
    <t>MAKITA TCT SAWBLADE14" A-81533 WOOD 80T</t>
  </si>
  <si>
    <t>MAKITA C-LESS HAMMER DRILL DHP482RFE</t>
  </si>
  <si>
    <t>MAKITA C-LESS IMPACTDRVR DTD152RFE</t>
  </si>
  <si>
    <t>MAKITA C-LESS HAMMER DRILL DHP482RTE</t>
  </si>
  <si>
    <t>MAKITA COMBINATION HAMMER DHR242RTE</t>
  </si>
  <si>
    <t>MAKITA BTRY BL1021B (12V-2Ah) 197396-9</t>
  </si>
  <si>
    <t>MAKITA TCT SAWBLADE LC1230 A-87242 (60T)</t>
  </si>
  <si>
    <t>MAKITA GUIDE RAIL FOR SP6000  194367-7</t>
  </si>
  <si>
    <t>MAKITA CORDLESS IMPACT DRIVER DTD152RTE</t>
  </si>
  <si>
    <t>MAKITA DIAMOND WHEEL B-13471 400mm</t>
  </si>
  <si>
    <t>MAKITA BAND SAW BLADE B-40559 18T</t>
  </si>
  <si>
    <t>MAKITA C-LESS HMER DRILL HP332DSAE 12V</t>
  </si>
  <si>
    <t>MAKITA C-LESS HAMMER DRILL DHP484RTE</t>
  </si>
  <si>
    <t>MAKITA INNER FRANGE 224470-1 MT90</t>
  </si>
  <si>
    <t>MAKITA WIRE CUP BRUSH 75MM D-24125 M10</t>
  </si>
  <si>
    <t>MAKITA C-LESS JIGSAW JV101DZ 12V</t>
  </si>
  <si>
    <t>MAKITA DIAMOND HOLESAW B-46078 25mm</t>
  </si>
  <si>
    <t>MAKITA DIAMOND HOLESAW B-46090 32mm</t>
  </si>
  <si>
    <t>MAKITA DIMNDWHEEL 105MM A-84090 (DRY)</t>
  </si>
  <si>
    <t>MAKITA C-LESS DRVR DRILL DDF482RFE 18V</t>
  </si>
  <si>
    <t>MAKITA BTC04 BATTERY CHECKER 198038-8</t>
  </si>
  <si>
    <t>MAKITA BATTERY BL1850B 18V 197280-8</t>
  </si>
  <si>
    <t>MAKITA SHEAR WRENCH 6924N</t>
  </si>
  <si>
    <t>MAKITA BATTERY BL1830B 18V 197599-5</t>
  </si>
  <si>
    <t>MAKITA BTRY BL1041B (12V-4Ah) 197406-2</t>
  </si>
  <si>
    <t>MAKITA C-LESS HAMMER DRILL DHP482RFX1</t>
  </si>
  <si>
    <t>MAKITA HSS.METALSET(1.5x40MM)x10 D-06236</t>
  </si>
  <si>
    <t>MAKITA GR.WHEEL 8" GB801 B-51976</t>
  </si>
  <si>
    <t>MAKITA NOSE BAR 24" 445060455 DCS7300</t>
  </si>
  <si>
    <t>MAKITA COMBINATION HAMMER 26MM HR2630X3</t>
  </si>
  <si>
    <t>MAKITA NOZZLE ASSEMBLY(B) 127828-2</t>
  </si>
  <si>
    <t>MAKITA USB ADAPTER FOR CJ100D ADP05</t>
  </si>
  <si>
    <t>MAKITA BUMP&amp;FEED 5" M10X1.25LH 191D93-3</t>
  </si>
  <si>
    <t>MAKITA STRAIGHT GUIDE RP0910 193312-9</t>
  </si>
  <si>
    <t>MAKITA NOZZLE 3 SET FOR AS001G 191X11-1</t>
  </si>
  <si>
    <t>MAKITA WIRE CUP BRUSH  100 M14X2 D-29555</t>
  </si>
  <si>
    <t>MAKITA NOZZLE 7 SET FOR AS001G 191X13-7</t>
  </si>
  <si>
    <t>MAKITA NOZZLE 13 SET FOR AS001G 191X15-3</t>
  </si>
  <si>
    <t>MAKITA PINCH VALV.NOZZLE SET 191X17-9</t>
  </si>
  <si>
    <t>MAKITA WIDE RANGE NOZZLE SET 191X19-5</t>
  </si>
  <si>
    <t>MAKITA SDS-PLUS BIT ASSORTMENT D-20703</t>
  </si>
  <si>
    <t>MAKITA FLEXIBLE NOZZLE SET 191X21-8</t>
  </si>
  <si>
    <t>MAKITA BULL POINT 280 SDS-MAX A-80787</t>
  </si>
  <si>
    <t>MAKITA GROOVING TCT SAW BLADE B-48832</t>
  </si>
  <si>
    <t>MAKITA FILTER C SET FOR AS001G 191X29-2</t>
  </si>
  <si>
    <t>MAKITA GRINDING WHEEL A36M GB602 B-51904</t>
  </si>
  <si>
    <t>MAKITA ANGLE GRINDER 180MM 2200W GA7060</t>
  </si>
  <si>
    <t>MAKITA BIT HOLDER 452947-8</t>
  </si>
  <si>
    <t>MAKITA HEX. WRENCH 4 FOR JS3200 783202-0</t>
  </si>
  <si>
    <t>MAKITA ANGLE GRINDER 18V DGA406RTE</t>
  </si>
  <si>
    <t>MAKITA SHAFT EXT.TTACHMENT SET 191E23-0</t>
  </si>
  <si>
    <t>MAKITA CULTIVATOR ATTACHMNT SET 195716-1</t>
  </si>
  <si>
    <t>MAKITA POLE SAW ATTACHMENT SET 199925-4</t>
  </si>
  <si>
    <t>MAKITA SDS-MAX DRILL BIT 20X320 B-20024</t>
  </si>
  <si>
    <t>MAKITA ABRASIVE DISC A80 B-51437</t>
  </si>
  <si>
    <t>MAKITA ABRASIVE DISC 150MM A100 B-51443</t>
  </si>
  <si>
    <t>MAKITA ABRASIVE DISC 150MM A120 B-51459</t>
  </si>
  <si>
    <t>MAKITA ABRASIVE DISC 150MM A180 B-51465</t>
  </si>
  <si>
    <t>MAKITA ABRASIVE DISC 150MM A240 B-51471</t>
  </si>
  <si>
    <t>MAKITA ABRASIVE DISC 150MM A320 B-51487</t>
  </si>
  <si>
    <t>MAKITA SDS-PLUS NEM. II 10X215 B-58213</t>
  </si>
  <si>
    <t>MAKITA SCALING CHISEL 50X350MM  B-64288</t>
  </si>
  <si>
    <t>MAKITA VACUUM BRAZED DIAMOND D-63345</t>
  </si>
  <si>
    <t>MAKITA DIAMOND WHL 76MM-10MM WET D-74790</t>
  </si>
  <si>
    <t>MAKITA AC/DC LED WORKLIGHT 18V DML809</t>
  </si>
  <si>
    <t>MAKITA TRIPOD FOR DML805 GM00001381</t>
  </si>
  <si>
    <t>MAKITA VISE DML811/ ML003G GM00001396</t>
  </si>
  <si>
    <t>MAKITA DIAMOND WHEEL SEGMTD DRY A-84121</t>
  </si>
  <si>
    <t>MAKITA SDS-MAX DRILL BIT 22X520 B-20068</t>
  </si>
  <si>
    <t>MAKITA SDS-PLUS NEM. II 20X250 B-58637</t>
  </si>
  <si>
    <t>MAKITA SDS-PLUS NEM. II 30X450 B-58774</t>
  </si>
  <si>
    <t>MAKITA TRIPOD DML811/ ML003G GM00002073</t>
  </si>
  <si>
    <t>MAKITA BTC05 CHECKER ADAPTER 191K30-9</t>
  </si>
  <si>
    <t>MAKITA GUIDE BAR 18" SPROCKET 412045661</t>
  </si>
  <si>
    <t>MAKITA CHAINBLADE 14" (UC3500) 191H11-5</t>
  </si>
  <si>
    <t>MAKITA GUIDE BAR 14" SPROCKET 191G24-0</t>
  </si>
  <si>
    <t>MAKITA CHAINBLADE 16" 191H12-3 (UC4000)</t>
  </si>
  <si>
    <t>MAKITA ABR DISC 125MM WA100 D-54162</t>
  </si>
  <si>
    <t>MAKITA HSS-TIN DRILL BIT 6x93MM D-64353</t>
  </si>
  <si>
    <t>MAKITA T.C.T SAWBLADE 85X15X20T B-14607</t>
  </si>
  <si>
    <t>MAKITA T.C.T SAWBLADE 185X20X24T D-19037</t>
  </si>
  <si>
    <t>MAKITA T.C.T 6" SAW BLADE 40T D-50500</t>
  </si>
  <si>
    <t>MAKITA TMA078 SANDING PAD B-65115</t>
  </si>
  <si>
    <t>MAKITA HSS-TIN DRILL BIT 2X49MM D-64272</t>
  </si>
  <si>
    <t>MAKITA AUGER BIT 10X165 NAIL-CUT D-36055</t>
  </si>
  <si>
    <t>MAKITA HSS-CO DRILL BIT 3.0X61MM D-16645</t>
  </si>
  <si>
    <t>MAKITA HSS-CO DRILL BIT 3.5X70MM D-16667</t>
  </si>
  <si>
    <t>MAKITA AUGER BIT 20X165 NAIL-CUT D-36108</t>
  </si>
  <si>
    <t>MAKITA AUGER BIT 20X200 D-07303</t>
  </si>
  <si>
    <t>MAKITA GUIDE BAR 10" SPROCKET 165695-7</t>
  </si>
  <si>
    <t>MAKITA AUGER BIT 20X200 D-31398</t>
  </si>
  <si>
    <t>MAKITA GUIDE BAR 18" SPROCKET 191G26-6</t>
  </si>
  <si>
    <t>MAKITA AUGER BIT 8X450 D-07559</t>
  </si>
  <si>
    <t>MAKITA FLAT BIT 15X150 D-07727</t>
  </si>
  <si>
    <t>MAKITA FLUSH TRIM BIT FLUTE 1/2" D-62860</t>
  </si>
  <si>
    <t>MAKITA STRAIGHT BIT 2 FLUTE 8mm D-47519</t>
  </si>
  <si>
    <t>MAKITA COLD CHISEL 19X450 D-26602</t>
  </si>
  <si>
    <t>MAKITA KEYLESS DRILL CHUCK 13 763260-2</t>
  </si>
  <si>
    <t>MAKITA SDS-PLUS BIT 24X460 D-16302</t>
  </si>
  <si>
    <t>MAKITA NEMESIS II SDS PLUS B-63242</t>
  </si>
  <si>
    <t>MAKITA NEMESIS II SDS PLUS 5X115 B-63214</t>
  </si>
  <si>
    <t>MAKITA NEMESIS II SDS PLUS 5X165 B-63220</t>
  </si>
  <si>
    <t>MAKITA NEMESIS II SDS PLUS 6X165 B-63264</t>
  </si>
  <si>
    <t>MAKITA NEMESIS II SDS PLUS 8X165 B-63373</t>
  </si>
  <si>
    <t>MAKITA NEMESISII SDS PLUS 10X165 B-63410</t>
  </si>
  <si>
    <t>MAKITA NEMESISII SDS PLUS 10X215 B-63426</t>
  </si>
  <si>
    <t>MAKITA SCREW DRIVER PH3 B-65931</t>
  </si>
  <si>
    <t>MAKITA SCREW DRIVER SL4 B-66020</t>
  </si>
  <si>
    <t>MAKITA T.C.T SAW BLADE M.STEEL A-83967</t>
  </si>
  <si>
    <t>MAKITA T.C.T SAW BLADE WOOD B-17142</t>
  </si>
  <si>
    <t>MAKITA STRAIGHT BIT 2FLUTE D-62810</t>
  </si>
  <si>
    <t>MAKITA TOOL BAG 199163-8</t>
  </si>
  <si>
    <t>MAKITA HIGH PERFORMANCE FILTER 455176-2</t>
  </si>
  <si>
    <t>MAKITA FLEXIBLE FLAP DISC 4" A40 D-62686</t>
  </si>
  <si>
    <t>MAKITA IMPACT DRIVER 18V BL DTD153RTE</t>
  </si>
  <si>
    <t>MAKITA THIN CUT-OFF WHEEL 4" SS E-03028</t>
  </si>
  <si>
    <t>MAKITA CLEANER 12V CL106FDSAW</t>
  </si>
  <si>
    <t>MAKITA IMPACT DRIVER 18V BL DTD172RFJ</t>
  </si>
  <si>
    <t>MAKITA ABRASIVE DISC 125 A40 D-54134</t>
  </si>
  <si>
    <t>MAKITA SDS-PLUSNEMESIS II 16X310 B-58578</t>
  </si>
  <si>
    <t>MAKITA GUIDE BAR 16" SPROCKET 191G25-8</t>
  </si>
  <si>
    <t>MAKITA SDS-PLUS NEMESIS II 8X265 B-58126</t>
  </si>
  <si>
    <t>MAKITA MAKPAC 65PCS SET SDS-PLUS B-69478</t>
  </si>
  <si>
    <t>MAKITA 40PCS RATCHETING TAP&amp;DIE B-65838</t>
  </si>
  <si>
    <t>MAKITA BTC06 BATTERY CHECKER DEA BTC06</t>
  </si>
  <si>
    <t>MAKITA DOUBLE BOX WRENCH 5PCSET B-65551</t>
  </si>
  <si>
    <t>MAKITA PLANER BLADE 82MM 2PCS D-70823</t>
  </si>
  <si>
    <t>MAKITA CONTROLLER FOR HP332D 620B33-7</t>
  </si>
  <si>
    <t>MAKITA AC METAL CUTTER 185MM 4131</t>
  </si>
  <si>
    <t>MAKITA DC HAMMER DRIVER DRILL HP002GD201</t>
  </si>
  <si>
    <t>MAKITA AC DRILL 10MM M6001B</t>
  </si>
  <si>
    <t>MAKITA DC STRAIGHT SHEAR 18V DJS161Z</t>
  </si>
  <si>
    <t>MAKITA DC COMBI HAMMER 40V HR003GZ</t>
  </si>
  <si>
    <t>MAKITA DC ROTARY HAMMER 52MM HR006GZ</t>
  </si>
  <si>
    <t>MAKITA DC MULTI FUNCTION POW.HEAD UX01GZ</t>
  </si>
  <si>
    <t>MAKITA BATTERY TYPE CASE B-69917</t>
  </si>
  <si>
    <t>MAKITA WALL CHASER 125MM SG1251J</t>
  </si>
  <si>
    <t>MAKITA TCT SAW BLADE  METAL E-12918</t>
  </si>
  <si>
    <t>MAKITA DC JIG SAW 18V BL DJV182RTE</t>
  </si>
  <si>
    <t>MAKITA GUIDE RAIL ADAPTER 199232-5</t>
  </si>
  <si>
    <t>MAKITA NOZZLE ASSEMBLY UB1102 123245-4</t>
  </si>
  <si>
    <t>MAKITA JIG SAW BLADE NO. 51 4304 A-86561</t>
  </si>
  <si>
    <t>MAKITA JIG SAW BLADE NO.10S  A-85824</t>
  </si>
  <si>
    <t>MAKITA ARMATURE ASS'Y SG1250 515208-8</t>
  </si>
  <si>
    <t>MAKITA KEYLESS DRILL CHUCK 10 763229-6</t>
  </si>
  <si>
    <t>MAKITA T.C.T SAW BLADE WOOD D-29066</t>
  </si>
  <si>
    <t>MAKITA HAMMER GREASE 30G HR2450 188088-1</t>
  </si>
  <si>
    <t>MAKITA DC CIRCULAR SAW 12V HS301DWAE</t>
  </si>
  <si>
    <t>MAKITA ABRASIVE DISC 125MM A320 D-65894</t>
  </si>
  <si>
    <t>MAKITA T.C.T SAW BLADE WOOD A-86038</t>
  </si>
  <si>
    <t>MAKITA T.C.T SAW BLADE WOOD D-03349</t>
  </si>
  <si>
    <t>MAKITA T.C.T SAW BLADE WOOD A-86044</t>
  </si>
  <si>
    <t>MAKITA SDS-PLUS ADAPTER 14-29MM D-17603</t>
  </si>
  <si>
    <t>MAKITA PAD 150 SET FOR BO6050 197314-7</t>
  </si>
  <si>
    <t>MAKITA DIAMOND POLISHING PAD D-15584</t>
  </si>
  <si>
    <t>MAKITA OFFSET DIAMOND WHEEL B-12289</t>
  </si>
  <si>
    <t>MAKITA JIG SAW 12V JV101DSAE</t>
  </si>
  <si>
    <t>MAKITA HSS MET.DRILL BIT D-29670 (5MM)</t>
  </si>
  <si>
    <t>MAKITA SAW BLADE 255X80TX25.4 B-14168</t>
  </si>
  <si>
    <t>MAKITA STRAIGHT GUIDE SETRP1800 195136-9</t>
  </si>
  <si>
    <t>MAKITA SDS-MAX DRILL BIT 16-340 D-33934</t>
  </si>
  <si>
    <t>MAKITA HULL SAW 11UX13 B-01155</t>
  </si>
  <si>
    <t>MAKITA CLAMP SET 194385-5</t>
  </si>
  <si>
    <t>MAKITA HEAT GUN HG6031VK</t>
  </si>
  <si>
    <t>MAKITA C-LESS CIRCULAR SAW DSS610RTE</t>
  </si>
  <si>
    <t>MAKITA SLIDE COMPOUND SAW LS1019L</t>
  </si>
  <si>
    <t>MAKITA BOARD-JOINTING BIT 12MM D-12027</t>
  </si>
  <si>
    <t>MAKITA SDS MAX CORE CUTTER B-57679</t>
  </si>
  <si>
    <t>MAKITA NEMESIS II SDS PLUS 6X115 B-57962</t>
  </si>
  <si>
    <t>MAKITA FLEXIBLE WHEEL DC GRINDER B-52392</t>
  </si>
  <si>
    <t>MAKITA TC RECIPRO SAW BLADE B-55594</t>
  </si>
  <si>
    <t>MAKITA OFFSET BASE SET RT0700C 195562-2</t>
  </si>
  <si>
    <t>MAKITA TCT SAW BLADE 165X20X44T B-53285</t>
  </si>
  <si>
    <t>MAKITA TCT SAW 165MMX64T LS600D B-56487</t>
  </si>
  <si>
    <t>MAKITA REPLACEMENT CYLINDER SET 39130910</t>
  </si>
  <si>
    <t>MAKITA T.C.T SAW BLADE 165X56T  B-57364</t>
  </si>
  <si>
    <t>MAKITA AUGER BIT 18X250 D-07397</t>
  </si>
  <si>
    <t>MAKITA PILOT DRILL BIM HOLE SAW D-17192</t>
  </si>
  <si>
    <t>MAKITA SLIDE COMPOUND SAW 305MM LS1219L</t>
  </si>
  <si>
    <t>MAKITA GRINDING WHEEL GC120H B-51932</t>
  </si>
  <si>
    <t>MAKITA WOOD DRILL BIT 16X315 D-07200</t>
  </si>
  <si>
    <t>MAKITA WOOD DRILL BIT 18X335 D-07216</t>
  </si>
  <si>
    <t>MAKITA SHELF BRUSH SET 198872-6</t>
  </si>
  <si>
    <t>MAKITA LONG SASH NOZZLE SET 198991-8</t>
  </si>
  <si>
    <t>MAKITA JIG SAW BLADE NO. B-35 B-10469</t>
  </si>
  <si>
    <t>MAKITA NEMESIS II SDSPLUS 20X450 B-58659</t>
  </si>
  <si>
    <t>MAKITA NEMESIS II SDS PLUS 8X165 B-58104</t>
  </si>
  <si>
    <t>MAKITA ORBITAL SANDER DBO180Z (125MM)</t>
  </si>
  <si>
    <t>MAKITA C-LESS METAL SAW DCS552Z (5")</t>
  </si>
  <si>
    <t>MAKITA TCT SAWBLADE 10" D-65442 WD 100T</t>
  </si>
  <si>
    <t>MAKITA ANGLE GRINDER 9556HNG</t>
  </si>
  <si>
    <t>MAKITA DC RECIPRO SAW 18V DJR183RTE</t>
  </si>
  <si>
    <t>MAKITA ZENTRO PLUS 12x260 B-58344</t>
  </si>
  <si>
    <t>MAKITA NEMESIS B-58475 (14 X 450 MM)</t>
  </si>
  <si>
    <t>MAKITA GR. WHEEL 6" GB602 B-51926(W)</t>
  </si>
  <si>
    <t>MAKITA NEMESIS B-57978 ( 6 x 160 mm)</t>
  </si>
  <si>
    <t>MAKITA COMBO KIT CLX224SAX1</t>
  </si>
  <si>
    <t>MAKITA HEAT GUN HG5030</t>
  </si>
  <si>
    <t>MAKITA DEMOLITION HAMMER 30KG AVT HM1812</t>
  </si>
  <si>
    <t>MAKITA NEMESIS II SDSPLUS 16X160 B-58540</t>
  </si>
  <si>
    <t>MAKITA MIXING BLADE 130 UT1301 A-43670</t>
  </si>
  <si>
    <t>MAKITA BATTERY ACC. SET 193888-6</t>
  </si>
  <si>
    <t>MAKITA DC ANGLE GRINDER 18V BL DGA406Z</t>
  </si>
  <si>
    <t>MAKITA AC HIGH SPEED DRILL 6.5MM M6500B</t>
  </si>
  <si>
    <t>MAKITA COMPOUND MITER SAW 255MM M2300B</t>
  </si>
  <si>
    <t>MAKITA METAL DRILL BIT 19PCS D-67583</t>
  </si>
  <si>
    <t>MAKITA NEMESIS B-58207 SDS PLUS 10X165</t>
  </si>
  <si>
    <t>MAKITA PAN HEAD SCREW F/6226DWE 251451-2</t>
  </si>
  <si>
    <t>MAKITA DRILLCHUCK13 766027-7 FOR DF446D</t>
  </si>
  <si>
    <t>MAKITA ABRASIVE DISC 125 # 240 D-65888</t>
  </si>
  <si>
    <t>MAKITA DEEP SOCKET 3PCS SET E-12354</t>
  </si>
  <si>
    <t>MAKITA DC CUT-OFF DLW140Z 8VX2 BL 14"</t>
  </si>
  <si>
    <t>MAKITA DC HAMMER DRILL 40V BL HP001GM201</t>
  </si>
  <si>
    <t>MAKITA DC CIRCULAR SAW 18V BL DHS660Z</t>
  </si>
  <si>
    <t>MAKITA DC IMPACT DRIVER 18V BL DTD157RTJ</t>
  </si>
  <si>
    <t>MAKITA DC CIRCULAR SAW 18V 165MM DSS610Z</t>
  </si>
  <si>
    <t>MAKITA AC COMBINATION HAMMER HR3011FCJ</t>
  </si>
  <si>
    <t>MAKITA DEMOLITION HAMMER HM0871C</t>
  </si>
  <si>
    <t>MAKITA DC DRIVER DRILL 18V DDF482Z</t>
  </si>
  <si>
    <t>MAKITA DC HAMMER DRILL 40V BL HP002GA201</t>
  </si>
  <si>
    <t>MAKITA DC IMPACT DRIVER 18V BL DTD154RTE</t>
  </si>
  <si>
    <t>MAKITA DC ANGLE GRINDER 18V BL DGA413RTE</t>
  </si>
  <si>
    <t>MAKITA ROTARY HAMMER 12V BL HR166DSAE1</t>
  </si>
  <si>
    <t>MAKITA HAMMER DRILL 18V BL13MM DHP486RTE</t>
  </si>
  <si>
    <t>MAKITA COMBINATION HAMMER 18V BL DHR242Z</t>
  </si>
  <si>
    <t>MAKITA AC HAMMER DRILL 10MM HP0300</t>
  </si>
  <si>
    <t>MAKITA AC DRILL 10MM M0600B</t>
  </si>
  <si>
    <t>MAKITA AC HAMMER DRILL 16MM M0801B</t>
  </si>
  <si>
    <t>MAKITA AC CIRCULAR SAW 165MM HS6600</t>
  </si>
  <si>
    <t>MAKITA AC TRIMMER 6MM 3711</t>
  </si>
  <si>
    <t>MAKITA ANGLE GRINDER 40V BL125MM GA029GZ</t>
  </si>
  <si>
    <t>MAKITA MASONRY DRILL BIT 10X150 D-05321</t>
  </si>
  <si>
    <t>MAKITA AC BLOWER M4001B</t>
  </si>
  <si>
    <t>MAKITA AC MULTI TOOL TM3010CX6</t>
  </si>
  <si>
    <t>MAKITA DC FINISHING SANDER 18V DBO380Z</t>
  </si>
  <si>
    <t>MAKITA HAMMER DRIVER DRILL18V BL DHP486Z</t>
  </si>
  <si>
    <t>MAKITA DC COMBO KIT 18V DLX2131JX7</t>
  </si>
  <si>
    <t>MAKITA DC ROTARY HAMMER 40V 40MM HR005GZ</t>
  </si>
  <si>
    <t>MAKITA ABRASIVE DISC 125 BO5031 D-54178</t>
  </si>
  <si>
    <t>MAKITA HEXAGON NUT M8 264022-6</t>
  </si>
  <si>
    <t>MAKITA CUT-OFF WHEEL 14'' A36T E-10540</t>
  </si>
  <si>
    <t>MAKITA CHAINBLADE 18" EA4301F 191H13-1</t>
  </si>
  <si>
    <t>MAKITA KEYLESS CHUCK 13 DHP481 763252-1</t>
  </si>
  <si>
    <t>MAKITA MASONRY DRILL 5PCS SET D-20719</t>
  </si>
  <si>
    <t>MAKITA SDS-PLUS NEMESIS II 7X115 B-58067</t>
  </si>
  <si>
    <t>MAKITA ABRASIVE DISC 125MM WA80 D-54156</t>
  </si>
  <si>
    <t>MAKITA ABRASIVE DISC 125 BO5031 D-54209</t>
  </si>
  <si>
    <t>MAKITA BULL POINT 400MM SDS-MAX E-13172</t>
  </si>
  <si>
    <t>MAKITA ABRASIVE DISC 125 # 60 D-65822</t>
  </si>
  <si>
    <t>MAKITA DC ORBIT POLISHER 18V DPO600Z</t>
  </si>
  <si>
    <t>MAKITA DIAMOND WHEEL 230MM (DRY) D-44292</t>
  </si>
  <si>
    <t>MAKITA CHAINBLADE 30" 522103792</t>
  </si>
  <si>
    <t>MAKITA GUIDERAIL ADAPTOR RP0900 194579-2</t>
  </si>
  <si>
    <t>MAKITA BASE CA5000 319314-9</t>
  </si>
  <si>
    <t>MAKITA INNER FLANGE 35 CA5000 224406-0</t>
  </si>
  <si>
    <t>MAKITA CHAINBLADE 12" 191H10-7</t>
  </si>
  <si>
    <t>MAKITA GRINDING DISC A36P METAL A-80911</t>
  </si>
  <si>
    <t>MAKITA GUIDE BAR 24" 1.5MM 445060451</t>
  </si>
  <si>
    <t>MAKITA TIE WIRE SET DTR181 199137-9</t>
  </si>
  <si>
    <t>MAKITA  BURRS SS STD CUT SC 10MM B-52744</t>
  </si>
  <si>
    <t>MAKITA  BURRS N-FE CUT SC 10MM B-52766</t>
  </si>
  <si>
    <t>MAKITA  BURRS SS STD CUT SF 10MM B-52772</t>
  </si>
  <si>
    <t>MAKITA  BURRS SS DIA CUT SF 10MM B-52788</t>
  </si>
  <si>
    <t>MAKITA  BURRS N-FE CUT SF 10MM B-52794</t>
  </si>
  <si>
    <t>MAKITA  BURRS SS STD CUT SL 10MM B-52803</t>
  </si>
  <si>
    <t>MAKITA  BURRS SS DIA CUT SL 10MM B-52819</t>
  </si>
  <si>
    <t>MAKITA  BURRS N-FE CUT SL 10MM B-52825</t>
  </si>
  <si>
    <t>MAKITA  BURRS SS STD CUT SM 10MM B-52831</t>
  </si>
  <si>
    <t>MAKITA BURRS N-FE CUT SM 10MM B-52853</t>
  </si>
  <si>
    <t>MAKITA TMA064 STARLOCK SAW 85 B-64973</t>
  </si>
  <si>
    <t>MAKITA AUGER BIT 8X250 D-07347</t>
  </si>
  <si>
    <t>MAKITA AUGER BIT 24X450 D-07630</t>
  </si>
  <si>
    <t>MAKITA GRINDING DISC 9" METAL D-18487</t>
  </si>
  <si>
    <t>MAKITA FLAP DISC 5" WA40 ANGLED D-63476</t>
  </si>
  <si>
    <t>MAKITA DIAMONDWHEEL105MM WET/DRY D-77198</t>
  </si>
  <si>
    <t>MAKITA THIN CUT-OFF WHEEL 100MM E-17108</t>
  </si>
  <si>
    <t>MAKITA CYLINDER 42 319612-1</t>
  </si>
  <si>
    <t>MAKITA PLANER BLADE 306 SET 199911-5</t>
  </si>
  <si>
    <t>MAKITA HSS PLANER BLADE 136MM D-71227</t>
  </si>
  <si>
    <t>MAKITA HSS METAL DRILL BIT 10PC D-64294</t>
  </si>
  <si>
    <t>MAKITA FINISHING SANDER M9203B</t>
  </si>
  <si>
    <t>MAKITA ANGLE GRINDER 100MM T 850W M9513B</t>
  </si>
  <si>
    <t>MAKITA TRIMMER 6MM M3700B</t>
  </si>
  <si>
    <t>MAKITA PORTABLE CUT-OFF 355MM M2401B</t>
  </si>
  <si>
    <t>MAKITA PN BRAD NAILER 50MM AF506</t>
  </si>
  <si>
    <t>MAKITA AC ROTARY HAMMER 18MM HR1840J</t>
  </si>
  <si>
    <t>MAKITA AC POWER PLANER 82MMM 1902B</t>
  </si>
  <si>
    <t>MAKITA AC BLOWER M4000B</t>
  </si>
  <si>
    <t>MAKITA AC JIG SAW M4301B</t>
  </si>
  <si>
    <t>MAKITA MKP3PG184 POWERSOURCEKIT 198095-6</t>
  </si>
  <si>
    <t>MAKITA AC CIRCULAR SAW 185MM M5801B</t>
  </si>
  <si>
    <t>MAKITA GRINDING WHEEL F/GB801 B-51960</t>
  </si>
  <si>
    <t>MAKITA AC FINISHING SANDER M9200B</t>
  </si>
  <si>
    <t>MAKITA DRILL CHUCK SET 198911-2</t>
  </si>
  <si>
    <t>MAKITA AC ORBIT SANDER 125MM M9204B</t>
  </si>
  <si>
    <t>MAKITA NEMESIS IISDS PLUS 10X265 B-58229</t>
  </si>
  <si>
    <t>MAKITA NEMESIS IISDS PLUS 25X450 B-58724</t>
  </si>
  <si>
    <t>MAKITA DC40RA F.CHARGER SET 191E08-6</t>
  </si>
  <si>
    <t>MAKITA DC18WA BATTERYCHARGER SET195424-4</t>
  </si>
  <si>
    <t>MAKITA DC BLOWER 18V DUB185Z</t>
  </si>
  <si>
    <t>MAKITA NEMESIS II SDS PLUS 6X265 B-57990</t>
  </si>
  <si>
    <t>MAKITA AC HAMMER DRILL 13MM M8103B</t>
  </si>
  <si>
    <t>MAKITA AC ANGLE GRINDER 4" 720W M9506B</t>
  </si>
  <si>
    <t>MAKITA PLANER BLADE 82MM MT190 D-16346</t>
  </si>
  <si>
    <t>MAKITA NEMESIS II SDS PLUS 7X165 B-58073</t>
  </si>
  <si>
    <t>MAKITA AC CUTTER 110MM M4100B</t>
  </si>
  <si>
    <t>MAKITA DC IMPACT WRENCH 18V BL DTW300Z</t>
  </si>
  <si>
    <t>MAKITA PLANER BLADE 2PCS/SET D-70910</t>
  </si>
  <si>
    <t>MAKITA TILT BASE SET 198987-9</t>
  </si>
  <si>
    <t>MAKITA DC DRIVER DRILL 12V DF333DSAE</t>
  </si>
  <si>
    <t>MAKITA ABRASIVE DISC GRT180 WHITED-65872</t>
  </si>
  <si>
    <t>MAKITA ROD FOR MLT100 JM27000165</t>
  </si>
  <si>
    <t>MAKITA RETAINING RING MLT100 JM27000163</t>
  </si>
  <si>
    <t>MAKITA AIR CLEANER ELEMENT 443141-3</t>
  </si>
  <si>
    <t>MAKITA DC HAMMER DRIVER DRILL DHP453RFX4</t>
  </si>
  <si>
    <t>MAKITA SPIRAL SPRING EBH340R 232257-7</t>
  </si>
  <si>
    <t>MAKITA SCRAPER RIGID TMA065 B-64989</t>
  </si>
  <si>
    <t>MAKITA AC HEAT GUN HG6530VK</t>
  </si>
  <si>
    <t>MAKITA BATTERY 9135 9.6V/2.8AH 193058-7</t>
  </si>
  <si>
    <t>MAKITA SDS PLUS NEMESISII 22X250 B-58665</t>
  </si>
  <si>
    <t>MAKITA PLANER BLADE 110MM HSS D-71211</t>
  </si>
  <si>
    <t>MAKITA OILPUMP COMPLETE UC3030A 142002-1</t>
  </si>
  <si>
    <t>MAKITA COMPRESSIONSPRING HR2610 234098-7</t>
  </si>
  <si>
    <t>MAKITA BATTERY BL1415G 14.4V 198192-8</t>
  </si>
  <si>
    <t>MAKITA DC HAMMER DRV.DRILL 12V HP333DSAE</t>
  </si>
  <si>
    <t>MAKITA DC DRY WALL SANDER 18V BL DSL800Z</t>
  </si>
  <si>
    <t>MAKITA CYCLONE ATTACHMENT(LOCK) 191D71-3</t>
  </si>
  <si>
    <t>MAKITA DC BLOWER 18V DUB186Z</t>
  </si>
  <si>
    <t>MAKITA BATTERY 1235 FOR 4191D 193059-5</t>
  </si>
  <si>
    <t>MAKITA VACUUMDIAMOND COREBIT 8MM D-63286</t>
  </si>
  <si>
    <t>MAKITA VACUUMDIAMOND COREBIT 6MM D-63270</t>
  </si>
  <si>
    <t>MAKITA HSS DRILL BIT 8X117MM/10P D-64397</t>
  </si>
  <si>
    <t>MAKITA AC HAMMER DRILL 16MM M8100B</t>
  </si>
  <si>
    <t>MAKITA DC DRIVER DRILL 40V BL DF001GZ</t>
  </si>
  <si>
    <t>MAKITA DC HEDGE TRIMMER BL18V DUH604SZ</t>
  </si>
  <si>
    <t>MAKITA DC HAMMER DRILL BL40V HP001GZ</t>
  </si>
  <si>
    <t>MAKITA DC IMPACT DRIVER BL40V TD001GD201</t>
  </si>
  <si>
    <t>MAKITA CHAINBLADE 512484772</t>
  </si>
  <si>
    <t>MAKITA COLD CHISEL 25X400 D-34213</t>
  </si>
  <si>
    <t>MAKITA BOAT KIT DHW080+DUB362 DEK005SG</t>
  </si>
  <si>
    <t>MAKITA SDS-MAX NEMESIS B-19978(16X540mm)</t>
  </si>
  <si>
    <t>MAKITA DC CIRCULAR SAW BL40V HS003GZ</t>
  </si>
  <si>
    <t>MAKITA SDS-MAX NEMESIS B-20111(25X520mm)</t>
  </si>
  <si>
    <t>MAKITA CUT OFFWHEEL WA60T D-18758</t>
  </si>
  <si>
    <t>MAKITA CHISEL SDS-MAX A-80824</t>
  </si>
  <si>
    <t>MAKITA DIAMOND WHEEL 110MM D-44426 (DRY)</t>
  </si>
  <si>
    <t>MAKITA AC CHAIN SAW 400MM UC4041A</t>
  </si>
  <si>
    <t>MAKITA FLAP DISC 4" B-40711 COARSE</t>
  </si>
  <si>
    <t>MAKITA SDS-PLUS NEMESISII 25X250 B-58718</t>
  </si>
  <si>
    <t>MAKITA ABRASIVE D.PAPER B-22931 GRIT 240</t>
  </si>
  <si>
    <t>MAKITA FORCE HSS METAL BIT D-29773(10MM)</t>
  </si>
  <si>
    <t>MAKITA BATTERY BL1016 12V 1.5AH 197393-5</t>
  </si>
  <si>
    <t>MAKITA BLOWER UB1102</t>
  </si>
  <si>
    <t>MAKITA PLUNGE CUT CIRCULAR SAW SP6000J</t>
  </si>
  <si>
    <t>MAKITA WASHER GUN 41154</t>
  </si>
  <si>
    <t>MAKITA CUTOFF MACHINE 14"(355MM) LW1401</t>
  </si>
  <si>
    <t>MAKITA SDS-MAX NEMESIS D-33875(12X340mm)</t>
  </si>
  <si>
    <t>MAKITA STRAIGHT BIT D-18873 8x8mm</t>
  </si>
  <si>
    <t>MAKITA MAGNET BIT SET  D-34827 45MM</t>
  </si>
  <si>
    <t>MAKITA DIAMOND WHEEL A-84040 105mm Dry</t>
  </si>
  <si>
    <t>MAKITA PHILIPS BIT  A-49585 85mm</t>
  </si>
  <si>
    <t>MAKITA MKP1RF182 SOURCEKITMAKP1 197974-5</t>
  </si>
  <si>
    <t>MAKITA ROTARY HAMMER HR2470X5 24MM</t>
  </si>
  <si>
    <t>MAKITA AUGER BIT D-07294 18MMX200MM WD</t>
  </si>
  <si>
    <t>MAKITA WIRE CUP BRUSH 75MM D-24088 M10</t>
  </si>
  <si>
    <t>MAKITA  DRILL BIT WOOD D-07222  20X335</t>
  </si>
  <si>
    <t>MAKITA BIM HOLE SAW ASSORTMENT D-47123</t>
  </si>
  <si>
    <t>MAKITA TCT SAWBLADE 136MM B-09949 16T</t>
  </si>
  <si>
    <t>MAKITA BULL POINT D-34182 SDS-MAX 400MM</t>
  </si>
  <si>
    <t>MAKITA DEMOLITION HAMMER HM0810A (17MM)</t>
  </si>
  <si>
    <t>MAKITA ROTARY HAMMER HR4003C (40MM)</t>
  </si>
  <si>
    <t>MAKITA STRING TRIMMER HEADB-05131</t>
  </si>
  <si>
    <t>MAKITA SCROLL SAW BLADE A-31099</t>
  </si>
  <si>
    <t>MAKITA ROUTER BIT D-09422</t>
  </si>
  <si>
    <t>MAKITA COLLET CONE (6MM) 763636-3</t>
  </si>
  <si>
    <t>MAKITA DEMOLITION HAMMER HM0870C SDS-MAX</t>
  </si>
  <si>
    <t>MAKITA MASONARY BIT 7 X 100  D-05278</t>
  </si>
  <si>
    <t>MAKITA MASONARY BIT 8 X 100  D-05290</t>
  </si>
  <si>
    <t>MAKITA TCT SAWBLADE 6-1/4" B-16994</t>
  </si>
  <si>
    <t>MAKITA CORLDESS JIG SAW DJV182Z</t>
  </si>
  <si>
    <t>MAKITA BLOWER UB1103</t>
  </si>
  <si>
    <t>MAKITA ELECTRIC CHAINSAW UC3551A 14"</t>
  </si>
  <si>
    <t>MAKITA POLISHER 9237C 180MM</t>
  </si>
  <si>
    <t>MAKITA TCT SAWBLADE 9" A-81474 60T</t>
  </si>
  <si>
    <t>MAKITA JIGSAW BLADE B-06476 (PIN)</t>
  </si>
  <si>
    <t>MAKITA HEAT GUN NOZZLE-WIDE-SLOT 134.412</t>
  </si>
  <si>
    <t>MAKITA ROUTER BIT D-09444</t>
  </si>
  <si>
    <t>MAKITA HEAT GUN NOZZLE-SLEEVES 122.248</t>
  </si>
  <si>
    <t>MAKITA HEAT GUN NOZZLE-REFLECTOR 134.414</t>
  </si>
  <si>
    <t>MAKITA HEAT GUN NOZZLE-WELDING 134.415</t>
  </si>
  <si>
    <t>MAKITA STRAIGHT BIT 1 FLUTE 1/4" D-49030</t>
  </si>
  <si>
    <t>MAKITA STRAIGHT BIT FLUTE 1/4" D-49052</t>
  </si>
  <si>
    <t>MAKITA FLUSH TRIM BIT FLUTE 1/4" D-49264</t>
  </si>
  <si>
    <t>MAKITA ROUND NOSE BIT 1/4" D-49345</t>
  </si>
  <si>
    <t>MAKITA MASONARY BIT 12 x 150 D-05343</t>
  </si>
  <si>
    <t>MAKITA BULL POINT 160MM - D-08034</t>
  </si>
  <si>
    <t>MAKITA STRIP DISC 125 X 22.23 B-28983</t>
  </si>
  <si>
    <t>MAKITA DIAMOND WHEEL D-41414 355mm</t>
  </si>
  <si>
    <t>MAKITA BAND SAW BLADE B-16695 16MM</t>
  </si>
  <si>
    <t>MAKITA TCT SAW BLADE METAL B-07319 136MM</t>
  </si>
  <si>
    <t>MAKITA TCT SAWBLADE 7" A-81402 24T WOOD</t>
  </si>
  <si>
    <t>MAKITA BATTERY CHRGR SET 195355-7 DC1851</t>
  </si>
  <si>
    <t>MAKITA JIGSAW BLADE B-60  B-06890 (PIN)</t>
  </si>
  <si>
    <t>MAKITA JIGSAW BLADE B-61   B-06909 (PIN)</t>
  </si>
  <si>
    <t>MAKITA BAND SAW LB1200F</t>
  </si>
  <si>
    <t>MAKITA WOOD DRILL BIT 12X155 D-07107</t>
  </si>
  <si>
    <t>MAKITA ABRASIVE DISC 794609-5 GRT-80</t>
  </si>
  <si>
    <t>MAKITA ABRASIVE DISC 794610-0 GRT-120</t>
  </si>
  <si>
    <t>MAKITA ABRASIVE DISC 794611-8 GRT-180</t>
  </si>
  <si>
    <t>MAKITA CHUCK 763187-6</t>
  </si>
  <si>
    <t>MAKITA ABRASIVE DISC 794612-6 GRT-240</t>
  </si>
  <si>
    <t>MAKITA ABRASIVE DISC 794613-4 GRT-400</t>
  </si>
  <si>
    <t>MAKITA WASHER 267143-3 (TD090D)</t>
  </si>
  <si>
    <t>MAKITA FLATE WASHER 267001-3 (BO3700)</t>
  </si>
  <si>
    <t>MAKITA DIMNDWHEEL 4-3/8"A-81131 WET</t>
  </si>
  <si>
    <t>MAKITA MASONARY BIT 7 X 150  D-05284</t>
  </si>
  <si>
    <t>MAKITA MASONARY BIT 6 X 150  D-05262</t>
  </si>
  <si>
    <t>MAKITA HSS MET.DRILL BIT D-29614 (2MM)</t>
  </si>
  <si>
    <t>MAKITA DRILL BIT WOOD D-07163 (8MM)</t>
  </si>
  <si>
    <t>MAKITA TCT SAWBLADE 6" A-80612 40T WOOD</t>
  </si>
  <si>
    <t>MAKITA DRILL BIT WOOD D-07185 (12MM)</t>
  </si>
  <si>
    <t>MAKITA MAGNETIC BIT HOLDER 784811-8</t>
  </si>
  <si>
    <t>MAKITA DRILL DS4011</t>
  </si>
  <si>
    <t>MAKITA STRAIGHT GUIDE ASSEMBLY 164834-6</t>
  </si>
  <si>
    <t>MAKITA COLLET CONE  12MM 763601-2</t>
  </si>
  <si>
    <t>MAKITA COLLET CONE 6MM 763607-0</t>
  </si>
  <si>
    <t>MAKITA FAST CHARGER 195586-8 (DC18RC)</t>
  </si>
  <si>
    <t>MAKITA ARMATURE ASS'Y 513633-7 (HR4001C)</t>
  </si>
  <si>
    <t>MAKITA CH.KEY 763447-6 (MT600) 10MM</t>
  </si>
  <si>
    <t>MAKITA COLLET SLEEVE 6MM 3612BR 763801-4</t>
  </si>
  <si>
    <t>MAKITA ANGLE GRINDER GA4040C</t>
  </si>
  <si>
    <t>MAKITA BULL POINT D-26303 (280MM)</t>
  </si>
  <si>
    <t>MAKITA DIAMOND WHEEL A-80438 5"</t>
  </si>
  <si>
    <t>MAKITA STRAIGHT BIT 6MM D-09260</t>
  </si>
  <si>
    <t>MAKITA ABRAS DISC 150MM 794608-7 GRIT60</t>
  </si>
  <si>
    <t>MAKITA MKP3PT182 SOURCEKITMAKP3 198182-1</t>
  </si>
  <si>
    <t>MAKITA HOLE SAW KIT 6 PCS D-47139</t>
  </si>
  <si>
    <t>MAKITA FLAT BIT D-07783  25MM</t>
  </si>
  <si>
    <t>MAKITA CHISEL SET D-08757 (4 PCS)</t>
  </si>
  <si>
    <t>MAKITA COLD CHISEL 20X400 D-19021</t>
  </si>
  <si>
    <t>MAKITA  MAGNET BIT SET D-33679 65MM</t>
  </si>
  <si>
    <t>MAKITA JIG SAW JV0600K (PIN)</t>
  </si>
  <si>
    <t>MAKITA DIAMOND WHEEL 792296-4</t>
  </si>
  <si>
    <t>MAKITA BIM HOLE SAW D-17114</t>
  </si>
  <si>
    <t>MAKITA DRILL CHUCK 194041-7</t>
  </si>
  <si>
    <t>MAKITA MULTI TOOL BLADE SET B-30586</t>
  </si>
  <si>
    <t>MAKITA GUIDE RULE 164367-1</t>
  </si>
  <si>
    <t>MAKITA WHEEL POINT DIE 794052-8</t>
  </si>
  <si>
    <t>MAKITA PLANER BLADE D-07967</t>
  </si>
  <si>
    <t>MAKITA ROUTER BITSET 8MM A-88054(12PCS)</t>
  </si>
  <si>
    <t>MAKITA COLLET SLEEVE 763810-3</t>
  </si>
  <si>
    <t>MAKITA RUBBER BUFF DCS430&amp;#160;965403282</t>
  </si>
  <si>
    <t>MAKITA NUT UC4000 001213042</t>
  </si>
  <si>
    <t>MAKITA DEMOLITION HAMMER HM1214C SDS-MAX</t>
  </si>
  <si>
    <t>MAKITA SDS MAX DRILL BIT A-19495 HR4000C</t>
  </si>
  <si>
    <t>MAKITA MAGNET BIT A-49600</t>
  </si>
  <si>
    <t>MAKITA COMBO KIT LCT204</t>
  </si>
  <si>
    <t>MAKITA DUST EXTRACTION SYSTEM 195896-3</t>
  </si>
  <si>
    <t>MAKITA CHISEL SET D-05181 (3 PCS)</t>
  </si>
  <si>
    <t>MAKITA CHISEL SET D-16368 (5 PCS)</t>
  </si>
  <si>
    <t>MAKITA SELF- SHARPENING BIT B-10621</t>
  </si>
  <si>
    <t>MAKITA RECIPRO SAWBLADE NO.24 B-00832</t>
  </si>
  <si>
    <t>MAKITA BATTERY CHARGER 194864-3 DC36RA</t>
  </si>
  <si>
    <t>MAKITA DIAMONDWHEEL105MM D-05206 WET&amp;DRY</t>
  </si>
  <si>
    <t>MAKITA COLDCHISEL SDS-MAXHM1100C A-80818</t>
  </si>
  <si>
    <t>MAKITA ABRASIVE DISC 794091-8</t>
  </si>
  <si>
    <t>MAKITA TCT SAWBLADE 10" A-83696 32T</t>
  </si>
  <si>
    <t>MAKITA ABRASIVE DISC 794092-6</t>
  </si>
  <si>
    <t>MAKITA ABRASIVE DISC 794093-4</t>
  </si>
  <si>
    <t>MAKITA ABRASIVE DISC 794221-1</t>
  </si>
  <si>
    <t>MAKITA BATTERY 14.4V 194065-3 BL1430</t>
  </si>
  <si>
    <t>MAKITA STRAIGHT BIT 1/4"  D-15388</t>
  </si>
  <si>
    <t>MAKITA SDS MAX SHANK BULL POINT A-80793</t>
  </si>
  <si>
    <t>MAKITA STRAIGHT BIT 6MM D-09167</t>
  </si>
  <si>
    <t>MAKITA DIAMOND WHEEL 110MM D-05212 (WET)</t>
  </si>
  <si>
    <t>MAKITA LEVER COMPLETE 162279-2 BO3710</t>
  </si>
  <si>
    <t>MAKITA ENGINE OIL 4T 600ML 980508620</t>
  </si>
  <si>
    <t>MAKITA HIGH PRESSURE WASHER HW102</t>
  </si>
  <si>
    <t>MAKITA DRYWALL SCREW 4.2 X 65MM F-33250</t>
  </si>
  <si>
    <t>MAKITA  SASH ROUTER BIT FOR 4401 D-16988</t>
  </si>
  <si>
    <t>MAKITA SASH ROUTER BIT 1/4" 4402 D-16972</t>
  </si>
  <si>
    <t>MAKITA M.DRILL BIT 1/4"HEX.SHANK D-31223</t>
  </si>
  <si>
    <t>MAKITA GLASS BIT 1/4" HEX.SHANK D-31413</t>
  </si>
  <si>
    <t>MAKITA GLASS BIT 1/4" HEX.SHANK D-31435</t>
  </si>
  <si>
    <t>MAKITA GLASS BIT 1/4" HEX.SHANK D-31441</t>
  </si>
  <si>
    <t>MAKITA GLASS BIT 1/4" HEX.SHANK D-31457</t>
  </si>
  <si>
    <t>MAKITA BINDING BIT1/4"HEX.SHANK 194731-2</t>
  </si>
  <si>
    <t>MAKITA M FORCE HSS MET.DRILL BIT D-29636</t>
  </si>
  <si>
    <t>MAKITA M FORCE HSS MET.DRILL BIT D-29692</t>
  </si>
  <si>
    <t>MAKITA M FORCE HSS MET.DRILL BIT D-29739</t>
  </si>
  <si>
    <t>MAKITA WOOD DRILL BIT D-07054</t>
  </si>
  <si>
    <t>MAKITA WOOD DRILL BIT D-07076</t>
  </si>
  <si>
    <t>MAKITA HSS METAL DRILL BIT D-09709</t>
  </si>
  <si>
    <t>MAKITA CHISEL 343411-9</t>
  </si>
  <si>
    <t>MAKITA BULLPOINT HM0810 D-08682 17MMX280</t>
  </si>
  <si>
    <t>MAKITA COLD CHISEL 28-410 D-17647 HM1810</t>
  </si>
  <si>
    <t>MAKITA CLUTCH ASS'Y 109-115 957180030</t>
  </si>
  <si>
    <t>MAKITA BEADING BIT 8R 6MM 3601B D-09547</t>
  </si>
  <si>
    <t>MAKITA GUIDE RAIL FOR SP6000 194368-5</t>
  </si>
  <si>
    <t>MAKITA COLLET CONE 763623-2 (1/2")3601B</t>
  </si>
  <si>
    <t>MAKITA SDS-PLUS DIAMONDCOREBIT A-87557</t>
  </si>
  <si>
    <t>MAKITA LOCK NUT WRENCH 782407-9 HM0810</t>
  </si>
  <si>
    <t>MAKITA ANGLE GRINDER (TOGGLE) GA4031 4"</t>
  </si>
  <si>
    <t>MAKITA CHUCK ADAPTER D-14093 SDS-PLUS</t>
  </si>
  <si>
    <t>MAKITA DIAMOND COREBIT W/ADAPTER A-87563</t>
  </si>
  <si>
    <t>MAKITA SCRAPER ASSY 100 X 160MM B-07331</t>
  </si>
  <si>
    <t>MAKITA FINISHING SANDER BO3710</t>
  </si>
  <si>
    <t>MAKITA ABR BELT 4" WA60 794134-6 #9401</t>
  </si>
  <si>
    <t>MAKITA MASONRY DRILL BITS 6MM D-31491</t>
  </si>
  <si>
    <t>MAKITA ABRASIVE DISC 7" GRIT:50 794094-2</t>
  </si>
  <si>
    <t>MAKITA JIGSAW BLADE NO.3 A-85868 (HOLE)</t>
  </si>
  <si>
    <t>MAKITA COLLET CONE 763618-5 (8MM) 3620</t>
  </si>
  <si>
    <t>MAKITA T.C.TSAWBLADE 7" A-86767 ALUM 60T</t>
  </si>
  <si>
    <t>MAKITA GUIDE BAR 16" 5016B 341650-5</t>
  </si>
  <si>
    <t>MAKITA COLD CHISEL 19X450 HM0810 D-16879</t>
  </si>
  <si>
    <t>MAKITA GUIDE RULE 1900B/1911B 191455-1</t>
  </si>
  <si>
    <t>MAKITA COLDCHISEL 25X280 SDS-MAX A-80802</t>
  </si>
  <si>
    <t>MAKITA DIAMOND WHEEL 105MM D-05197</t>
  </si>
  <si>
    <t>MAKITA BULL POINT 40 X 250 D-08735</t>
  </si>
  <si>
    <t>MAKITA CHISEL 50X215MM D-25616</t>
  </si>
  <si>
    <t>MAKITA PHILIPS BIT A-49579</t>
  </si>
  <si>
    <t>MAKITA TSS KIT FOR MOTOR 3641950</t>
  </si>
  <si>
    <t>MAKITA BRUSH KIT FOR MOTOR 3641000</t>
  </si>
  <si>
    <t>MAKITA MASONARY BIT  8MM D-31500</t>
  </si>
  <si>
    <t>MAKITA 5PCS BIT SET FOR DRILLS D-30106</t>
  </si>
  <si>
    <t>MAKITA SDS PLUS BIT 6MMX160 D-00066</t>
  </si>
  <si>
    <t>MAKITA COLLET CONE 1/4" 3700B 763608-8</t>
  </si>
  <si>
    <t>MAKITA ROUTER 8MM RP0900</t>
  </si>
  <si>
    <t>MAKITA SLOTTED BIT 10-70 6700N 784009-7</t>
  </si>
  <si>
    <t>MAKITA RECIPRO SAWBLADE NO.21  B-00804</t>
  </si>
  <si>
    <t>MAKITA COLD CHISEL 19X280 D-08707 HM0810</t>
  </si>
  <si>
    <t>MAKITA S.WRENCH9 782209-3 1900B-1805N</t>
  </si>
  <si>
    <t>MAKITA SLOTTED BIT 8-45 6000R 784006-3</t>
  </si>
  <si>
    <t>MAKITA RECIPRO SAWBLADE NO.23  B-00826</t>
  </si>
  <si>
    <t>MAKITA POWER PLANER KP0800X 3-1/4"</t>
  </si>
  <si>
    <t>MAKITA DIAMOND WHEEL 105MM A-83646 (DRY)</t>
  </si>
  <si>
    <t>MAKITA ABR.BELT 4" GRIT.100 794136-2</t>
  </si>
  <si>
    <t>MAKITA K.LESS CHUCK10MM 6510LVR 763132-1</t>
  </si>
  <si>
    <t>MAKITA WOOL PAD 180MM 9227C 192629-7</t>
  </si>
  <si>
    <t>MAKITA BATTERY CHARGER DC10WA 194589-9</t>
  </si>
  <si>
    <t>MAKITA JIGSAW BLADE B-22 A-85737 (PIN)</t>
  </si>
  <si>
    <t>MAKITA COLLETSLEEVE 3/8" 763805-6 3612BR</t>
  </si>
  <si>
    <t>MAKITA PHILLIPS BIT NO.2 82MM 784204-9</t>
  </si>
  <si>
    <t>MAKITA JIGSAW BLADE NO.1 A-85802 (HOLE)</t>
  </si>
  <si>
    <t>MAKITA SLOTTED BIT 5-45MM 784001-3</t>
  </si>
  <si>
    <t>MAKITA INNER FLANGE 30 9526NB 224343-8</t>
  </si>
  <si>
    <t>MAKITA CHUCK 1/2" (13MM) 193067-6 HP2030</t>
  </si>
  <si>
    <t>MAKITA OUTER FLANGE 65 224053-7 5201N</t>
  </si>
  <si>
    <t>MAKITA OUTER FLANGE 40 224387-8  MT580</t>
  </si>
  <si>
    <t>MAKITA INNER FLANGE 40 224386-0 MT580</t>
  </si>
  <si>
    <t>MAKITA INNER FLANGE 42 224415-9</t>
  </si>
  <si>
    <t>MAKITA SDS PLUS BIT 7MMX110 D-00103</t>
  </si>
  <si>
    <t>MAKITA BTRY 9100 9.6V/1.3Ah 192019-4</t>
  </si>
  <si>
    <t>MAKITA GRIP 37 273444-9 6910/LS1013</t>
  </si>
  <si>
    <t>MAKITA GRIP 32 273495-2  LS1040</t>
  </si>
  <si>
    <t>MAKITA LOCK NUT 224554-5 9015B</t>
  </si>
  <si>
    <t>MAKITA ANGLE RULE ASS'Y 122555-6 2702</t>
  </si>
  <si>
    <t>MAKITA SHEAR BLADES SET JS3200 792287-5</t>
  </si>
  <si>
    <t>MAKITA GUIDE RULE JM23000023 MT230</t>
  </si>
  <si>
    <t>MAKITA BTRY 9000 9.6V/1.3Ah 191681-2</t>
  </si>
  <si>
    <t>MAKITA DRESSING STONE 794060-9 180MM</t>
  </si>
  <si>
    <t>MAKITA WOOL BONNET 180MM 7" 794176-0</t>
  </si>
  <si>
    <t>MAKITA PNEUMATIC STAPLER  AT1022AZ</t>
  </si>
  <si>
    <t>MAKITA BULL POINT HM0810T 450MM D-16863</t>
  </si>
  <si>
    <t>MAKITA ROUND FILE 5.5MM 953003040</t>
  </si>
  <si>
    <t>MAKITA CHUCK KEY 1/2" (13MM) 763432-9</t>
  </si>
  <si>
    <t>MAKITA KEYLESS DRILL 6413 10MM</t>
  </si>
  <si>
    <t>MAKITA CH.KEY3/8"763418-3 6501/6409/6010</t>
  </si>
  <si>
    <t>MAKITA COLD CHISEL 30X400 D-15300 HM1306</t>
  </si>
  <si>
    <t>MAKITA COLLECT CONE 1/4" 763663-0 MT370</t>
  </si>
  <si>
    <t>MAKITA BULL POINT SDS-PLUS 250MM D-08713</t>
  </si>
  <si>
    <t>MAKITA ROUTER STRAIGHT BIT D-07901  1/2"</t>
  </si>
  <si>
    <t>MAKITA BTRY 1202 12V 2.0Ah 192536-4</t>
  </si>
  <si>
    <t>MAKITA DRILL CHUCK 1/2" (13MM) 192877-8</t>
  </si>
  <si>
    <t>MAKITA DRILL CHUCK (1/4") 6501 763077-3</t>
  </si>
  <si>
    <t>MAKITA JIGSAWBLADE NO.2 A-85852 (HOLE)</t>
  </si>
  <si>
    <t>MAKITA ABR BELT 4" WA120 9401 794137-0</t>
  </si>
  <si>
    <t>MAKITA CUT OFF WHEEL 12" A-88456 (2412N)</t>
  </si>
  <si>
    <t>MAKITA CUT OFF WHEEL 16" A-88478 (2416S)</t>
  </si>
  <si>
    <t>MAKITA CH.KEY 1/2"763441-8 -3 MT811</t>
  </si>
  <si>
    <t>MAKTEC CH.KEY FOR MT650 763442-6</t>
  </si>
  <si>
    <t>MAKTEC DRILL CHUCK 1/2' MT811 763161-4</t>
  </si>
  <si>
    <t>MAKTEC DRILL CHUCK MT650 763170-3 6.5MM</t>
  </si>
  <si>
    <t>MAKITA TCT SAWBLADE 8" A-81767 18T</t>
  </si>
  <si>
    <t>MAKITA CHUCK 763188-4/763199-9 8414D</t>
  </si>
  <si>
    <t>MAKITA PANHEAD SCREW M4X10 265142-9MT370</t>
  </si>
  <si>
    <t>MAKITA LOCK NUT WRENCH 20 9500N 782401-1</t>
  </si>
  <si>
    <t>MAKITA JIGSAW BLADE B-10 A-85628 (PIN)</t>
  </si>
  <si>
    <t>MAKITA TIN METAL BIT 8MM D-31201 BTD142</t>
  </si>
  <si>
    <t>MAKITA NIBBLER JN1601 (1.6MM) 1/16"</t>
  </si>
  <si>
    <t>MAKITA CUTTER 4-3/8" (110MM) 4100NH</t>
  </si>
  <si>
    <t>MAKITA CH.KEY 10MM3/8"  763414-1</t>
  </si>
  <si>
    <t>MAKITA COLLET SLEEVE 8MM 3600H 763804-8</t>
  </si>
  <si>
    <t>MAKITA PNEUMATIC BRAD NAILER AF301</t>
  </si>
  <si>
    <t>MAKITA DIMNDWHEEL 4-3/8"A-07185 WET</t>
  </si>
  <si>
    <t>MAKITA DIMNDWHEEL 150MM A-83836</t>
  </si>
  <si>
    <t>MAKITA TCT SAWBLADE10" A-81505 WOOD 60T</t>
  </si>
  <si>
    <t>MAKITA TCT SAWBLADE 8" A-81430 40T WOOD</t>
  </si>
  <si>
    <t>MAKITA TCT. SAW BLADE A-81898 6"</t>
  </si>
  <si>
    <t>MAKITA TCT SAWBLADE 225X40TX25.4 P-67885</t>
  </si>
  <si>
    <t>MAKITA TCT SAWBLADE10"A-81614 ALU 100T</t>
  </si>
  <si>
    <t>MAKITA TCT SAWBLADE12"A-82323 100T WOOD</t>
  </si>
  <si>
    <t>MAKITA TCT SAWBLADE  9" A-89947 20T</t>
  </si>
  <si>
    <t>MAKITA TCT SAWBLADE16" A-81561 80T WOOD</t>
  </si>
  <si>
    <t>MAKITA TCT SAWBLADE 7" A-81418 40T</t>
  </si>
  <si>
    <t>MAKITA TCT SAW BLADE 10" A-82292 100T</t>
  </si>
  <si>
    <t>MAKITA GRINDING WHEEL 7" A-80880</t>
  </si>
  <si>
    <t>MAKITA GRINDING WHEEL 5" A-80933/A-80874</t>
  </si>
  <si>
    <t>MAKITA GRINDING WHEEL 4" A-80852</t>
  </si>
  <si>
    <t>MAKITA GRINDING WHEEL  6"A-84981/A-80846</t>
  </si>
  <si>
    <t>MAKITA JIGSAW BLADE B-23 /A-85743(PIN)</t>
  </si>
  <si>
    <t>MAKITA TABLE SAW 255MM MLT100 (10")</t>
  </si>
  <si>
    <t>MAKITA SLIDE COMPOUND SAW LS0714 (7-1/2"</t>
  </si>
  <si>
    <t>MAKITA FINISHING SANDER BO4556</t>
  </si>
  <si>
    <t>MAKITA ANGLE GRINDER 9500NB (100MM) 4"</t>
  </si>
  <si>
    <t>MAKITA ANGLE GRINDER GA6010 (150MM) 6"</t>
  </si>
  <si>
    <t>MAKITA GLASS BIT 6X65 D-25149</t>
  </si>
  <si>
    <t>MAKITA HSS-TIN METAL BIT 6MM D-64107</t>
  </si>
  <si>
    <t>MAKITA OMNIBOHRER 8X150MM D-30368</t>
  </si>
  <si>
    <t>MAKITA SDS-PLUS BIT 14X460 D-17544</t>
  </si>
  <si>
    <t>MAKITA SDS-PLUS NEM II 16X215 E-14744</t>
  </si>
  <si>
    <t>MAKITA DIAMOND WHEEL 180MM  D-44286</t>
  </si>
  <si>
    <t>MAKITA DRILL CHUCK S6.5 766021-9</t>
  </si>
  <si>
    <t>MAKITA ADAPTER SET 3PCS DGP180 191A78-1</t>
  </si>
  <si>
    <t>MAKITA HAMMER DRIVER DRILL BL DHP489RTJ</t>
  </si>
  <si>
    <t>MAKITA DC DRIVER DRILL 40V BL DF001GM201</t>
  </si>
  <si>
    <t>MAKITA DC JIG SAW 40V BL JV002GZ</t>
  </si>
  <si>
    <t>MAKITA NEMESIS IISDS PLUS 5X115 B-58796</t>
  </si>
  <si>
    <t>MAKITA NEMESIS IISDS PLUS 10X165 B-58914</t>
  </si>
  <si>
    <t>MAKITA DC FINISHING SANDER 18V DBO380ZJ</t>
  </si>
  <si>
    <t>MAKITA GUN 3320152</t>
  </si>
  <si>
    <t>MAKITA ARMATURE 512639-2 6300-4/6300NB</t>
  </si>
  <si>
    <t>MAKITA FIELD 9015B 522838-8</t>
  </si>
  <si>
    <t>MAKITA FIELD HP2030 633414-4</t>
  </si>
  <si>
    <t>MAKITA POLY V-BELT 9045N/9045B 225049-1</t>
  </si>
  <si>
    <t>MAKITA BALL BEARING 6000LLB 211061-7</t>
  </si>
  <si>
    <t>MAKITA NEEDLE BEARING 607 212049-0</t>
  </si>
  <si>
    <t>MAKITA STEEL BALL 10 FOR HM1201 216003-6</t>
  </si>
  <si>
    <t>MAKITA NEEDLE BEARING 810 9205 212005-0</t>
  </si>
  <si>
    <t>MAKITA SWITCH 9045B 651607-1</t>
  </si>
  <si>
    <t>MAKITA SWITCH DP4700/6510LVR 651256-4</t>
  </si>
  <si>
    <t>MAKITA COLLET CONE 12MM 763628-2</t>
  </si>
  <si>
    <t>MAKITA SPROCKET 6 5016B 221514-8</t>
  </si>
  <si>
    <t>MAKITA COLLET SLEEV  6MM 3 763811-1</t>
  </si>
  <si>
    <t>MAKITA BRUSH HOLDER 5-8 6010B 643552-4</t>
  </si>
  <si>
    <t>MAKITA COLLET SLEEVE 10MM 763806-4</t>
  </si>
  <si>
    <t>MAKITA URETHANE SLEEVE 10 / 262506-8</t>
  </si>
  <si>
    <t>MAKITA FIELD 596264-7 / MT360</t>
  </si>
  <si>
    <t>MAKITA FIELD 633159-4 / 6904VH</t>
  </si>
  <si>
    <t>MAKITA FIELD ASSY 240V 594704-9</t>
  </si>
  <si>
    <t>MAKITA COMPRESSION SPRING 12 231231-2</t>
  </si>
  <si>
    <t>MAKITA O RING 26 HM0870 213432-4</t>
  </si>
  <si>
    <t>MAKITA SWITCH LEVER 451227-9</t>
  </si>
  <si>
    <t>MAKITA ARMATURE ASSY M0600 515834-3</t>
  </si>
  <si>
    <t>MAKITA FIELD M0600 633844-9</t>
  </si>
  <si>
    <t>MAKITA ARMATURE 240V UT1305 513654-9</t>
  </si>
  <si>
    <t>MAKITA PAN HEAD SCREW M3X9 652066-2</t>
  </si>
  <si>
    <t>MAKITA HAMMER CASE CPL DTD152 143299-5</t>
  </si>
  <si>
    <t>MAKITA SWITCH SL220SD-19 651572-4</t>
  </si>
  <si>
    <t>MAKITA BUMPER FOR DTD155 424914-3</t>
  </si>
  <si>
    <t>MAKITA SWASH BEARING 10 219020-5</t>
  </si>
  <si>
    <t>MAKITA THROTTLE LINKAGE CPL. 20117281</t>
  </si>
  <si>
    <t>MAKITA GEAR WHEEL B JM21000080</t>
  </si>
  <si>
    <t>MAKITA HSBOLT M8 JM27100066</t>
  </si>
  <si>
    <t>MAKITA LOCK NUT M6 JM27100016</t>
  </si>
  <si>
    <t>MAKITA HEX SOCKET HEAD BOLT 266133-3</t>
  </si>
  <si>
    <t>MAKITA BASE COMPLETE 158423-7</t>
  </si>
  <si>
    <t>MAKITA SPINDLE COMPLETE 153264-6</t>
  </si>
  <si>
    <t>MAKITA LOCK LEVER 457656-4</t>
  </si>
  <si>
    <t>MAKITA SPINDLE FOR DA333D 327015-5</t>
  </si>
  <si>
    <t>MAKITA OIL TUBE FOR UC3041A 424602-2</t>
  </si>
  <si>
    <t>MAKITA SEAL RING 12 213880-7</t>
  </si>
  <si>
    <t>MAKITA RING SPRING 21231987-7</t>
  </si>
  <si>
    <t>MAKITA SLIDER SUPPORT 313086-8</t>
  </si>
  <si>
    <t>MAKITA LINK PLATE COMPLETE 144929-1</t>
  </si>
  <si>
    <t>MAKITA SAFETY COVER B LS1219L 458144-4</t>
  </si>
  <si>
    <t>MAKITA CENTER PLATE LS1219L 347213-5</t>
  </si>
  <si>
    <t>MAKITA LEVER CPL SET UC4030A 188859-6</t>
  </si>
  <si>
    <t>MAKITA O RING 38 213527-3</t>
  </si>
  <si>
    <t>MAKITA STATOR GB602 (AL) AL00000228</t>
  </si>
  <si>
    <t>MAKITA CLUTCH CAM HR2020 324469-7</t>
  </si>
  <si>
    <t>MAKITA BASE FOR DCS552 163471-3</t>
  </si>
  <si>
    <t>MAKITA ANVIL M DTD152 326576-2</t>
  </si>
  <si>
    <t>MAKITA NYLON WASHER 24 261155-8</t>
  </si>
  <si>
    <t>MAKITA ANVIL N DTD154 326507-1</t>
  </si>
  <si>
    <t>MAKITA HAMMER DTD154 327155-9</t>
  </si>
  <si>
    <t>MAKITA COMPRESSION SPRING 234331-7</t>
  </si>
  <si>
    <t>MAKITA SPINDLE 326710-4</t>
  </si>
  <si>
    <t>MAKITA THIN WASHER 15 253314-8</t>
  </si>
  <si>
    <t>MAKITA INTERNAL GEAR 51 227351-8</t>
  </si>
  <si>
    <t>MAKITA BEARING BOX COMPLETE 143976-9</t>
  </si>
  <si>
    <t>MAKITA BEARING BOX 2702 316933-2</t>
  </si>
  <si>
    <t>MAKITA GRIP 34 PV7000C 273649-1</t>
  </si>
  <si>
    <t>MAKITA TORSION SPRING 4  231647-1</t>
  </si>
  <si>
    <t>MAKITA DC MOTOR TM30D 629220-3</t>
  </si>
  <si>
    <t>MAKITA ARMATURE ASSY 220V 510188-3</t>
  </si>
  <si>
    <t>MAKITA FIELD  220-240V 190T 633733-8</t>
  </si>
  <si>
    <t>MAKITA HEX.SOCKET HEAD BOLT 266276-1</t>
  </si>
  <si>
    <t>MAKITA CRANK SLEEVE  331792-3</t>
  </si>
  <si>
    <t>MAKITA HEX. SOCKET HEAD BOLT 266167-6</t>
  </si>
  <si>
    <t>MAKITA GEAR COMPLETE 11-47 226009-6</t>
  </si>
  <si>
    <t>MAKITA SWITCH C3PA-1111 650676-9</t>
  </si>
  <si>
    <t>MAKITA CONTROLLER 631751-0</t>
  </si>
  <si>
    <t>MAKITA RUBBER RING 19 422768-2</t>
  </si>
  <si>
    <t>MAKITA BALL BEARING 6001DDW 210216-1</t>
  </si>
  <si>
    <t>MAKITA BALL BEARING 6002DDW 211489-9</t>
  </si>
  <si>
    <t>MAKITA DUST BAG ASSEMBLY 123241-2</t>
  </si>
  <si>
    <t>MAKITA DRUM PLATE (2PCS/SET) 344341-7</t>
  </si>
  <si>
    <t>MAKITA STATOR FOR DHR242 529187-4</t>
  </si>
  <si>
    <t>MAKITA ROTOR FOR DHR242 619737-4</t>
  </si>
  <si>
    <t>MAKITA SLIDER FOR JV0600 313354-9</t>
  </si>
  <si>
    <t>MAKITA HOSE CPL VC3210 28-3.5 SET 195433</t>
  </si>
  <si>
    <t>MAKITA CHUCK COVER 456529-8</t>
  </si>
  <si>
    <t>MAKITA RING 21 325813-1</t>
  </si>
  <si>
    <t>MAKITA RING SPRING 233992-0</t>
  </si>
  <si>
    <t>MAKITA ARMATURE ASS'Y 240V 513944-0</t>
  </si>
  <si>
    <t>MAKITA TABLE 2012NB 317763-4</t>
  </si>
  <si>
    <t>MAKITA FIELD ASSY HS7010 594679-2</t>
  </si>
  <si>
    <t>MAKITA ARMATURE ASSY HR2650 515423-4</t>
  </si>
  <si>
    <t>MAKITA FIELD 240V FOR HR2650 628393-9</t>
  </si>
  <si>
    <t>MAKITA ARMATURE 4131 513578-9</t>
  </si>
  <si>
    <t>MAKITA FIELD 4131 634513-5</t>
  </si>
  <si>
    <t>MAKITA RING SPRING 21 233954-8</t>
  </si>
  <si>
    <t>MAKITA COMPRESSION SPRING 233152-4</t>
  </si>
  <si>
    <t>MAKITA STOPPER PIN FOR LS1013 322317-4</t>
  </si>
  <si>
    <t>MAKITA CHIP DEFLECTOR 3612BR 410128-0</t>
  </si>
  <si>
    <t>MAKITA STATOR 18V 629B61-9</t>
  </si>
  <si>
    <t>MAKITA ARMATURE ASS'Y 6305 513664-6</t>
  </si>
  <si>
    <t>MAKITA FIELD ASS’Y 6305 634549-4</t>
  </si>
  <si>
    <t>MAKITA FLAT WASHER 30 267153-0</t>
  </si>
  <si>
    <t>MAKITA CHUCK COVER HR2630 455393-4</t>
  </si>
  <si>
    <t>MAKITA FLAT WASHER 17 267114-0</t>
  </si>
  <si>
    <t>MAKITA RING SPRING 14 233989-9</t>
  </si>
  <si>
    <t>MAKITA INNER HOUSING CPL 141572-7</t>
  </si>
  <si>
    <t>MAKITA SWASH BEARING 10 219021-3</t>
  </si>
  <si>
    <t>MAKITA LOCK PLATE FOR 347228-2</t>
  </si>
  <si>
    <t>MAKITA COMPRESSION SPRING 4 233360-7</t>
  </si>
  <si>
    <t>MAKITA COMPRESSION SPRING 5 234343-0</t>
  </si>
  <si>
    <t>MAKITA GUIDE PLATE 346036-8</t>
  </si>
  <si>
    <t>MAKITA BRUSH HOLDER UNIT 632K38-9</t>
  </si>
  <si>
    <t>MAKITA BEARING BOX 318056-2</t>
  </si>
  <si>
    <t>MAKITA BEARING RETAINER 23-36 285848-3</t>
  </si>
  <si>
    <t>MAKITA HOUSING SET M4301 183E11-1</t>
  </si>
  <si>
    <t>MAKITA COMPRESSION SPRING 6 231252-4</t>
  </si>
  <si>
    <t>MAKITA CONTROLLER HM1213C 631871-0</t>
  </si>
  <si>
    <t>MAKITA PISTON FOR MT860 455158-4</t>
  </si>
  <si>
    <t>MAKITA O-RING 22 FOR MT860 213787-7</t>
  </si>
  <si>
    <t>MAKITA O RING 24 FOR MT860 213380-7</t>
  </si>
  <si>
    <t>MAKITA H.S. HEAD BOLT M4X20 266948-8</t>
  </si>
  <si>
    <t>MAKITA MOTORHOUSING SET DJR188 183H44-4</t>
  </si>
  <si>
    <t>MAKITA SLIDER ASSEMBLY 127397-3</t>
  </si>
  <si>
    <t>MAKITA PACKING FOR 4340CT 442138-9</t>
  </si>
  <si>
    <t>MAKITA BEARING BOX ASSEMBLY 123847-6</t>
  </si>
  <si>
    <t>MAKITA BRUSH HOLDER CAP 643807-7</t>
  </si>
  <si>
    <t>MAKITA FIELD 240V HR2230 626574-9</t>
  </si>
  <si>
    <t>MAKITA SAFETY COVER N5900B 165374-7</t>
  </si>
  <si>
    <t>MAKITA BAFFLE PLATE 2012NB 417033-2</t>
  </si>
  <si>
    <t>MAKITA ARMATURE ASS'Y M9200 517689-2</t>
  </si>
  <si>
    <t>MAKITA SUPPORT ASS'Y 9237C 539168-0</t>
  </si>
  <si>
    <t>MAKITA ROTOR FOR HR166D 619421-1</t>
  </si>
  <si>
    <t>MAKITA SWITCH C3LA-1A 651939-6</t>
  </si>
  <si>
    <t>MAKITA SPRING WASHER 4 JM23100015</t>
  </si>
  <si>
    <t>MAKITA LOCK PLATE A JM23100018</t>
  </si>
  <si>
    <t>MAKITA LOCKING BRACKET JM23100025</t>
  </si>
  <si>
    <t>MAKITA CONTROLLER HM1511 620E03-4</t>
  </si>
  <si>
    <t>MAKITA MOTOR ASSY HG6530 PR00000075</t>
  </si>
  <si>
    <t>MAKITA HEATING ELMNT HG6530 PR00000077</t>
  </si>
  <si>
    <t>MAKITA BLADE GUARD MLT100 JM27000340</t>
  </si>
  <si>
    <t>MAKITA IMPACT BOLT A FOR HR008G 140S89-1</t>
  </si>
  <si>
    <t>MAKITA STRIKER 327266-0</t>
  </si>
  <si>
    <t>MAKITA O RING 45 FOR 9553NB 213622-9</t>
  </si>
  <si>
    <t>MAKITA BALL BEARING 6902ZZ 211242-3</t>
  </si>
  <si>
    <t>MAKITA HOUSING SET FOR HP332D 183C34-7</t>
  </si>
  <si>
    <t>MAKITA FAN 88 M9204/BO5031 241673-2</t>
  </si>
  <si>
    <t>MAKITA CONTROLLER CMPLT DUC254 140P57-6</t>
  </si>
  <si>
    <t>MAKITA CONTROLLER HP483D 620555-5</t>
  </si>
  <si>
    <t>MAKITA STATOR DDF/DHP483 629228-7</t>
  </si>
  <si>
    <t>MAKITA STEEL BALL 3.5 TD146D 216040-0</t>
  </si>
  <si>
    <t>MAKITA O-RING CASE A HR2630 325798-1</t>
  </si>
  <si>
    <t>MAKITA ARMATURE HR1840 513989-8</t>
  </si>
  <si>
    <t>MAKITA FIELD HR1840 633994-0</t>
  </si>
  <si>
    <t>MAKITA YOKE UNIT FOR DTD130 632U16-9</t>
  </si>
  <si>
    <t>MAKITA ARMATURE DSS610 519173-3</t>
  </si>
  <si>
    <t>MAKITA UPPER FENCE R CPL LS1019 144650-2</t>
  </si>
  <si>
    <t>MAKITA UPPER FENCE L CPL LS1019 144646-3</t>
  </si>
  <si>
    <t>MAKITA DECOMPRESSION VALUE 455804-9</t>
  </si>
  <si>
    <t>MAKITA CYLINDER ASSY 135794-9</t>
  </si>
  <si>
    <t>MAKITA STATOR DTD155 629233-4</t>
  </si>
  <si>
    <t>MAKITA CONTROLLER DTD155 620586-4</t>
  </si>
  <si>
    <t>MAKITA V BELT LB1200F JM21000135</t>
  </si>
  <si>
    <t>MAKITA TOOL HOLDER HR2470 123100-0</t>
  </si>
  <si>
    <t>MAKITA LOCK NUT WRENCH 782034-2</t>
  </si>
  <si>
    <t>MAKITA HEX SOCKET SCREW JM27000317</t>
  </si>
  <si>
    <t>MAKITA BLADE COVER FOR HS301D 456252-5</t>
  </si>
  <si>
    <t>MAKITA TORSION SPRING 33 233633-8</t>
  </si>
  <si>
    <t>MAKITA SPONGE WASHER 53 261114-2</t>
  </si>
  <si>
    <t>MAKITA BEARING BOX FOR 2414B 316527-3</t>
  </si>
  <si>
    <t>MAKITA ROTOR FOR DTD154 619408-3</t>
  </si>
  <si>
    <t>MAKITA V-PULLEY 4-24L FOR 1911B 222050-7</t>
  </si>
  <si>
    <t>MAKITA ARMATURE 240V FOR HS6600 513459-7</t>
  </si>
  <si>
    <t>MAKITA BRACKET COMPLETE 140736-0</t>
  </si>
  <si>
    <t>MAKITA TOOL HOLDER COMPLETE 142973-2</t>
  </si>
  <si>
    <t>MAKITA SWITCH COMPLETE 143975-1</t>
  </si>
  <si>
    <t>MAKITA MOTOR HOUSING 417807-1</t>
  </si>
  <si>
    <t>MAKITA SWASH BEARING 9 219019-0</t>
  </si>
  <si>
    <t>MAKITA GEAR COMPLETE 21-44 226141-6</t>
  </si>
  <si>
    <t>MAKITA IMPACT BOLT 324278-4</t>
  </si>
  <si>
    <t>MAKITA CLUTCH CAM 331706-2</t>
  </si>
  <si>
    <t>MAKITA DRIVING FLANGE 332139-4</t>
  </si>
  <si>
    <t>MAKITA REAR COVER 456711-9</t>
  </si>
  <si>
    <t>MAKITA CONTROLLER 620E43-2</t>
  </si>
  <si>
    <t>MAKITA MOTOR HOUSING SET JM23000211</t>
  </si>
  <si>
    <t>MAKITA BEARING 6003 JM23200031</t>
  </si>
  <si>
    <t>MAKITA OIL BUSH JM23200023</t>
  </si>
  <si>
    <t>MAKITA PRESSURE SWITCH TG00000005</t>
  </si>
  <si>
    <t>MAKITA SLEEVE 20 FOR 257390-4</t>
  </si>
  <si>
    <t>MAKITA SCREW M10 266320-4</t>
  </si>
  <si>
    <t>MAKITA TORSION SPRING 28 231638-2</t>
  </si>
  <si>
    <t>MAKITA ROTOR 619672-6</t>
  </si>
  <si>
    <t>MAKITA STATOR FOR DTD157 629A44-3</t>
  </si>
  <si>
    <t>MAKITA GEAR ASSEMBLY FOR DHP487 122B23-1</t>
  </si>
  <si>
    <t>MAKITA STATOR FOR DDF/DHP487 629A41-9</t>
  </si>
  <si>
    <t>MAKITA ROTOR 619671-8</t>
  </si>
  <si>
    <t>MAKITA STATOR FOR TW001G 629A16-8</t>
  </si>
  <si>
    <t>MAKITA CONTROLLER FOR DSS610 620G71-9</t>
  </si>
  <si>
    <t>MAKITA GUIDE SLEEVE 327043-0</t>
  </si>
  <si>
    <t>MAKITA ROD ASSY FOR DJV182 135602-4</t>
  </si>
  <si>
    <t>MAKITA SLEEVE 4 327322-6</t>
  </si>
  <si>
    <t>MAKITA ARMATURE ASS'Y 240V 513479-1</t>
  </si>
  <si>
    <t>MAKITA SPINDLE 327524-4</t>
  </si>
  <si>
    <t>MAKITA KERF BOARD FOR LS1045 416451-1</t>
  </si>
  <si>
    <t>MAKITA HAMMER 327525-2</t>
  </si>
  <si>
    <t>MAKITA FIELD ASS'Y 240V 593889-8</t>
  </si>
  <si>
    <t>MAKITA BIT SLEEVE 327531-7</t>
  </si>
  <si>
    <t>MAKITA STATOR COMPLETE DHP486 629C05-5</t>
  </si>
  <si>
    <t>MAKITA SPINDLE 327573-1</t>
  </si>
  <si>
    <t>MAKITA PISTON + SEALS KIT 3640990</t>
  </si>
  <si>
    <t>MAKITA HAMMER 327595-1</t>
  </si>
  <si>
    <t>MAKITA HAMMER 327648-6</t>
  </si>
  <si>
    <t>MAKITA GEAR HOUSING UC4000 416171-7</t>
  </si>
  <si>
    <t>MAKITA D RING 20 327742-4</t>
  </si>
  <si>
    <t>MAKITA RETAINER COVER 318382-9</t>
  </si>
  <si>
    <t>MAKITA SLEEVE 12 FOR HR4001C 331596-3</t>
  </si>
  <si>
    <t>MAKITA ROD FOR MLT100 JM27000158</t>
  </si>
  <si>
    <t>MAKITA HOOK 346317-0</t>
  </si>
  <si>
    <t>MAKITA PISTON RING 38132020</t>
  </si>
  <si>
    <t>MAKITA SPRING GUIDE 346670-4</t>
  </si>
  <si>
    <t>MAKITA RETAINER 346947-7</t>
  </si>
  <si>
    <t>MAKITA SPONGE MT923 423470-0</t>
  </si>
  <si>
    <t>MAKITA PROTECTOR CLAMP 24 347107-4</t>
  </si>
  <si>
    <t>MAKITA STATOR FOR DJV182 629998-8</t>
  </si>
  <si>
    <t>MAKITA UPPER CLAMP 35 EM2901L 347113-9</t>
  </si>
  <si>
    <t>MAKITA CONTROLLER DTD170 620893-5</t>
  </si>
  <si>
    <t>MAKITA GUIDE PLATE FOR HR400D 347299-9</t>
  </si>
  <si>
    <t>MAKITA INNER FLANGE 2712 JM27100044</t>
  </si>
  <si>
    <t>MAKITA WHEEL COVER 100 347478-9</t>
  </si>
  <si>
    <t>MAKITA WHEEL COVER 125 347480-2</t>
  </si>
  <si>
    <t>MAKITA ARMATURE MT600 619103-5</t>
  </si>
  <si>
    <t>MAKITA SHOE GUIDE PLATE 347637-5</t>
  </si>
  <si>
    <t>MAKITA ARMATURE ASS'Y UC4041 513893-1</t>
  </si>
  <si>
    <t>MAKITA LEVER B 347641-4</t>
  </si>
  <si>
    <t>MAKITA ARMATURE ASS'Y HP0300 517999-7</t>
  </si>
  <si>
    <t>MAKITA SHAFT LOCK 347676-5</t>
  </si>
  <si>
    <t>MAKITA BEARING BOX COMPLETE 158145-9</t>
  </si>
  <si>
    <t>MAKITA BATTERY GUARD 347752-5</t>
  </si>
  <si>
    <t>MAKITA BRACKET COMPLETE 3711 141D19-5</t>
  </si>
  <si>
    <t>MAKITA RING SUPPORT 347783-4</t>
  </si>
  <si>
    <t>MAKITA CARBON BRUSH CB-218 197129-2</t>
  </si>
  <si>
    <t>MAKITA STRAP RING&amp;#160; FOR AS001G 34791</t>
  </si>
  <si>
    <t>MAKITA CARBON BRUSH CB-132 191972-1</t>
  </si>
  <si>
    <t>MAKITA SWITCH LEVER 412233-9</t>
  </si>
  <si>
    <t>MAKITA DEEP GROOVE BALL BEARING 219024-7</t>
  </si>
  <si>
    <t>MAKITA REAR COVER 412339-3</t>
  </si>
  <si>
    <t>MAKITA COMPRESSION SPRING 234251-5</t>
  </si>
  <si>
    <t>MAKITA REAR COVER FOR HP/DF001G 412361-0</t>
  </si>
  <si>
    <t>MAKITA MOTOR HOUSING FOR DJR187 412476-3</t>
  </si>
  <si>
    <t>MAKITA SPACER 412480-2</t>
  </si>
  <si>
    <t>MAKITA F/R CHANGE LEVER 456039-5</t>
  </si>
  <si>
    <t>MAKITA LOCK OFF BUTTON 412697-7</t>
  </si>
  <si>
    <t>MAKITA FIELD HP1630 621A39-2</t>
  </si>
  <si>
    <t>MAKITA REAR COVER 412821-2</t>
  </si>
  <si>
    <t>MAKITA FIELD HP0300 634739-9</t>
  </si>
  <si>
    <t>MAKITA HAMMER CASE COVER 412822-0</t>
  </si>
  <si>
    <t>MAKITA HAMMER CASE DTD147 141477-1</t>
  </si>
  <si>
    <t>MAKITA BASE 412951-9</t>
  </si>
  <si>
    <t>MAKITA INTAKE HOSE FOR EA4301 424753-1</t>
  </si>
  <si>
    <t>MAKITA TRIGGER LOCK 412953-5</t>
  </si>
  <si>
    <t>MAKITA OIL SEAL 213141-5</t>
  </si>
  <si>
    <t>MAKITA MOTOR HOUSING 412961-6</t>
  </si>
  <si>
    <t>MAKITA MOTOR COVER F FOR CL001G 413645-9</t>
  </si>
  <si>
    <t>MAKITA REAR COVER&amp;#160; FOR AS001G 413C4</t>
  </si>
  <si>
    <t>MAKITA FILTER HOLDER AS001G 413C49-3</t>
  </si>
  <si>
    <t>MAKITA LOCK OFF BUTTON 419704-7</t>
  </si>
  <si>
    <t>MAKITA SPONGE SHEET 57 422268-2</t>
  </si>
  <si>
    <t>MAKITA RUBBER PLATE 422460-0</t>
  </si>
  <si>
    <t>MAKITA SPONGE SLEEVE 3 422472-3</t>
  </si>
  <si>
    <t>MAKITA SEAL RING 422541-0</t>
  </si>
  <si>
    <t>MAKITA CUSHION RUBBER 422543-6</t>
  </si>
  <si>
    <t>MAKITA DUST COVER 422563-0</t>
  </si>
  <si>
    <t>MAKITA BUMPER 422584-2</t>
  </si>
  <si>
    <t>MAKITA BUMPER 422594-9</t>
  </si>
  <si>
    <t>MAKITA DUST COVER 422610-7</t>
  </si>
  <si>
    <t>MAKITA MOTOR COVER SEAL CL001G 422723-4</t>
  </si>
  <si>
    <t>MAKITA MOTOR COVER SEAL AS001G 422816-7</t>
  </si>
  <si>
    <t>MAKITA MOTOR COVER&amp;#160; FOR AS001G 4228</t>
  </si>
  <si>
    <t>MAKITA FILTER B FOR AS001G 422825-6</t>
  </si>
  <si>
    <t>MAKITA VALVE FOR CL140FD 424208-6</t>
  </si>
  <si>
    <t>MAKITA FILTER CAP 424556-3</t>
  </si>
  <si>
    <t>MAKITA SEAL RING A 424558-9</t>
  </si>
  <si>
    <t>MAKITA SEAL RING B 424559-7</t>
  </si>
  <si>
    <t>MAKITA CUSHION RUBBER TW1001D 424773-5</t>
  </si>
  <si>
    <t>MAKITA CRANK CAP 454319-3</t>
  </si>
  <si>
    <t>MAKITA CHANGE LEVER 454326-6</t>
  </si>
  <si>
    <t>MAKITA CHUCK COVER 454330-5</t>
  </si>
  <si>
    <t>MAKITA RELEASE COVER 454331-3</t>
  </si>
  <si>
    <t>MAKITA CRANK LEVER 454345-2</t>
  </si>
  <si>
    <t>MAKITA CHANGE BUTTON FOR JR187D 456177-3</t>
  </si>
  <si>
    <t>MAKITA MOTOR HOUSING FOR HR400D 458051-1</t>
  </si>
  <si>
    <t>MAKITA SWITCH LEVER FOR HR400D 458097-7</t>
  </si>
  <si>
    <t>MAKITA BAFFLE PLATE FOR DHR400 458099-3</t>
  </si>
  <si>
    <t>MAKITA LINK LEVER FOR HR400D 458100-4</t>
  </si>
  <si>
    <t>MAKITA STAY 458467-0</t>
  </si>
  <si>
    <t>MAKITA SWITCH LEVER 458594-3</t>
  </si>
  <si>
    <t>MAKITA BUTTON A 458939-5</t>
  </si>
  <si>
    <t>MAKITA CONNECTING SLEEVE DJR188 458968-8</t>
  </si>
  <si>
    <t>MAKITA LENS  CASE 459478-8</t>
  </si>
  <si>
    <t>MAKITA SWITCH LEVER 459758-2</t>
  </si>
  <si>
    <t>MAKITA LOCK OFF LEVER 459759-0</t>
  </si>
  <si>
    <t>MAKITA BAFFLE PLATE 459764-7</t>
  </si>
  <si>
    <t>MAKITA LED CIRCUIT   620388-8     DHP456</t>
  </si>
  <si>
    <t>MAKITA RELEASE DRUM 459923-3</t>
  </si>
  <si>
    <t>MAKITA LOCK LEVER 459924-1</t>
  </si>
  <si>
    <t>MAKITA ROTOR ASS'Y 510447-5</t>
  </si>
  <si>
    <t>MAKITA TANK CAP COMPLETE  142282-9</t>
  </si>
  <si>
    <t>MAKITA ROTOR ASS'Y FOR HR400D 519492-7</t>
  </si>
  <si>
    <t>MAKITA ROTOR ASS'Y 519595-7</t>
  </si>
  <si>
    <t>MAKITA ROTOR ASSY 519630-1</t>
  </si>
  <si>
    <t>MAKITA TERMINAL    644808-8</t>
  </si>
  <si>
    <t>MAKITA ROTOR ASS'Y 519647-4</t>
  </si>
  <si>
    <t>MAKITA ROTOR 619605-1</t>
  </si>
  <si>
    <t>MAKITA ROTOR 619626-3</t>
  </si>
  <si>
    <t>MAKITA TERMINAL   643899-6    DHP481</t>
  </si>
  <si>
    <t>MAKITA ROTOR 619659-8</t>
  </si>
  <si>
    <t>MAKITA REAR COVER      452205-2</t>
  </si>
  <si>
    <t>MAKITA LED CIRCUIT FOR HP483D 620549-0</t>
  </si>
  <si>
    <t>MAKITA RETAINING RING  S-10   961006-2</t>
  </si>
  <si>
    <t>MAKITA HOUSING SET   187714-9    DHP480</t>
  </si>
  <si>
    <t>MAKITA CONTROLLER 620B96-3</t>
  </si>
  <si>
    <t>MAKITA 619331-2 ROTOR FOR DF480D</t>
  </si>
  <si>
    <t>MAKITA LED CIRCUIT 620B97-1</t>
  </si>
  <si>
    <t>MAKITA 629999-6 STATOR FOR DF480D</t>
  </si>
  <si>
    <t>MAKITA CONTROLLER 620C31-7</t>
  </si>
  <si>
    <t>MAKITA LED CIRCUIT 620C32-5</t>
  </si>
  <si>
    <t>MAKITA SENSOR CIRCUIT HP/DF001G 620C81-2</t>
  </si>
  <si>
    <t>MAKITA HANDLE COVER 419553-2 5800MG</t>
  </si>
  <si>
    <t>MAKITA TOOL HOLDER 424165-8 HM1214C</t>
  </si>
  <si>
    <t>MAKITA TOOL RETAINER 310279-8 HM1214C</t>
  </si>
  <si>
    <t>MAKITA GEAR 226289-4 HP2030</t>
  </si>
  <si>
    <t>MAKITA PISTON 450961-8 HM1214C</t>
  </si>
  <si>
    <t>MAKITA ORING 213149-9 HM1214C</t>
  </si>
  <si>
    <t>MAKITA CRANK SHAFT 324839-0 HR3200C</t>
  </si>
  <si>
    <t>MAKITA TAPPING SCREW 266041-8 HR3200C</t>
  </si>
  <si>
    <t>MAKITA PAN HEAD SCREW 911233-1 HR3200C</t>
  </si>
  <si>
    <t>MAKITA HAX-BOLT 922123-3 HR3200C</t>
  </si>
  <si>
    <t>MAKITA ROD 312956-8 HM0810</t>
  </si>
  <si>
    <t>MAKITA GEAR HOUSING 156401-1 6510LVR</t>
  </si>
  <si>
    <t>MAKITA RING 21 257288-5 HK1820</t>
  </si>
  <si>
    <t>MAKITA GASKET  965524043 DCS341</t>
  </si>
  <si>
    <t>MAKITA HEX.NUT M7 264010-3 GA5010</t>
  </si>
  <si>
    <t>MAKITA  BEVEL GEAR  227520-1 GA5010</t>
  </si>
  <si>
    <t>MAKITA BEARING BOX 318300-7 GA5010</t>
  </si>
  <si>
    <t>MAKITA BEARING RETAINER 285728-3</t>
  </si>
  <si>
    <t>MAKITA MOTOR HOUSING 154989-5 9045B</t>
  </si>
  <si>
    <t>MAKITA HANDLE COVER 411617-8 9045B</t>
  </si>
  <si>
    <t>MAKITA TAPPING SCREW 265875-6 BO4540</t>
  </si>
  <si>
    <t>MAKITA TAPPING SCREW 265876-4 BO4540</t>
  </si>
  <si>
    <t>MAKITA WHEEL JM27000166 MLT100</t>
  </si>
  <si>
    <t>MAKITA CONTROLLER 620245-0 DHP480</t>
  </si>
  <si>
    <t>MAKITA HEAT SINK  689170-4  DHP446</t>
  </si>
  <si>
    <t>MAKITA COVER 454818-5  UC4051A</t>
  </si>
  <si>
    <t>MAKITA NUT COMPLETE  142235-8  UC4051A</t>
  </si>
  <si>
    <t>MAKITA FIELD ASS'Y   593869-4 UC4020A</t>
  </si>
  <si>
    <t>MAKITA ARMATURE ASS'Y  513713-9  UC4020A</t>
  </si>
  <si>
    <t>MAKITA SPUR GEAR 12  227153-2  UC4020A</t>
  </si>
  <si>
    <t>MAKITA CAP ASS'Y 135414-5  UC4020A</t>
  </si>
  <si>
    <t>MAKITA PACKING 421934-8   UC4020A</t>
  </si>
  <si>
    <t>MAKITA LINK PLATE CMPLT  158047-9 UC4020</t>
  </si>
  <si>
    <t>MAKITA COMPRSON SPRING 9 233175-2 UC4020</t>
  </si>
  <si>
    <t>MAKITA BREAKE BANK  168321-7 UC4020A</t>
  </si>
  <si>
    <t>MAKITA BRAKE  RING  344688-9  UC4020A</t>
  </si>
  <si>
    <t>MAKITA TENSON SPRING 5  231817-2  UC4020</t>
  </si>
  <si>
    <t>MAKITA BEARING HOLDER 452456-7  UC4020A</t>
  </si>
  <si>
    <t>MAKITA SPROCKET 221526-1 UC4020A</t>
  </si>
  <si>
    <t>MAKITA BLADE CASE 183706-6  MT580</t>
  </si>
  <si>
    <t>MAKITA PAN HEAD SCREW 265104-7</t>
  </si>
  <si>
    <t>MAKITA BAFFLE PLATE 452092-9 MT582</t>
  </si>
  <si>
    <t>MAKITA SQUARE NECK BOLT 266396-1 MT582</t>
  </si>
  <si>
    <t>MAKITA LEVER PLATE 346311-2 MT582</t>
  </si>
  <si>
    <t>MAKITA HEX  HEAD BOLT 266819-9 MT583</t>
  </si>
  <si>
    <t>MAKITA BLADE CASE 141720-8  MT583</t>
  </si>
  <si>
    <t>MAKITA ARMATURE ASS'Y   513864-8 MT583</t>
  </si>
  <si>
    <t>MAKITA SPIRAL BEVEL GEAR 227579-8</t>
  </si>
  <si>
    <t>MAKITA FIELD 633754-0 MT90</t>
  </si>
  <si>
    <t>MAKITA PIN CAP 452502-6 MT90</t>
  </si>
  <si>
    <t>MAKITA GEAR HOUSING COMPLEAT 141025-6</t>
  </si>
  <si>
    <t>MAKITA SPIRAL BEVEL GEAR 227578-0  MT90</t>
  </si>
  <si>
    <t>MAKITA SPED CHANGE LVER 126180-5 DHP480</t>
  </si>
  <si>
    <t>MAKITA SWITCH KNOB 452503-4 MT90</t>
  </si>
  <si>
    <t>MAKITA SWITCH LEVER 452501-8 MT90</t>
  </si>
  <si>
    <t>MAKITA WATER COUPLING KIT 3082130 HW121</t>
  </si>
  <si>
    <t>MAKITA DELIVERY KIT 42693 HW121</t>
  </si>
  <si>
    <t>MAKITA CAPACITOR 3640910 HW121</t>
  </si>
  <si>
    <t>MAKITA SCREW KIT 3640830 HW121</t>
  </si>
  <si>
    <t>MAKITA DTERGNT SUCTION KIT 3640870 HW121</t>
  </si>
  <si>
    <t>MAKITA TSS KIT 3640720 HW121</t>
  </si>
  <si>
    <t>MAKITA WATER SEAL KIT 3640850 HW121</t>
  </si>
  <si>
    <t>MAKITA DTERGNT SUCTION KIT 3640880 HW121</t>
  </si>
  <si>
    <t>MAKITA GASKET KIT 3641140 HW121</t>
  </si>
  <si>
    <t>MAKITA  FIELD 240V 633769-7 RT0700C</t>
  </si>
  <si>
    <t>MAKITA CAM 313165-2 LS1016L</t>
  </si>
  <si>
    <t>MAKITA  ARMATURE ASS'Y 240V 515844-0 RT0</t>
  </si>
  <si>
    <t>MAKITA MOTOR HOUSING COMPLETE 159246-6</t>
  </si>
  <si>
    <t>MAKITA  ARMATURE ASS'Y 240V 510173-6 MT9</t>
  </si>
  <si>
    <t>MAKITA GEAR 227811-0 (LW1401)</t>
  </si>
  <si>
    <t>MAKITA CARBURATOR EA4301F 161370-3</t>
  </si>
  <si>
    <t>MAKITA CRANK HOUSING TM3000C 142399-8</t>
  </si>
  <si>
    <t>MAKITA CONECTING ROD HR3200C / 450235-7</t>
  </si>
  <si>
    <t>MAKITA CUP WASHER 8 FS2200 267833-8</t>
  </si>
  <si>
    <t>MAKITA  LINK ARM 345867-2</t>
  </si>
  <si>
    <t>MAKITA ARMATURE ASSY MT922 510249-9</t>
  </si>
  <si>
    <t>MAKITA HEX. NUT M12-19 252155-9</t>
  </si>
  <si>
    <t>MAKITA INTER MEDIATE FLANGE 020131043</t>
  </si>
  <si>
    <t>MAKITA BEVEL LOCKING HANDLE JM23100058</t>
  </si>
  <si>
    <t>MAKITA GASKET 030131020</t>
  </si>
  <si>
    <t>MAKITA COUNTER SUNK HEAD SCREW 912116-8</t>
  </si>
  <si>
    <t>MAKITA BRAKE BAND 168426-3 UC4030A</t>
  </si>
  <si>
    <t>MAKITA FLAT WASHER 267195-4 UC4030</t>
  </si>
  <si>
    <t>MAKITA SPIRAL BEVEL GEAR 227517-0 GA5010</t>
  </si>
  <si>
    <t>MAKITA SPIRAL BEVEL GEAR 227518-8 GA5010</t>
  </si>
  <si>
    <t>MAKITA FUEL LINE 038114052</t>
  </si>
  <si>
    <t>MAKITA ARMATURE 619372-8/ BTD142</t>
  </si>
  <si>
    <t>MAKITA ARMATURE 517829-2 (GA9030)</t>
  </si>
  <si>
    <t>MAKITA FIELD 526193-0 (GA9030)</t>
  </si>
  <si>
    <t>MAKITA ARMATURE F/HP1630 513439-3</t>
  </si>
  <si>
    <t>MAKITA ARMATURE F/BTW251 619375-2</t>
  </si>
  <si>
    <t>MAKITA TORSION SPRING 45 231634-0 LS1016</t>
  </si>
  <si>
    <t>MAKITA CUSHION 424190-9 LS1016</t>
  </si>
  <si>
    <t>MAKITA HEX LOCK NUTM6-10 252014-7 LS1212</t>
  </si>
  <si>
    <t>MAKITA SUB FENCE PLATE 344463-3 LS1212</t>
  </si>
  <si>
    <t>MAKITA SCREW M6X10 251887-5 LS1212</t>
  </si>
  <si>
    <t>MAKITA ENGINE HOUS.CPL 140482-5 EA3201S</t>
  </si>
  <si>
    <t>MAKITA LOCK PLATE 344178-2 HP2070</t>
  </si>
  <si>
    <t>MAKITA HANGER 281216-8</t>
  </si>
  <si>
    <t>MAKITA BALL BEARING 6305LLB 211361-5</t>
  </si>
  <si>
    <t>MAKITA RING 22 257104-1</t>
  </si>
  <si>
    <t>MAKITA DUST COVER 421329-5</t>
  </si>
  <si>
    <t>MAKITA HEX BOLT 925146-0</t>
  </si>
  <si>
    <t>MAKITA GEAR HOUSING COMPLETE 159911-7</t>
  </si>
  <si>
    <t>MAKITA WING BOLT 924341-9</t>
  </si>
  <si>
    <t>MAKITA SPIRALBEVEL GEAR55 221353-6 4110C</t>
  </si>
  <si>
    <t>MAKITA RUBBER RING 26 421490-8</t>
  </si>
  <si>
    <t>MAKITA SHAFT LOCK 345717-1</t>
  </si>
  <si>
    <t>MAKITA TENSION SPRING 231781-7</t>
  </si>
  <si>
    <t>MAKITA COUNTERSUNK HEAD SCREW 251256-0</t>
  </si>
  <si>
    <t>MAKITA CORD GUARD 9.3-90  682540-6</t>
  </si>
  <si>
    <t>MAKITA RETAINER 19-3 285802-7</t>
  </si>
  <si>
    <t>MAKITA RUBBER SLEEVE 6 262502-6</t>
  </si>
  <si>
    <t>MAKITA CHARG.CIRCUIT CPL 631806-1 DC10WA</t>
  </si>
  <si>
    <t>MAKITA CHARG.CIRCUIT CPL 620067-8 DC18RC</t>
  </si>
  <si>
    <t>MAKITA CHARG.CIRCUIT CPL 631623-9 DC1414</t>
  </si>
  <si>
    <t>MAKITA ARMATURE ASS'Y 513888-4 HR4003C</t>
  </si>
  <si>
    <t>MAKITA SWITCH TG71BS-1 650597-5 HK1820</t>
  </si>
  <si>
    <t>MAKITA DRILL CHUCK MT600 766014-6 10MM</t>
  </si>
  <si>
    <t>MAKITA DRILL CHUCK S13 766023-5 (MT80B)</t>
  </si>
  <si>
    <t>MAKITA ARMATURE 515894-5 ( MT80B )</t>
  </si>
  <si>
    <t>MAKITA FIELD 594634-4 ( UB1103 )</t>
  </si>
  <si>
    <t>MAKITA FAN 110 240148-8 ( UB1103 )</t>
  </si>
  <si>
    <t>MAKITA FIELD 636389-6 ( UC3551A )</t>
  </si>
  <si>
    <t>MAKITA SWITCH SD-006-BB2AA-AA 650577-1</t>
  </si>
  <si>
    <t>MAKITA SWITCH TGC30B 650717-1</t>
  </si>
  <si>
    <t>MAKITA ARMATURE 220-240V 516868-9 4114S</t>
  </si>
  <si>
    <t>MAKITA OUTER FLANGE 90 224074-9</t>
  </si>
  <si>
    <t>MAKITA SWITCH 650724-4</t>
  </si>
  <si>
    <t>MAKITA SUB FENCE COMPLETE JM23200110</t>
  </si>
  <si>
    <t>MAKITA O-RING 213606-7</t>
  </si>
  <si>
    <t>MAKITA CLUTCH DRUM 957223092 (DCS7300)</t>
  </si>
  <si>
    <t>MAKITA 233542-1 TORSION SPRING 40</t>
  </si>
  <si>
    <t>MAKITA SUCTION HEAD 010114010</t>
  </si>
  <si>
    <t>MAKITA GUIDE WASHER 345873-7</t>
  </si>
  <si>
    <t>MAKITA O RING 75 HM1500 213755-0</t>
  </si>
  <si>
    <t>MAKITA DUST COVER 421265-5 HM1500</t>
  </si>
  <si>
    <t>MAKITA SWITCH 651145-3 HM1500</t>
  </si>
  <si>
    <t>MAKITA FLAT WASHER 253794-8 HM1500</t>
  </si>
  <si>
    <t>MAKITA O RING 213806-9 HM1500 213806-9</t>
  </si>
  <si>
    <t>MAKITA CRANK SHAFT CPL 152373-8 HM1500</t>
  </si>
  <si>
    <t>MAKITA O RING 213504-5 HM1500</t>
  </si>
  <si>
    <t>MAKITA STARTER ASSY 195160600 EA4301F</t>
  </si>
  <si>
    <t>MAKITA RING SPRING 233929-7 HR2470</t>
  </si>
  <si>
    <t>MAKITA COMPRESSION SPRING 233401-9</t>
  </si>
  <si>
    <t>MAKITA LOCK SPRING JM23100021</t>
  </si>
  <si>
    <t>MAKITA OUTPUT SHAFT RING JM23200012</t>
  </si>
  <si>
    <t>MAKITA IGNITION COIL 195143200</t>
  </si>
  <si>
    <t>MAKITA SAFETY WASHER 927304000</t>
  </si>
  <si>
    <t>MAKITA CONTROLLER 620D73-7</t>
  </si>
  <si>
    <t>MAKITA PLUG CAP CPL 957604260</t>
  </si>
  <si>
    <t>MAKITA PRESSURE LINE 20245020</t>
  </si>
  <si>
    <t>MAKITA GASKET 965404780</t>
  </si>
  <si>
    <t>MAKITA LEVER 45 272261-4</t>
  </si>
  <si>
    <t>MAKITA ACCELEROMETER CIRCUIT 620D74-5</t>
  </si>
  <si>
    <t>MAKITA THUMB SCREW M6X18 265783-1</t>
  </si>
  <si>
    <t>MAKITA CONTROLLER B 620D76-1</t>
  </si>
  <si>
    <t>MAKITA COMPRESSION SPRING 233031-6</t>
  </si>
  <si>
    <t>MAKITA CONTROLLER 620E42-4</t>
  </si>
  <si>
    <t>MAKITA CONTROLLER FOR CL001G 620E72-5</t>
  </si>
  <si>
    <t>MAKITA SWITCH UNIT FOR CL001G 620E74-1</t>
  </si>
  <si>
    <t>MAKITA CONTROLLER FOR UR006G 620F28-4</t>
  </si>
  <si>
    <t>MAKITA INDICATION CIRCUIT 620G89-0</t>
  </si>
  <si>
    <t>MAKITA STATOR FOR HR400D 629335-6</t>
  </si>
  <si>
    <t>MAKITA STATOR  COMPLETE 629458-0</t>
  </si>
  <si>
    <t>MAKITA STATOR 36V 629464-5</t>
  </si>
  <si>
    <t>MAKITA STATOR FOR JR002G 629470-0</t>
  </si>
  <si>
    <t>MAKITA STATOR COMPLETE 629476-8</t>
  </si>
  <si>
    <t>MAKITA STATOR COMPLETE DC36V 629A00-3</t>
  </si>
  <si>
    <t>MAKITA STATOR 629A13-4</t>
  </si>
  <si>
    <t>MAKITA STATOR DC40V 629A25-7</t>
  </si>
  <si>
    <t>MAKITA STATOR DC36V 629A35-4</t>
  </si>
  <si>
    <t>MAKITA MOTOR ASSEMBLY CL001G 629A46-9</t>
  </si>
  <si>
    <t>MAKITA MOTOR ASSEMBLY AS001G 629A91-4</t>
  </si>
  <si>
    <t>MAKITA SWITCH UNIT 632L84-8</t>
  </si>
  <si>
    <t>MAKITA TERMINAL UNIT 632P49-4</t>
  </si>
  <si>
    <t>MAKITA TERMINAL UNIT 632P65-6</t>
  </si>
  <si>
    <t>MAKITA TERMINAL UNIT 632R99-1</t>
  </si>
  <si>
    <t>MAKITA LEAD UNIT FOR CL001G 632S32-9</t>
  </si>
  <si>
    <t>MAKITA LEAD UNIT FOR AS001G 638A30-3</t>
  </si>
  <si>
    <t>MAKITA SWITCH C3JW-4B-L AS001G 650019-5</t>
  </si>
  <si>
    <t>MAKITA SWITCH C3XA-1PSPM DKP181 651083-9</t>
  </si>
  <si>
    <t>MAKITA SWITCH C3JR-4B-2 651439-6</t>
  </si>
  <si>
    <t>MAKITA SWITCH C3JR-1A-1 651442-7</t>
  </si>
  <si>
    <t>MAKITA SWITCH C3JR-4B HP/DF001G 651443-5</t>
  </si>
  <si>
    <t>MAKITA SWITCH FPM-1130-001 651445-1</t>
  </si>
  <si>
    <t>MAKITA SWITCH C3JR-1A-PAXD3 651492-2</t>
  </si>
  <si>
    <t>MAKITA HEX.SOCKET H.BOLT M4X12  922117-8</t>
  </si>
  <si>
    <t>MAKITA HEX.SOCKET H.BOLT M4X16 922128-3</t>
  </si>
  <si>
    <t>MAKITA HEX. SOCKET H.BOLT M5X14 922216-6</t>
  </si>
  <si>
    <t>MAKITA HEX.SOCKET H.BOLT M5X25 922242-5</t>
  </si>
  <si>
    <t>MAKITA HEX.SOCKET H.BOLT M6X30 922351-0</t>
  </si>
  <si>
    <t>MAKITA RETAINING RING S-20  961060-6</t>
  </si>
  <si>
    <t>MAKITA RETAINING RING R-26  962105-3</t>
  </si>
  <si>
    <t>MAKITA RETAINING RING ETYPE 10 259034-2</t>
  </si>
  <si>
    <t>MAKITA STATOR FOR HR166D 629244-9</t>
  </si>
  <si>
    <t>MAKITA CONTROLLER FOR HR166D 620578-3</t>
  </si>
  <si>
    <t>MAKITA CLUTCH COMPLETE DCS4300 181180300</t>
  </si>
  <si>
    <t>MAKITA ARMATURE 8450/HP1500 517108-8</t>
  </si>
  <si>
    <t>MAKITA FIELD ASS'Y FOR 4107R 524467-3</t>
  </si>
  <si>
    <t>MAKITA ARMATURE ASS'Y FOR 9046 516214-6</t>
  </si>
  <si>
    <t>MAKITA PISTON CPL. 325132035</t>
  </si>
  <si>
    <t>MAKITA ARMATURE ASS'Y 4107R 514506-7</t>
  </si>
  <si>
    <t>MAKITA CYLINDER + PISTON D 52 038130050</t>
  </si>
  <si>
    <t>MAKITA CYLINDER/PISTON CPL. 027130034</t>
  </si>
  <si>
    <t>MAKITA PWR SUPPLY CRCT DSS610D 620088-0</t>
  </si>
  <si>
    <t>MAKITA SQUARE NUT M5-8 4340CT 252171-1</t>
  </si>
  <si>
    <t>MAKITA WING BOLT M5X10 4100NH 924206-5</t>
  </si>
  <si>
    <t>MAKITA COLLARED HEX.NUT M8 252145-2</t>
  </si>
  <si>
    <t>MAKITA GASKET EA4301F 165174060</t>
  </si>
  <si>
    <t>MAKITA TENSION SPRING 181184020</t>
  </si>
  <si>
    <t>MAKITA SUPPORT FOR 9500NB 687116-4</t>
  </si>
  <si>
    <t>MAKITA BEARING BOX FOR BO3710 451266-9</t>
  </si>
  <si>
    <t>MAKITA JOINT FOR 4014N 414145-2</t>
  </si>
  <si>
    <t>MAKITA GASKET DCS430/520 965525003</t>
  </si>
  <si>
    <t>MAKITA CLAMP FOR EA7900 038310062</t>
  </si>
  <si>
    <t>MAKITA BRUSH HOLDER HM0870C 638674-3</t>
  </si>
  <si>
    <t>MAKITA MOTOR HOUSING FOR HR2450 418084-8</t>
  </si>
  <si>
    <t>MAKITA PISTON PIN BEARING 212133-1</t>
  </si>
  <si>
    <t>MAKITA HOUSING SET FOR JV0600 187163-0</t>
  </si>
  <si>
    <t>MAKITA CRANK SHAFT 17 325735-5</t>
  </si>
  <si>
    <t>MAKITA FUEL LINE FOR DCS34 965404981</t>
  </si>
  <si>
    <t>MAKITA CLUTCH CPL038180014</t>
  </si>
  <si>
    <t>MAKITA CONTROLLER UNIT HS300D 632L89-8</t>
  </si>
  <si>
    <t>MAKITA ARMATURE ASSY FOR BHR241 519226-8</t>
  </si>
  <si>
    <t>MAKITA CLUTCH DRUM CPL028223100</t>
  </si>
  <si>
    <t>MAKITA ROTOR (AL) FOR GB801 AL00000237</t>
  </si>
  <si>
    <t>MAKITA ARMATURE FOR MT413 513874-5</t>
  </si>
  <si>
    <t>MAKITA FIELD ASS'Y 240V M4100G 593969-0</t>
  </si>
  <si>
    <t>MAKITA GEAR ASSEMBLY HP333D 127124-8</t>
  </si>
  <si>
    <t>MAKITA CAM HOLDER CMPLT MT80A 142074-6</t>
  </si>
  <si>
    <t>MAKITA HELICAL GEAR 39 MT80A 227764-3</t>
  </si>
  <si>
    <t>MAKITA CONTACT SPRING EA3201S 346290-4</t>
  </si>
  <si>
    <t>MAKITA ARMATURE ASS'Y RP1801 517804-8</t>
  </si>
  <si>
    <t>MAKITA ROTOR FOR DDF/DHP486 619656-4</t>
  </si>
  <si>
    <t>MAKITA ARMATURE 518186-1 FOR LW1401</t>
  </si>
  <si>
    <t>MAKITA CONTROLLER FOR DTD154 620564-4</t>
  </si>
  <si>
    <t>MAKITA BRUSH HOLDER CMPL TD152D 632F25-8</t>
  </si>
  <si>
    <t>MAKITA ADJUST PLASTE FOR MT110 347027-2</t>
  </si>
  <si>
    <t>MAKITA FUSE UNIT FOR CL106FD 632H63-2</t>
  </si>
  <si>
    <t>MAKITA F.CARTRIDGE F/PLM4620N2 S-593260</t>
  </si>
  <si>
    <t>MAKITA BRACKET COMPLETE 3709 140L18-2</t>
  </si>
  <si>
    <t>MAKITA STARTER REWIND PLM4620N2 S-593959</t>
  </si>
  <si>
    <t>MAKITA GASKET SET -ENGINE S-595350</t>
  </si>
  <si>
    <t>MAKITA CONTROLLER FOR DTD153 620J73-3</t>
  </si>
  <si>
    <t>MAKITA CARBON BRUSH SET CB-106A B-80313</t>
  </si>
  <si>
    <t>MAKITA CONTROLLER UNIT CL106FD 632H48-8</t>
  </si>
  <si>
    <t>MAKITA MOTOR ASSEMBLY CL106FD 123849-2</t>
  </si>
  <si>
    <t>MAKITA ARMATURE 619496-0</t>
  </si>
  <si>
    <t>MAKITA MOTOR ASSY HV FOR 2712 JM27100157</t>
  </si>
  <si>
    <t>MAKITA CLAMP SCREW 389213081</t>
  </si>
  <si>
    <t>MAKITA DUST COLLECT SYSTEM DX08 199579-7</t>
  </si>
  <si>
    <t>MAKITA SQUARE NUT 1213020</t>
  </si>
  <si>
    <t>MAKITA BATTERY 1435 14.4V 2.8AH 193060-0</t>
  </si>
  <si>
    <t>MAKITA BLADE PROTECTION PLATE JM21000191</t>
  </si>
  <si>
    <t>MAKITA DIAMOND OILBIT 6MM F.MAK2 B-51823</t>
  </si>
  <si>
    <t>MAKITA DIAMOND OILBIT 8MM F.MAK2 B-51839</t>
  </si>
  <si>
    <t>MAKITA DIAMOND OILBIT10MM F.MAK2 B-51845</t>
  </si>
  <si>
    <t>MAKITA SPARK PLUG 168517-0</t>
  </si>
  <si>
    <t>MAKITA PISTON CYLINDER HR2610 310345-1</t>
  </si>
  <si>
    <t>MAKITA PRE-FILTER FOR CL100D 451208-3</t>
  </si>
  <si>
    <t>MAKITA STARTER COMPLETE EM4300F 161365-6</t>
  </si>
  <si>
    <t>MAKITA O RING 17.5 FOR HR2210 213258-4</t>
  </si>
  <si>
    <t>MAKITA SLEEVE 9A FOR HR2610 325782-6</t>
  </si>
  <si>
    <t>MAKITA STRIKER FOR HR2610 325784-2</t>
  </si>
  <si>
    <t>MAKITA BAFFLE PLATE FOR 2702 416331-1</t>
  </si>
  <si>
    <t>MAKITA CUSHION RING 12 HR2600 424267-0</t>
  </si>
  <si>
    <t>MAKITA FILTER FOR CL100D 443060-3</t>
  </si>
  <si>
    <t>MAKITA MUFFLER S-593819</t>
  </si>
  <si>
    <t>MAKITA CUP FLYWHEEL F/PLM4620N2 S-593960</t>
  </si>
  <si>
    <t>MAKITA ARMATURE-MAGNETO S-595009</t>
  </si>
  <si>
    <t>MAKITA SPARK PLUG FOR PLM4620N2 S-797434</t>
  </si>
  <si>
    <t>MAKITA FIELD 220-240V FOR M9513 628391-3</t>
  </si>
  <si>
    <t>MAKITA FIELD240V UT1301 522459-6</t>
  </si>
  <si>
    <t>MAKITA FIELD 220-240V FOR M9506 621818-2</t>
  </si>
  <si>
    <t>MAKITA SWITCH LEVER FOR M9506 457129-7</t>
  </si>
  <si>
    <t>MAKITA MOTOR HOUSING FOR M9513 457478-2</t>
  </si>
  <si>
    <t>MAKITA SCREW BIT SET 12PCS D-31011</t>
  </si>
  <si>
    <t>MAKITA BEARING BOX FOR BO4556 450070-3</t>
  </si>
  <si>
    <t>MAKITA BEARING BOX FOR MT950 317534-9</t>
  </si>
  <si>
    <t>MAKITA BEARING BOX FOR 9553NB 318331-6</t>
  </si>
  <si>
    <t>MAKITA GEAR HOUSING FOR M9506 319487-8</t>
  </si>
  <si>
    <t>MAKITA GEAR ASSEMBLY FOR HP332D 123867-0</t>
  </si>
  <si>
    <t>MAKITA SPIRAL B.GEAR 10 M9506 221475-2</t>
  </si>
  <si>
    <t>MAKITA SPIRAL B.GEAR 37 M9506 221476-0</t>
  </si>
  <si>
    <t>MAKITA GEAR ASSEMBLY 127499-5</t>
  </si>
  <si>
    <t>MAKITA BRUSH HOLDER FOR GD0800C 643760-7</t>
  </si>
  <si>
    <t>MAKITA STATOR 18V FOR TD154D 629217-2</t>
  </si>
  <si>
    <t>MAKITA SPINDLE FOR M9506 326828-1</t>
  </si>
  <si>
    <t>MAKITA BAFFLE PLATE FOR M9509 457137-8</t>
  </si>
  <si>
    <t>MAKITA BAFFLE PLATE FOR M9506 457130-2</t>
  </si>
  <si>
    <t>MAKITA SOFT STARTER LH1200FL JM23300085</t>
  </si>
  <si>
    <t>MAKITA CONTROLLER 620848-0</t>
  </si>
  <si>
    <t>MAKITA SUB FENCE CPL LS1017LJM23100320</t>
  </si>
  <si>
    <t>MAKITA ADJUSTING ROD 2712 JM27100071</t>
  </si>
  <si>
    <t>MAKITA MOTOR ASSY CL180D 125867-6</t>
  </si>
  <si>
    <t>MAKITA STRIKER HR2020 324214-0</t>
  </si>
  <si>
    <t>MAKITA PISTON 418349-8</t>
  </si>
  <si>
    <t>MAKITA CARBON PLATE 98MM 9924DB 423036-6</t>
  </si>
  <si>
    <t>MAKITA LID SHAPE WASHER 671010730</t>
  </si>
  <si>
    <t>MAKITA BLADE SUPPORT PLM4614P 671015252</t>
  </si>
  <si>
    <t>MAKITA CRANK 2712 JM27100067</t>
  </si>
  <si>
    <t>MAKITA CLUTCH ASSY FOR EBH340U 125757-3</t>
  </si>
  <si>
    <t>MAKITA AIR CLEANER ELEMENT 443140-5</t>
  </si>
  <si>
    <t>MAKITA HOUSING SET FOR TD140D 187138-9</t>
  </si>
  <si>
    <t>MAKITA ARMATURE ASS'Y 220-240V 515553-1</t>
  </si>
  <si>
    <t>MAKITA SWITCH C3JW-1A TW280D 650673-5</t>
  </si>
  <si>
    <t>MAKITA STATOR FOR HP332D 629178-6</t>
  </si>
  <si>
    <t>MAKITA SAFETY COVER LS1216 451197-2</t>
  </si>
  <si>
    <t>MAKITA SAFETY COVER 458785-6</t>
  </si>
  <si>
    <t>MAKITA SCREW JM27000169</t>
  </si>
  <si>
    <t>MAKITA SPROCKET GUIDE BAR 18" 445045651</t>
  </si>
  <si>
    <t>MAKITA KNOB MLT100 JM27000168</t>
  </si>
  <si>
    <t>MAKITA GEAR HOUSING COMPLETE 140M12-0</t>
  </si>
  <si>
    <t>MAKITA FAN 100 FOR MT400 240077-5</t>
  </si>
  <si>
    <t>MAKITA ROTOR FOR HP332D 619393-0</t>
  </si>
  <si>
    <t>MAKITA ROTOR FOR TD111D 619415-6</t>
  </si>
  <si>
    <t>MAKITA CARBURETOR W. ADJ GUIDE 38153515</t>
  </si>
  <si>
    <t>MAKITA INSULATION WASHER 5806B 681613-2</t>
  </si>
  <si>
    <t>MAKITA ARMATURE 240V MT954 510181-7</t>
  </si>
  <si>
    <t>MAKITA FIELD 240V MT401 633799-8</t>
  </si>
  <si>
    <t>MAKITA STARTING DEVICE 38160615</t>
  </si>
  <si>
    <t>MAKITA SHAFT COMPLETE MT660 168349-5</t>
  </si>
  <si>
    <t>MAKITA FIELD FOR GA4040C 626653-3</t>
  </si>
  <si>
    <t>MAKITA DC MOTOR 629395-8</t>
  </si>
  <si>
    <t>MAKITA HELICAL GEAR 43 F/M2401 221462-1</t>
  </si>
  <si>
    <t>MAKITA YOKE UNIT FOR BDF441 632J71-5</t>
  </si>
  <si>
    <t>MAKITA FIELD ASSY 240V 3709 590087-5</t>
  </si>
  <si>
    <t>MAKITA 3DRILL CHUCK 10 DF332D 763238-5</t>
  </si>
  <si>
    <t>MAKITA FIELD ASS'Y 240V 594709-9</t>
  </si>
  <si>
    <t>MAKITA OUTER FLANGE 35 CA5000 224479-3</t>
  </si>
  <si>
    <t>MAKITA LIGHT CIRCUIT TD010F 631873-6</t>
  </si>
  <si>
    <t>MAKITA SPINDLE FOR CA5000 326555-0</t>
  </si>
  <si>
    <t>MAKITA HEX.SCKT HEAD BOLT M5x40 922261-1</t>
  </si>
  <si>
    <t>MAKITA  FRONT HANDLE  419409-9</t>
  </si>
  <si>
    <t>MAKITA ARMATURE FOR SP6000 513678-5</t>
  </si>
  <si>
    <t>MAKITA  CHANGE LEVER 162244-1</t>
  </si>
  <si>
    <t>MAKITA CONTROLLER FOR CA5000 631729-3</t>
  </si>
  <si>
    <t>MAKITA MUFFLER COMPLETE 168604-5</t>
  </si>
  <si>
    <t>MAKITA TANK CAPCOMPLETE EA3200S 168823-3</t>
  </si>
  <si>
    <t>MAKITA CABLE HARNESS 168601-1</t>
  </si>
  <si>
    <t>MAKITA CHUCK COVER 452986-8</t>
  </si>
  <si>
    <t>MAKITA BRUSH HOLDER UNIT 638747-2</t>
  </si>
  <si>
    <t>MAKITA BAFFLE PLATE 416107-6</t>
  </si>
  <si>
    <t>MAKITA RETAINING RING S-17 961057-5</t>
  </si>
  <si>
    <t>MAKITA SAFETY COVER B 451754-6</t>
  </si>
  <si>
    <t>MAKITA LEVER 105 451019-6</t>
  </si>
  <si>
    <t>MAKITA AIR FILTER CARTRIDGE S-491588</t>
  </si>
  <si>
    <t>MAKITA ARMATURE ASS'Y  240V 515364-4</t>
  </si>
  <si>
    <t>MAKITA MOTOR HOUSING 453366-1</t>
  </si>
  <si>
    <t>MAKITA SWITCH BLOCK 638950-5</t>
  </si>
  <si>
    <t>MAKITA SWITCH ST115A-40 651418-4</t>
  </si>
  <si>
    <t>MAKITA PIN CAP    453369-5   (GA4040)</t>
  </si>
  <si>
    <t>MAKITA SHOULDER PIN  256535-1</t>
  </si>
  <si>
    <t>MAKITA RETAINING RING S-9 961005-4</t>
  </si>
  <si>
    <t>MAKITA C TYPE PLATE 346556-2</t>
  </si>
  <si>
    <t>MAKITA SPIRAL BEVEL GEAR 38 227592-6</t>
  </si>
  <si>
    <t>MAKITA COUPLING   313228-4    (GA4040)</t>
  </si>
  <si>
    <t>MAKITA BALL BEARING 6903ZZ  210302-8</t>
  </si>
  <si>
    <t>MAKITA FELT RING  17 443124-3</t>
  </si>
  <si>
    <t>MAKITA SPINDLE 325978-9  (MT962)</t>
  </si>
  <si>
    <t>MAKITA SPINDLE 326454-6    (MT90)</t>
  </si>
  <si>
    <t>MAKITA SPIRAL BEVEL GEAR 227457-2</t>
  </si>
  <si>
    <t>MAKITA SPIRAL BEVEL GEAR 227456-4</t>
  </si>
  <si>
    <t>MAKITA FIELD 625704-9      (GA9010C)</t>
  </si>
  <si>
    <t>MAKITA PIN CAP 419133-4      (GA7020)</t>
  </si>
  <si>
    <t>MAKITA COMPRESSION SPRING 233292-8</t>
  </si>
  <si>
    <t>MAKITA SPIRAL BEVEL GEAR  227488-1</t>
  </si>
  <si>
    <t>MAKITA SWITCH  650101-0     (GA7020 )</t>
  </si>
  <si>
    <t>MAKITA SHOULDER PIN  256491-5</t>
  </si>
  <si>
    <t>MAKITA BEARING RETAINER  285724-1</t>
  </si>
  <si>
    <t>MAKITA BEARING BOX  317988-0   (GA7020)</t>
  </si>
  <si>
    <t>MAKITA CRANK SHAFT 321954-1  HM0810</t>
  </si>
  <si>
    <t>MAKITA TOOL HOLDER SET 193004-0 HM0810T</t>
  </si>
  <si>
    <t>MAKITA STEEL BALL 7.9 216004-4 HM0810T</t>
  </si>
  <si>
    <t>MAKITA COMPRESSION SPRING 233191-4</t>
  </si>
  <si>
    <t>MAKITA CHANGE RING 331518-3 HM0810T</t>
  </si>
  <si>
    <t>MAKITA RING 29 257206-3 HM0810T</t>
  </si>
  <si>
    <t>MAKITA RETAINING RING S-28  961108-4</t>
  </si>
  <si>
    <t>MAKITA CONNECTING ROD 324832-4 (HM1306)</t>
  </si>
  <si>
    <t>MAKITA HAMMER 324822-7 (HM1306)</t>
  </si>
  <si>
    <t>MAKITA REAR COVER 284067-8</t>
  </si>
  <si>
    <t>MAKITA NEEDLE ROLLER BEARING 212263-8</t>
  </si>
  <si>
    <t>MAKITA SEAL RING A 424048-2</t>
  </si>
  <si>
    <t>MAKITA SEAL RING B 424049-0   (HM1306 )</t>
  </si>
  <si>
    <t>MAKITA FELT COMPLETE  158388-3</t>
  </si>
  <si>
    <t>MAKITA OIL GAUGE 242502-2      (HM1306)</t>
  </si>
  <si>
    <t>MAKITA FELT COMPLETE  154438-2</t>
  </si>
  <si>
    <t>MAKITA SEAL RING C  421888-9   (HM1305)</t>
  </si>
  <si>
    <t>MAKITA BEARING RETAINER  22-36  285807-7</t>
  </si>
  <si>
    <t>MAKITA FLAT WASHER 12  267104-3 HR2470</t>
  </si>
  <si>
    <t>MAKITA PISTON JOINT 324215-8 HR2470</t>
  </si>
  <si>
    <t>MAKITA O RING 63 213727-5 HR2470</t>
  </si>
  <si>
    <t>MAKITA CLTCH CAM    331992-5    HR2470</t>
  </si>
  <si>
    <t>MAKITA BUFFLE PLATE 419716-0  HR2470</t>
  </si>
  <si>
    <t>MAKITA LOCK  PIN   JM23100022</t>
  </si>
  <si>
    <t>MAKITA LOCK SHAFT B JM23100024</t>
  </si>
  <si>
    <t>MAKITA LOCK SHAFT A  JM23100026</t>
  </si>
  <si>
    <t>MAKITA METER LOCKING HANDLE JM23100027</t>
  </si>
  <si>
    <t>MAKITA TABLE INSERT    JM23100029</t>
  </si>
  <si>
    <t>MAKITA SQUARE NECK BOLT M6X12 JM23100106</t>
  </si>
  <si>
    <t>MAKITA GUARD SPRING   JM23100107</t>
  </si>
  <si>
    <t>MAKITA BOWL PLATE JM23100108</t>
  </si>
  <si>
    <t>MAKITA GUARD FIX  PLATE JM23100109</t>
  </si>
  <si>
    <t>MAKITA LOCK NUT M6  JM23100110</t>
  </si>
  <si>
    <t>MAKITA BEARING  COVER JM23200016</t>
  </si>
  <si>
    <t>MAKITA RING SPRING 24 232501-2</t>
  </si>
  <si>
    <t>MAKITA KEY  4X10  JM23200018</t>
  </si>
  <si>
    <t>MAKITA SPINDLE HP1630 327376-3</t>
  </si>
  <si>
    <t>MAKITA RETAINING RING 14 JM23200022</t>
  </si>
  <si>
    <t>MAKITA SWITCH DGQ-1104H-01 651393-4</t>
  </si>
  <si>
    <t>MAKITA GEAR BOX COMPLETE JM23200130</t>
  </si>
  <si>
    <t>MAKITA TOOL OPENER 4340CT 417842-9</t>
  </si>
  <si>
    <t>MAKITA ABSORBER RING  JM23100172</t>
  </si>
  <si>
    <t>MAKITA SWITCH LOCK PLATE JM23100175</t>
  </si>
  <si>
    <t>MAKITA ELECTRIC SWITCH JM23100179</t>
  </si>
  <si>
    <t>MAKITA SCREW  CAP JM23100182  (LS1018L)</t>
  </si>
  <si>
    <t>MAKITA BLADE BOLT JM23100153 (LS1018L)</t>
  </si>
  <si>
    <t>MAKITA FLAT WASHER 4 JM23100016</t>
  </si>
  <si>
    <t>MAKITA CROSSHEAD SCREW M4X12 JM23100033</t>
  </si>
  <si>
    <t>MAKITA O-RING   213581-7 (HM 1214C)</t>
  </si>
  <si>
    <t>MAKITA CONTROLLER 620226-4  (HM1214C)</t>
  </si>
  <si>
    <t>MAKITA COMPRESSION SPRING 233072-2</t>
  </si>
  <si>
    <t>MAKITA SPIRAL BEVEL GEAR 227641-9</t>
  </si>
  <si>
    <t>MAKITA MOTOR HOUSING SET 187998-9</t>
  </si>
  <si>
    <t>MAKITA SWITCH KNOB 455447-7</t>
  </si>
  <si>
    <t>MAKITA CONECTING ROD 322476-4  (HM1810)</t>
  </si>
  <si>
    <t>MAKITA O-RING 213662-7 (HM1810)</t>
  </si>
  <si>
    <t>MAKITA SWITCH 651131-4(HM1810)</t>
  </si>
  <si>
    <t>MAKITA SPARK PLUG S-591868</t>
  </si>
  <si>
    <t>MAKITA GEAR HOUSING COMPLETE 168705-9</t>
  </si>
  <si>
    <t>MAKITA CONECTING ROD 419679-0</t>
  </si>
  <si>
    <t>MAKITA CRANK CAP 419671-6</t>
  </si>
  <si>
    <t>MAKITA O RING22 213962-5</t>
  </si>
  <si>
    <t>MAKITA O RING  213604-1</t>
  </si>
  <si>
    <t>MAKITA STARTER WHEEL 195160020</t>
  </si>
  <si>
    <t>MAKITA FIELD ASS'Y 526234-2 FOR HM1305</t>
  </si>
  <si>
    <t>MAKITA COMPRESSION SPRING / 233101-1</t>
  </si>
  <si>
    <t>MAKITA SAFETY COVER 418326-0    MT560</t>
  </si>
  <si>
    <t>MAKITA WING NUT M6 934301-3  5806B</t>
  </si>
  <si>
    <t>MAKITA SAFETY COVER 165368-2 5606B</t>
  </si>
  <si>
    <t>MAKITA YOKE UNIT  638423-8 BHP450</t>
  </si>
  <si>
    <t>MAKITA CLUTCH DRUM ASSY PS-32 140484-1</t>
  </si>
  <si>
    <t>MAKITA SWITCH UNIT 638630-3 MT960</t>
  </si>
  <si>
    <t>MAKITA ROD / 419413-8 UC4030A</t>
  </si>
  <si>
    <t>MAKITA FLAT WASHER /  253215-0  UC4030A</t>
  </si>
  <si>
    <t>MAKITA ARMATURE 515738-9 UH5570</t>
  </si>
  <si>
    <t>MAKITA FIELD 621733-0 UH5570</t>
  </si>
  <si>
    <t>MAKITA GEAR COMPLETE 158623-9 UH5570</t>
  </si>
  <si>
    <t>MAKITA ORING   213445-5 9556PB</t>
  </si>
  <si>
    <t>MAKITA HEX NUT  252186-8 9556PB</t>
  </si>
  <si>
    <t>MAKITA TAPPING SCREW  266361-0 9556PB</t>
  </si>
  <si>
    <t>MAKITA WAVE WASHER  267794-2 9556PB</t>
  </si>
  <si>
    <t>MAKITA RETAINING RING  R-32 /962151-6</t>
  </si>
  <si>
    <t>MAKITA FLAT WASHER 12 267238-2  9556PB</t>
  </si>
  <si>
    <t>MAKITA PAN HEAD SCREW M5X14 /265103-9</t>
  </si>
  <si>
    <t>MAKITA SWITCH FA1-6/1B-3 650235-9 MT582</t>
  </si>
  <si>
    <t>MAKITA INNER FLANGE  40 224370-5 LS0714</t>
  </si>
  <si>
    <t>MAKITA URETHANE WASHER 18 261110-0</t>
  </si>
  <si>
    <t>MAKITA SCREW  251897-2 LS0714</t>
  </si>
  <si>
    <t>MAKITA COMPRESSION SPRING 231325-3</t>
  </si>
  <si>
    <t>MAKITA FLAT WASHER 12 941302-4</t>
  </si>
  <si>
    <t>MAKITA SLEEVE 17 451036-6</t>
  </si>
  <si>
    <t>MAKITA HOUSING SET INC.28 187430-3</t>
  </si>
  <si>
    <t>MAKITA REAR COVER 453394-6</t>
  </si>
  <si>
    <t>MAKITA SWITCH 650710-5 BHP481</t>
  </si>
  <si>
    <t>MAKITA SWASH BEARINGS 219014-0</t>
  </si>
  <si>
    <t>MAKITA ARMATURE 510255-4 (MT921)</t>
  </si>
  <si>
    <t>MAKITA BLADE CASE CPL 150647-1 (4100NH)</t>
  </si>
  <si>
    <t>MAKITA COMPRSN SPRING 233121-5 (9553NB)</t>
  </si>
  <si>
    <t>MAKITA RING SPRING 233950-6 (GA4030)</t>
  </si>
  <si>
    <t>MAKITA SPINDLE 324956-6 (GA4030)</t>
  </si>
  <si>
    <t>MAKITA CONTROLLER 620D01-2</t>
  </si>
  <si>
    <t>MAKITA PAN HEAD SCREW 265180-1 (GA4030)</t>
  </si>
  <si>
    <t>MAKITA WHEEL COVER100AK 122885-5(GA4030)</t>
  </si>
  <si>
    <t>MAKITA LED CIRCUIT 620D09-6</t>
  </si>
  <si>
    <t>MAKITA MAGNET BIT A-50120</t>
  </si>
  <si>
    <t>MAKITA DIAL CIRCUIT 620D30-5</t>
  </si>
  <si>
    <t>MAKITA HEX. NUT M12-16 652113-9 (MT958)</t>
  </si>
  <si>
    <t>MAKITA CONTROLLER 620D69-8</t>
  </si>
  <si>
    <t>MAKITA HEAD SCREW M4X18 911133-5 (1911B)</t>
  </si>
  <si>
    <t>MAKITA HEAD SCREW M4X40 911168-6 (1911B)</t>
  </si>
  <si>
    <t>MAKITA HEAD SCREW M5X3 911258-5 (2414NB)</t>
  </si>
  <si>
    <t>MAKITA GEAR 227541-3 (9556HN)</t>
  </si>
  <si>
    <t>MAKITA GEAR 227542-1 (9556HN)</t>
  </si>
  <si>
    <t>MAKITA SWITCH 651159-2 (4112HS)</t>
  </si>
  <si>
    <t>MAKITA SWITCH TN14 650246-4 (MT583)</t>
  </si>
  <si>
    <t>MAKITA PAN HEAD SCREW 911207-2 (5402)</t>
  </si>
  <si>
    <t>MAKITA LEVER 98 N5900B 272230-5 (N5900B)</t>
  </si>
  <si>
    <t>MAKITA RING SPRING 54 231955-0 (N5900B)</t>
  </si>
  <si>
    <t>MAKITA HEX.NUT M8 252134-7 (N5900B)</t>
  </si>
  <si>
    <t>MAKITA PIPE 9 331568-8 (N5900B)</t>
  </si>
  <si>
    <t>MAKITA LOCK PIN 323741-4 (LS0711B)</t>
  </si>
  <si>
    <t>MAKITA PIN 3 256158-5 (LS0711B)</t>
  </si>
  <si>
    <t>MAKITA HEAD SCREW M4X1 911117-3 (UB1101)</t>
  </si>
  <si>
    <t>MAKITA SPEED LEVER ASSY 126100-9(BHP458)</t>
  </si>
  <si>
    <t>MAKITA LIGHT CIRCUIT 620138-1 (BHP458)</t>
  </si>
  <si>
    <t>MAKITA GEAR ASSY 126099-8 (BHP458)</t>
  </si>
  <si>
    <t>MAKITA YOKE UNIT 638989-8 (BHP458)</t>
  </si>
  <si>
    <t>MAKITA SPACER A0800-0311 (AF301)</t>
  </si>
  <si>
    <t>MAKITA GUIDE COVER A0801-1321 (AF301)</t>
  </si>
  <si>
    <t>MAKITA ARMATURE 619263-3 (BHP456)</t>
  </si>
  <si>
    <t>MAKITA FAN 63 241671-6 (BO4556)</t>
  </si>
  <si>
    <t>MAKITA FAN GUIDE 450069-8 (BO4556)</t>
  </si>
  <si>
    <t>MAKITA BRACKET 450672-5 (BO5041)</t>
  </si>
  <si>
    <t>MAKITA HEAD SCREW M4X16 911128-8(BO5041)</t>
  </si>
  <si>
    <t>MAKITA ARMATURE 240V 515223-2 (BO6040)</t>
  </si>
  <si>
    <t>MAKITA RUBBER RING 421738-8 (BO6040)</t>
  </si>
  <si>
    <t>MAKITA FIELD 220-240V 626533-3 (BO6040)</t>
  </si>
  <si>
    <t>MAKITA COMPRESSIONSPRING 233071-4 BO6040</t>
  </si>
  <si>
    <t>MAKITA TAPPINGSCREW 4X18 266326-2(MT922)</t>
  </si>
  <si>
    <t>MAKITA SKIRT SET 188622-7 (MT922)</t>
  </si>
  <si>
    <t>MAKITA HEAD SCREW M4X 265112-8 (MT922)</t>
  </si>
  <si>
    <t>MAKITA SWITCH 638886-8 (MT071)</t>
  </si>
  <si>
    <t>MAKITA KEYLESS CHUCK 763182-6 (MT071)</t>
  </si>
  <si>
    <t>MAKITA GEAR ASSY 140798-8 (MT071)</t>
  </si>
  <si>
    <t>MAKITA FOOT 318151-8 (MT921)</t>
  </si>
  <si>
    <t>MAKITA PAN HEAD SCREW 266455-1 (MT921)</t>
  </si>
  <si>
    <t>MAKITA COUNTER SUNKSCREW 265175-4(MT921)</t>
  </si>
  <si>
    <t>MAKITATRIGGERVALVE SET B0500-0181(AF301)</t>
  </si>
  <si>
    <t>MAKITA O-RING 11*1.05 A0200-1091(AF301)</t>
  </si>
  <si>
    <t>MAKITA UPPER FENCE R COMPLETE  140070-8</t>
  </si>
  <si>
    <t>MAKITA  LOWER FENCE R 318596-0 LS1016</t>
  </si>
  <si>
    <t>MAKITA  GUID FANCE  318411-8 LS1016</t>
  </si>
  <si>
    <t>MAKITA  LOWER FENCE L  318595-2 LS1016</t>
  </si>
  <si>
    <t>MAKITA  CONTROLLER 620040-8 RT0700C</t>
  </si>
  <si>
    <t>MAKITA  HOUSING SET  187359-3 DF030D</t>
  </si>
  <si>
    <t>MAKITA BINDING SCREW 266505-2 LS1016</t>
  </si>
  <si>
    <t>MAKITA MOTOR HOUSING 157109-0 3612BR</t>
  </si>
  <si>
    <t>MAKITA HOLE SAW SDS-PLUS  SHANK  B-52691</t>
  </si>
  <si>
    <t>MAKITA DUST COLLECTING GUARD 192968-5</t>
  </si>
  <si>
    <t>MAKITA URETHANE RING 262137-3 HM1306</t>
  </si>
  <si>
    <t>MAKITA SEAL 324821-9 HM1306</t>
  </si>
  <si>
    <t>MAKITA FLAT WASHER 58 HM1302 267146-7</t>
  </si>
  <si>
    <t>MAKITA URETHANE RING 59 HM1302 262068-6</t>
  </si>
  <si>
    <t>MAKITA PIN 12 FOR HM1302 256238-7</t>
  </si>
  <si>
    <t>MAKITA O RING 65 FOR HM1306 213701-3</t>
  </si>
  <si>
    <t>MAKITA GRIP BASE 20 FOR HR2810 419975-6</t>
  </si>
  <si>
    <t>MAKITA LOWER FENCE L LS1216L 318863-3</t>
  </si>
  <si>
    <t>MAKITA RETAING. RING S-6 9523NB 961002-0</t>
  </si>
  <si>
    <t>MAKITA CHANGE LEVER FOR HR2631 455392-6</t>
  </si>
  <si>
    <t>MAKITA LOCK PLATE FOR HR2631F 346831-6</t>
  </si>
  <si>
    <t>MAKITA CAM SHAFT FOR HR2613F 326448-1</t>
  </si>
  <si>
    <t>MAKITA CLUTCH CAM FOR HR2631F 332125-5</t>
  </si>
  <si>
    <t>MAKITA SUPER GEAR 33 227188-3</t>
  </si>
  <si>
    <t>MAKITA SPIRAL BEVEL GEAR 227524-3 HR2810</t>
  </si>
  <si>
    <t>MAKITA TORQUE LIMITTER 125386-2 HR2810</t>
  </si>
  <si>
    <t>MAKITA HEX.SCKT HEAD BOLT M6x16 265473-6</t>
  </si>
  <si>
    <t>MAKITA  RELEASE PIN 324295-4</t>
  </si>
  <si>
    <t>MAKITA LEVER 451202-5 LS1216L</t>
  </si>
  <si>
    <t>MAKITA  CONNECTING ROD 450890-5</t>
  </si>
  <si>
    <t>MAKITA CUP WASHER 345872-9 HK1820</t>
  </si>
  <si>
    <t>MAKITA SLEEVE 331797-3 HK1820</t>
  </si>
  <si>
    <t>MAKITA GEAR HOUSING COVER CMPL 141981-0</t>
  </si>
  <si>
    <t>MAKITA SPIRAL BEVEL GEAR 227532-4 HR2810</t>
  </si>
  <si>
    <t>MAKITA CAM A 223137-8 HP2050</t>
  </si>
  <si>
    <t>MAKITA IDLER 324824-3 HM1306</t>
  </si>
  <si>
    <t>MAKITA AIR FILTER CPL 038173101 DCS6401</t>
  </si>
  <si>
    <t>MAKITA KEYLESS DRILL CHUCK 10 763228-8</t>
  </si>
  <si>
    <t>MAKITA STATOR DC10.8V 629232-6</t>
  </si>
  <si>
    <t>MAKITA CONTROLLER 620552-1</t>
  </si>
  <si>
    <t>MAKITA COOLING PLATE 038174023 DCS6401</t>
  </si>
  <si>
    <t>MAKITA LINK LEVER CPL 162256-4 HR2810</t>
  </si>
  <si>
    <t>MAKITA FIELD 599089-8 LW1401</t>
  </si>
  <si>
    <t>MAKITA BRUSH HOLDER 632K62-2</t>
  </si>
  <si>
    <t>MAKITA PAN HEAD SCREW  265131-4 GA6010</t>
  </si>
  <si>
    <t>MAKITA HOUSING SET 183209-0 6501</t>
  </si>
  <si>
    <t>MAKITA STRAIGHT BEVEL GEAR 226791-7</t>
  </si>
  <si>
    <t>MAKITA PISTON COMPLETE 143332-3 EA4301F</t>
  </si>
  <si>
    <t>MAKITA CYLINDER PISTON 038130071 EA7900P</t>
  </si>
  <si>
    <t>MAKITA GEAR ASSEMBLY FOR DHP484 126729-1</t>
  </si>
  <si>
    <t>MAKITA TENSION SPRING 4 5800N 231730-4</t>
  </si>
  <si>
    <t>MAKITA HELICAL GEAR 65 HM1306 226671-7</t>
  </si>
  <si>
    <t>MAKITA SPIRAL B.GEAR SET 9015B 183053-5</t>
  </si>
  <si>
    <t>MAKITA SPUR GEAR 16 FOR 3709 226217-9</t>
  </si>
  <si>
    <t>MAKITA BASE FOR 3709 419138-4</t>
  </si>
  <si>
    <t>MAKITA THUMB NUT M5 FOR 3709 252652-5</t>
  </si>
  <si>
    <t>MAKITA WHEEL CVER COMPLT GA9020 154672-4</t>
  </si>
  <si>
    <t>MAKITA STATOR 18V FOR DHP484 629225-3</t>
  </si>
  <si>
    <t>MAKITA CONTROLLER FOR DHP484 620548-2</t>
  </si>
  <si>
    <t>MAKITA DRUM FOR 1805N 161056-9</t>
  </si>
  <si>
    <t>MAKITA UPPER FENCE L 142814-2 LS1216L</t>
  </si>
  <si>
    <t>MAKITA ARMATURE 619377-8 TD152D</t>
  </si>
  <si>
    <t>MAKITA ANVIL N 326629-7 TD091D</t>
  </si>
  <si>
    <t>MAKITA GEAR ASSEMBLY FOR DF456D 126459-4</t>
  </si>
  <si>
    <t>MAKITA FIELD 240V FOR BO5030 633674-8</t>
  </si>
  <si>
    <t>MAKITA PISTON ASSY 32132011 DCA430</t>
  </si>
  <si>
    <t>MAKTA BEARING BOX 319351-3 GA7060</t>
  </si>
  <si>
    <t>MAKITA SPINDLE COMPLETE 143484-01 GA7060</t>
  </si>
  <si>
    <t>MAKITA LEAF SPRING 232154-7</t>
  </si>
  <si>
    <t>MAKITA HANDLE 957310027</t>
  </si>
  <si>
    <t>MAKITA FIELD 628185-6 HR2630</t>
  </si>
  <si>
    <t>MAKITA UPPER FENCE R COMPLETE 142813-4 L</t>
  </si>
  <si>
    <t>MAKITA UPPER FENCE L COMPLETE 142812-6 L</t>
  </si>
  <si>
    <t>MAKITA PIN HOLDER 318410-0</t>
  </si>
  <si>
    <t>MAKITA REAR COVER 418726-4 9556NB</t>
  </si>
  <si>
    <t>MAKITA FAN 86 240122-6 BVC350</t>
  </si>
  <si>
    <t>MAKITA SHOULDER SCREW 266306-8</t>
  </si>
  <si>
    <t>MAKITA DC MOTOR 629888-5 BVC350</t>
  </si>
  <si>
    <t>MAKITA LOCK PIN 6 325649-8</t>
  </si>
  <si>
    <t>MAKITA SPUR GEAR 43 451018-8</t>
  </si>
  <si>
    <t>MAKITA RADIAL RING 962900061 DCS6400</t>
  </si>
  <si>
    <t>MAKITA FLAT WASHER  8 267353-2 BO3710</t>
  </si>
  <si>
    <t>MAKITA STOP RING E-4 961011-9</t>
  </si>
  <si>
    <t>MAKITA DRIVER COMPLETE HY00000018 AF505</t>
  </si>
  <si>
    <t>MAKITA ARMATURE 510227-9</t>
  </si>
  <si>
    <t>MAKITA CYLINDER HY00000019 AF505</t>
  </si>
  <si>
    <t>MAKITA ARMATURE 619202-3</t>
  </si>
  <si>
    <t>MAKITA CONTACT TOP HY00000029 AF505</t>
  </si>
  <si>
    <t>MAKITA BEARING 6205LLU 211373-8</t>
  </si>
  <si>
    <t>MAKITA ARMATURE ASSY 516288-7 HM1100C</t>
  </si>
  <si>
    <t>MAKITA CENTRE COVER 346048-1</t>
  </si>
  <si>
    <t>MAKITA PUMP DRIVE 450956-1 EA4301F</t>
  </si>
  <si>
    <t>MAKITA CENTRE PLATE 346047-3</t>
  </si>
  <si>
    <t>MAKITA FIELD 526074-8 9067</t>
  </si>
  <si>
    <t>MAKITA CHANGE KEY 322951-0</t>
  </si>
  <si>
    <t>MAKITA THUMB SCREW 265771-8 3709</t>
  </si>
  <si>
    <t>MAKITA CHANGE LINK 416288-6</t>
  </si>
  <si>
    <t>MAKITA SPIKE BUMPER 345651-5 UC3020A</t>
  </si>
  <si>
    <t>MAKITA COMPRESSION SPRING 3 233180-9</t>
  </si>
  <si>
    <t>MAKITA CRANK PIN 4 322962-5</t>
  </si>
  <si>
    <t>MAKITA BRUSH HOLDER 643932-4 N9500N</t>
  </si>
  <si>
    <t>MAKITA CYLINDER 28.5 331508-6</t>
  </si>
  <si>
    <t>MAKITA ARMATURE220-240V 513793-5 HM0871C</t>
  </si>
  <si>
    <t>MAKITA CYLINDER PISTON 040130910</t>
  </si>
  <si>
    <t>MAKITA CAM 451044-7 LS1016L</t>
  </si>
  <si>
    <t>MAKITA DRIVING SLEEVE 331770-3</t>
  </si>
  <si>
    <t>MAKITA LEVER 272262-2 LS1016L</t>
  </si>
  <si>
    <t>MAKITA GEAR ASSEMBLY 127099-1</t>
  </si>
  <si>
    <t>MAKITA GEAR HOUSING CPL MT430 158870-2</t>
  </si>
  <si>
    <t>MAKITA RETAINING RING 10 JM23100043</t>
  </si>
  <si>
    <t>MAKITA MOTOR HOUSING M9506 457125-5</t>
  </si>
  <si>
    <t>MAKITA FRONT HANDLE 455487-5</t>
  </si>
  <si>
    <t>MAKITA HEX. SOCKET H.BOLT M8X30 266010-9</t>
  </si>
  <si>
    <t>MAKITA HEALICAL GEAR 57 226450-3</t>
  </si>
  <si>
    <t>MAKITA GEAR ASSEMBLY FOR DF332D 123868-8</t>
  </si>
  <si>
    <t>MAKITA LOCK SLEEVE 419986-1</t>
  </si>
  <si>
    <t>MAKITA O RING 20 213304-3</t>
  </si>
  <si>
    <t>MAKITA O RING 22 213370-0</t>
  </si>
  <si>
    <t>MAKITA O RING 30 213406-5</t>
  </si>
  <si>
    <t>MAKITA PIN 4 256122-6</t>
  </si>
  <si>
    <t>MAKITA PISTON 322813-2</t>
  </si>
  <si>
    <t>MAKITA PISTON 416122-0</t>
  </si>
  <si>
    <t>MAKITA RETAINER SLEEVE 322987-9</t>
  </si>
  <si>
    <t>MAKITA SLIDE PLATE 416289-4</t>
  </si>
  <si>
    <t>MAKITA SPRING 233142-7</t>
  </si>
  <si>
    <t>MAKITA STRAIGHT BEVEL GEAR 10 226746-2</t>
  </si>
  <si>
    <t>MAKITA TOOL HOLDER 158575-4</t>
  </si>
  <si>
    <t>MAKITA TOOL RETAINER 322986-1</t>
  </si>
  <si>
    <t>MAKITA TORSION SPRING 45 233554-4</t>
  </si>
  <si>
    <t>MAKITA V-PULLEY 3-25 222059-9</t>
  </si>
  <si>
    <t>MAKITA WASHER 267460-1</t>
  </si>
  <si>
    <t>MAKITA STAR BLADE CUTTER B-14124</t>
  </si>
  <si>
    <t>MAKITA BRUSH HOLDER COMPLETE 632G49-0</t>
  </si>
  <si>
    <t>MAKITA MUFFLER GASKET 038174811</t>
  </si>
  <si>
    <t>MAKITA SLIDER GUIDE PLATE 346473-6</t>
  </si>
  <si>
    <t>MAKITA TAPPING SCREW  4 X 14 266385-6</t>
  </si>
  <si>
    <t>MAKITA TAPPING SCREW 266059-9</t>
  </si>
  <si>
    <t>MAKITA STOP RING E-7 961013-5</t>
  </si>
  <si>
    <t>MAKITA COMPRESSION SPRING  231131-6</t>
  </si>
  <si>
    <t>MAKITA SUCTION LINE 020245041</t>
  </si>
  <si>
    <t>MAKITA FLAT WASHER 267047-9</t>
  </si>
  <si>
    <t>MAKITA DISC 027245021</t>
  </si>
  <si>
    <t>MAKITA RETAINING RING S-38 961155-5</t>
  </si>
  <si>
    <t>MAKITA PAN HEAD SCREW M5X16 265120-9</t>
  </si>
  <si>
    <t>MAKITA PAN HEAD SCREW M6X20 265117-8</t>
  </si>
  <si>
    <t>MAKITA RUBBER SLEEVE 6 MT580 262556-3</t>
  </si>
  <si>
    <t>MAKITA FLAT WASHER 10 MT580 267256-0</t>
  </si>
  <si>
    <t>MAKITA BAFFLE PLATE FOR MT580 418149-6</t>
  </si>
  <si>
    <t>MAKITA TAPPING SCREW 5X60 266329-6</t>
  </si>
  <si>
    <t>MAKITA THICKNESS RING 345391-5</t>
  </si>
  <si>
    <t>MAKITA FIELD (4100NB) 520040-7</t>
  </si>
  <si>
    <t>MAKITA SPINDLE FOR MT600 324282-3</t>
  </si>
  <si>
    <t>MAKITA NYLON NUT M10 410129-8</t>
  </si>
  <si>
    <t>MAKITA FLAT HEAD SCREW M6X22 251425-3</t>
  </si>
  <si>
    <t>MAKITA ADJUST PIN 326372-8</t>
  </si>
  <si>
    <t>MAKITA ADJUST PIN 326310-0</t>
  </si>
  <si>
    <t>MAKITA STARTOR 629116-8</t>
  </si>
  <si>
    <t>MAKITA LOCK SLEEVE 165633-9</t>
  </si>
  <si>
    <t>MAKITA LINK PLATE GUIDE 419874-2</t>
  </si>
  <si>
    <t>MAKITA HEX BOLT M10X90 251668-7</t>
  </si>
  <si>
    <t>MAKITA PAN HEAD SCREW MIN22 911143-2</t>
  </si>
  <si>
    <t>MAKITA DC MOTOR  629842-9 (TD020SW)</t>
  </si>
  <si>
    <t>MAKITA ARMATURE 510084-5 (9556NB)</t>
  </si>
  <si>
    <t>MAKITA ARMATURE 510251-2 / MT922</t>
  </si>
  <si>
    <t>MAKITA WASHER LANCE 40167 (HW151)</t>
  </si>
  <si>
    <t>MAKITA WASHER HOSE 3640960 (HW121)</t>
  </si>
  <si>
    <t>MAKITA INNER FLANGE  2416S 224209-2</t>
  </si>
  <si>
    <t>MAKITA OUTER FLANGE 140 2416S 224208-4</t>
  </si>
  <si>
    <t>MAKITA SEAL RING HM1302 421731-2</t>
  </si>
  <si>
    <t>MAKITA HEX SOCKET HEAD BOLT  265985-9</t>
  </si>
  <si>
    <t>MAKITA WAVE WASHER 10 LS1216 253932-2</t>
  </si>
  <si>
    <t>MAKITA CENTER WASHER  LS1216 344539-6</t>
  </si>
  <si>
    <t>MAKITA HOLDER CAP UB1100 643755-0</t>
  </si>
  <si>
    <t>MAKITA SWITCH PLATE COMPLETE 140963-9</t>
  </si>
  <si>
    <t>MAKITASWITCH C3HZ-1A-TLMS 650747-2</t>
  </si>
  <si>
    <t>MAKITA BACK COVER 456099-7 DHP482</t>
  </si>
  <si>
    <t>MAKITA GEAR ASSEMBLY   126410-4  DHP481</t>
  </si>
  <si>
    <t>MAKITA GEAR HOUSING COVER 454822-4</t>
  </si>
  <si>
    <t>MAKITA GEAR HP1630 227806-3</t>
  </si>
  <si>
    <t>MAKITA ROTOR 619353-2 DTP147</t>
  </si>
  <si>
    <t>MAKITA GEAR ASSEMBLY   126448-9</t>
  </si>
  <si>
    <t>MAKITA ARMATURE 510198-0  MT961</t>
  </si>
  <si>
    <t>MAKITA GEAR ASSEMBLY   126460-9</t>
  </si>
  <si>
    <t>MAKITA SPIRAL BEVEL GEAR 227626-5</t>
  </si>
  <si>
    <t>MAKITA OIL PUMP 142156-4 UC4051</t>
  </si>
  <si>
    <t>MAKITA INDICATOR PANEL COMPLETE 142263-3</t>
  </si>
  <si>
    <t>MAKITA SWITCH COMP. JM27100112 (2712)</t>
  </si>
  <si>
    <t>MAKITA CUSSION 424476-1  DHP456</t>
  </si>
  <si>
    <t>MAKITA CLUTCH DRUM 143339-9 EA4301F</t>
  </si>
  <si>
    <t>MAKITA O RING 6 213017-6</t>
  </si>
  <si>
    <t>MAKITA RETAING RING 961034-7 HR2810</t>
  </si>
  <si>
    <t>MAKITA HOUSING SSET   187921-4   DHP481</t>
  </si>
  <si>
    <t>MAKITA ARMATURE 515263-0 TW0350</t>
  </si>
  <si>
    <t>MAKITA TERMINAL   643852-2    DHP456</t>
  </si>
  <si>
    <t>MAKITA BLADE CASE SET 188446-1 5008MG</t>
  </si>
  <si>
    <t>MAKITA STATOR UNIT FOR BD147 632A40-2</t>
  </si>
  <si>
    <t>MAKITA TOOL HOLDER 140265-3 HR2601</t>
  </si>
  <si>
    <t>MAKITA IMPACT BOLT 325789-2 HR2601</t>
  </si>
  <si>
    <t>MAKITA WASHER 325792-3 HR2601</t>
  </si>
  <si>
    <t>MAKITA RING SPRING 233979-2 HR2601</t>
  </si>
  <si>
    <t>MAKITA GEAR HOUSING 156971-0 6013BR</t>
  </si>
  <si>
    <t>MAKITA GEAR HOUSING 156975-2 6300NB</t>
  </si>
  <si>
    <t>MAKITA GEAR HOUSINGCOVER 156436-2 6300NB</t>
  </si>
  <si>
    <t>MAKITA GEAR 227531-6 HR3200C</t>
  </si>
  <si>
    <t>MAKITA CLUTCH 324848-9 HR3200C</t>
  </si>
  <si>
    <t>MAKITA BEARING RETAINER 285804-3 6510LVR</t>
  </si>
  <si>
    <t>MAKITA SWITCH 650614-1 FS2300</t>
  </si>
  <si>
    <t>MAKITA ARMATURE 515764-8 FS2300</t>
  </si>
  <si>
    <t>MAKITA FIELD 633693-4 FS2300</t>
  </si>
  <si>
    <t>MAKITA ARMATURE BO5031 515734-7</t>
  </si>
  <si>
    <t>MAKITA DRIVING SLEEVE 331795-7 HR3200C</t>
  </si>
  <si>
    <t>MAKITA BEARING RETAINER 285808-5 6013BR</t>
  </si>
  <si>
    <t>MAKITA PAN HEAD SCREW 911248-8 6013BR</t>
  </si>
  <si>
    <t>MAKITA BRUSH HOLDER CAP 643928-5 TD0101F</t>
  </si>
  <si>
    <t>MAKITA SLIDE SLEEVE 416282-8 HR4000C</t>
  </si>
  <si>
    <t>MAKITA PIN 256197-5 HR4000C</t>
  </si>
  <si>
    <t>MAKITA ROD 416123-8 HR4000C</t>
  </si>
  <si>
    <t>MAKITA RING SPRING 233937-8 HR4001C</t>
  </si>
  <si>
    <t>MAKITA RING 257268-1 HR4001C</t>
  </si>
  <si>
    <t>MAKITA LINK PLATE GUIDE 419019-2 HR4001C</t>
  </si>
  <si>
    <t>MAKITA CUSHION PLATE 423345-3 HR4001C</t>
  </si>
  <si>
    <t>MAKITA FIX GUIDE 419008-7 HR4001C</t>
  </si>
  <si>
    <t>MAKITA LOCK SLEEVE GIUDE 419760-7 HR4002</t>
  </si>
  <si>
    <t>MAKITA CARBURETOR S-799869 PML4620</t>
  </si>
  <si>
    <t>MAKITA SPRING LS1017L JM23100078</t>
  </si>
  <si>
    <t>MAKITA FIELD 593944-6 MT580/MT560</t>
  </si>
  <si>
    <t>MAKITA TAPPING SCREW 266334-8 (HR2470)</t>
  </si>
  <si>
    <t>MAKITA RETAINER 344871-8 (HR2470)</t>
  </si>
  <si>
    <t>MAKITA ANVIL ASS'Y 6905B 132311-6</t>
  </si>
  <si>
    <t>MAKITA PLANE BEARING 214014-5 (6410)</t>
  </si>
  <si>
    <t>MAKITA O RING 213105-9</t>
  </si>
  <si>
    <t>MAKITA GEAR ASSEMBLY FOR HP001G 122A40-5</t>
  </si>
  <si>
    <t>MAKITA HOLDER OILPUMP 203245002 (UC4000)</t>
  </si>
  <si>
    <t>MAKITA LOCK SLEEVE 454337-1 HR4002</t>
  </si>
  <si>
    <t>MAKITA WAVE WASHER 26 253906-3</t>
  </si>
  <si>
    <t>MAKITA GUIDE RING 346673-8 HR4002</t>
  </si>
  <si>
    <t>MAKITA LINK PLATE 346671-2 HR4002</t>
  </si>
  <si>
    <t>MAKITA DRIVING SLEEVE 313255-1 HR4002</t>
  </si>
  <si>
    <t>MAKITA PISTION 419004-5 HR4002</t>
  </si>
  <si>
    <t>MAKITA O RING 213695-2 HR4002</t>
  </si>
  <si>
    <t>MAKITA CONNECTING ROD 454317-7 HR4002</t>
  </si>
  <si>
    <t>MAKITA SPIRAL BEVEL GEAR 227613-4 HR4002</t>
  </si>
  <si>
    <t>MAKITA LINK GUIDE 454338-9 HR4002</t>
  </si>
  <si>
    <t>MAKITA FLAT HEAD PIN 256548-2 HR4000C</t>
  </si>
  <si>
    <t>MAKITA PISTON RING 195132020 EA4301F</t>
  </si>
  <si>
    <t>MAKITA FIELD JM23300003 LH1200FL</t>
  </si>
  <si>
    <t>MAKITA HAX NUT 252172-9 MT960</t>
  </si>
  <si>
    <t>MAKITA LINK PLATE GUIDE 345582-8 HR4001C</t>
  </si>
  <si>
    <t>MAKITA TOOL HOLDER 324985-9 HM1214C</t>
  </si>
  <si>
    <t>MAKITA CONTROL CABLE 671001113 PLM4620</t>
  </si>
  <si>
    <t>MAKITA PCHANDLE,CABLE,THROTTLE 671001137</t>
  </si>
  <si>
    <t>MAKITA GEAR ASSEMBLY 123502-0 HP331D</t>
  </si>
  <si>
    <t>MAKITA RING SPRING 231985-1 HM1214C</t>
  </si>
  <si>
    <t>MAKITA RUBBER PLATE 424058-9 MT941</t>
  </si>
  <si>
    <t>MAKITA PAN HEAD SCREW 911243-8 2030</t>
  </si>
  <si>
    <t>MAKITA PAN HEAD SCREW 911942-2 2030</t>
  </si>
  <si>
    <t>MAKITA SWITCH 650569-0 BHP450</t>
  </si>
  <si>
    <t>MAKITA SWITCH 650753-7 DHP482</t>
  </si>
  <si>
    <t>MAKITA SPINDLE 324321-9 MT240</t>
  </si>
  <si>
    <t>MAKITA REAR COVER 418981-8 DTD142</t>
  </si>
  <si>
    <t>MAKITA CLUTCH ASSY 123857-3 EA4301F</t>
  </si>
  <si>
    <t>MAKITA YOKE UNIT 632J70-7 DHP482</t>
  </si>
  <si>
    <t>MAKITA BUMPER FOR TD090 424109-8</t>
  </si>
  <si>
    <t>MAKITA WAVE WASHER 15 HR2470 267804-5</t>
  </si>
  <si>
    <t>MAKITA CONTROLLER 631930-0</t>
  </si>
  <si>
    <t>MAKITA GEAR ASSEMBLY FOR HP482D 123443-0</t>
  </si>
  <si>
    <t>MAKITA BRUSH HOLDER COMPLETE 632F22-4</t>
  </si>
  <si>
    <t>MAKITA CONTROLLER  620260-4</t>
  </si>
  <si>
    <t>MAKITA DC MOTOR  629167-1</t>
  </si>
  <si>
    <t>MAKITA ARMATURE BCS550Z 619290-0</t>
  </si>
  <si>
    <t>MAKITA SWITCH UNIT FOR TD110D 632J77-3</t>
  </si>
  <si>
    <t>MAKITA TABLE PLATE FOR 2012NB 344816-6</t>
  </si>
  <si>
    <t>MAKITA DC MOTOR FOR TD110D 629163-9</t>
  </si>
  <si>
    <t>MAKITA HAMMER CASE COMPLETE 143277-5</t>
  </si>
  <si>
    <t>MAKITA MAKITA REAR COVER 417388-5 9500NB</t>
  </si>
  <si>
    <t>MAKITA MAKITA HOUSING 182630-0 BO4540</t>
  </si>
  <si>
    <t>MAKITA PAN HEAD SCREW 911221-8 4300BV</t>
  </si>
  <si>
    <t>MAKITA MAKITA ARMATURE 512654-6 UT1301</t>
  </si>
  <si>
    <t>MAKITA HELICAL GEAR 221602-1 5800NB</t>
  </si>
  <si>
    <t>MAKITA GEAR HOUSING 140268-7 HR2601</t>
  </si>
  <si>
    <t>MAKITA BOARD CUTTER BLADE B-49719</t>
  </si>
  <si>
    <t>MAKITA BEARING BOX CA5000 318088-9</t>
  </si>
  <si>
    <t>MAKITA FIELD ASSY FOR SP6000 525743-8</t>
  </si>
  <si>
    <t>MAKITA TRIMMER BASE ASSY N3701 122238-8</t>
  </si>
  <si>
    <t>MAKITA GEAR ASSEMBLY 127125-6</t>
  </si>
  <si>
    <t>MAKITA CRANKSHAFT COMPLETE 140H65-9</t>
  </si>
  <si>
    <t>MAKITA HELICAL GEAR 37 HM1306 158387-5</t>
  </si>
  <si>
    <t>MAKITA SET PLATE 1902 2PCS/PKG 193540-6</t>
  </si>
  <si>
    <t>MAKITA SPUR GEAR 10 FOR HR2450 226399-7</t>
  </si>
  <si>
    <t>MAKITA HELICAL GEAR 38 MT580 226610-7</t>
  </si>
  <si>
    <t>MAKITA SPUR GEAR 51 FOR HR2613F 227360-7</t>
  </si>
  <si>
    <t>MAKITA GEAR HOUSING CPL CA5000 158092-4</t>
  </si>
  <si>
    <t>MAKITA HELICAL GEAR 39 SP6000 226637-7</t>
  </si>
  <si>
    <t>MAKITA RING SPRING 8 FOR LS1212 231928-3</t>
  </si>
  <si>
    <t>MAKITA PIN 6 FOR LS1212 256633-1</t>
  </si>
  <si>
    <t>MAKITA ADJUST BOLT M8X27 LS0611 266432-3</t>
  </si>
  <si>
    <t>MAKITA GUIDE FENCE FOR LS0711B 317039-9</t>
  </si>
  <si>
    <t>MAKITA PUNCH HOLDER FOR JN1601 322702-1</t>
  </si>
  <si>
    <t>MAKITA CLUTCH CAM FOR HR2450 331993-3</t>
  </si>
  <si>
    <t>MAKITA MITER LOCKPLATE A LS1216 346094-4</t>
  </si>
  <si>
    <t>MAKITA BASE FOR 3700B 411113-6</t>
  </si>
  <si>
    <t>MAKITA BASE PROTECTOR FOR 3700B 411114-4</t>
  </si>
  <si>
    <t>MAKITA CONNECTING ROD 418350-3</t>
  </si>
  <si>
    <t>MAKITA LINK LEVER FOR HR4002 450427-8</t>
  </si>
  <si>
    <t>MAKITA CONTROLLER FOR GA9060R 620470-3</t>
  </si>
  <si>
    <t>MAKITA HEX.SK.BOLT M5X12 HR3850 922211-6</t>
  </si>
  <si>
    <t>MAKITA NEEDLE CAGE FOR DCS4610 962210092</t>
  </si>
  <si>
    <t>MAKITA TIRE FOR LB1200F JM21000047</t>
  </si>
  <si>
    <t>MAKITA WRENCH B FOR MLT100 JM27000087</t>
  </si>
  <si>
    <t>MAKITA RIVING KNIFE JM27000150</t>
  </si>
  <si>
    <t>MAKITA GEAR ASSEMBLY FOR DDF482 127511-1</t>
  </si>
  <si>
    <t>MAKITA STATOR 18V FOR TD153D 629224-5</t>
  </si>
  <si>
    <t>MAKITA ARMATURE ASSY 240V M2401 513494-5</t>
  </si>
  <si>
    <t>MAKITA ARMATURE ASS'Y 220-240V 515548-4</t>
  </si>
  <si>
    <t>MAKITA ARMATURE ASSY 36VBUC250 519268-2</t>
  </si>
  <si>
    <t>MAKITA FLAT HEAD SCREW M6 251423-7</t>
  </si>
  <si>
    <t>MAKITA SCROW WAVE SPRING 41 232542-8</t>
  </si>
  <si>
    <t>MAKITA SCREW M4X12 FOR LS1235 251314-2</t>
  </si>
  <si>
    <t>MAKITA FLAT WASHER 5 253462-3</t>
  </si>
  <si>
    <t>MAKITA FLAT WASHER 51 253463-1</t>
  </si>
  <si>
    <t>MAKITA FLAT WASHER 41 253478-8</t>
  </si>
  <si>
    <t>MAKITA FLAT WASHER 57 253479-6</t>
  </si>
  <si>
    <t>MAKITA NYLON WASHER 28TW280D 261154-0</t>
  </si>
  <si>
    <t>MAKITA NYLON WASHER 30 261160-5</t>
  </si>
  <si>
    <t>MAKITA H.S. BTN H.SCREW M5X12 265374-8</t>
  </si>
  <si>
    <t>MAKITA SCREW M6X14 FOR HR3000C 265701-9</t>
  </si>
  <si>
    <t>MAKITA FLAT WASHER 18 HR2400 267106-9</t>
  </si>
  <si>
    <t>MAKITA FLAT WASHER 24 BTW121 267175-0</t>
  </si>
  <si>
    <t>MAKITA FLAT WASHER 15 267194-6</t>
  </si>
  <si>
    <t>MAKITA FLAT WASHER 30 4112HS 267250-2</t>
  </si>
  <si>
    <t>MAKITA FLAT WASHER 33 267470-8</t>
  </si>
  <si>
    <t>MAKITA PAN HEAD SCREW M4X20 911138-5</t>
  </si>
  <si>
    <t>MAKITA CLUTCH CAM A FOR HR2610 326849-3</t>
  </si>
  <si>
    <t>MAKITA BRUSH HOLDER FOR BHR202 643834-4</t>
  </si>
  <si>
    <t>MAKITA BRUSH HOLDER FOR BHR202 643835-2</t>
  </si>
  <si>
    <t>MAKITA COMPRESSION SPRING 11 231329-5</t>
  </si>
  <si>
    <t>MAKITA ROLLER 310991-0</t>
  </si>
  <si>
    <t>MAKITA GUIDE RAIL CONNECTOR SET 198885-7</t>
  </si>
  <si>
    <t>MAKITA CONTROLLER FOR DUC252 620275-1</t>
  </si>
  <si>
    <t>MAKITA MOTOR BRACKET FOR 3612BR 155763-4</t>
  </si>
  <si>
    <t>MAKITA RUBBER RING 13 CS540D 421977-0</t>
  </si>
  <si>
    <t>MAKITA STOPPER ASS'Y FOR 3612C 134205-1</t>
  </si>
  <si>
    <t>MAKITA YOKE UNIT FOR BTW201 638020-0</t>
  </si>
  <si>
    <t>MAKITA ROTOR FOR TD153D 619404-1</t>
  </si>
  <si>
    <t>MAKITA FIELD ASS'Y 240V M2401 593949-6</t>
  </si>
  <si>
    <t>MAKITA TORQUE LIMITER ASSEMBLY 126290-8</t>
  </si>
  <si>
    <t>MAKITA HOOK ASSEMBLY 127468-6</t>
  </si>
  <si>
    <t>MAKITA SWITCH LEVER COMPLETE 140T33-4</t>
  </si>
  <si>
    <t>MAKITA SWITCH PLATE COMPLETE 140W19-6</t>
  </si>
  <si>
    <t>MAKITA GEAR ASSEMBLY 127729-4</t>
  </si>
  <si>
    <t>MAKITA SPEED CHANGE LE.ASSEMBLY 127731-7</t>
  </si>
  <si>
    <t>MAKITA HAMMER CASE COVER ASSY 136171-8</t>
  </si>
  <si>
    <t>MAKITA MOTOR HOUSING COV.COMPLT 140W55-2</t>
  </si>
  <si>
    <t>MAKITA GEAR HOUSING COVER ASS'Y 136190-4</t>
  </si>
  <si>
    <t>MAKITA LEVER COMPLETE 140W56-0</t>
  </si>
  <si>
    <t>MAKITA GEAR HOUSING ASS'Y 136198-8</t>
  </si>
  <si>
    <t>MAKITA PIPE BRACKET COMPLETE 140Y38-4</t>
  </si>
  <si>
    <t>MAKITA SLIDER ASS'Y 136224-3</t>
  </si>
  <si>
    <t>MAKITA SPRING HOLDER COMPLETE 140Y51-2</t>
  </si>
  <si>
    <t>MAKITA ANVIL E ASS'Y 136249-7</t>
  </si>
  <si>
    <t>MAKITA GEAR HOUSING COMPLETE 141955-1</t>
  </si>
  <si>
    <t>MAKITA BEARING BOX ASS'Y 136262-5</t>
  </si>
  <si>
    <t>MAKITA BARREL COMPLETE 141956-9</t>
  </si>
  <si>
    <t>MAKITA TORQUE LIMITTER  141959-3</t>
  </si>
  <si>
    <t>MAKITA INTERNAL GEAR CASE ASS'Y 136279-8</t>
  </si>
  <si>
    <t>MAKITA INDICATN. CIRCUIT COMPLT 141B54-1</t>
  </si>
  <si>
    <t>MAKITA ANVIL E ASS'Y 136357-4</t>
  </si>
  <si>
    <t>MAKITA INDICATION CIRCIT.COMPLT 141D25-0</t>
  </si>
  <si>
    <t>MAKITA GEAR BOX ASSY 136368-9</t>
  </si>
  <si>
    <t>MAKITA DUST CAP COMPLETE AS001G 141G57-5</t>
  </si>
  <si>
    <t>MAKITA CYLINDER ASSY 136378-6</t>
  </si>
  <si>
    <t>MAKITA LED CASE COMPLETE CL002G 141H09-2</t>
  </si>
  <si>
    <t>MAKITA CAPSULE ASSY (T) CL001G 136449-9</t>
  </si>
  <si>
    <t>MAKITA MOTOR HOUSING FOR AS001G 141K56-1</t>
  </si>
  <si>
    <t>MAKITA CAP COMPLETE 140F99-0</t>
  </si>
  <si>
    <t>MAKITA GRIP 36 COMPLETE DGA454 158237-4</t>
  </si>
  <si>
    <t>MAKITA GEAR HOUSING L COMPLETE 140P50-0</t>
  </si>
  <si>
    <t>MAKITA SHOE 162739-4</t>
  </si>
  <si>
    <t>MAKITA SPIRAL BEVEL GEAR 10 227591-8</t>
  </si>
  <si>
    <t>MAKITA GEAR HOUSING R COMPLETE 140P51-8</t>
  </si>
  <si>
    <t>MAKITA HANDLE SET 183N57-1</t>
  </si>
  <si>
    <t>MAKITA GEAR COMPLETE 140P53-4</t>
  </si>
  <si>
    <t>MAKITA BATTER HOUSING SET 183N58-9</t>
  </si>
  <si>
    <t>MAKITA SPROCKET GUARD TLC 142783-7</t>
  </si>
  <si>
    <t>MAKITA HAMMER CASE COMPLETE 140R47-1</t>
  </si>
  <si>
    <t>MAKITA MOTOR HOUSING L/R COMPLT 183N63-6</t>
  </si>
  <si>
    <t>MAKITA OUTER FLANGE 224482-4</t>
  </si>
  <si>
    <t>MAKITA HOUSING SET 183P56-5</t>
  </si>
  <si>
    <t>MAKITA BEARING BOX COMPLETE 140R48-9</t>
  </si>
  <si>
    <t>MAKITA ARMATURE 619380-9 DHP482</t>
  </si>
  <si>
    <t>MAKITA SWITCH PLATE COMPLETE 140R54-4</t>
  </si>
  <si>
    <t>MAKITA HOUSING SET 183P61-2</t>
  </si>
  <si>
    <t>MAKITA TERMINAL HOUSING COMPLT 140S46-9</t>
  </si>
  <si>
    <t>MAKITA MOTOR HOUSING SET 183P78-5</t>
  </si>
  <si>
    <t>MAKITA HANDLE SET 183R15-1</t>
  </si>
  <si>
    <t>MAKITA HOUSING SET COMPLETE 183R16-9</t>
  </si>
  <si>
    <t>MAKITA HOUSING SET 183R84-2</t>
  </si>
  <si>
    <t>MAKITA HOUSING SET COMPLETE 183R88-4</t>
  </si>
  <si>
    <t>MAKITA HOUSING SET COMPLETE 183S03-4</t>
  </si>
  <si>
    <t>MAKITA GRIP SET FOR UR001G 183S36-9</t>
  </si>
  <si>
    <t>MAKITA HOUSING SET HP/DF001G 183S37-7</t>
  </si>
  <si>
    <t>MAKITA HOUSING L/R COMPLETE  183S87-2</t>
  </si>
  <si>
    <t>MAKITA HOUSING SET FOR CL001G 183T43-8</t>
  </si>
  <si>
    <t>MAKITA HOUSING L/R SET AS001G 191X75-5</t>
  </si>
  <si>
    <t>MAKITA STEEL BALL 5.6   216011-7</t>
  </si>
  <si>
    <t>MAKITA STEEL BALL 6 FOR 4302C 216013-3</t>
  </si>
  <si>
    <t>MAKITA INNER FLANGE 35 224593-5</t>
  </si>
  <si>
    <t>MAKITA SPIRAL BEVEL GEAR 37 226862-0</t>
  </si>
  <si>
    <t>MAKITA SPUR GEAR 24 226960-0</t>
  </si>
  <si>
    <t>MAKITA INTERNAL GEAR 56 226961-8</t>
  </si>
  <si>
    <t>MAKITA SPIRAL BEVEL GEAR 10 226976-5</t>
  </si>
  <si>
    <t>MAKITA SPUR GEAR 15 226989-6</t>
  </si>
  <si>
    <t>MAKITA SPUR GEAR 11-22 226990-1</t>
  </si>
  <si>
    <t>MAKITA INTERNAL SPUR GEAR 50 226991-9</t>
  </si>
  <si>
    <t>MAKITA INTERNAL GEAR 51 DTW281 227337-2</t>
  </si>
  <si>
    <t>MAKITA SPUR GEAR 22 FOR DTW281 227338-0</t>
  </si>
  <si>
    <t>MAKITA SPIRAL BEVEL GEAR 7 227612-6</t>
  </si>
  <si>
    <t>MAKITA HELICAL GEAR 37 HR4013C 227772-4</t>
  </si>
  <si>
    <t>MAKITA RING SPRING 10 FOR 6905B 231907-1</t>
  </si>
  <si>
    <t>MAKITA LEAF SPRING JR181D 232152-1</t>
  </si>
  <si>
    <t>MAKITA LEAF SPRING 232280-2</t>
  </si>
  <si>
    <t>MAKITA COMPRESSION SPRING 8 232411-3</t>
  </si>
  <si>
    <t>MAKITA COMPRESSION SPRING 5 232418-9</t>
  </si>
  <si>
    <t>MAKITA COMPRESSION SPRING 5 232485-4</t>
  </si>
  <si>
    <t>MAKITA LEAF SPRING 232493-5</t>
  </si>
  <si>
    <t>MAKITA COMPRESSION SPRING 25 232591-5</t>
  </si>
  <si>
    <t>MAKITA COMPRESSION SPRING 14 232592-3</t>
  </si>
  <si>
    <t>MAKITA COMPRESSION SPRING 232597-3</t>
  </si>
  <si>
    <t>MAKITA COMPRESSION SPRING 25 232615-7</t>
  </si>
  <si>
    <t>MAKITA COMPRESSION SPRING 41 232623-8</t>
  </si>
  <si>
    <t>MAKITA COMPRESSION SPRING 18 232682-2</t>
  </si>
  <si>
    <t>MAKITA COMPRESSION SPRING 4 233314-4</t>
  </si>
  <si>
    <t>MAKITA COMPRESSION SPRING 4 233438-6</t>
  </si>
  <si>
    <t>MAKITA TOPSION SPRING 17 JR100D 233594-2</t>
  </si>
  <si>
    <t>MAKITA TORSION SPRING 12 233622-3</t>
  </si>
  <si>
    <t>MAKITA RING SPRING 25 HM1111C 233948-3</t>
  </si>
  <si>
    <t>MAKITA COMPRESSION SPRING 46 234288-2</t>
  </si>
  <si>
    <t>MAKITA COMPRESSION SPRING 33 234289-0</t>
  </si>
  <si>
    <t>MAKITA COMPRESSION SPRING 6 234381-2</t>
  </si>
  <si>
    <t>MAKITA HOSE 28-0.45 LS1019-KD 245041-1</t>
  </si>
  <si>
    <t>MAKITA SHOULDER PIN FOR HR400D 256380-4</t>
  </si>
  <si>
    <t>MAKITA ROD 3 256886-2</t>
  </si>
  <si>
    <t>MAKITA BASE 168375-4</t>
  </si>
  <si>
    <t>MAKITA BASE 168296-0</t>
  </si>
  <si>
    <t>MAKITA RUBBER RING 18 262166-6</t>
  </si>
  <si>
    <t>MAKITA SHOULDER PIN 256546-6</t>
  </si>
  <si>
    <t>MAKITA SAFETY COVER  418150-1</t>
  </si>
  <si>
    <t>MAKITA RUBBER RING 30 262167-4</t>
  </si>
  <si>
    <t>MAKITA KNOB R 410126-4</t>
  </si>
  <si>
    <t>MAKITA RUBBER RING 32 262168-2</t>
  </si>
  <si>
    <t>MAKITA WING BOLT M5x15 924216-2</t>
  </si>
  <si>
    <t>MAKITA RUBBER PIN 4 FOR BTD142 263032-0</t>
  </si>
  <si>
    <t>MAKITA RUBBER PIN 5 FOR BHR241 263036-2</t>
  </si>
  <si>
    <t>MAKITA TENSION SPRING 4   231808-3</t>
  </si>
  <si>
    <t>MAKITA BATTERY CHARGER DC36WA</t>
  </si>
  <si>
    <t>MAKITA FIELD ASS'Y 526104-5 (2012NB)</t>
  </si>
  <si>
    <t>MAKITA H.S. HEAD BOLT M5X50 265B38-6</t>
  </si>
  <si>
    <t>MAKITA +PAN HEAD SCREW 265132-2 (MT190)</t>
  </si>
  <si>
    <t>MAKITA ADJUST PLATE 345378-7 (MT190)</t>
  </si>
  <si>
    <t>MAKITA LEVER 324781-5 (MT920)</t>
  </si>
  <si>
    <t>MAKITA CAM GEAR SHAFT 268238-5</t>
  </si>
  <si>
    <t>MAKITA COMPRESSION RING 233264-3(N5900B)</t>
  </si>
  <si>
    <t>MAKITA COMPRESSION RING 233284-7</t>
  </si>
  <si>
    <t>MAKITA KNOB ( R ) 415071-8 (3612C)</t>
  </si>
  <si>
    <t>MAKITA LEVER 90 271460-5</t>
  </si>
  <si>
    <t>MAKITA SWITCH ELE 120DY 651416-8 (3612C)</t>
  </si>
  <si>
    <t>MAKITA O RING 14 213180-5 (MT240)</t>
  </si>
  <si>
    <t>MAKITA DRIVING SLEEVE JR188D 310848-5</t>
  </si>
  <si>
    <t>MAKITA HELICAL GEAR 227768-5 +D20(MT583)</t>
  </si>
  <si>
    <t>MAKITA COMPRESSIONSPRING 233117-6(MT583)</t>
  </si>
  <si>
    <t>MAKITA SHAFT LOCK 345317-7 (MT583)</t>
  </si>
  <si>
    <t>MAKITA SAFETY COVER 319970-5</t>
  </si>
  <si>
    <t>MAKITA BASE 319973-9</t>
  </si>
  <si>
    <t>MAKITA FLAT WASHER 14 267255-2 (MT583)</t>
  </si>
  <si>
    <t>MAKITA SHOULDER WASHER 8 324727-1</t>
  </si>
  <si>
    <t>MAKITA MOTOR HOUSING 141717-7 (MT583)</t>
  </si>
  <si>
    <t>MAKITA HAMMER CASE CPL 158670-0 (TD090D)</t>
  </si>
  <si>
    <t>MAKITA CHAIN 35-46 225520-5</t>
  </si>
  <si>
    <t>MAKITA IMPACT BOLT 324669-9</t>
  </si>
  <si>
    <t>MAKITA RING 10 324402-9</t>
  </si>
  <si>
    <t>MAKITA CUSHION RING 13 421955-0</t>
  </si>
  <si>
    <t>MAKITA PISTON 318193-2</t>
  </si>
  <si>
    <t>MAKITA SWITCH TG71B-2 651984-1</t>
  </si>
  <si>
    <t>MAKITA  GEAR HOUSING COMPLETE 140433-8 M</t>
  </si>
  <si>
    <t>MAKITA  MOTOR HOUSING 140434-6 MT963</t>
  </si>
  <si>
    <t>MAKITA  BRUSH HOLDER COMPLETE 638498-7 B</t>
  </si>
  <si>
    <t>MAKITA STARTER COMPLETE EA3200S 161328-2</t>
  </si>
  <si>
    <t>MAKITA SPARKPLUG CMR7A-5 168599-2</t>
  </si>
  <si>
    <t>MAKITA LEVER ASSEMBLY 126411-2</t>
  </si>
  <si>
    <t>MAKITA ROTOR    619336-2     DHP481</t>
  </si>
  <si>
    <t>MAKITA LEVER ASSEMBLY 126289-3</t>
  </si>
  <si>
    <t>MAKITA STARTER ASSY BLUE 195160601</t>
  </si>
  <si>
    <t>MAKITA TENSION SLIDE  UC3041A 346859-4</t>
  </si>
  <si>
    <t>MAKITA SPARK PLUG (BPMR7A)168648-5</t>
  </si>
  <si>
    <t>MAKITA HAMMER CASE COMPLETE 140T99-4</t>
  </si>
  <si>
    <t>MAKITA HAMMER CASE COMPLETE 140W13-8</t>
  </si>
  <si>
    <t>MAKITA INTERNAL GEAR COMPLETE 140W14-6</t>
  </si>
  <si>
    <t>MAKITA CHUCK RING 326272-2</t>
  </si>
  <si>
    <t>MAKITA LOCK PIN FOR DJR187 326599-0</t>
  </si>
  <si>
    <t>MAKITA ARMATURE   515724-0   MT921</t>
  </si>
  <si>
    <t>MAKITA ARMATURE 516574-6 (LC1230)</t>
  </si>
  <si>
    <t>MAKITA ARMATURE 619057-6 (6916FD)</t>
  </si>
  <si>
    <t>MAKITA ARMATURE 515658-7 (MT959)</t>
  </si>
  <si>
    <t>MAKITA FIELD 633034-4 (6501)</t>
  </si>
  <si>
    <t>MAKITA FIELD  593718-5  KP0800</t>
  </si>
  <si>
    <t>MAKITA FIELD  593668-4  MT921</t>
  </si>
  <si>
    <t>MAKITA FIELD  636169-0  LC1230</t>
  </si>
  <si>
    <t>MAKITA FIELD 593628-6 (MT959)</t>
  </si>
  <si>
    <t>MAKITA BULB AL00000013</t>
  </si>
  <si>
    <t>MAKITA STATOR AL00000071 (GB801)</t>
  </si>
  <si>
    <t>MAKITA TOOL HOLDER 158285-3-1 (HR2810)</t>
  </si>
  <si>
    <t>MAKITA BEARING BOX CPL 158957-0 (LS1216)</t>
  </si>
  <si>
    <t>MAKITA HSS SCREW M6X6 266338-5 (MT430)</t>
  </si>
  <si>
    <t>MAKITA BRUSH HOLDER 6-10 643601-7(1911B)</t>
  </si>
  <si>
    <t>MAKITA PISTON 317811-9 (DCS231T)</t>
  </si>
  <si>
    <t>MAKITA PISTON RING  324463-9 (DCS231T)</t>
  </si>
  <si>
    <t>MAKITA ARMATURE 514207-7 (9401)</t>
  </si>
  <si>
    <t>MAKITA FIELD 524206-1 (9401)</t>
  </si>
  <si>
    <t>MAKITA SLEEVE 257504-5 (9401)</t>
  </si>
  <si>
    <t>MAKITA SWITCH 651018-0 (9401)</t>
  </si>
  <si>
    <t>MAKITA NEEDLE BEARING 212003-4</t>
  </si>
  <si>
    <t>MAKITA FIELD 594594-0 (RP0900)</t>
  </si>
  <si>
    <t>MAKITA ARMATURE 513779-9 (RP0900)</t>
  </si>
  <si>
    <t>MAKITA ARMATURE 511434-7 (JS1600)</t>
  </si>
  <si>
    <t>MAKITA FIELD 594388-3 (PV7000C)</t>
  </si>
  <si>
    <t>MAKITA FIELD 522554-2 (JS3200)</t>
  </si>
  <si>
    <t>MAKITA FIELD GA7012C 625824-9</t>
  </si>
  <si>
    <t>MAKITA ARMATURE BFR550 619216-2</t>
  </si>
  <si>
    <t>MAKITA FIELD 523349-6 (3600H)</t>
  </si>
  <si>
    <t>MAKITA ARMATURE 514864-1 (3600H)</t>
  </si>
  <si>
    <t>MAKITA ARMATURE 517629-0 (MT911)</t>
  </si>
  <si>
    <t>MAKITA FIELD 595094-3 (MT911)</t>
  </si>
  <si>
    <t>MAKITA FIELD 593649-8 (BO4556)</t>
  </si>
  <si>
    <t>MAKITA ARMATURE MT110 513614-1</t>
  </si>
  <si>
    <t>MAKITA FIELD 594534-8 (MT110)</t>
  </si>
  <si>
    <t>MAKITA GEAR HOUSING 317821-6 (9553NB)</t>
  </si>
  <si>
    <t>MAKITA BALL BEARING 960102131</t>
  </si>
  <si>
    <t>MAKITA BATTERY TP00000164</t>
  </si>
  <si>
    <t>MAKITA BEARING 6203ZZ 211282-1</t>
  </si>
  <si>
    <t>MAKITA GASKET 965524131 (DCS400)</t>
  </si>
  <si>
    <t>MAKITA GASKET 965524082 (DCS400)</t>
  </si>
  <si>
    <t>MAKITA PLANE BEARING 214004-8 (GV6010)</t>
  </si>
  <si>
    <t>MAKITA SWITCH 651285-7 (GV6010)</t>
  </si>
  <si>
    <t>MAKITA CYLINDER PISTON 027130050 DCS430</t>
  </si>
  <si>
    <t>MAKITA RUBBER WASHER 261104-5</t>
  </si>
  <si>
    <t>MAKITA GREASE HOLDER 451002-3</t>
  </si>
  <si>
    <t>MAKITA HELICAL GEAR 227701-7</t>
  </si>
  <si>
    <t>MAKITA HERICAL GEAR 227702-5</t>
  </si>
  <si>
    <t>MAKITA STEEL BALL 4 216024-8</t>
  </si>
  <si>
    <t>MAKITA GEAR SHAFT 325643-0</t>
  </si>
  <si>
    <t>MAKITA BEARING 6000ZZ 210067-2</t>
  </si>
  <si>
    <t>MAKITA RETAINING RING 961055-9</t>
  </si>
  <si>
    <t>MAKITA HERICAL GEAR 227703-3</t>
  </si>
  <si>
    <t>MAKITA FLAT WASHER 267010-2</t>
  </si>
  <si>
    <t>MAKITA SPRING WASHER 5 942101-7</t>
  </si>
  <si>
    <t>MAKITA HEX NUT M5 931202-6</t>
  </si>
  <si>
    <t>MAKITA BEARING 285847-5</t>
  </si>
  <si>
    <t>MAKITA SPINDLE 325644-8</t>
  </si>
  <si>
    <t>MAKITA BEARING RETAINER 285732-2</t>
  </si>
  <si>
    <t>MAKITA COUNTERSUNK SCREW M5X 16 265034-2</t>
  </si>
  <si>
    <t>MAKITA INNER FLANGE 224431-1</t>
  </si>
  <si>
    <t>MAKITA OUTER FLANGE 224432-9</t>
  </si>
  <si>
    <t>MAKITA FRAME  159533-3</t>
  </si>
  <si>
    <t>MAKITA BRUSH HOLDER CAP 643987-9</t>
  </si>
  <si>
    <t>MAKITA GEAR 226683-0 (4100NH)</t>
  </si>
  <si>
    <t>MAKITA MOTOR HOUSING COMP 157753-3</t>
  </si>
  <si>
    <t>MAKITA SPINDLE 321082-2 (DP4700)</t>
  </si>
  <si>
    <t>MAKITA CAP SQUARE NECK BOLT 266309-2</t>
  </si>
  <si>
    <t>MAKITA EDGE SIDER 345726-0</t>
  </si>
  <si>
    <t>MAKITA FIELD 524634-0</t>
  </si>
  <si>
    <t>MAKITA RING SPRING 11 231951-8</t>
  </si>
  <si>
    <t>MAKITA GEAR ASS’Y 125311-3 BHP450</t>
  </si>
  <si>
    <t>MAKITA DIAL 40 419233-0</t>
  </si>
  <si>
    <t>MAKITA FLAT WASHER 253874-0</t>
  </si>
  <si>
    <t>MAKITA FLAT WASHER 267085-1</t>
  </si>
  <si>
    <t>MAKITA COMPRESSION SPRING 233033-2</t>
  </si>
  <si>
    <t>MAKITA SLEEVE 324420-7</t>
  </si>
  <si>
    <t>MAKITA STEEL BALL 216008-6</t>
  </si>
  <si>
    <t>MAKITA HAMMER CASE COMPLETE 154590-6</t>
  </si>
  <si>
    <t>MAKITA SPRING PIN 951122-8 UC3530/UC4030</t>
  </si>
  <si>
    <t>MAKITA NYLONE WASHER 261108-7</t>
  </si>
  <si>
    <t>MAKITA CUP WASHER 419271-2 UC3530/UC4030</t>
  </si>
  <si>
    <t>MAKITA SPUR GEAR 22 226336-1</t>
  </si>
  <si>
    <t>MAKITA SPRING 231025-5 (UC3530/UC4030)</t>
  </si>
  <si>
    <t>MAKITA SPINDLE 324552-0</t>
  </si>
  <si>
    <t>MAKITA GEAR ASS'Y 125182-8 BDF450</t>
  </si>
  <si>
    <t>MAKITA O RING 213507-9</t>
  </si>
  <si>
    <t>MAKITA GASKET 965524023</t>
  </si>
  <si>
    <t>MAKITA BEARING BOX COMPLETE 154769-9</t>
  </si>
  <si>
    <t>MAKITA CARBURATOR 038153511 DCS6400/7301</t>
  </si>
  <si>
    <t>MAKITA BIT SLEEVE 324919-2</t>
  </si>
  <si>
    <t>MAKITA IGNITION COIL 126270-4</t>
  </si>
  <si>
    <t>MAKITA ANVIL 324896-8</t>
  </si>
  <si>
    <t>MAKITA ARMATURE JV0600K 515854-7</t>
  </si>
  <si>
    <t>MAKITA HAMMER 324894-2</t>
  </si>
  <si>
    <t>MAKITA FLAT WASHER 253052-2</t>
  </si>
  <si>
    <t>MAKITA FIELD JV0600K 633789-1</t>
  </si>
  <si>
    <t>MAKITA ARMATURE PV7000C 516433-4</t>
  </si>
  <si>
    <t>MAKITA DC JACK EBT-N06AA1 SY TL00000020</t>
  </si>
  <si>
    <t>MAKITA CAPACITOR  AL00000030</t>
  </si>
  <si>
    <t>MAKITA CAM COMPLETE 153299-7</t>
  </si>
  <si>
    <t>MAKITA CAPACITOR  AL00000075</t>
  </si>
  <si>
    <t>MAKITA CHANGE LEVER 417819-4</t>
  </si>
  <si>
    <t>MAKITA CONTROLLER UNIT 638892-3 HS300D</t>
  </si>
  <si>
    <t>MAKITA LEVER CASE 417820-9</t>
  </si>
  <si>
    <t>MAKITA SWITCH V-15-3A6 651891-8 HS300D</t>
  </si>
  <si>
    <t>MAKITA BALL BEARING 627ZZ 210030-5</t>
  </si>
  <si>
    <t>MAKITA DC MOTOR 629885-1 HS300D</t>
  </si>
  <si>
    <t>MAKITA BAFFLE PLATE 417821-7</t>
  </si>
  <si>
    <t>MAKITA BALLBEARING 604ZZ 210036-3 HS300D</t>
  </si>
  <si>
    <t>MAKITA RING 12 257173-2</t>
  </si>
  <si>
    <t>MAKITA HELICAL GEAR 47 227737-6 HS300D</t>
  </si>
  <si>
    <t>MAKITA LEVER CASE 450621-2</t>
  </si>
  <si>
    <t>MAKITA HELICAL GEAR 9B 227735-0 HS300D</t>
  </si>
  <si>
    <t>MAKITA BALL BEARING 607LLB 211021-9</t>
  </si>
  <si>
    <t>MAKITA BRUSH HOLDER 643566-3</t>
  </si>
  <si>
    <t>MAKITA HELICAL GEAR 226578-7</t>
  </si>
  <si>
    <t>MAKITA FIELD ASS'Y 593639-1</t>
  </si>
  <si>
    <t>MAKITA SWITCH DGQ-1108A 650233-3</t>
  </si>
  <si>
    <t>MAKITA SWITCH CGJ-3120E 650685-8</t>
  </si>
  <si>
    <t>MAKITA BUFFLE PLATE 418681-0</t>
  </si>
  <si>
    <t>MAKITA O RING 22 213961-7</t>
  </si>
  <si>
    <t>MAKITA HOLDER 687085-9</t>
  </si>
  <si>
    <t>MAKITA YOKE UNIT 638627-2</t>
  </si>
  <si>
    <t>MAKITA HAMMER CASE COMPLETE 158898-0</t>
  </si>
  <si>
    <t>MAKITA WASHER 21 267813-4</t>
  </si>
  <si>
    <t>MAKITA PIN 305 268217-3</t>
  </si>
  <si>
    <t>MAKITA INTERNAL GEAR 43 227215-6</t>
  </si>
  <si>
    <t>MAKITA BEARING BOX COMPLETE 158899-8</t>
  </si>
  <si>
    <t>MAKITA BRUSH HOLDER CAP 638643-4</t>
  </si>
  <si>
    <t>MAKITA DC MOTOR 629836-4</t>
  </si>
  <si>
    <t>MAKITA SWITCH UNIT 638503-0</t>
  </si>
  <si>
    <t>MAKITA ARMATURE ASS'Y 18V 519199-5</t>
  </si>
  <si>
    <t>MAKITA TOKE UNIT 638107-8</t>
  </si>
  <si>
    <t>MAKITA BRUSH HOLDER 643818-2</t>
  </si>
  <si>
    <t>MAKITA BRUSH HOLDER 643823-9</t>
  </si>
  <si>
    <t>MAKITA BRUSH HOLDER CAP 643941-3</t>
  </si>
  <si>
    <t>MAKITA HEX.SOCKET C.S.H.SCR 266783-4</t>
  </si>
  <si>
    <t>MAKITA OUTER FLANGE 22 224455-7</t>
  </si>
  <si>
    <t>MAKITA O RING 33 213479-8</t>
  </si>
  <si>
    <t>MAKITA BEARING BOX 326199-6</t>
  </si>
  <si>
    <t>MAKITA FLAT WASHER 253133-2</t>
  </si>
  <si>
    <t>MAKITA ARMATURE ASSEMBLY 517683-4</t>
  </si>
  <si>
    <t>MAKITA BALL BEARING 627DDW 210023-2</t>
  </si>
  <si>
    <t>MAKITA MAGNET SLEEVE 688174-3</t>
  </si>
  <si>
    <t>MAKITA SELF LOCK 6 259039-2</t>
  </si>
  <si>
    <t>MAKITA FIELD 220-240V 623558-8</t>
  </si>
  <si>
    <t>MAKITA SWITCH SS106A-7-1 651609-7</t>
  </si>
  <si>
    <t>MAKITA SWITCH TG553FSB-2 650568-2</t>
  </si>
  <si>
    <t>MAKITA IMPACT ASS'Y 125514-9</t>
  </si>
  <si>
    <t>MAKITA BRUSH HOLDERCOMPLETE 638424-6</t>
  </si>
  <si>
    <t>MAKITA CRANK 163021-4</t>
  </si>
  <si>
    <t>MAKITA NEEDLE BEARING 607 / 212960-6</t>
  </si>
  <si>
    <t>MAKITA CRANK PLATE COMPLETE / 158873-6</t>
  </si>
  <si>
    <t>MAKITA HELICAL GEAR 49 COMPLETE 158913-0</t>
  </si>
  <si>
    <t>MAKITA ARMATURE ASS'Y 240V /513784-6</t>
  </si>
  <si>
    <t>MAKITA FIELD 220-240V 594588-5</t>
  </si>
  <si>
    <t>MAKITA POLYRETHANE SPONGE 424175-5</t>
  </si>
  <si>
    <t>MAKITA NEEDLE BEARING 407 212014-9</t>
  </si>
  <si>
    <t>MAKITA CRANK COMPLETE  153336-7</t>
  </si>
  <si>
    <t>MAKITA CONTROLLER 631678-4</t>
  </si>
  <si>
    <t>MAKITA BEARING CASE COMPLETE  152577-2</t>
  </si>
  <si>
    <t>MAKITA THRUST PLATE/ 344615-6</t>
  </si>
  <si>
    <t>MAKITA BALANCER PLATE 344614-8</t>
  </si>
  <si>
    <t>MAKITA SLIDER 344613-0</t>
  </si>
  <si>
    <t>MAKITA COLLAR SLEEVE  257683-9</t>
  </si>
  <si>
    <t>MAKITA HOLDER  343540-8</t>
  </si>
  <si>
    <t>MAKITA CLUTCH COMPLETE 168391-6</t>
  </si>
  <si>
    <t>MAKITA NEEDLE CAGE 212077-5</t>
  </si>
  <si>
    <t>MAKITA CLUTCHDRUM COMPLETE 165405-2</t>
  </si>
  <si>
    <t>MAKITA DRUM 161141-8 MT110</t>
  </si>
  <si>
    <t>MAKITA INSULATOR 421950-0</t>
  </si>
  <si>
    <t>MAKITA FUEL NIPPLE 452018-1</t>
  </si>
  <si>
    <t>MAKITA BEARING BOX 317853-3 MT110</t>
  </si>
  <si>
    <t>MAKITA O RING 11.5 213586-7</t>
  </si>
  <si>
    <t>MAKITA SAFETY GUIDE 165125-8</t>
  </si>
  <si>
    <t>MAKITA NEEDLE CAGE 810 212086-4</t>
  </si>
  <si>
    <t>MAKITA LOCK LEVER 451010-4</t>
  </si>
  <si>
    <t>MAKITA TUBE 3-70 422068-0</t>
  </si>
  <si>
    <t>MAKITA GUN 3640920</t>
  </si>
  <si>
    <t>MAKITA TANK CAP COMPLETE 168507-3</t>
  </si>
  <si>
    <t>MAKITA LANCE HEAD 3641150</t>
  </si>
  <si>
    <t>MAKITA DAMPING PLUG 424173-9</t>
  </si>
  <si>
    <t>MAKITA COMPRESSION SPRING 233092-6</t>
  </si>
  <si>
    <t>MAKITA RETAINING RING E TYPE 259033-4</t>
  </si>
  <si>
    <t>MAKITA SPROCKET GUARD TLC 140510-6</t>
  </si>
  <si>
    <t>MAKITA BEARING RETAINER 285815-8</t>
  </si>
  <si>
    <t>MAKITA GUIDE PLATE 346518-0</t>
  </si>
  <si>
    <t>MAKITA BRUSH COVER JM27000294</t>
  </si>
  <si>
    <t>MAKITA NIPPLE 965451185</t>
  </si>
  <si>
    <t>MAKITA O RING 53 213656-2</t>
  </si>
  <si>
    <t>MAKITA FUEL LINE 965452470</t>
  </si>
  <si>
    <t>MAKITA CARBURATOR CPL 957151700</t>
  </si>
  <si>
    <t>MAKITA SWITCH C3HW3ALF1M 650699-7 DF030D</t>
  </si>
  <si>
    <t>MAKITA PAN HEAD SCREW M4X25 911146-6</t>
  </si>
  <si>
    <t>MAKITA LOCATOR COMPLETE 151726-8 6824</t>
  </si>
  <si>
    <t>MAKITA STEEL BAND 164496-0</t>
  </si>
  <si>
    <t>MAKITA DUST SEAL RING 421631-6</t>
  </si>
  <si>
    <t>MAKITA SPONGE 6X105X3 423469-5</t>
  </si>
  <si>
    <t>MAKITA O RING 22 213373-4 6824</t>
  </si>
  <si>
    <t>MAKITA OIL PUMP 168393-2</t>
  </si>
  <si>
    <t>MAKITA LOCK RING 416994-3 6824</t>
  </si>
  <si>
    <t>MAKITA STEEL BALL 7.0 216022-2</t>
  </si>
  <si>
    <t>MAKITA ARMATURE 510241-5 2414NB</t>
  </si>
  <si>
    <t>MAKITA SHOE 163451-9 (JR3050T)</t>
  </si>
  <si>
    <t>MAKITA SWITCH 650620-6</t>
  </si>
  <si>
    <t>MAKITA CHUCK 766003-1</t>
  </si>
  <si>
    <t>MAKITA SPACER 418729-8</t>
  </si>
  <si>
    <t>MAKITA GEAR HOUSING 318941-9 9556NB</t>
  </si>
  <si>
    <t>MAKITA CLUTCH ASSY 38180012</t>
  </si>
  <si>
    <t>MAKITA RETAINER COMPLETE 158869-7</t>
  </si>
  <si>
    <t>MAKITA BASE 165555-3</t>
  </si>
  <si>
    <t>MAKITA O RING 213983-7</t>
  </si>
  <si>
    <t>MAKITA RING 17 257279-6</t>
  </si>
  <si>
    <t>MAKITA LOCKOFF BUTTON 416178-3 (UC4030A)</t>
  </si>
  <si>
    <t>MAKITA ARMATURE DA00000048 (UR3000)</t>
  </si>
  <si>
    <t>MAKITA STEEL BALL 4.8 216002-8(NHP1300S)</t>
  </si>
  <si>
    <t>MAKITA GEAR HOUSING CPL 158216-2(HR2470)</t>
  </si>
  <si>
    <t>MAKITA PISTON CYLINDER 318132-2 (HR2470)</t>
  </si>
  <si>
    <t>MAKITA O RING 7 213977-2 (GA5010)</t>
  </si>
  <si>
    <t>MAKITA SPINDLE 324320-1 (MT580)</t>
  </si>
  <si>
    <t>MAKITA RETAINING RING 961003-8 (HR2470)</t>
  </si>
  <si>
    <t>MAKITA SPUR GEAR 29-37 227119-2 (HP2070)</t>
  </si>
  <si>
    <t>MAKITA KEY 5 254211-1 (DP4700)</t>
  </si>
  <si>
    <t>MAKITA RING 15 257018-4 (DP4700)</t>
  </si>
  <si>
    <t>MAKITA NEEDLE BEARING 609 212012-3DP4700</t>
  </si>
  <si>
    <t>MAKITA BEARING BOX 316849-1 (5806B)</t>
  </si>
  <si>
    <t>MAKITA PAN HEAD SCREW 265099-4 (GA4030)</t>
  </si>
  <si>
    <t>MAKITA FLYWHEEL COMPL. 140480-9 (LS1013)</t>
  </si>
  <si>
    <t>MAKITA OIL PUMP COMPL. 168503-1 (LS1013)</t>
  </si>
  <si>
    <t>MAKITA CHANGE PLATE 345836-3 (MT817)</t>
  </si>
  <si>
    <t>MAKITA CLUTCH COMPL. 168607-9 (LS1013)</t>
  </si>
  <si>
    <t>MAKITA CRANK CASE SEALING 424339-1</t>
  </si>
  <si>
    <t>MAKITA GASKET 346304-9 (LS1013)</t>
  </si>
  <si>
    <t>MAKITA INTAKE HOSE 424340-6 (LS1013)</t>
  </si>
  <si>
    <t>MAKITA ORING 213021-5 (LS1013)</t>
  </si>
  <si>
    <t>MAKITA ARMATURE 515869-4 (MT817)</t>
  </si>
  <si>
    <t>MAKITA GEAR 37 227761-9 (MT817)</t>
  </si>
  <si>
    <t>MAKITA BASE PLATE  410834-7 3620</t>
  </si>
  <si>
    <t>MAKITA GEAR HOUSING 454115-9 (MT817)</t>
  </si>
  <si>
    <t>MAKITA MOTOR HOUSING 454120-6 (MT817)</t>
  </si>
  <si>
    <t>MAKITA ARMATURE  517864-0 (MT241)</t>
  </si>
  <si>
    <t>MAKITA FIELD 593803-4 (MT817)</t>
  </si>
  <si>
    <t>MAKITA CONNECTING ROD 450278-9 (HK1820)</t>
  </si>
  <si>
    <t>MAKITA ARMATURE 513743-0 (HK1820)</t>
  </si>
  <si>
    <t>MAKITA FIELD 625809-5 (HK1820)</t>
  </si>
  <si>
    <t>MAKITA CONTROLLER 631780-3 (HK1820)</t>
  </si>
  <si>
    <t>MAKITA SPONGE SLEEVE 9 424023-8 (BO4556)</t>
  </si>
  <si>
    <t>MAKITA FLAT WASHER 253807-5 (BO3710)</t>
  </si>
  <si>
    <t>MAKITA HEX.LOCKNUT M5-8 252103-8(BO3710)</t>
  </si>
  <si>
    <t>MAKITA CRBRTR.CPL 957151102(DCS430/520)</t>
  </si>
  <si>
    <t>MAKITA TENTION SPRING 231834-2 (N5900B)</t>
  </si>
  <si>
    <t>MAKITA CHAINTENTIONER 957213023(DCS7301)</t>
  </si>
  <si>
    <t>MAKITA CARBON BRUSH CB-442 194928-3</t>
  </si>
  <si>
    <t>MAKITA CARBON BRUSH CB-441 194435-6</t>
  </si>
  <si>
    <t>MAKITA CARBON BRUSH CB-434 193466-2</t>
  </si>
  <si>
    <t>MAKITA CARBON BRUSH CB-113 191904-8</t>
  </si>
  <si>
    <t>MAKITA CARBON BRUSH CB-253 194547-5</t>
  </si>
  <si>
    <t>MAKITA CARBON BRUSH CB-173 195483-8</t>
  </si>
  <si>
    <t>MAKITA CHANGE PLATE 345228-6</t>
  </si>
  <si>
    <t>MAKITA INNER HOUSING 317553-5</t>
  </si>
  <si>
    <t>MAKITA BEARING RETAINER 285637-6</t>
  </si>
  <si>
    <t>MAKITA PHEAD SCREW M5X16 251391-4(9526B)</t>
  </si>
  <si>
    <t>MAKITA NEEDLE CAGE 407 212965-6</t>
  </si>
  <si>
    <t>MAKITA IGN.COIL DCS341,DCS400 028142021</t>
  </si>
  <si>
    <t>MAKITA COMPRESSION SPRING 233375-4</t>
  </si>
  <si>
    <t>MAKITA SHOULDER SLEEVE 7 257804-3</t>
  </si>
  <si>
    <t>MAKITA PAN HEAD SCREW 265118-6</t>
  </si>
  <si>
    <t>MAKITA BASE BO3700 317285-4</t>
  </si>
  <si>
    <t>MAKITA SLIDER SUPPORT 313215-3</t>
  </si>
  <si>
    <t>MAKITA BALL BEARING 6004 HR2010 211304-7</t>
  </si>
  <si>
    <t>MAKITA SEAL PLATE 346470-2</t>
  </si>
  <si>
    <t>MAKITA S.GEAR 9500NB 221319-6,227424-7</t>
  </si>
  <si>
    <t>MAKITA FLAT WAHSER 941151-9</t>
  </si>
  <si>
    <t>MAKITA MAIN FRAME N1900B 159681-8</t>
  </si>
  <si>
    <t>MAKITA CYLINDER 021131160 DCS341</t>
  </si>
  <si>
    <t>MAKITA SPRING PIN 6-36 951222-4</t>
  </si>
  <si>
    <t>MAKITA DC MOTOR 629798-6 (MT063)</t>
  </si>
  <si>
    <t>MAKITA SWITCH  650616-7  MT430</t>
  </si>
  <si>
    <t>MAKITA GEAR COMPLETE 153449-4 (MT650)</t>
  </si>
  <si>
    <t>MAKITA SWITCH C3HW-3A-EF1M 650691-3</t>
  </si>
  <si>
    <t>MAKITA SWITCH STL106 FOR MT950 651424-9</t>
  </si>
  <si>
    <t>MAKITA KNOB 50  271226-3   1911B</t>
  </si>
  <si>
    <t>MAKITA HELICAL GEAR 226467-6 5606B</t>
  </si>
  <si>
    <t>MAKTEC BATTERY 9050 MT062 193710-7(9.6V)</t>
  </si>
  <si>
    <t>MAKITA DC MOTOR 629795-2 (MT062)</t>
  </si>
  <si>
    <t>MAKITA GEAR CPL UT1301 226012-7</t>
  </si>
  <si>
    <t>MAKITA SWITCH LS1045 651923-1</t>
  </si>
  <si>
    <t>MAKITA STARTERDCS400 021160001/021160000</t>
  </si>
  <si>
    <t>MAKITA DC MOTOR 629789-7 6228DWE</t>
  </si>
  <si>
    <t>MAKITA SWITCH  650518-7 (MT811)</t>
  </si>
  <si>
    <t>MAKTEC BATTERY 7050 SET 193959-9 MT066</t>
  </si>
  <si>
    <t>MAKTEC H.GEAR 226586-8/226554-1 MT811</t>
  </si>
  <si>
    <t>MAKITA FIELD 633488-5 HR2020/HR2450</t>
  </si>
  <si>
    <t>MAKITA SWITCH 650508-0 HR2020/HR2450</t>
  </si>
  <si>
    <t>MAKITA ARMATURE ASS'Y 240V 517424-8</t>
  </si>
  <si>
    <t>MAKITA SWITCH 651298-8 UB1101</t>
  </si>
  <si>
    <t>MAKITA CARBON BRUSH CB-318 191978-9</t>
  </si>
  <si>
    <t>MAKTEC BTTRY CHRGR DC1251 193941-8 MT066</t>
  </si>
  <si>
    <t>MAKITA SRAIGHT BEVERL GEAR 226747-0</t>
  </si>
  <si>
    <t>MAKITA COLLET SLEEVE 763812-9  3612BR</t>
  </si>
  <si>
    <t>MAKITA HELICAL GEAR 27 226589-2 MT813</t>
  </si>
  <si>
    <t>MAKITA MAIN FRAME 156592-8 N1923B</t>
  </si>
  <si>
    <t>MAKITA RETAINER CPL 153334-1 4340CT</t>
  </si>
  <si>
    <t>MAKITA ENDBELL CPL 638375-3 8414DWAE</t>
  </si>
  <si>
    <t>MAKITA BALL BEARING 629LLB 210042-8</t>
  </si>
  <si>
    <t>MAKITA COLD CHISEL SDS 20-250 D-08729</t>
  </si>
  <si>
    <t>MAKITA BULLPOINT 28.6-410 D-17631 HM1810</t>
  </si>
  <si>
    <t>MAKITA GEARHOUSING LEFT 225211023 UC3500</t>
  </si>
  <si>
    <t>MAKITA GEAR CPL 153622-6 HP2050</t>
  </si>
  <si>
    <t>MAKITA ARAMTURE  9227C 516308-7</t>
  </si>
  <si>
    <t>MAKITA GEAR ASS'Y 125176-3 FOR MT062</t>
  </si>
  <si>
    <t>MAKITA GEAR ASSY 125259-9 8280DWPE</t>
  </si>
  <si>
    <t>MAKITA FRONT BASE 312951-8 1911B</t>
  </si>
  <si>
    <t>MAKITA KERF BOARD 415209-5 LS1211</t>
  </si>
  <si>
    <t>MAKITA DRUM COVER 155 PART 345144-2 2030</t>
  </si>
  <si>
    <t>MAKITA CAM COMPLETE HP1030 153120-0</t>
  </si>
  <si>
    <t>MAKITA SHAFT LOCK 343641-2 (LS1040)</t>
  </si>
  <si>
    <t>MAKITA POLY V-BELT 8-341 2012NB 225083-1</t>
  </si>
  <si>
    <t>MAKITA HOLDERCUP643929-3 6203DWAE,8414DW</t>
  </si>
  <si>
    <t>MAKITA HOUSING SET 182305-1</t>
  </si>
  <si>
    <t>MAKITA HELICAL GEAR 52 9218SB 221273-4</t>
  </si>
  <si>
    <t>MAKITA SPRING HANDGUARD 225213060 UC4000</t>
  </si>
  <si>
    <t>MAKITA GEAR HOUSING  6510LVR 156402-9</t>
  </si>
  <si>
    <t>MAKITA HEX.SOCKET H.BOLT LS1013 922331-6</t>
  </si>
  <si>
    <t>MAKITA SPUR GEAR 28-38 226331-1 (HP2040)</t>
  </si>
  <si>
    <t>MAKITA BEARING 696ZZ 210026-6/210006-2</t>
  </si>
  <si>
    <t>MAKITA CAP SQUARE NECK BOLT 251918-0</t>
  </si>
  <si>
    <t>MAKITA PAN HEAD SCREW M6 3501N 251267-5</t>
  </si>
  <si>
    <t>MAKITA RING 21 HR2020 257241-1</t>
  </si>
  <si>
    <t>MAKITA COVER UC4000 225212012,225212010</t>
  </si>
  <si>
    <t>MAKITA PIPE 9-200 LS1013 331491-7</t>
  </si>
  <si>
    <t>MAKITA COIL SPRING LS1013 322924-3</t>
  </si>
  <si>
    <t>MAKITA CAP 10 LS1212 421563-7</t>
  </si>
  <si>
    <t>MAKITA CHAIN COVER FOR 5016B 345160-4</t>
  </si>
  <si>
    <t>MAKITA HEX.FLANGE H.BOLT M8X17 251697-0</t>
  </si>
  <si>
    <t>MAKITA FLATWASHER5 N3701,3612BR 941101-4</t>
  </si>
  <si>
    <t>MAKITA REAR COVER FOR 1911B 411425-7</t>
  </si>
  <si>
    <t>MAKITA BRACKET COMPLETE 152565-9 (1902)</t>
  </si>
  <si>
    <t>MAKITA PAN HEAD SCREW M4X60 911586-8</t>
  </si>
  <si>
    <t>MAKITA RING 16 257022-3 5201N</t>
  </si>
  <si>
    <t>MAKITA SWITCH C3MA-L 651978-6 FOR 6823</t>
  </si>
  <si>
    <t>MAKITA HEX FLANGE H.BOLT 265324-3 LS1040</t>
  </si>
  <si>
    <t>MAKITA FLAT WASHER 10 253024-7 LS1212</t>
  </si>
  <si>
    <t>MAKITA O RING 17 213278-8 HR2020</t>
  </si>
  <si>
    <t>MAKITA CENTER COVER FOR LS0711B 344641-5</t>
  </si>
  <si>
    <t>MAKITA SPIRAL BEVEL GEAR 35 227449-1</t>
  </si>
  <si>
    <t>MAKITA SWITCH TG843TB-1 650543-8 HP1620</t>
  </si>
  <si>
    <t>MAKITA HELICAL GEAR 34 226449-8 HM1302</t>
  </si>
  <si>
    <t>MAKITA HEX SCKET BUTN H.BOLT M6 265984-1</t>
  </si>
  <si>
    <t>MAKITA HEX.SOCKET H.BOLT 265408-7 LS1212</t>
  </si>
  <si>
    <t>MAKITA FLAT WASHER 7 253823-7 FOR LS1040</t>
  </si>
  <si>
    <t>MAKITA SWITCH SL220SD-4 651564-3 6300LR</t>
  </si>
  <si>
    <t>MAKITA BLADE HOLDER 310136-0 FOR 4340CT</t>
  </si>
  <si>
    <t>MAKITA CLAMPER CPLBO4510,BO4540 153384-6</t>
  </si>
  <si>
    <t>MAKITA FIELD 240V 633579-2 FOR MT603</t>
  </si>
  <si>
    <t>MAKITA COMPRESIONSPRING3 231457-6 HM1302</t>
  </si>
  <si>
    <t>MAKITA GASKET 965525032</t>
  </si>
  <si>
    <t>MAKITA BEVEL GEAR JM27000162 MLT100</t>
  </si>
  <si>
    <t>MAKITA KNOB 271314-6 LS1013</t>
  </si>
  <si>
    <t>MAKITA FILLISTER SCREW 5X62 908205625</t>
  </si>
  <si>
    <t>MAKITA CHANGE LEVER ASS'Y 184678-8</t>
  </si>
  <si>
    <t>MAKITA ARMATURE 6411-6412 515699-3</t>
  </si>
  <si>
    <t>MAKITA B.HOLDER 638236-7,638413-1 HP2070</t>
  </si>
  <si>
    <t>MAKITA FIELD FOR LF1000 / 596273-6</t>
  </si>
  <si>
    <t>MAKITA GEAR CPL 13-40 / 226032-1</t>
  </si>
  <si>
    <t>MAKITA PRESSURE SPRING 225184012 UC4000</t>
  </si>
  <si>
    <t>MAKITA STOPPER PIN 324183-5 LS1013</t>
  </si>
  <si>
    <t>MAKITA SWITCH 650615-9 TD0100</t>
  </si>
  <si>
    <t>MAKITA ARMATURE 515799-9 / MT923</t>
  </si>
  <si>
    <t>MAKITA OIL LINE 038245061 DCS6400</t>
  </si>
  <si>
    <t>MAKITA ARMATURE JM23300001 LH23300001</t>
  </si>
  <si>
    <t>MAKITA FLAT WASHER 36 253806-7 6827</t>
  </si>
  <si>
    <t>MAKITA GASCKET 965525042</t>
  </si>
  <si>
    <t>MAKITA GEAR 125576-7</t>
  </si>
  <si>
    <t>MAKITA ARMATURE 619230-8</t>
  </si>
  <si>
    <t>MAKITA SWITCH 650573-9</t>
  </si>
  <si>
    <t>MAKITA COVER 419241-1 UC3530/UC4030</t>
  </si>
  <si>
    <t>MAKITA MAIN FRAME 151848-4</t>
  </si>
  <si>
    <t>MAKITA ARMATURE 517844-6</t>
  </si>
  <si>
    <t>MAKITA CONTROLLER 631865-5</t>
  </si>
  <si>
    <t>MAKITA ARMATURE JM23200001</t>
  </si>
  <si>
    <t>MAKITA FIELD 594344-3  (4100NH)</t>
  </si>
  <si>
    <t>MAKITA SPRING HOLDER 344464-1</t>
  </si>
  <si>
    <t>MAKITA SAFETY COVER 164744-7</t>
  </si>
  <si>
    <t>MAKITA PIN CAP 418517-3</t>
  </si>
  <si>
    <t>MAKITA CAP 416972-3</t>
  </si>
  <si>
    <t>MAKITA ORING 7 213026-5</t>
  </si>
  <si>
    <t>MAKITA SUCTION LINE OIL CPL 038245020</t>
  </si>
  <si>
    <t>MAKITA BEARING RETAINER 50 285657-0</t>
  </si>
  <si>
    <t>MAKITA MOTOR BRACKET 316294-0</t>
  </si>
  <si>
    <t>MAKITA COUNTERSUNK H.SCREWM4X14 251295-0</t>
  </si>
  <si>
    <t>MAKITA FIELD 636148-8 UC4000</t>
  </si>
  <si>
    <t>MAKITA STRAIGHT BEVEL GEAR 25 227509-9</t>
  </si>
  <si>
    <t>MAKITA COMPRESSION SPRING 231037-8</t>
  </si>
  <si>
    <t>MAKITA CHAIN BRACK 027213652</t>
  </si>
  <si>
    <t>MAKITA SPINDLE 324312-0</t>
  </si>
  <si>
    <t>MAKITA DC MOTOR 629853-4</t>
  </si>
  <si>
    <t>MAKITA ARMATURE 512167-7</t>
  </si>
  <si>
    <t>MAKITA BASE 318484-1</t>
  </si>
  <si>
    <t>MAKITA GEAR 125485-0</t>
  </si>
  <si>
    <t>MAKITA DC MOTOR 629851-8</t>
  </si>
  <si>
    <t>MAKITA INNER RING 321514-9</t>
  </si>
  <si>
    <t>MAKITA GEAR CPL 226044-4</t>
  </si>
  <si>
    <t>MAKITA MOTOR HOUSING 418794-7</t>
  </si>
  <si>
    <t>MAKITA ARMATURE 517824-2 LS1016</t>
  </si>
  <si>
    <t>MAKITA ARMATURE 517774-1 HM1306</t>
  </si>
  <si>
    <t>MAKITA ARMATURE 515359-7 HR2601</t>
  </si>
  <si>
    <t>MAKITA FIELD  593739-7  / MT923</t>
  </si>
  <si>
    <t>MAKITA FIELD 599531-9 LS1016</t>
  </si>
  <si>
    <t>MAKITA FIELD 526179-4 GA7020</t>
  </si>
  <si>
    <t>MAKITA RING 36 COMPLETE 152841-1 6827</t>
  </si>
  <si>
    <t>MAKITA CHOKE SHAFT 038155052  DCS7300</t>
  </si>
  <si>
    <t>MAKITA BASE 317565-8 FOR 4350CT</t>
  </si>
  <si>
    <t>MAKITA KNOCK SPRING 344381-5 FOR LS1040</t>
  </si>
  <si>
    <t>MAKITA GRIP 50 273666-1 FOR LS1216</t>
  </si>
  <si>
    <t>MAKITA SPINDLE 323685-8 6510LVR</t>
  </si>
  <si>
    <t>MAKTEC BLADE CAMP  325601-6 MT430</t>
  </si>
  <si>
    <t>MAKTEC SPRING PIN 3-6  258002-2</t>
  </si>
  <si>
    <t>MAKITA LINEAR GUIDE 345240-6 4340CT</t>
  </si>
  <si>
    <t>MAKITA PIN 4 256117-9 4340CT</t>
  </si>
  <si>
    <t>MAKITA PLANE BEARING-4  214031-5 4340CT</t>
  </si>
  <si>
    <t>MAKITA ROD ASS'Y  135060-4 4340CT</t>
  </si>
  <si>
    <t>MAKITA SLIDER 310134-4 4340CT</t>
  </si>
  <si>
    <t>MAKITA PRIMER 369155010 HM0810</t>
  </si>
  <si>
    <t>MAKITA TORQUE LIMITER ASS'Y 135508-6 HR4</t>
  </si>
  <si>
    <t>MAKITA FIELD 625758-6 FOR HR4030C</t>
  </si>
  <si>
    <t>MAKITA FIELD JM23100001 FOR LS1018</t>
  </si>
  <si>
    <t>MAKITA SCREW 320266007 FOR UC4030</t>
  </si>
  <si>
    <t>MAKITA BEVEL GEAR 226213330 FOR UC4030</t>
  </si>
  <si>
    <t>MAKITA CARBURATOR 036153910 / DCS4610</t>
  </si>
  <si>
    <t>MAKITA GEAR ASS'Y 125484-2 FOR 8271DWPE</t>
  </si>
  <si>
    <t>MAKITA SPINDLE 322989-5 FOR LS1212</t>
  </si>
  <si>
    <t>MAKITA PAN HEAD SCREW 911273-9 DP4700</t>
  </si>
  <si>
    <t>MAKITA ORING 213038-8 FOR 4327M</t>
  </si>
  <si>
    <t>MAKITA PAD 743025-8 FOR GV6000</t>
  </si>
  <si>
    <t>MAKITA MAIN FRAME 183232-5 FOR BO3700</t>
  </si>
  <si>
    <t>MAKITA ARMATURE 517404-4 FOR HR2410</t>
  </si>
  <si>
    <t>MAKITA SWITCH 650226-0 FOR 6510LVR</t>
  </si>
  <si>
    <t>MAKITA FIELD 633573-4 FOR HP2070</t>
  </si>
  <si>
    <t>MAKITA SCREW M5X12 911211-1 /2030</t>
  </si>
  <si>
    <t>MAKITA FIELD 593508-6 FOR 4350CT</t>
  </si>
  <si>
    <t>MAKITA SWITCH 650656-5 /TW100 DWE</t>
  </si>
  <si>
    <t>MAKITA DC MOTOR 629904-3 /TW100 DWE</t>
  </si>
  <si>
    <t>MAKITA SWITCH 650645-0 FOR TD090D</t>
  </si>
  <si>
    <t>MAKITA SWITCH 650524-2 HP2050</t>
  </si>
  <si>
    <t>MAKITA GUIDE RULE 318847-1 /LS1040</t>
  </si>
  <si>
    <t>MAKITA STOP RING E-12 257953-6 /5008MG</t>
  </si>
  <si>
    <t>MAKITA ARMATURE MT960 510197-2</t>
  </si>
  <si>
    <t>MAKITA SPRING 170213690 /UC4030A</t>
  </si>
  <si>
    <t>MAKITA GEAR 53 9049 226739-9</t>
  </si>
  <si>
    <t>MAKITA WHEEL 226213340 /UC4030A</t>
  </si>
  <si>
    <t>MAKITA SCREW 915106-0 /UC4030A</t>
  </si>
  <si>
    <t>MAKITA OUTER FLANGE 224282-2</t>
  </si>
  <si>
    <t>MAKITA INNER FLANGE 224397-5</t>
  </si>
  <si>
    <t>MAKITA MAIN FRAME 159983-2</t>
  </si>
  <si>
    <t>MAKITA BLADE CASE 316111-4 5800NB</t>
  </si>
  <si>
    <t>MAKITA ENGINE OIL 2T 1000ML 980008607</t>
  </si>
  <si>
    <t>MAKITA CARBON BRUSH JM23000123</t>
  </si>
  <si>
    <t>MAKITA CLUTCH DRUM UC4000/3500 225223112</t>
  </si>
  <si>
    <t>MAKITA CONNECTING LINK 038174030</t>
  </si>
  <si>
    <t>MAKITA SCREW 908305405 / DCS6400</t>
  </si>
  <si>
    <t>MAKITA GEAR 125087-2 6226D</t>
  </si>
  <si>
    <t>MAKITA CYLINDER 037131010 / DCS4610</t>
  </si>
  <si>
    <t>MAKITA SAFETY WASHER 927306000 DCS4610</t>
  </si>
  <si>
    <t>MAKITA NEEDLE CAGE 962210024 / DCS7300</t>
  </si>
  <si>
    <t>MAKITA COLLET NUT 763629-0 3612C</t>
  </si>
  <si>
    <t>MAKITA BASE 164491-0 / 4300BV</t>
  </si>
  <si>
    <t>MAKITA LOCK NUT 14-45 / 224543-0</t>
  </si>
  <si>
    <t>MAKITA STRAP WASHER 341079-5</t>
  </si>
  <si>
    <t>MAKITA CARBON PLATE 423029-3</t>
  </si>
  <si>
    <t>MAKITA CONTROLLER 631239-0 LS1212</t>
  </si>
  <si>
    <t>MAKITA O RING 963206018 / UC4030A</t>
  </si>
  <si>
    <t>MAKITA O RING 5 213960-9 9553NB</t>
  </si>
  <si>
    <t>MAKITA PIN CAP 417771-6 9553NB</t>
  </si>
  <si>
    <t>MAKITA COMPRESSIONSPRING 233376-2 9553NB</t>
  </si>
  <si>
    <t>MAKITA SHOULDER PIN 4 256486-8 9553NB</t>
  </si>
  <si>
    <t>MAKITA TABLE INSERT / JM27000067</t>
  </si>
  <si>
    <t>MAKITA ARMATURE 517106-2 8450</t>
  </si>
  <si>
    <t>MAKITA HANDLE 100 271070-8</t>
  </si>
  <si>
    <t>MAKITA BEARING BOX 316821-3 / LS1040</t>
  </si>
  <si>
    <t>MAKITA SPINDLE 322865-3</t>
  </si>
  <si>
    <t>MAKITA SCREW 5016B 251426-1</t>
  </si>
  <si>
    <t>MAKITA O RING 25 - 3.5 / A0200-0081</t>
  </si>
  <si>
    <t>MAKITA POLY V- BELT 225021-3 9401</t>
  </si>
  <si>
    <t>MAKITA GEAR HOUSING  156448-5 / 9500NB</t>
  </si>
  <si>
    <t>MAKITA V-PULLY 222072-7 / 9045B</t>
  </si>
  <si>
    <t>MAKITA SWITCH 8961K400 / 651568-5 (2702)</t>
  </si>
  <si>
    <t>MAKITA CAP 35 286263-4 HR2470</t>
  </si>
  <si>
    <t>MAKITA CHUCK COVER 417629-9 HR2470</t>
  </si>
  <si>
    <t>MAKITA ARMATURE 515649-8 / HR1830</t>
  </si>
  <si>
    <t>MAKITA FIELD 633624-3 HR1830</t>
  </si>
  <si>
    <t>MAKITA GEAR 125482-6 6281D</t>
  </si>
  <si>
    <t>MAKITA FIELD 521217-7 3700B</t>
  </si>
  <si>
    <t>MAKITA NUT M8 252168-0 UC4030A</t>
  </si>
  <si>
    <t>MAKITA SPROCKET GUARD,RED 170213780</t>
  </si>
  <si>
    <t>MAKITA FLAT WASHER 941202-8 3620</t>
  </si>
  <si>
    <t>MAKITA GRIP HOLDER 322046-9 5016B</t>
  </si>
  <si>
    <t>MAKITA COMPRESSION SPRING 231418-6</t>
  </si>
  <si>
    <t>MAKITA FLAT WASHER 253731-2 / LS0714</t>
  </si>
  <si>
    <t>MAKITA ADJUST BOLT M8X27 266296-5</t>
  </si>
  <si>
    <t>MAKITA LOCK LEVER 416450-3 / LS1045</t>
  </si>
  <si>
    <t>MAKITA HOUSING SET 182400-7 NHP1300S</t>
  </si>
  <si>
    <t>MAKITA GASKET 965517141 / DCS6800I</t>
  </si>
  <si>
    <t>MAKITA GASKET 965518090 / DCS6800I</t>
  </si>
  <si>
    <t>MAKITA SET DIAPHRAM /GASKET957150100</t>
  </si>
  <si>
    <t>MAKITA GEAR 125428-2 8414D</t>
  </si>
  <si>
    <t>MAKITA DRUM 161061-6 N1900B</t>
  </si>
  <si>
    <t>MAKITA RUBBER PIN 4 263002-9 HP2070</t>
  </si>
  <si>
    <t>MAKITA SWITCH 650514-5 / HR2410</t>
  </si>
  <si>
    <t>MAKITA BELT COVER 411019-8 N1923B</t>
  </si>
  <si>
    <t>MAKITA ARMATURE 517448-4 / TW0200</t>
  </si>
  <si>
    <t>MAKITA PAD 158796-8 / MT920</t>
  </si>
  <si>
    <t>MAKITA CABON BRUSH CB-204A B-80357</t>
  </si>
  <si>
    <t>MAKITA HEX. WRENCH 5 783203-8 (5806B)</t>
  </si>
  <si>
    <t>MAKITA MAIN FRAME 418725-6</t>
  </si>
  <si>
    <t>MAKITA SPRING TERMINAL 654168-0</t>
  </si>
  <si>
    <t>MAKITA SPRING TERMINAL 654169-8</t>
  </si>
  <si>
    <t>MAKITA SUCTION HEAD 963601120</t>
  </si>
  <si>
    <t>MAKITA STARTER ASSY 026160640</t>
  </si>
  <si>
    <t>MAKITA FUEL LINE 965404460</t>
  </si>
  <si>
    <t>MAKITA GASKET 965404520</t>
  </si>
  <si>
    <t>MAKITA ARMATURE 619170-0</t>
  </si>
  <si>
    <t>MAKITA ARMATURE 517838-1 HM1214C</t>
  </si>
  <si>
    <t>MAKITA TAPPING SCREW 266026-4 LS1016</t>
  </si>
  <si>
    <t>MAKITA KERF BOARD 451013-8 / LS1016</t>
  </si>
  <si>
    <t>MAKITA GEAR CPL 153178-9 6501</t>
  </si>
  <si>
    <t>MAKITA SUCTION HOSE 038131011 / DCS6400</t>
  </si>
  <si>
    <t>MAKITA DC MOTOR 629817-8 6270D</t>
  </si>
  <si>
    <t>MAKITA CONTROLLER 631598-2 GA9010C</t>
  </si>
  <si>
    <t>MAKTEC SWITCH 651527-9 MT921</t>
  </si>
  <si>
    <t>MAKITA CHANGE LEVER 162245-9 HR2470</t>
  </si>
  <si>
    <t>MAKITA COMPRESSIONSPRING 233459-8 HR2470</t>
  </si>
  <si>
    <t>MAKITA LOCK BUTTON 419192-8 HR2470</t>
  </si>
  <si>
    <t>MAKITA HELICAL GEAR 47 5806B 226461-8</t>
  </si>
  <si>
    <t>MAKITA COLLET CONE 3/8" 763619-3</t>
  </si>
  <si>
    <t>MAKITA GEAR CPL GV6000 153119-5</t>
  </si>
  <si>
    <t>MAKITA DIE FOR JN3200 NO:792292-2</t>
  </si>
  <si>
    <t>MAKITA GEAR HOUSING COVER 157407-2</t>
  </si>
  <si>
    <t>MAKITA GEAR CPL 193050-3/153245-0 6409</t>
  </si>
  <si>
    <t>MAKITA GEAR HOUSING CPL JS3200 157640-6</t>
  </si>
  <si>
    <t>MAKITA HELICAL GEAR 19 226440-6 (4100NH)</t>
  </si>
  <si>
    <t>MAKITA RETAINER CPL 151426-0/152947-5</t>
  </si>
  <si>
    <t>MAKITA BASE CPL 155174-3 9035SB</t>
  </si>
  <si>
    <t>MAKITA INNER FLANGE 4100NB/NH 224080-4</t>
  </si>
  <si>
    <t>MAKITA OUTER FLANGE 36 224081-2 4100NB</t>
  </si>
  <si>
    <t>MAKITA SPIRAL B.GEAR 35 226750-1 LS1212</t>
  </si>
  <si>
    <t>MAKITA DC MOTOR 629821-7 8270DWPE</t>
  </si>
  <si>
    <t>MAKITA CYLINDER PISTON 040130023 DCS6400</t>
  </si>
  <si>
    <t>MAKITA BULL POINT 30X400 D-15285 HM1305</t>
  </si>
  <si>
    <t>MAKITA K-LESS CHUCK 763185-0 6260DWPE</t>
  </si>
  <si>
    <t>MAKITA BASE ASS'Y 134645-3 9045N,9045B</t>
  </si>
  <si>
    <t>MAKITA SUB FENCE CPL LS1013 150710-0</t>
  </si>
  <si>
    <t>MAKITA SPIRAL BEVEL GEAR LS1013 226742-0</t>
  </si>
  <si>
    <t>MAKITA BLADEHOLDER 300PART 342505-7 2030</t>
  </si>
  <si>
    <t>MAKITA BRUSH HOLDERCAP 5-8 9500N643550-8</t>
  </si>
  <si>
    <t>MAKITA DIE HOLDER 322701-3 FOR JN1601</t>
  </si>
  <si>
    <t>MAKITA DC MOTOR 629748-1/629785-5 6226D</t>
  </si>
  <si>
    <t>MAKITA BASE PLATE 411023-7 3600</t>
  </si>
  <si>
    <t>MAKITA RUBBERRING 19 9520B,4304 421494-0</t>
  </si>
  <si>
    <t>MAKITA PISTON RING 30 HM0810 412053-1</t>
  </si>
  <si>
    <t>MAKITA RE.RING HK1800/4100NH 961052-5</t>
  </si>
  <si>
    <t>MAKITA COMPRESSIONSPRING7 2414NB231240-1</t>
  </si>
  <si>
    <t>MAKITA L.SPRING 6012DW,6211DWA 232053-3</t>
  </si>
  <si>
    <t>MAKITA SAFTETY WASHER UC4000 930110120</t>
  </si>
  <si>
    <t>MAKITA WORM UC4000 021245040</t>
  </si>
  <si>
    <t>MAKITA WASHER UC4000/3500/4030 221229180</t>
  </si>
  <si>
    <t>MAKITA SPARK PLU DCS390,DCS430 965603018</t>
  </si>
  <si>
    <t>MAKITA DRUM 1923B 161045-4</t>
  </si>
  <si>
    <t>MAKITA BACK ROLLER 134564-3 152927-1</t>
  </si>
  <si>
    <t>MAKITA TAPPING SCREW 9005B 266034-5</t>
  </si>
  <si>
    <t>MAKITA PLUNGER FOR 5016B  321261-2</t>
  </si>
  <si>
    <t>MAKITA O RING 6 5012B 213003-7</t>
  </si>
  <si>
    <t>MAKITA FLAT WASHER 5 5012B  253811-4</t>
  </si>
  <si>
    <t>MAKITA STEEL 3.5 6800DBV 216001-0</t>
  </si>
  <si>
    <t>MAKITA O RING 24 HM1302 213388-1</t>
  </si>
  <si>
    <t>MAKITA Y RING 34  FOR HM1302  213477-2</t>
  </si>
  <si>
    <t>MAKITA RUBBER PAD 76 FOR N9500N 743009-6</t>
  </si>
  <si>
    <t>MAKITA RUBBER PAD 125 9201 743002-0</t>
  </si>
  <si>
    <t>MAKITA SPRING WASHER  942201-3</t>
  </si>
  <si>
    <t>MAKITA FLAT WASHER 8 AC4521 941201-0</t>
  </si>
  <si>
    <t>MAKITA DRUM PLATE  1900B/1902 345007-2</t>
  </si>
  <si>
    <t>MAKITA CLUTCH DRUM 027223101/027223020</t>
  </si>
  <si>
    <t>MAKITA MOTOR HOU 5806B 150952-6/152869-9</t>
  </si>
  <si>
    <t>MAKITA DRUM COVER 300 2030 345146-8</t>
  </si>
  <si>
    <t>MAKITA RUBBER SLEEVE 64 HM1302 262536-9</t>
  </si>
  <si>
    <t>MAKITA BASE COMPLETE  FOR 3620  154346-7</t>
  </si>
  <si>
    <t>MAKITA HELICAL GEAR 39 5007NB  221647-9</t>
  </si>
  <si>
    <t>MAKITA FLANGE LS1040 224333-1 224279-1</t>
  </si>
  <si>
    <t>MAKITA PAN HEAD SCREW   N1900B  911226-8</t>
  </si>
  <si>
    <t>MAKITA SPRINGWASHER2414NB 5806B 942151-2</t>
  </si>
  <si>
    <t>MAKITA FOOT 410918-1 BO4510,9035</t>
  </si>
  <si>
    <t>MAKITA SPIRAL BEVEL GEAR 11  226756-9</t>
  </si>
  <si>
    <t>MAKITA SUPPORT COMPLETE 5806B 632673-7</t>
  </si>
  <si>
    <t>MAKITA FIELD DP4700 / 6802BV 525099-9</t>
  </si>
  <si>
    <t>MAKITA HELICAL GEAR 53 2416S 221730-2</t>
  </si>
  <si>
    <t>MAKITA HEX. BOLT M8 X 20 5201N 251612-4</t>
  </si>
  <si>
    <t>MAKITA TUBULARHANDLE 225310020/225310021</t>
  </si>
  <si>
    <t>MAKITA GRIP 9524/9526 152490-4/153489-2</t>
  </si>
  <si>
    <t>MAKITA PUNCH A-83951 JN1601</t>
  </si>
  <si>
    <t>MAKITA SET PLATE 2012NB 343692-5</t>
  </si>
  <si>
    <t>MAKITA PAN HEAD SCREW 9526B 911121-2</t>
  </si>
  <si>
    <t>MAKITA PAN HEAD SCREW  4300BV 911153-9</t>
  </si>
  <si>
    <t>MAKITA HEXAGONAL NUT 923208004 DCS390</t>
  </si>
  <si>
    <t>MAKITA OUTER FLANGE 45  5806B 224329-2</t>
  </si>
  <si>
    <t>MAKITA HEX.SOCKET HEAD BOLT 266024-8</t>
  </si>
  <si>
    <t>MAKITA WASHER 10 GV6000 253951-8</t>
  </si>
  <si>
    <t>MAKITA NEEDLE BEARING 2016 212309-0</t>
  </si>
  <si>
    <t>MAKITA TORSION SPRING 36 LS1040 231593-8</t>
  </si>
  <si>
    <t>MAKITA FLAT WASHER 6 LS1212 253977-0</t>
  </si>
  <si>
    <t>MAKITA STOP RING E-5 4300BV 961018-5</t>
  </si>
  <si>
    <t>MAKITA ARMATURE 514884-5 2416S</t>
  </si>
  <si>
    <t>MAKITA RING 6 LS1013 257163-5</t>
  </si>
  <si>
    <t>MAKITA PUSHBUTTONSWITCH UC4000 975001200</t>
  </si>
  <si>
    <t>MAKITA ARMATURE  514959-0 (HM1500)</t>
  </si>
  <si>
    <t>MAKITA RETN.CPL 152848-7/154530-4 4300BV</t>
  </si>
  <si>
    <t>MAKITA MOTOR HOUSING COMP 159909-4 5606B</t>
  </si>
  <si>
    <t>MAKITA ARMATURE 512614-8 6013BR</t>
  </si>
  <si>
    <t>MAKITA ARMATURE  511754-9 (6010B/BVR)</t>
  </si>
  <si>
    <t>MAKITA ARMATURE 511799-7 6510LVR,6000LR</t>
  </si>
  <si>
    <t>MAKITA ARMATURE 512067-1 4300BV,4300BA</t>
  </si>
  <si>
    <t>MAKITA ARMATURE 517104-6 HP2030</t>
  </si>
  <si>
    <t>MAKITA ARMATURE 512699-4 9045B</t>
  </si>
  <si>
    <t>MAKITA ARMATURE 517044-8 9035</t>
  </si>
  <si>
    <t>MAKITA ARMATURE 514714-0 4110B,4110C</t>
  </si>
  <si>
    <t>MAKITA ARMATURE 514824-3 3612BR</t>
  </si>
  <si>
    <t>MAKITA ARMATURE 514559-6 (5014B/5016B)</t>
  </si>
  <si>
    <t>MAKITA ARMATURE 514859-4 SR2100,5008B</t>
  </si>
  <si>
    <t>MAKITA ARMATURE  516089-3 (4100NB)</t>
  </si>
  <si>
    <t>MAKITA ARMATURE  512555-8 (5600NB)</t>
  </si>
  <si>
    <t>MAKITA ARMATURE 516084-3 (1911B)</t>
  </si>
  <si>
    <t>MAKITA ARMATURE 511939-7 N1923B,00B,02</t>
  </si>
  <si>
    <t>MAKITA ARMATURE 511959-1 NHP1320S,1300S</t>
  </si>
  <si>
    <t>MAKITA ARMATURE 517099-3 4304</t>
  </si>
  <si>
    <t>MAKITA ARMATURE 516149-1 HM0810</t>
  </si>
  <si>
    <t>MAKITA ARMATURE513146-8 1804N,1805N1804K</t>
  </si>
  <si>
    <t>MAKITA ARMATURE 515099-7 8419B-2</t>
  </si>
  <si>
    <t>MAKITA ARMATURE 516279-8 (5606B)</t>
  </si>
  <si>
    <t>MAKITA ARMATURE 516274-8 (5806B,5740NB)</t>
  </si>
  <si>
    <t>MAKITA ARMATURE  516643-3 (HM1302)</t>
  </si>
  <si>
    <t>MAKITA ARMATURE  516724-3 (LS1013)</t>
  </si>
  <si>
    <t>MAKITA ARMATURE 515114-7 (DP4700)</t>
  </si>
  <si>
    <t>MAKITA ARMATURE 512954-4 3620</t>
  </si>
  <si>
    <t>MAKITA ARMATURE 511699-1 3700B</t>
  </si>
  <si>
    <t>MAKITA ARMATURE BO3700 517339-9</t>
  </si>
  <si>
    <t>MAKITA ARMATURE N5900B 516819-2</t>
  </si>
  <si>
    <t>MAKITA ARMATURE 516922-9 FOR HM1810</t>
  </si>
  <si>
    <t>MAKITA ARAMTURE  5008MG 517764-4</t>
  </si>
  <si>
    <t>MAKITA ARMATURE 515289-2 HR2470</t>
  </si>
  <si>
    <t>MAKTEC ARMATURE JM23000100 MT230</t>
  </si>
  <si>
    <t>MAKITA GEAR COMPLETE 151790-9 6824</t>
  </si>
  <si>
    <t>MAKITA ARMATURE  517499-7  MT370</t>
  </si>
  <si>
    <t>MAKITA ARMATURE 517439-5 (MT954)</t>
  </si>
  <si>
    <t>MAKITA FRONT CAP 12 322070-2 6827</t>
  </si>
  <si>
    <t>MAKTEC ARMATURE 517454-9 MT953</t>
  </si>
  <si>
    <t>MAKITA O RING 20 213310-8 6827</t>
  </si>
  <si>
    <t>MAKITA ARMATURE  515684-6  HR2453</t>
  </si>
  <si>
    <t>MAKITA ADJUST SLEEVE 322073-6 6827</t>
  </si>
  <si>
    <t>MAKITA ARMATURE 514516-6/ 517754-7 5402</t>
  </si>
  <si>
    <t>MAKITA ARMATURE  619148-3 FOR MT813</t>
  </si>
  <si>
    <t>MAKITA SPUR GEAR 227019-6</t>
  </si>
  <si>
    <t>MAKITA ARMATURE 515609-0 (MT958)</t>
  </si>
  <si>
    <t>MAKITA PIN 6 256266-2</t>
  </si>
  <si>
    <t>MAKITA MAIN DRUM    161057-7</t>
  </si>
  <si>
    <t>MAKITA ARMATURE 1516914-8 516974-0HM1305</t>
  </si>
  <si>
    <t>MAKITA CHAIN 35-76 225508-5</t>
  </si>
  <si>
    <t>MAKITAARMATURE629827-5 629927-5 8414DWAE</t>
  </si>
  <si>
    <t>MAKITA FLAT WASHER JM27000155</t>
  </si>
  <si>
    <t>MAKITA ARMATURE 515668-4 HR2450 HR2440</t>
  </si>
  <si>
    <t>MAKITA ARMATURE 510060-9 LS0714</t>
  </si>
  <si>
    <t>MAKITA ARMATURE 517398-3 4340CT</t>
  </si>
  <si>
    <t>MAKTEC ARMATURE 517479-3 MT603</t>
  </si>
  <si>
    <t>MAKITA ARMATURE 516764-1 2702</t>
  </si>
  <si>
    <t>MAKITA ARMATURE 515119-7 (GV6000,GV5000)</t>
  </si>
  <si>
    <t>MAKITA ARMATURE 517184-2 6409,6410</t>
  </si>
  <si>
    <t>MAKITA ARMATURE  516813-4 (2012NB)</t>
  </si>
  <si>
    <t>MAKITA ARMATURE 516329-9 (HR4000C)</t>
  </si>
  <si>
    <t>MAKITA BEARING 6900DDW 210069-8 HS300D</t>
  </si>
  <si>
    <t>MAKITA O RING 26 213435-8 HS300D</t>
  </si>
  <si>
    <t>MAKITA BEARING BOX 318660-7 HS300D</t>
  </si>
  <si>
    <t>MAKITA SPINDLE  325983-6 HS300D</t>
  </si>
  <si>
    <t>MAKITA DRUM COVER 345507-2 MT110</t>
  </si>
  <si>
    <t>MAKITA DRUM PLATE SET  187676-1 MT110</t>
  </si>
  <si>
    <t>MAKITA AIR FILTER 020173202 DCS430</t>
  </si>
  <si>
    <t>MAKITA SPROCKET 15 221503-3</t>
  </si>
  <si>
    <t>MAKITA HEX.NUT M8  252094-3 / 3620</t>
  </si>
  <si>
    <t>MAKITA ARMATURE 513699-7 / HR4002</t>
  </si>
  <si>
    <t>MAKITA GEAR 226648-2 / HR4002</t>
  </si>
  <si>
    <t>MAKITA BLADE CASE CPL 153665-8 5606B</t>
  </si>
  <si>
    <t>MAKITA CENTER BLADE 792534-4 / JS1660</t>
  </si>
  <si>
    <t>MAKITA BAFFLE PLATE 415873-2 5606B</t>
  </si>
  <si>
    <t>MAKITA RUBBER WASHER 13 261109-5</t>
  </si>
  <si>
    <t>MAKITA FLAT WASHER 14 253192-6</t>
  </si>
  <si>
    <t>MAKITA MOTOR HOUSING CPL 152675-2 9500NB</t>
  </si>
  <si>
    <t>MAKITA SPIKE BAR CPL 226221020 UC4030A</t>
  </si>
  <si>
    <t>MAKITA FIELD ASS'Y 593589-0 MT190</t>
  </si>
  <si>
    <t>MAKITA HELICAL GEAR 226499-3 2702</t>
  </si>
  <si>
    <t>MAKITA CARBON BRUSH CB-105 B-80307</t>
  </si>
  <si>
    <t>MAKITA GEAR WHEEL 226741-2</t>
  </si>
  <si>
    <t>MAKITA F/R CHANGE LEVER 450584-2 / 8271D</t>
  </si>
  <si>
    <t>MAKITA KNOB 411623-3 / NHP1300S</t>
  </si>
  <si>
    <t>MAKITA FILLISTER HEAD SCREW 908005205</t>
  </si>
  <si>
    <t>MAKITA WASHER 927408000 DCS6400</t>
  </si>
  <si>
    <t>MAKITA SPRING CPL.W/CAP 038114130</t>
  </si>
  <si>
    <t>MAKITA POT 038114190 / DCS6400</t>
  </si>
  <si>
    <t>MAKITA SPIRAL BEVEL GEAR 36 227506-5</t>
  </si>
  <si>
    <t>MAKITA SPIRAL BEVEL GEAR 11 227471-8</t>
  </si>
  <si>
    <t>MAKITA KERF BOARD JM23000020 (MT230)</t>
  </si>
  <si>
    <t>MAKITA GEAR SHAFT 323221-0 / 4300BV</t>
  </si>
  <si>
    <t>MAKITA WASHER LANCE 40551</t>
  </si>
  <si>
    <t>MAKITA CARBON BRUSH CB-153A B-80329</t>
  </si>
  <si>
    <t>MAKITA CARBON BRUSH CB-155A B-80335</t>
  </si>
  <si>
    <t>MAKITA CARBON BRUSH CB-303A B-80379</t>
  </si>
  <si>
    <t>MAKITA CARBON BRUSH CB-415A B-80400</t>
  </si>
  <si>
    <t>MAKITA CONTROLLER 631719-6 UC3530/UC4030</t>
  </si>
  <si>
    <t>MAKITA GEAR HOUSING 450619-9 HP1630</t>
  </si>
  <si>
    <t>MAKITA REWIND SPRING 036163010 /DCS4610</t>
  </si>
  <si>
    <t>MAKITA FIELD 525768-2 GA5010</t>
  </si>
  <si>
    <t>MAKITA RUBBER RING 421808-3 / MT954</t>
  </si>
  <si>
    <t>MAKITA FIELD JM23000104 / MT230</t>
  </si>
  <si>
    <t>MAKITA LINK PLATE 344415-4 / LS1013</t>
  </si>
  <si>
    <t>MAKITA HELICAL GEAR 13 / 221132-2 (4402)</t>
  </si>
  <si>
    <t>MAKITA NOZZLE ASS'Y 132025-7 UB1100</t>
  </si>
  <si>
    <t>MAKITA GEAR JM27000324 MLT100</t>
  </si>
  <si>
    <t>MAKITA BEARING JM27000319 /6003-2Z</t>
  </si>
  <si>
    <t>MAKITA CASIN CPL 152253-8 5016B</t>
  </si>
  <si>
    <t>MAKITA DUST BAG 122321-1 / UB1101</t>
  </si>
  <si>
    <t>MAKITA STRAIGHT GUIDE ASSEMBLY 123029-0</t>
  </si>
  <si>
    <t>MAKITA HELICAL GEAR 51 / 221160-7</t>
  </si>
  <si>
    <t>MAKITA NEEDLE CAGE 962210025 / DCS430</t>
  </si>
  <si>
    <t>MAKITA RIM SPROCKET 020224070 DCS430</t>
  </si>
  <si>
    <t>MAKITA OUTER FLANGE  224301-4 (N5900B)</t>
  </si>
  <si>
    <t>MAKITA CAP 242054-3 / 5016B</t>
  </si>
  <si>
    <t>MAKITA GEAR HOUSING 151829 (2416S)</t>
  </si>
  <si>
    <t>MAKITA DRUM COVER 341342-6   1923B</t>
  </si>
  <si>
    <t>MAKITA COMPRESSION SPRING  231316-4</t>
  </si>
  <si>
    <t>MAKITA HEX.SOCKET HEX BOLT 266286-8</t>
  </si>
  <si>
    <t>MAKITA TORSION SPRING 231504-3  1923B</t>
  </si>
  <si>
    <t>MAKITA CONTROLLER UC4030A 970104021</t>
  </si>
  <si>
    <t>MAKITA SWITCH  651184-3 MT901</t>
  </si>
  <si>
    <t>MAKITA ZEROL LEVEL GEAR 19  / 227411-6</t>
  </si>
  <si>
    <t>MAKITA ZEROL LEVEL GERA 13 / 227412-4</t>
  </si>
  <si>
    <t>MAKITA CHANGE PLATE 345944-0 HP1630</t>
  </si>
  <si>
    <t>MAKITA HELICAL GEAR  JM23000088 (MT230)</t>
  </si>
  <si>
    <t>MAKITA CHUCK 766013-8 MT081</t>
  </si>
  <si>
    <t>MAKITA SPRING PIN 951116-3 / 2702</t>
  </si>
  <si>
    <t>MAKITA GEAR ASSY 140800-7  MT081</t>
  </si>
  <si>
    <t>MAKITA PAN HEAD SCREW 911218-7 / 2702</t>
  </si>
  <si>
    <t>MAKITA SWITCH 650591-7 HR2810</t>
  </si>
  <si>
    <t>MAKITA PIN 8 / 268031-7 (2702)</t>
  </si>
  <si>
    <t>MAKITA ARMATURE ASS'Y 513568-2 GA7010C</t>
  </si>
  <si>
    <t>MAKITA WASHER 10   341389-0 1911B</t>
  </si>
  <si>
    <t>MAKITA HANDLE 120 / 271071-6  (2702)</t>
  </si>
  <si>
    <t>MAKITA WASHER 12   341377-7 1911B</t>
  </si>
  <si>
    <t>MAKITA ARMATURE ASS'Y MT900 516948-1 MAK</t>
  </si>
  <si>
    <t>MAKITA RING 15.8 257060-5 LS1013</t>
  </si>
  <si>
    <t>MAKITA ARMATURE ASS'Y 3709 515634-1</t>
  </si>
  <si>
    <t>MAKITA LOCK PIN 322909-9 LS1013</t>
  </si>
  <si>
    <t>MAKITA HANDLE SET 182628-7 / 2414B</t>
  </si>
  <si>
    <t>MAKITA BAFFLE PLATE 415213-4 / LS1211</t>
  </si>
  <si>
    <t>MAKITA PAN HEAD SCREW 911363-8 / LS1211</t>
  </si>
  <si>
    <t>MAKITA BLADE HOLDER 325125-2 4300BA</t>
  </si>
  <si>
    <t>MAKITA HANDLE SET 182597-2 / LS1211</t>
  </si>
  <si>
    <t>MAKITA PLANE BEARING 17 214251-1 2012NB</t>
  </si>
  <si>
    <t>MAKITA PULLY 222062-0 2030</t>
  </si>
  <si>
    <t>MAKITA LEVEL BO4540 321869-2</t>
  </si>
  <si>
    <t>MAKITA PULLY 222061-2 2030</t>
  </si>
  <si>
    <t>MAKITA CARBON BRUSH CB-51A MAK2 B-80232</t>
  </si>
  <si>
    <t>MAKITA PLANE BEARING 12  6409 214114-1</t>
  </si>
  <si>
    <t>MAKITA CARBON BRUSH CB-85A B-80282</t>
  </si>
  <si>
    <t>MAKITA BRACKET 1911B 152362-3</t>
  </si>
  <si>
    <t>MAKITAPAD COMPLETE FOR BO3700 140441-9</t>
  </si>
  <si>
    <t>MAKITA POLY V-BELT 225071-8 1902</t>
  </si>
  <si>
    <t>MAKITA NEEDLE  BEARING 212063-6</t>
  </si>
  <si>
    <t>MAKITA HEX.SOCKET HEAD BOLT 922111-0</t>
  </si>
  <si>
    <t>MAKITA PAN HEAD SCREW  911373-5</t>
  </si>
  <si>
    <t>MAKITA HEX. SOCKET HEAD BOLT  922451-6</t>
  </si>
  <si>
    <t>MAKITA LINK PLATE 344472-2</t>
  </si>
  <si>
    <t>MAKITA IMPACT BOLT  HM0810 321495-7</t>
  </si>
  <si>
    <t>MAKITA BEARING BOX B CPL 152540-5</t>
  </si>
  <si>
    <t>MAKITA BALL BEARING 6303LLU 211279-0</t>
  </si>
  <si>
    <t>MAKITA HANDLE GUARD 225213111</t>
  </si>
  <si>
    <t>MAKITA SPINDLE  JM23000084</t>
  </si>
  <si>
    <t>MAKITA BRUSH HOLDER CAP 643700-5</t>
  </si>
  <si>
    <t>MAKITA INNER FLANGE 224181-8</t>
  </si>
  <si>
    <t>MAKITA BEARING BOX FOR MT580 317666-2</t>
  </si>
  <si>
    <t>MAKITA SUPER GEAR 29-37 227030-8 HP2050</t>
  </si>
  <si>
    <t>MAKITA HEX NUT M8-14 252003-2 FOR 5600B</t>
  </si>
  <si>
    <t>MAKITA CHAIN BRAKE CPL 028213600 "MAK"</t>
  </si>
  <si>
    <t>MAKITA GEAR H.COVER CPL 153552-1 DP4700</t>
  </si>
  <si>
    <t>MAKITA WOODRUFF 254002-0</t>
  </si>
  <si>
    <t>MAKITA SWITCH LEVER B 418728-0 9556NB</t>
  </si>
  <si>
    <t>MAKITA SPINDLE 323798-5</t>
  </si>
  <si>
    <t>MAKITA BALL BEARING 6001ZZ 210107-6</t>
  </si>
  <si>
    <t>MAKITA RUBBER BUFFER 965403491</t>
  </si>
  <si>
    <t>MAKITA BEARING BOX 317037-3</t>
  </si>
  <si>
    <t>MAKITA BRUSH HOLDER 638500-6</t>
  </si>
  <si>
    <t>MAKITA RING 12 257010-0</t>
  </si>
  <si>
    <t>MAKITA ARMATURE ASS'Y 511549-0 (BO4540)</t>
  </si>
  <si>
    <t>MAKITA BRUSH HOLDER COVER 416292-5</t>
  </si>
  <si>
    <t>MAKITA CARBON BRUSH CB-459 194722-3</t>
  </si>
  <si>
    <t>MAKITA CARBON BRUSH CB-350 194160-9</t>
  </si>
  <si>
    <t>MAKITA FIELD 626634-7 HR2601</t>
  </si>
  <si>
    <t>MAKITA LOCK-ON BUTTON N5900B 417116-8</t>
  </si>
  <si>
    <t>MAKITA MAINBOARD COMPLETE  119.578</t>
  </si>
  <si>
    <t>MAKITA SAFTY COVER LS0711B 416540-2</t>
  </si>
  <si>
    <t>MAKITA CONNECTION  TANK UC4000 225243011</t>
  </si>
  <si>
    <t>MAKITA PISTON  CYLINDER  331446-2  "MAK"</t>
  </si>
  <si>
    <t>MAKITA LEVER CASE 417802-1 HP2050</t>
  </si>
  <si>
    <t>MAKITA CLAMPER 163107-4 9035</t>
  </si>
  <si>
    <t>MAKITA CLUTCH CPL 021180210 "MAK"</t>
  </si>
  <si>
    <t>MAKITA METAL COVER 341685-6 FOR 2030</t>
  </si>
  <si>
    <t>MAKITA CAM LS1040 414546-4</t>
  </si>
  <si>
    <t>MAKITA FIELD ASS'Y BO4540 593004-4</t>
  </si>
  <si>
    <t>MAKITA FIELD ASS'Y 526049-7 (9049,9047)</t>
  </si>
  <si>
    <t>MAKITA FIELD ASS'Y 4300BV 522017-8</t>
  </si>
  <si>
    <t>MAKITA FIELD ASS'Y FOR 4304 633289-1</t>
  </si>
  <si>
    <t>MAKITA FIELD ASS'Y 9045B 522479-0</t>
  </si>
  <si>
    <t>MAKITA FIELD ASS'Y 9201 522226-9</t>
  </si>
  <si>
    <t>MAKITA FIELD ASS'Y 526068-3 LS1040</t>
  </si>
  <si>
    <t>MAKITA FIELD ASS'Y 3601B 523037-5</t>
  </si>
  <si>
    <t>MAKITA FIELD N5900B 596209-5</t>
  </si>
  <si>
    <t>MAKITA FIELD ASS'Y  FOR MT900 596279-4</t>
  </si>
  <si>
    <t>MAKITA HELICAL GEAR 54 221188-5</t>
  </si>
  <si>
    <t>MAKITA H.GEAR73 5401N,5402 PART 221623-3</t>
  </si>
  <si>
    <t>MAKITA SPIRAL BEVEL GEAR 10  226712-9</t>
  </si>
  <si>
    <t>MAKITA SPUR GEAR 47 DP4700 221261-1</t>
  </si>
  <si>
    <t>MAKITA SPIRAL BEVEL GEAR 35 226754-3</t>
  </si>
  <si>
    <t>MAKITA STRAIGHT BEVEL GEAR 14  226725-0</t>
  </si>
  <si>
    <t>MAKITA HELICAL GEAR 49 226572-9  MT240</t>
  </si>
  <si>
    <t>MAKITA SPIRAL BEVEL GEAR 11 227452-2</t>
  </si>
  <si>
    <t>MAKITA HELICAL GEAR 68 221739-4 "MAK"</t>
  </si>
  <si>
    <t>MAKITA SPIRAL BEVEL GEAR 11 227451-4</t>
  </si>
  <si>
    <t>MAKITA GUDGEON 8X30 905808305</t>
  </si>
  <si>
    <t>MAKITA GEAR ASS'Y 125237-9 6260DWPE</t>
  </si>
  <si>
    <t>MAKITA TOOL HOLDER SET HM0810 193003-2</t>
  </si>
  <si>
    <t>MAKITA GEAR HOUSING 153551-3 DP4700</t>
  </si>
  <si>
    <t>MAKITA BRUSH HOLDER HK0500 643605-9</t>
  </si>
  <si>
    <t>MAKITA BRUSH HOLDER CAP 643750-0</t>
  </si>
  <si>
    <t>MAKITA STOPPER HOLDER 344412-0</t>
  </si>
  <si>
    <t>MAKITA GEAR HOUSING COMPLETE 151595-7</t>
  </si>
  <si>
    <t>MAKITA HELICAL GEAR 41 226684-8 4102NH</t>
  </si>
  <si>
    <t>MAKITA BRUSH HOLDER 643923-5 FOR 4304</t>
  </si>
  <si>
    <t>MAKITA GEAR HOUSING CPL 153379-9  HP2050</t>
  </si>
  <si>
    <t>MAKITA KNOB 48 CPL 152541-3</t>
  </si>
  <si>
    <t>MAKITA OIL TUBE 421958-4</t>
  </si>
  <si>
    <t>MAKITA SHAFT LOCK JM23000067 FOR MT230</t>
  </si>
  <si>
    <t>MAKITA LEVER CPL 162259-8 BO4556</t>
  </si>
  <si>
    <t>MAKITA RING 5-14 961054-1 /LS1013</t>
  </si>
  <si>
    <t>MAKITA MOTOR HOUSING HP2030 415601-5</t>
  </si>
  <si>
    <t>MAKITA MOTOR HOUSING CPL 154952-8 6802BV</t>
  </si>
  <si>
    <t>MAKITA RUBBER RING 20 262074-1 /LS1013</t>
  </si>
  <si>
    <t>MAKITA NEEDLE RING 962210026 (DCS6000I)</t>
  </si>
  <si>
    <t>MAKITA FLASH WASHER 267035-6 /LS1013</t>
  </si>
  <si>
    <t>MAKITA HEX. NUT M8 5008B 931402-8</t>
  </si>
  <si>
    <t>MAKITA KEY 4 254202-2 /LS1013</t>
  </si>
  <si>
    <t>MAKITA PIN 5 LS1013 256196-7</t>
  </si>
  <si>
    <t>MAKITA FLANGE 90 224299-5 /2414NB</t>
  </si>
  <si>
    <t>MAKITA CENTER PLATE  344473-0 LS1212</t>
  </si>
  <si>
    <t>MAKITA HEX.BOLT 251680-7 /2414NB</t>
  </si>
  <si>
    <t>MAKITA PIN 322938-2 LS1212</t>
  </si>
  <si>
    <t>MAKITA GEAR HOUSING 318158-4 GA5010</t>
  </si>
  <si>
    <t>MAKITA PLUG 021245100</t>
  </si>
  <si>
    <t>MAKITA HAND COMPLETE 415980-1 5606B</t>
  </si>
  <si>
    <t>MAKITA CLAMP PLATE 344333-6 FOR 4304T</t>
  </si>
  <si>
    <t>MAKITA BRAKE RING 424131-5 MT922</t>
  </si>
  <si>
    <t>MAKITA PIN 4 268090-1 FOR 4340CT "MAK"</t>
  </si>
  <si>
    <t>MAKITA SHOULDER PIN 6 256482-6 FOR MT360</t>
  </si>
  <si>
    <t>MAKITA BAFFLE PLATE 342489-9 FOR 1804N</t>
  </si>
  <si>
    <t>MAKITA PISTON PIN 021132020 "MAK"</t>
  </si>
  <si>
    <t>MAKITA OIL PUMP CPL 021245007 UC4000</t>
  </si>
  <si>
    <t>MAKITA CENTER PLATE 345585-2</t>
  </si>
  <si>
    <t>MAKITA X RING 28 FOR HM0810 213428-5</t>
  </si>
  <si>
    <t>MAKITA O RING 27 FOR HM0810 213411-2</t>
  </si>
  <si>
    <t>MAKITA O RING 38 FOR HM0810 213508-7</t>
  </si>
  <si>
    <t>MAKITA TOOL RETAINER HM0810 165071-5</t>
  </si>
  <si>
    <t>MAKITA Y RING 45 213575-2 HM1305</t>
  </si>
  <si>
    <t>MAKITA ARMATURE 516339-6 LS0711B</t>
  </si>
  <si>
    <t>MAKITA BEARING RETAINER 285840-9 MT410</t>
  </si>
  <si>
    <t>MAKITA ROTARY ASS'Y MLT100 JM27000309</t>
  </si>
  <si>
    <t>MAKITA ARMATURE 516719-6 LS1040/LS1045</t>
  </si>
  <si>
    <t>MAKTEC ARMATURE ASS'Y 517409-4 MT950</t>
  </si>
  <si>
    <t>MAKITA ARMATURE ASS'Y 619088-5 MT811/810</t>
  </si>
  <si>
    <t>MAKITA ARMATURE ASS'Y 513509-8 (MT410)</t>
  </si>
  <si>
    <t>MAKITA ARMATURE  517369-0/510050-2</t>
  </si>
  <si>
    <t>MAKITA ARMATURE HP1620 517458-1</t>
  </si>
  <si>
    <t>MAKITA ARMATURE 517464-6 HP2070</t>
  </si>
  <si>
    <t>MAKTEC ARMATURE MT360 516909-1</t>
  </si>
  <si>
    <t>MAKITA ARMATURE 517494-7 (MT190)</t>
  </si>
  <si>
    <t>MAKITA ARMATURE 517379-7 515669-2 HR2020</t>
  </si>
  <si>
    <t>MAKITA ARMATURE 516884-1 (MT240)</t>
  </si>
  <si>
    <t>MAKITA FIELD 593119-7 N1900B,1923B,,1902</t>
  </si>
  <si>
    <t>MAKITA FIELD 524127-7 824127-7 5900B</t>
  </si>
  <si>
    <t>MAKITA FIELD ASS'Y 523027-8</t>
  </si>
  <si>
    <t>MAKITA FIELD ASS'Y 524077-6 (5402)</t>
  </si>
  <si>
    <t>MAKITA FIELD ASS'Y 633184-5 NHP1300S</t>
  </si>
  <si>
    <t>MAKITA FIELD 5800N/5800NB 522147-5</t>
  </si>
  <si>
    <t>MAKITA FIELD 626154-1 FOR HM1810</t>
  </si>
  <si>
    <t>MAKITA FIELD ASSY 596289-1 FOR 5008MG</t>
  </si>
  <si>
    <t>MAKITA FIELD 240V 626579-9 HR2470</t>
  </si>
  <si>
    <t>MAKITA FIELD  FOR HR4000C 634299-1</t>
  </si>
  <si>
    <t>MAKITA FIELD 522267-5 63004,8419B,6300NB</t>
  </si>
  <si>
    <t>MAKITA FIELD LS1013 596144-7</t>
  </si>
  <si>
    <t>MAKITA FIELD 634159-7 5806B,5740NB,5805B</t>
  </si>
  <si>
    <t>MAKITA FIELD  521237-1 (6510LVR,6000R)</t>
  </si>
  <si>
    <t>MAKITA FIELD 636009-2 2414B,9039,2414NB</t>
  </si>
  <si>
    <t>MAKITA FIELD 634154-7 (5606B,5605B)</t>
  </si>
  <si>
    <t>MAKITA FIELD 525089-2 (8419B2, HP2000)</t>
  </si>
  <si>
    <t>MAKITA FIELD 521623-6 9523NB,9524NB</t>
  </si>
  <si>
    <t>MAKITA FIELD 6410 621658-8</t>
  </si>
  <si>
    <t>MAKITA FIELD 3620 522639-4</t>
  </si>
  <si>
    <t>MAKITA FIELD HP2040 633348-1</t>
  </si>
  <si>
    <t>MAKITA FIELD  MT950/MT954 593523-0</t>
  </si>
  <si>
    <t>MAKITA FIELD  MT811 529083-6</t>
  </si>
  <si>
    <t>MAKITA FIELD 6013BR 522439-2</t>
  </si>
  <si>
    <t>MAKITA FIELD 5016B 5014B 524509-3</t>
  </si>
  <si>
    <t>MAKITA FIELD 633314-8 HR2410</t>
  </si>
  <si>
    <t>MAKITA FIELD  HM1302 636103-0</t>
  </si>
  <si>
    <t>MAKITA FIELD  596249-3 MT240</t>
  </si>
  <si>
    <t>MAKITA FIELD 594438-4  UB1100</t>
  </si>
  <si>
    <t>MAKITA FIELD HP1620 633568-7</t>
  </si>
  <si>
    <t>MAKITA FIELD  3612BR 524709-5</t>
  </si>
  <si>
    <t>MAKITA FIELD 522509-7 (HM0810)</t>
  </si>
  <si>
    <t>MAKITA FIELD  593009-4 9035</t>
  </si>
  <si>
    <t>MAKITA FIELD  621708-9 9556NB</t>
  </si>
  <si>
    <t>MAKITA FIELD 529090-9 MT813</t>
  </si>
  <si>
    <t>MAKITA FIELD 633528-9 HP2050</t>
  </si>
  <si>
    <t>MAKITA FIELD LS1212 596158-6</t>
  </si>
  <si>
    <t>MAKITA FIELD  593458-5 BO3700</t>
  </si>
  <si>
    <t>MAKITA CARBON BRUSH CB-70A A-81212</t>
  </si>
  <si>
    <t>MAKITA CARBON BRUSH CB-65 191628-6</t>
  </si>
  <si>
    <t>MAKITA CARBON BRUSH CB-411 191940-4</t>
  </si>
  <si>
    <t>MAKITA CARBON BRUSH CB-430 191971-3</t>
  </si>
  <si>
    <t>MAKITA CARBON BRUSH CB-251A A-81343</t>
  </si>
  <si>
    <t>MAKITA POLY V-BELT 1900B/23B 3" 225007-7</t>
  </si>
  <si>
    <t>MAKITA POLY V-BELT 1805B,1806B 225042-5</t>
  </si>
  <si>
    <t>MAKITA POLY V-BELT 9-563 2030 225044-1</t>
  </si>
  <si>
    <t>MAKITA POLY V-BELT 3-1/4" 5-285 225001-9</t>
  </si>
  <si>
    <t>MAKITA POLY V-BELT 1911B 4-3/8" 225069-5</t>
  </si>
  <si>
    <t>MAKITA BALL BEARING 6201ZZ 211107-9</t>
  </si>
  <si>
    <t>MAKITA BEARING 608LLB 210043-6/211031-6</t>
  </si>
  <si>
    <t>MAKITA BEARING 6204LLB 211306-3 8500N</t>
  </si>
  <si>
    <t>MAKITA ARMATURE 515784-2 BO3710</t>
  </si>
  <si>
    <t>MAKITA BEARING 6200ZZ 211067-5 1804N</t>
  </si>
  <si>
    <t>MAKITA FIELD 593703-8 BO3710</t>
  </si>
  <si>
    <t>MAKITA FIELD 526609-5 GV6010</t>
  </si>
  <si>
    <t>MAKITA BALL BEARING 6200LLB 211066-7</t>
  </si>
  <si>
    <t>MAKITA ARMATURE 616969-4 UC3530A,UC4030A</t>
  </si>
  <si>
    <t>MAKITA FIELD 639534-2 UC3530A, UC4030A</t>
  </si>
  <si>
    <t>MAKITA BALL BEARING 608ZZ 211032-4 1900B</t>
  </si>
  <si>
    <t>MAKITA COLLECT CHUCK 1/2" 763602-0</t>
  </si>
  <si>
    <t>MAKITA BEARING 6002LLB 8500N 211201-7</t>
  </si>
  <si>
    <t>MAKITA BEARING 6301LLB GA7001 211111-8</t>
  </si>
  <si>
    <t>MAKITA BALL BEARING 606ZZ 210028-2</t>
  </si>
  <si>
    <t>MAKITA SWITCH JM23000112 FOR MT230</t>
  </si>
  <si>
    <t>MAKITA SWITCHC3NA-1-M1 650556-9 8280DWPE</t>
  </si>
  <si>
    <t>MAKITA SWITCH CA-AYA21AK-01/650562-4</t>
  </si>
  <si>
    <t>MAKITA SWITCH TG813TB-4 650212-1 HP2070</t>
  </si>
  <si>
    <t>MAKITA SWITCH 9035N 651233-6</t>
  </si>
  <si>
    <t>MAKITA SWITCH 651989-1 6226D</t>
  </si>
  <si>
    <t>MAKITA FELT 443074-2 3620</t>
  </si>
  <si>
    <t>MAKITA SWITCH HPAHR2-2 1100 651016-4</t>
  </si>
  <si>
    <t>MAKITA SWITCH HP1510 6409 651260-3</t>
  </si>
  <si>
    <t>MAKITA NUT M10 252625-8 3612BR</t>
  </si>
  <si>
    <t>MAKITA SWITCH SGEL 115  6301 651240-9</t>
  </si>
  <si>
    <t>MAKITA PAN HEAD SCREW 251228-5 1923B</t>
  </si>
  <si>
    <t>MAKITA KNOB 410127-2 3612BR</t>
  </si>
  <si>
    <t>MAKITA SWITCH 4300SB/9035 651242-5</t>
  </si>
  <si>
    <t>MAKITA SWITCH COVER 424086-4 MT921</t>
  </si>
  <si>
    <t>MAKITA BASE 450458-7 MT921</t>
  </si>
  <si>
    <t>MAKITA SWITCH KNOB 419566-3 9556NB</t>
  </si>
  <si>
    <t>MAKITA CAP 33   424087-2 MT921</t>
  </si>
  <si>
    <t>MAKITA SWITCH LEVER C 418796-3 9553NB</t>
  </si>
  <si>
    <t>MAKITA LEVER 272237-1</t>
  </si>
  <si>
    <t>MAKITA SWITCH UC4000/UC3500 970001200</t>
  </si>
  <si>
    <t>MAKITA WOODRUFF KEY 254011-9</t>
  </si>
  <si>
    <t>MAKITA  SWITCH SGL206CDY 650209-0 MT410</t>
  </si>
  <si>
    <t>MAKITA LEAF SPRING 232239-9</t>
  </si>
  <si>
    <t>MAKITA SWITCH 651280-7/651236-0 3620</t>
  </si>
  <si>
    <t>MAKITA ARMATURE 8420V 512749-5</t>
  </si>
  <si>
    <t>MAKITA GEAR ASSEMBLY 126148-1</t>
  </si>
  <si>
    <t>MAKITA SWITCHC3LA-2A-ED650559-3 8414DWAE</t>
  </si>
  <si>
    <t>MAKITA CYLINDER PISTON 195131202 EA4301F</t>
  </si>
  <si>
    <t>MAKITA MOTOR ASSY MGB-285M TP00000095</t>
  </si>
  <si>
    <t>MAKITA CAP 419589-1</t>
  </si>
  <si>
    <t>MAKITA SHOULDER PIN 268228-8</t>
  </si>
  <si>
    <t>MAKITA FIELD 623528-7</t>
  </si>
  <si>
    <t>MAKITA SUPPORT ASSY 638360-6</t>
  </si>
  <si>
    <t>MAKITA BAFFLE PLATE 419548-5</t>
  </si>
  <si>
    <t>MAKITA TERMINAL 130.431</t>
  </si>
  <si>
    <t>MAKITA BLOWER UNIT80    128.147</t>
  </si>
  <si>
    <t>MAKITA HEATING ELEMENT230V/1600W 125.723</t>
  </si>
  <si>
    <t>MAKITA PIPE 9    331719-3</t>
  </si>
  <si>
    <t>MAKITA BLOWER UNIT 110C   119.256</t>
  </si>
  <si>
    <t>MAKITA HEATING ELEMENT230V/1800W 119.577</t>
  </si>
  <si>
    <t>MAKITA LEVER 56 272253-3</t>
  </si>
  <si>
    <t>MAKITA HEX.NUT M8-13 252199-9</t>
  </si>
  <si>
    <t>MAKITA CAP SQUARE NECK BOLT 266237-1</t>
  </si>
  <si>
    <t>MAKITA KEYLESS DRIL CHUCK 766002-3 6261D</t>
  </si>
  <si>
    <t>MAKITA HEATING ELEMENT 119.654 (HG650C)</t>
  </si>
  <si>
    <t>MAKITA POWERSUPPLY CORD AWG18X3C S-00003</t>
  </si>
  <si>
    <t>MAKITA INNER HOUSING 154879-2</t>
  </si>
  <si>
    <t>MAKITA C.C. SPRING 233951-4</t>
  </si>
  <si>
    <t>MAKITA HELICAL GEAR 226653-9</t>
  </si>
  <si>
    <t>MAKITA SWITCH 650618-3 LS1216</t>
  </si>
  <si>
    <t>MAKITA CLAMP PLATE 331435-7 4304</t>
  </si>
  <si>
    <t>MAKITA FULE LINE 965452090 DCS6410</t>
  </si>
  <si>
    <t>MAKITA BRUSH HOLDER CMPL 638494-5 BHP452</t>
  </si>
  <si>
    <t>MAKITA CONTROLLER 631227-7 9227C</t>
  </si>
  <si>
    <t>MAKITA SWITCH 651282-3 9227C</t>
  </si>
  <si>
    <t>MAKITA F/R CHANGE LEVER 452399-3 MT081</t>
  </si>
  <si>
    <t>MAKITA TERMINAL 643869-5 MT081</t>
  </si>
  <si>
    <t>MAKITA GASLINE FILTER 163447-0 EA3201S</t>
  </si>
  <si>
    <t>MAKITA SUCTION LINE 181245100 EA4301F</t>
  </si>
  <si>
    <t>MAKITA ARMATURE 515849-0 MT606</t>
  </si>
  <si>
    <t>MAKITA FIELD 635104-5 TD0100</t>
  </si>
  <si>
    <t>MAKITA O RING 213423-5 2702</t>
  </si>
  <si>
    <t>MAKITA KNOB 20 271408-7 2702</t>
  </si>
  <si>
    <t>MAKITA URETHAN RING 48 262111-1 HM1306</t>
  </si>
  <si>
    <t>MAKITA IDLER 324492-2 HM1306</t>
  </si>
  <si>
    <t>MAKITA RUBBER SLEEVE 66 262557-1 HM1306</t>
  </si>
  <si>
    <t>MAKITA CONNECTION ROD 324494-8 HM1306</t>
  </si>
  <si>
    <t>MAKITA PISTON 317828-2 HM1306</t>
  </si>
  <si>
    <t>MAKITA PIN 12 268119-3 HM1306</t>
  </si>
  <si>
    <t>MAKITA HAMMER 324493-0 HM1306</t>
  </si>
  <si>
    <t>MAKITA O RING 60 213668-5 HM1306</t>
  </si>
  <si>
    <t>MAKITA BARREL 317829-0 HM1306</t>
  </si>
  <si>
    <t>MAKITA HOLDER SEAL 442139-7 HM1306</t>
  </si>
  <si>
    <t>MAKITA SEAL RING A 421886-3 HM1306</t>
  </si>
  <si>
    <t>MAKITA SPRING A0100-0221 AF301</t>
  </si>
  <si>
    <t>MAKITA O RING A0200-0231 AF301</t>
  </si>
  <si>
    <t>MAKITA GASKET A0205-0111 AF301</t>
  </si>
  <si>
    <t>MAKITA BUMPER A0309-0011 AF301</t>
  </si>
  <si>
    <t>MAKITA O RING A0200-0911 AF301</t>
  </si>
  <si>
    <t>MAKITA SPACER A0800-0381 AF301</t>
  </si>
  <si>
    <t>MAKITA NOZZLE A0310-0241 AF301</t>
  </si>
  <si>
    <t>MAKITA RELEASE CATCH A0711-0344 AF301</t>
  </si>
  <si>
    <t>MAKITA PISTON SET K0600-1761 AF301</t>
  </si>
  <si>
    <t>MAKITA VALVE ASS'Y K0300-0671 AF301</t>
  </si>
  <si>
    <t>MAKITA HEAD VALVE SET K0300-0621 AF301</t>
  </si>
  <si>
    <t>MAKITA CYLINDER SET K0300-0861 AF301</t>
  </si>
  <si>
    <t>MAKITA CAP 35 286288-8 HR2601</t>
  </si>
  <si>
    <t>MAKITA D.CHUCK 6000R 763136-3,763074-9</t>
  </si>
  <si>
    <t>MAKITA CHUCK 451533-2 HR2601</t>
  </si>
  <si>
    <t>MAKITA SWITCH 651600-5 906,BO4540</t>
  </si>
  <si>
    <t>MAKITA BRUSH HOLDER CMPL 638655-7 HR2601</t>
  </si>
  <si>
    <t>MAKITA PAPER CLAMP 345342-8 (BO3700)</t>
  </si>
  <si>
    <t>MAKITA INNER FLAN 224314-5 9500,23,53NB</t>
  </si>
  <si>
    <t>MAKITA KEY 5X10 JM23000085 MT230</t>
  </si>
  <si>
    <t>MAKITA SWITCH 3612BR (651481-7) 651471-0</t>
  </si>
  <si>
    <t>MAKITA BEARING 6304-RZ JM23000086 MT230</t>
  </si>
  <si>
    <t>MAKITA SWITCH 5014B 651023-7 651022-9</t>
  </si>
  <si>
    <t>MAKITA SPCL SCREW M12 001111012 (DCS430)</t>
  </si>
  <si>
    <t>MAKITA SDS PLUS BIT D-00175</t>
  </si>
  <si>
    <t>MAKITA OIL PUMP CPL 161346-0 (EA4301F)</t>
  </si>
  <si>
    <t>MAKITA SHAFT UC4000 225221030/225221020</t>
  </si>
  <si>
    <t>MAKITA RACK BRACKET JM27000142 MLT100</t>
  </si>
  <si>
    <t>MAKITA INNER FLANGE JM27000171 MLT100</t>
  </si>
  <si>
    <t>MAKITA OUTER FLANGE JM27000179 MLT100</t>
  </si>
  <si>
    <t>MAKITA NUT JM27000180 MLT100</t>
  </si>
  <si>
    <t>MAKITA BLADE INNER JM27000101 MLT100</t>
  </si>
  <si>
    <t>MAKITA KEY 4X8 JM27000159 MLT100</t>
  </si>
  <si>
    <t>MAKITA ARMARURE 510208-3  MT191</t>
  </si>
  <si>
    <t>MAKITA BRACKET COMPLETE 140944-3   MT191</t>
  </si>
  <si>
    <t>MAKITA CONTROLLER 631427-9 PV7000C</t>
  </si>
  <si>
    <t>MAKITA  SWITCH HOLDER COMPLETE 158281-1</t>
  </si>
  <si>
    <t>MAKITA  CONTROLLER 631151-4</t>
  </si>
  <si>
    <t>MAKITA  GEAR COMPLETE 8-50 226134-3</t>
  </si>
  <si>
    <t>MAKITA  HELICAL GEAR 47 226518-5</t>
  </si>
  <si>
    <t>MAKITA  CHARGER TP00000111</t>
  </si>
  <si>
    <t>MAKITA INNER FLANGE 45 224180-0</t>
  </si>
  <si>
    <t>MAKITA ARMATURE 619246-3</t>
  </si>
  <si>
    <t>MAKITA ORING 213039-6 / UC3530A</t>
  </si>
  <si>
    <t>MAKITA NEEDLE BEARING 212102-2 / 5900B</t>
  </si>
  <si>
    <t>MAKITA WORM GEAR 221422-3 /DCS6410</t>
  </si>
  <si>
    <t>MAKITA CARBURETOR 168421-3 /DCS6410</t>
  </si>
  <si>
    <t>MAKITA IGNITION COIL 125278-5 /DCS6410</t>
  </si>
  <si>
    <t>MAKITA HOOD RED 036118012</t>
  </si>
  <si>
    <t>MAKITA HELICAL GEAR 44 221013-0</t>
  </si>
  <si>
    <t>MAKITA GEAR HOUSING 317797-7 / MT958</t>
  </si>
  <si>
    <t>MAKITA GEAR HOUSING 153423-2 / MT954</t>
  </si>
  <si>
    <t>MAKITA CONTROLLER 631768-3 / 4350CT</t>
  </si>
  <si>
    <t>MAKITA SWITCH 650202-4 /4350CT</t>
  </si>
  <si>
    <t>MAKITA GEAR COMPLETE 153335-9  / 4350CT</t>
  </si>
  <si>
    <t>MAKITA BEARING 608DDW 210005-4  / 4350CT</t>
  </si>
  <si>
    <t>MAKITA LED CIRCUIT 631813-4 / DF030D</t>
  </si>
  <si>
    <t>MAKITA GEAR ASS'Y  125460-6 / DF030D</t>
  </si>
  <si>
    <t>MAKITA TERMINAL 643830-2  / DF030D</t>
  </si>
  <si>
    <t>MAKITA TERMINAL 643862-9 / DF457D</t>
  </si>
  <si>
    <t>MAKITA SWITCH 650583-6 / BHP452</t>
  </si>
  <si>
    <t>MAKITA DC MOTOR 629924-7 / MT070</t>
  </si>
  <si>
    <t>MAKITA SWITCH 651941-9 / LS1214</t>
  </si>
  <si>
    <t>MAKITA KNOB 20 271601-3 / LS1214</t>
  </si>
  <si>
    <t>MAKITA ARMATURE 512550-8 / 9207SPB</t>
  </si>
  <si>
    <t>MAKITA BACKING PAD 743053-3</t>
  </si>
  <si>
    <t>MAKITA V PULLY 222060-4 / 2030</t>
  </si>
  <si>
    <t>MAKITA CONTROLLER 631777-2/ 4327M</t>
  </si>
  <si>
    <t>MAKITA SWITCH 651315-4/ 4014N</t>
  </si>
  <si>
    <t>MAKITA CRANK 450230-7/ UC4030</t>
  </si>
  <si>
    <t>MAKITA SWITCH 638470-9/TD020D</t>
  </si>
  <si>
    <t>MAKITA SWITCH 638605-2/DF010D</t>
  </si>
  <si>
    <t>MAKITA EXTENSION 3320130/ HW102</t>
  </si>
  <si>
    <t>MAKITA SWITCH 650215-5 / MT602</t>
  </si>
  <si>
    <t>MAKITA RING 17 257185-5 / 2414NB</t>
  </si>
  <si>
    <t>MAKITA GEAR COMPLETE 153587-2 MT600</t>
  </si>
  <si>
    <t>MAKITA INJECTION CEARBORATOR 957151100</t>
  </si>
  <si>
    <t>MAKITA FIELD 635113-4 GA4030</t>
  </si>
  <si>
    <t>MAKITA TOOL HOLDER COMP. HR2470 158574-6</t>
  </si>
  <si>
    <t>MAKITA FIELD 906H 521554-9</t>
  </si>
  <si>
    <t>MAKITA DISC DCS6400 181224081</t>
  </si>
  <si>
    <t>MAKITA SHIM DCS6400 021224011</t>
  </si>
  <si>
    <t>MAKITA RUBBER BUFFER 965403430 DCS6800I</t>
  </si>
  <si>
    <t>MAKITA GEAR BOX ASSY JM27000424 MLT100</t>
  </si>
  <si>
    <t>MAKITA BALANCER 310301-1 BO3710</t>
  </si>
  <si>
    <t>MAKITA PAN HEAD SCREW 911136-9 BO3710</t>
  </si>
  <si>
    <t>MAKITA SPRING GUIDE 310300-3 BO3710</t>
  </si>
  <si>
    <t>MAKITA FLAT HEAD SCREWM5 266511-7 BO3710</t>
  </si>
  <si>
    <t>MAKITA O-RING 6 213045-1 BO3710</t>
  </si>
  <si>
    <t>MAKITA PAPER CLAMP 346102-1 BO3710</t>
  </si>
  <si>
    <t>MAKITA RUBBER BUSH 27213150 DCS430</t>
  </si>
  <si>
    <t>MAKITA SPINDLE 324247-5 (HP2050)</t>
  </si>
  <si>
    <t>MAKITA HEX.BOLT M10X25 265265-3 (4110C)</t>
  </si>
  <si>
    <t>MAKITA CARBURETOR 168848-7 EA3201S</t>
  </si>
  <si>
    <t>MAKITA CYLINDER PISTON 196384-3(EA3201S)</t>
  </si>
  <si>
    <t>MAKITA ARMATURE 510259-6 (MT920)</t>
  </si>
  <si>
    <t>MAKITA ARMATURE 510142-7 / MT922</t>
  </si>
  <si>
    <t>MAKITA CARBON BRUSH CB-325   194074-2</t>
  </si>
  <si>
    <t>MAKITA CARBON BRUSH CB-175 195844-2</t>
  </si>
  <si>
    <t>MAKITA BRUSH HOLDER 638447-4 (HM1214C)</t>
  </si>
  <si>
    <t>MAKITA FIELD 625764-1 (HR4002)</t>
  </si>
  <si>
    <t>MAKITA FIELD 633688-7 (MT922)</t>
  </si>
  <si>
    <t>MAKITA GEAR 227546-3 (GA4030)</t>
  </si>
  <si>
    <t>MAKITA GEAR ASSY 227545-5 (GA4030)</t>
  </si>
  <si>
    <t>MAKITA HELICAL GEAR  226662-8</t>
  </si>
  <si>
    <t>MAKITA SWITCH FOR 5008MG 651189-3</t>
  </si>
  <si>
    <t>MAKITA CONTROLLER 631657-2 (4001C)</t>
  </si>
  <si>
    <t>MAKITA BRACKET COMPLETE 152198-0 (1923B)</t>
  </si>
  <si>
    <t>MAKITA MAKITA PINION 225222010 (UC3500)</t>
  </si>
  <si>
    <t>MAKITA BEARING HOUSING 318013-0(UC3530A)</t>
  </si>
  <si>
    <t>MAKITA CONTROLLER 631883-3 (HM1214C)</t>
  </si>
  <si>
    <t>MAKITA FAN GUIDE 451267-7 (BO3710)</t>
  </si>
  <si>
    <t>MAKITA FAN  240117-9 (BO3710)</t>
  </si>
  <si>
    <t>MAKITA COMPRESSIONSPRING 233005-7 TD090D</t>
  </si>
  <si>
    <t>MAKITA V-PULLY 4-37 222126-0 (N1900B)</t>
  </si>
  <si>
    <t>MAKITA V-PULLY 222146-4  N1902</t>
  </si>
  <si>
    <t>MAKITA V-PULLY 222145-6 N1902</t>
  </si>
  <si>
    <t>MAKITA M-HOUSING  183521-8 (MT953-MT952)</t>
  </si>
  <si>
    <t>MAKITA TOOL RETAINER 324942-7 HM1306</t>
  </si>
  <si>
    <t>MAKITA MOTOR HOUSING  183464-4 (MT954)</t>
  </si>
  <si>
    <t>MAKITA MOTOR HOUSING  450795-9 (GA4030)</t>
  </si>
  <si>
    <t>MAKITA MOTOR HOUSING 418838-3 (9556PH)</t>
  </si>
  <si>
    <t>MAKITA MAIN FRAME 153536-9 MT580</t>
  </si>
  <si>
    <t>MAKITA ARMATURE ASS'Y 515294-9 (HR2800)</t>
  </si>
  <si>
    <t>MAKITA COMPERSSOR SPRING 233309-7 HM1306</t>
  </si>
  <si>
    <t>MAKITA RETAINER SLEEVE 324135-6 HM1306</t>
  </si>
  <si>
    <t>MAKITA HANDLE COVER 411170-4 (1900B)</t>
  </si>
  <si>
    <t>MAKITA ANUILN 324510-6 BTD142</t>
  </si>
  <si>
    <t>MAKITA ORING 213227-5 (HR2440)</t>
  </si>
  <si>
    <t>MAKITA PISTI CYLINDER 331776-1 HR2810</t>
  </si>
  <si>
    <t>MAKITA LINK PLATE CMPLT 154643-1(LS0714)</t>
  </si>
  <si>
    <t>MAKITA CONNECTING ROD 158282-9 HR2810</t>
  </si>
  <si>
    <t>MAKITA GEAR HOUSING CMPLT 159999-7(2702)</t>
  </si>
  <si>
    <t>MAKITA CRANK SHAFT 324793-8 HR2810</t>
  </si>
  <si>
    <t>MAKITA STIKER 324733-6 HR2810</t>
  </si>
  <si>
    <t>MAKITA ADJUST SCREW 324620-9 / UC3530A</t>
  </si>
  <si>
    <t>MAKITA HEX-HANGE HEAD BOLT 251690-4 / 20</t>
  </si>
  <si>
    <t>MAKITA SPUR GEAR 221019-8 6300NB</t>
  </si>
  <si>
    <t>MAKITA CHANGE PLATE 345363-0 / HR2453</t>
  </si>
  <si>
    <t>MAKITA ARMATURE 510167-1 / MT582</t>
  </si>
  <si>
    <t>MAKITA NEEDLE BEARING COPM 153290-5 / HR</t>
  </si>
  <si>
    <t>MAKITA BEARING 6302LLB 211211-4 / 2416S</t>
  </si>
  <si>
    <t>MAKITA HELICAL GEAR 226726-8 / HR2410</t>
  </si>
  <si>
    <t>MAKITA SUPER GEAR 226293-3 / HR2410</t>
  </si>
  <si>
    <t>MAKITA GEAR 227448-3 / MT954</t>
  </si>
  <si>
    <t>MAKITA HELICAL GEAR 221193-2 / 9410</t>
  </si>
  <si>
    <t>MAKITA FLAT WASHER 253744-3 / HR2410</t>
  </si>
  <si>
    <t>MAKITA RING SPRING 28 233918-2 / HR2450</t>
  </si>
  <si>
    <t>MAKITA WASHER 30 267228-5 / HR2450</t>
  </si>
  <si>
    <t>MAKITA COMPRESSION SPRING 233328-3</t>
  </si>
  <si>
    <t>MAKITA SUPER GEAR 51 227028-5 / HR2450</t>
  </si>
  <si>
    <t>MAKITA FLAT WASHER 28 267229-3 / HR2450</t>
  </si>
  <si>
    <t>MAKITA ORING 9 213073-6 / HR2450</t>
  </si>
  <si>
    <t>MAKITA RING SPRING 28 233917-4 / HR2450</t>
  </si>
  <si>
    <t>MAKITA IMPACT BOLT 324396-8 / HR2450</t>
  </si>
  <si>
    <t>MAKITA GASKET 965517031 / DCS6800I</t>
  </si>
  <si>
    <t>MAKITA CHANGE LEVER 419041-9 / BTD145</t>
  </si>
  <si>
    <t>MAKITA SWITCH 650621-4 / 9556NB</t>
  </si>
  <si>
    <t>MAKITA SWITCH 650564-0 / BTD142</t>
  </si>
  <si>
    <t>MAKITA BRUSH HOLDER 638387-6 / BTD142</t>
  </si>
  <si>
    <t>MAKITA COLLET NUT 6 763661-4 / 3709</t>
  </si>
  <si>
    <t>MAKITA ARMATURE 619247-1 / BTD142</t>
  </si>
  <si>
    <t>MAKITA BLADE CASE SET 188370-8 / LS1013</t>
  </si>
  <si>
    <t>MAKITA DRUM 161140-0 / MT190</t>
  </si>
  <si>
    <t>MAKITA GEAR HOUSING 156838-2 / JN3200</t>
  </si>
  <si>
    <t>MAKITA HEATING ELEMENT 115-120431H</t>
  </si>
  <si>
    <t>MAKITA MOTOR HOUSING 159998-9 / 2702</t>
  </si>
  <si>
    <t>MAKITA SHOLDER PIN 5 256505-0 / GA5010</t>
  </si>
  <si>
    <t>MAKITA CONTROLLER 631534-8 / HP2070</t>
  </si>
  <si>
    <t>MAKITA COMPRESION SPRING 234057-1GA4030</t>
  </si>
  <si>
    <t>MAKITA GEAR HOUSING 318335-8 / GA4030</t>
  </si>
  <si>
    <t>MAKITA MOTOR HOUSING 152937-8 / LS1440</t>
  </si>
  <si>
    <t>MAKITA CHANGE LEVER A 415619-6 / HP2030</t>
  </si>
  <si>
    <t>MAKITA PUMP DRIVE 27245010 / DCS430</t>
  </si>
  <si>
    <t>MAKITA SLIDER 168514-6 / MT430</t>
  </si>
  <si>
    <t>MAKITA FLAT WASHER 12 267212-0 / HR2460</t>
  </si>
  <si>
    <t>MAKITA COMPRESSION SPRING 233347-9HR2460</t>
  </si>
  <si>
    <t>MAKITA CLUTCH CAM 331734-7 / HR2460</t>
  </si>
  <si>
    <t>MAKITA SUPER GEAR 10 227182-5 / HR2460</t>
  </si>
  <si>
    <t>MAKITA COMPRESSION SPRING 233388-5HR2460</t>
  </si>
  <si>
    <t>MAKITA CHANGE PLATE 346035-0 / HR2460</t>
  </si>
  <si>
    <t>MAKITA STOP RING 961017-7 /4304</t>
  </si>
  <si>
    <t>MAKITA GUIDE BASE 417796-0 / HR2470</t>
  </si>
  <si>
    <t>MAKITA LOOK PLATE 163430-7 / HR2470</t>
  </si>
  <si>
    <t>MAKITA SUPER GEAR 51 227109-5 / HR2470</t>
  </si>
  <si>
    <t>MAKITA SUPER GEAR 10 227179-4 / HR2470</t>
  </si>
  <si>
    <t>MAKITA ARMATURE 510164-7</t>
  </si>
  <si>
    <t>MAKITA FIELD 635099-2 / MT920</t>
  </si>
  <si>
    <t>MAKITA ARMATURE 517794-5 / GA7020</t>
  </si>
  <si>
    <t>MAKITA HELICAL GEAR 226579-5 / HP1620</t>
  </si>
  <si>
    <t>MAKITA KNOB 50 COMPLETE 153764-6 / MT360</t>
  </si>
  <si>
    <t>MAKITA SPINDLE 325550-7 / 5016B</t>
  </si>
  <si>
    <t>MAKITA WOODRUFF KEY 5 254032-1 / 5016B</t>
  </si>
  <si>
    <t>MAKITA FLAT WASHER 15 253147-1 / 5016B</t>
  </si>
  <si>
    <t>MAKITA RUBBER PIN 6 263005-3 / 5016B</t>
  </si>
  <si>
    <t>MAKITA CARBON BRUSH B-80248 / CB-55</t>
  </si>
  <si>
    <t>MAKITA BEARING 698W 210013-5</t>
  </si>
  <si>
    <t>MAKITA GEAR ASS'Y 125387-0 / BHP442</t>
  </si>
  <si>
    <t>MAKITA TERMINAL 643844-1 / BTD142</t>
  </si>
  <si>
    <t>MAKITA COMPRESSION SPRING 35  233052-8</t>
  </si>
  <si>
    <t>MAKITA FIELD 593539-5 / MT650</t>
  </si>
  <si>
    <t>MAKITA FIELD 599536-9 / LS1216</t>
  </si>
  <si>
    <t>MAKITA GEAR HOUSING 417818-6 / MT813</t>
  </si>
  <si>
    <t>MAKITA RIM SPROCKET 119224070 DCS6000I</t>
  </si>
  <si>
    <t>MAKITA INNER HOUSING COMPLETE 154481-1</t>
  </si>
  <si>
    <t>MAKITA SPINDLE FOR 5201N 325183-8 "MAK"</t>
  </si>
  <si>
    <t>MAKITA ARMATURE 513748-0 / HR3200C</t>
  </si>
  <si>
    <t>MAKITA SWITCH ASS'Y FOR 6095DWE 531057-5</t>
  </si>
  <si>
    <t>MAKITA FIELD 625813-4 / HR3200C</t>
  </si>
  <si>
    <t>MAKITA SPIRAL SPRING 26  231934-8</t>
  </si>
  <si>
    <t>MAKITA FIELD 635014-6 / JN1601</t>
  </si>
  <si>
    <t>MAKITA COUNTERSUNK HEAD SCREW 912222-9</t>
  </si>
  <si>
    <t>MAKITA SWITCH LEVER 418141-2 / MT240</t>
  </si>
  <si>
    <t>MAKITA COMPRESSION SPRING 6 3 231307-5</t>
  </si>
  <si>
    <t>MAKITA COMPRESION SPRING 231397-8 MT240</t>
  </si>
  <si>
    <t>MAKITA SWITCH SGEL BO3700 651286-5</t>
  </si>
  <si>
    <t>MAKITA SWITCH LOCK 415366-9 / 2414NB</t>
  </si>
  <si>
    <t>MAKITA FILISTER HEAD SCREW 915135100</t>
  </si>
  <si>
    <t>MAKITA ARMATURE 517654-1 / TD0101F</t>
  </si>
  <si>
    <t>MAKITA SCREW 901505354</t>
  </si>
  <si>
    <t>MAKITA FIELD 635109-5 / TD0101F</t>
  </si>
  <si>
    <t>MAKITA SPRING UC4000 021245060</t>
  </si>
  <si>
    <t>MAKITA SUPER GEAR 227213-0 / TD0101F</t>
  </si>
  <si>
    <t>MAKITA SCREW M8X320 LS1013 266132-5</t>
  </si>
  <si>
    <t>MAKITA SPINDLE 324897-6 / TD0101F</t>
  </si>
  <si>
    <t>MAKITA PAN HEAD SCREW M5X18 911228-4</t>
  </si>
  <si>
    <t>MAKITA SWITCH 650613-3 / TD0101F</t>
  </si>
  <si>
    <t>MAKITA TURN STOPPER LS1013 331493-3</t>
  </si>
  <si>
    <t>MAKITA BRACKET COMPLETE 153746-8 / MT190</t>
  </si>
  <si>
    <t>MAKITA SLIDE STOPPER 344411-2</t>
  </si>
  <si>
    <t>MAKITA TANKCAP COMPLETE 154870-0 UC3530A</t>
  </si>
  <si>
    <t>MAKITA SPINDLE 322899-6 LS1013</t>
  </si>
  <si>
    <t>MAKITA STRIKER 322740-3 FOR HR2410 "MAK"</t>
  </si>
  <si>
    <t>MAKITA COMPRESSION SPRING 7 233396-6</t>
  </si>
  <si>
    <t>MAKITA PAN HEAD SCREW M5X8 911203-0</t>
  </si>
  <si>
    <t>MAKITA LEAF SPRING 232110-7 FOR LS1030</t>
  </si>
  <si>
    <t>MAKITA OIL SEAL 19 213314-0 FOR HP2030</t>
  </si>
  <si>
    <t>MAKITA SPRING 170213730</t>
  </si>
  <si>
    <t>MAKITA SWITCH LEVER FOR N5900B 417115-0</t>
  </si>
  <si>
    <t>MAKITA TRIMMER GUIDE ASS'Y  123022-4</t>
  </si>
  <si>
    <t>MAKITA RING TERMINAL FOR N1900B 654018-9</t>
  </si>
  <si>
    <t>MAKITA FLAT WASHER 6095DWE 253804-1</t>
  </si>
  <si>
    <t>MAKITA FLYWHEEL FOR DCS400 021141012</t>
  </si>
  <si>
    <t>MAKITA FLAT WASHER LS1040 267136-0</t>
  </si>
  <si>
    <t>MAKITA CLAMP WASHER 930304030 UC4000</t>
  </si>
  <si>
    <t>MAKITA FLAT WASHER  267287-9 FOR HM1305</t>
  </si>
  <si>
    <t>MAKITA URETHAN RING 262112-9 FOR HM1305</t>
  </si>
  <si>
    <t>MAKITA FLAT WASHER 4 941051-3 FOR 4300BV</t>
  </si>
  <si>
    <t>MAKITA CENTER WASHER 345589-4   LS 0711B</t>
  </si>
  <si>
    <t>MAKITA SWITCH DGO-1104H 650586-0</t>
  </si>
  <si>
    <t>MAKITA ARM CPL 154463-3</t>
  </si>
  <si>
    <t>MAKITA CAP 31 286265-0</t>
  </si>
  <si>
    <t>MAKITA CHUCK COVER 416410-5</t>
  </si>
  <si>
    <t>MAKITA COMPRESSION SPRING /233203-3</t>
  </si>
  <si>
    <t>MAKITA SPRING GUIDE /323819-3</t>
  </si>
  <si>
    <t>MAKITA COMPRESSION SPRING 35 / 233234-2</t>
  </si>
  <si>
    <t>MAKITA RING SPRING 17  / 231979-6</t>
  </si>
  <si>
    <t>MAKITA LEAF SPRING 26  / 232190-3</t>
  </si>
  <si>
    <t>MAKITA PIN 8 / 256447-8</t>
  </si>
  <si>
    <t>MAKITA CHUCK RING  / 323820-8</t>
  </si>
  <si>
    <t>MAKITA GUIDE WASHER  / 344690-2</t>
  </si>
  <si>
    <t>MAKITA ADJUST PIN 325549-2</t>
  </si>
  <si>
    <t>MAKITA PAN HEAD SCREW M5X 40  / 265062-7</t>
  </si>
  <si>
    <t>MAKITA ROD 16 256836-7</t>
  </si>
  <si>
    <t>MAKITA SPIRAL BEVEL GEAR 10 227464-5</t>
  </si>
  <si>
    <t>MAKITA PAD CPL 158324-9</t>
  </si>
  <si>
    <t>MAKITA DC MOTOR 12V / 629733-4</t>
  </si>
  <si>
    <t>MAKITA FIELD ASS'Y 9500NB 593479-7</t>
  </si>
  <si>
    <t>MAKITA SWITCH 6904VH 651262-9</t>
  </si>
  <si>
    <t>MAKITA 151594-9 GEAR HOUSING CMPLT 4304</t>
  </si>
  <si>
    <t>MAKITA 153389-6 GEAR HOUSING COVCPL 4304</t>
  </si>
  <si>
    <t>MAKITA 265035-0  HEAD SCREW M4X10 4304</t>
  </si>
  <si>
    <t>MAKITA 344232-2 THRUST PLATE 4304</t>
  </si>
  <si>
    <t>MAKITA 152454-8 CRANK COMPLETE 4304</t>
  </si>
  <si>
    <t>MAKITA RING SPRING 22 231940-3 6827</t>
  </si>
  <si>
    <t>MAKITA 344134-2 PUSH PLATE 4304</t>
  </si>
  <si>
    <t>MAKITA 253792-2 FLAT WASHER 264304/9045B</t>
  </si>
  <si>
    <t>MAKITA 212043-2 NEEDLE BEARING 810/ 4304</t>
  </si>
  <si>
    <t>MAKITA 226428-6 HELICAL GEAR 51 F/4304</t>
  </si>
  <si>
    <t>MAKITA 253139-0 FLAT WASHER 8 F/6510LVR</t>
  </si>
  <si>
    <t>MAKITA 253715-0 FLAT WASHER 6 F/2012NB</t>
  </si>
  <si>
    <t>MAKITA 961004-6 RETAI RING 4100NH/4340CT</t>
  </si>
  <si>
    <t>MAKITA 922126-7 HEX.SOCKETHEAD BOLT 4304</t>
  </si>
  <si>
    <t>MAKITA BEARING BOX LS1013 316836-0</t>
  </si>
  <si>
    <t>MAKITA ARMATURE 9067 518713-4</t>
  </si>
  <si>
    <t>MAKITA GEAR LS0711B 226497-7</t>
  </si>
  <si>
    <t>MAKITA GASKET DCS400 965524062</t>
  </si>
  <si>
    <t>MAKITA CLUTCH COVER 324140-3 6827</t>
  </si>
  <si>
    <t>MAKITA Lever 45 272221-6</t>
  </si>
  <si>
    <t>MAKITA PAD 123 743081-8</t>
  </si>
  <si>
    <t>MAKITA SET PLATE 343682-8</t>
  </si>
  <si>
    <t>MAKITA FIELD ASSEMBLY 240V1911B 594489-7</t>
  </si>
  <si>
    <t>MAKITA RING TERMINAL FOR LS1040 654020-2</t>
  </si>
  <si>
    <t>MAKITA ARMATURE ASS'Y 515619-7 9553NB</t>
  </si>
  <si>
    <t>MAKITA ARMATURE ASS'Y GA6010 513704-0</t>
  </si>
  <si>
    <t>MAKITA ARMATURE ASS'Y BO4556 515708-8</t>
  </si>
  <si>
    <t>MAKITA SPIRAL BEVEL GEAR 221318-8 9500NB</t>
  </si>
  <si>
    <t>MAKITA SPROCKET GUARD  225213102 UC4000</t>
  </si>
  <si>
    <t>MAKITA CARBON BRUSH CB-419 B-80422</t>
  </si>
  <si>
    <t>MAKITA CARBON BRUSH CB-64A B-80254</t>
  </si>
  <si>
    <t>MAKITA POLY -V BELT 9924DB 225008-5</t>
  </si>
  <si>
    <t>MAKITA PUNCH/792728-1</t>
  </si>
  <si>
    <t>MAKITA GEAR / 221636-4</t>
  </si>
  <si>
    <t>MAKITA HANDLE SET 181150-1</t>
  </si>
  <si>
    <t>MAKITA ARMATURE/ 517324-2</t>
  </si>
  <si>
    <t>MAKITA CUP WASHER / 253922-5</t>
  </si>
  <si>
    <t>MAKITA FIELD 636303-2 HM1214C</t>
  </si>
  <si>
    <t>MAKITA GEAR / 221194-0</t>
  </si>
  <si>
    <t>MAKITA PIN HOLDER 316882-3 FOR LS1212</t>
  </si>
  <si>
    <t>MAKITA HELICAL GEAR 227550-2 LS1016</t>
  </si>
  <si>
    <t>MAKITA SPINDLE 324223-9 (MT811)</t>
  </si>
  <si>
    <t>MAKITA TORQUE LIMITER ASS'Y 125421-6</t>
  </si>
  <si>
    <t>MAKITA ARMATURE GA4030  510139-6</t>
  </si>
  <si>
    <t>MAKITA FIELD ASSY 594469-3 MT410</t>
  </si>
  <si>
    <t>MAKITA PAN HEAD SCREW 911223-4</t>
  </si>
  <si>
    <t>MAKITA HEX.SOCKET H. BOLT M6X8 265894-2</t>
  </si>
  <si>
    <t>MAKITA PAN HEAD SCREW M4X10 911113-1</t>
  </si>
  <si>
    <t>MAKITA PAN HEAD SCREW 251246-3 1900B</t>
  </si>
  <si>
    <t>MAKITA OIL SUPPLY 100CC 5016B 182229-1</t>
  </si>
  <si>
    <t>MAKITA OIL SUPPLY 100CC 181118-7</t>
  </si>
  <si>
    <t>MAKITA PAN HEAD SCREW M5X12 911213-7</t>
  </si>
  <si>
    <t>MAKITA RING SPRING 30.5  231936-4 "MAK"</t>
  </si>
  <si>
    <t>MAKITA STARTER RATCHET COMPL  028166030</t>
  </si>
  <si>
    <t>MAKITA HELICAL GEAR 43 5008B 221687-7</t>
  </si>
  <si>
    <t>MAKITA HELICALGEARLS1030/LS1020 221712-4</t>
  </si>
  <si>
    <t>MAKITA HELICAL GEAR 42 LS1040 226465-0</t>
  </si>
  <si>
    <t>MAKITA H.GEAR 41 226415-5 2414B/ 2414NB</t>
  </si>
  <si>
    <t>MAKITA HELICAL GEAR 41 HM0810 221669-9</t>
  </si>
  <si>
    <t>MAKITA HELICAL GEAR 62 NHP1300S 226495-1</t>
  </si>
  <si>
    <t>MAKITA HELICAL GEAR 34 226553-3 MT410</t>
  </si>
  <si>
    <t>MAKITA HELICAL GEAR 69 5103N 221159-2</t>
  </si>
  <si>
    <t>MAKITA SPIRAL BEVEL GEAR 227438-6</t>
  </si>
  <si>
    <t>MAKITA SPIRAL BEVEL GEAR 227440-9</t>
  </si>
  <si>
    <t>MAKITA ARMATURE 516888-3</t>
  </si>
  <si>
    <t>MAKITA FIELD 626134-7</t>
  </si>
  <si>
    <t>MAKITA BALL BEARING 210025-8 (627LLB)</t>
  </si>
  <si>
    <t>MAKITA POWER SUPPLY CORD 692021-2</t>
  </si>
  <si>
    <t>MAKITA BALL BEARING 211016-2 (626LLB)</t>
  </si>
  <si>
    <t>MAKITA SPEED CHANGE LEVER 125366-8</t>
  </si>
  <si>
    <t>MAKITA GEAR ASS'Y 125348-0</t>
  </si>
  <si>
    <t>MAKITA STAY 341381-6 3601B</t>
  </si>
  <si>
    <t>MAKITA O RING 46 213620-3 HR2810</t>
  </si>
  <si>
    <t>MAKITA TOOL HOLDER 123191-1 HR2810</t>
  </si>
  <si>
    <t>MAKITA HANDLE SET INC.67/INC.5 181137-3</t>
  </si>
  <si>
    <t>MAKITA ARMATURE   515859-7  MT870</t>
  </si>
  <si>
    <t>MAKITA ARMATURE   515794-9  KP0800</t>
  </si>
  <si>
    <t>MAKITA LIGHT CIRCUIT 631693-8 / BTD142</t>
  </si>
  <si>
    <t>MAKITA GEAR HOUSING COVER 140426-5 MT814</t>
  </si>
  <si>
    <t>MAKITA GEAR HOUSING 451907-7 / MT814</t>
  </si>
  <si>
    <t>MAKITA CONTROLLER 631784-5 / HR3200C</t>
  </si>
  <si>
    <t>MAKITA POWER S-CORD 692434-7 / 5402</t>
  </si>
  <si>
    <t>MAKITA BELT COVER 183767-6 / MT190</t>
  </si>
  <si>
    <t>MAKITA SWITCH 650672-7 / 6261D</t>
  </si>
  <si>
    <t>MAKITA TUBE 965452660 / UC4000</t>
  </si>
  <si>
    <t>MAKITA COLLET SLEEVE - 763808-0</t>
  </si>
  <si>
    <t>MAKITA COLLET SLEEVE - 763809-8</t>
  </si>
  <si>
    <t>MAKITA MAIN FRAME-183768-4</t>
  </si>
  <si>
    <t>MAKITA GEAR 226656-3</t>
  </si>
  <si>
    <t>MAKITA COMPRESSION SPRING 231266-3</t>
  </si>
  <si>
    <t>MAKITA SWITCH 651478-6 DP4700</t>
  </si>
  <si>
    <t>MAKITA ARMATURE ASSY HR2300 515354-7</t>
  </si>
  <si>
    <t>MAKITA FIELD 522166-1</t>
  </si>
  <si>
    <t>MAKITA FIELD ASS'Y 240V 525834-5 DS4011</t>
  </si>
  <si>
    <t>MAKITA STATOR FOR DTW1001 629B59-6</t>
  </si>
  <si>
    <t>MAKITA FIELD ASSY 240V HW1300 639096-0</t>
  </si>
  <si>
    <t>MAKITA FIELD 4327M 633658-6</t>
  </si>
  <si>
    <t>MAKITA SWITCH 5800N/4100NH 651204-3</t>
  </si>
  <si>
    <t>MAKITA SWITCH 651987-5 651986-7/651952-4</t>
  </si>
  <si>
    <t>MAKITA SWITCH FOR TD152D 650751-1</t>
  </si>
  <si>
    <t>MAKITA SWITCH UNIT DHR202 638883-4</t>
  </si>
  <si>
    <t>MAKITA SWITCH HM1214C 651423-1</t>
  </si>
  <si>
    <t>MAKITA SWITCH FOR VC3210L 650659-9</t>
  </si>
  <si>
    <t>MAKITA SWITCH COMPLETE TW1001D 143416-7</t>
  </si>
  <si>
    <t>MAKITA SWITCH UNIT FOR DTW190 632J82-0</t>
  </si>
  <si>
    <t>MAKITA SWITCH HW1300 650775-7</t>
  </si>
  <si>
    <t>MAKITA SWITCH TN15-2 M9513 651434-6</t>
  </si>
  <si>
    <t>MAKITA SWITCH 6300NB 650224-4</t>
  </si>
  <si>
    <t>MAKITA SWITCH DUC353 650781-2</t>
  </si>
  <si>
    <t>MAKITA FLAT HEAD SCREW M5 265008-3</t>
  </si>
  <si>
    <t>MAKITA DC MOTOR FOR TW190D 629195-6</t>
  </si>
  <si>
    <t>MAKITA DC MOTOR FOR JV101D 629211-4</t>
  </si>
  <si>
    <t>MAKITA SPIRO LOCK WASHER 30 257932-4</t>
  </si>
  <si>
    <t>MAKITA TAPPING SCREW FLANGE 266029-8</t>
  </si>
  <si>
    <t>MAKITA TAPPING SCREW 4X65 MT370 266340-8</t>
  </si>
  <si>
    <t>MAKITA BEARING BOX 318304-9 (MT922)</t>
  </si>
  <si>
    <t>MAKITA COMPRESSION SPRING 233343-7</t>
  </si>
  <si>
    <t>MAKITA BRUSH HOLDER HR1840 632K41-0</t>
  </si>
  <si>
    <t>MAKITA COLLET CONE 1/4" 763637-1</t>
  </si>
  <si>
    <t>MAKITA INNER RING 30 FOR HM0810 412073-5</t>
  </si>
  <si>
    <t>MAKITA KERF BOARD 416001-2 LS1040</t>
  </si>
  <si>
    <t>MAKITA BASE PLATE 413024-1 3612BR</t>
  </si>
  <si>
    <t>MAKITABEVEL GEAR 227496-2 UC3530/UC4030</t>
  </si>
  <si>
    <t>MAKITA CONNECTING ROD 419875-0 HR4002</t>
  </si>
  <si>
    <t>MAKITA THUMB NUT 252649-4</t>
  </si>
  <si>
    <t>MAKITA BEARING BOX 312998-2 9500NB</t>
  </si>
  <si>
    <t>MAKITA BIT SLEEVE FOR 326072-0 TD134D</t>
  </si>
  <si>
    <t>MAKITA PISTON SET FOR EA3200S 195760-8</t>
  </si>
  <si>
    <t>MAKITA LEAF SPRING FOR 8414DWAE 232220-0</t>
  </si>
  <si>
    <t>MAKITA CONTROLLER 620522-0</t>
  </si>
  <si>
    <t>MAKITA O RING 23 FOR HM1214C 213394-6</t>
  </si>
  <si>
    <t>MAKITA RELEASE COVER HM1214C 450895-5</t>
  </si>
  <si>
    <t>MAKITA BARREL CPL FOR HM1214C 141786-8</t>
  </si>
  <si>
    <t>MAKITA RUBBER RING 39 262148-8</t>
  </si>
  <si>
    <t>MAKITA RUBBER RING 24 HM1214C 262149-6</t>
  </si>
  <si>
    <t>MAKITA CYLINDER GUIDE HM1214C 451110-0</t>
  </si>
  <si>
    <t>MAKITA COMPRESSION SPRING 58 234107-2</t>
  </si>
  <si>
    <t>MAKITA RING 45 FOR HM1214C 257297-4</t>
  </si>
  <si>
    <t>MAKITA BEARING BOX CPL HM1214C 158985-5</t>
  </si>
  <si>
    <t>MAKITA O RING 14 HM1214C 213176-6</t>
  </si>
  <si>
    <t>MAKITA FILTER FOR HM1214C 443147-1</t>
  </si>
  <si>
    <t>MAKITA SUB FENCE CMPLT LS1040 150662-5</t>
  </si>
  <si>
    <t>MAKITA CHANGE LEVER DHR242 453125-3</t>
  </si>
  <si>
    <t>MAKITA FAN 125 FOR VC3210L 241910-4</t>
  </si>
  <si>
    <t>MAKITA O RING 24 HM0871C 213958-6</t>
  </si>
  <si>
    <t>MAKITA CONTROLLER UNIT DUH523 632R82-8</t>
  </si>
  <si>
    <t>MAKITA CLUTCH CAM HR1840 326891-4</t>
  </si>
  <si>
    <t>MAKITA SWASH BEARING 9 HR1840 219029-7</t>
  </si>
  <si>
    <t>MAKITA BAFFLE PLATE FOR MT817 456129-4</t>
  </si>
  <si>
    <t>MAKITA PIN 6 FOR 268101-2</t>
  </si>
  <si>
    <t>MAKITA CHAIN LW1401 282015-1</t>
  </si>
  <si>
    <t>MAKITA CONTROLLER DHP487 620E45-8</t>
  </si>
  <si>
    <t>MAKITA PRESSURE HOSE HW1300 TG00000004</t>
  </si>
  <si>
    <t>MAKITA CAP FOR 9556PB 419057-4</t>
  </si>
  <si>
    <t>MAKITA HOLDER CAP HM0871 286287-0</t>
  </si>
  <si>
    <t>MAKITA INTAKE MANIFOLD 456135-9</t>
  </si>
  <si>
    <t>MAKITA CHUCK COVER HM0871 451432-8</t>
  </si>
  <si>
    <t>MAKITA COMPRESSION SPRING 24 233430-2</t>
  </si>
  <si>
    <t>MAKITA RETAINING RING HM0871 257960-9</t>
  </si>
  <si>
    <t>MAKITA RUBBER RING 28 HM0871 424261-2</t>
  </si>
  <si>
    <t>MAKITA URETHAN RING 45 HR4001C 262116-1</t>
  </si>
  <si>
    <t>MAKITA RUBBER RING 20 HM0870 424245-0</t>
  </si>
  <si>
    <t>MAKITA BARREL CMPLT FOR HR4002 141993-3</t>
  </si>
  <si>
    <t>MAKITA GUIDE RING FOR HM0870 451639-6</t>
  </si>
  <si>
    <t>MAKITA SLIDE SLEEVE FOR HM0870 450098-1</t>
  </si>
  <si>
    <t>MAKITA CRANK HOUSING CPL HR4002 158231-6</t>
  </si>
  <si>
    <t>MAKITA CONTROLLER HM0871C 631932-6</t>
  </si>
  <si>
    <t>MAKITA DUST COVER FOR HM0871C 424247-6</t>
  </si>
  <si>
    <t>MAKITA ABSORPTION JOINT HW1300 123649-0</t>
  </si>
  <si>
    <t>MAKITA ARMATURE 515829-6 MT90</t>
  </si>
  <si>
    <t>MAKITA DC MOTOR 629815-2 6260DWPE</t>
  </si>
  <si>
    <t>MAKITA DC MOTOR 629962-9 HP330D</t>
  </si>
  <si>
    <t>MAKITA FIELD 220-240V 621713-6 9553NB</t>
  </si>
  <si>
    <t>MAKITA LOCKSWITCH 2414B/LS1410 411478-6</t>
  </si>
  <si>
    <t>MAKITA SWITCH C3JW-2B 650689-0</t>
  </si>
  <si>
    <t>MAKITA DC MOTOR 629834-8 BHP453</t>
  </si>
  <si>
    <t>MAKITA FIELD 240V 621779-6</t>
  </si>
  <si>
    <t>MAKITA FIELD 593644-8 FOR 6412</t>
  </si>
  <si>
    <t>MAKITA FIELD ASSY 240V M3700 593974-7</t>
  </si>
  <si>
    <t>MAKITA FLAT WASHER 8 267202-3</t>
  </si>
  <si>
    <t>MAKITA SPRING WASHER 6 253428-3</t>
  </si>
  <si>
    <t>MAKITA WAVE WASHER 267785-3</t>
  </si>
  <si>
    <t>MAKITA NEEDLE BEARING 1613 212225-6</t>
  </si>
  <si>
    <t>MAKITA CHANGE PLATE A HR2631F 346832-4</t>
  </si>
  <si>
    <t>MAKITA CHANGE PLATE B HR2631F 346833-2</t>
  </si>
  <si>
    <t>MAKITA CLUTCH CAM 125S 223170-0</t>
  </si>
  <si>
    <t>MAKITA COMPRESIONSPRING 233174-4 UC4030A</t>
  </si>
  <si>
    <t>MAKITA COMPRESSION SPRING 8 234121-8</t>
  </si>
  <si>
    <t>MAKITA CONTROLLER VC1310L 620033-5</t>
  </si>
  <si>
    <t>MAKITA CORD CLAMP  687123-7</t>
  </si>
  <si>
    <t>MAKITA CORD GUARD 682502-4 1923B</t>
  </si>
  <si>
    <t>MAKITA COUNTER SHAFT 325660-0</t>
  </si>
  <si>
    <t>MAKITA FLUORIDE RING 28  213431-6</t>
  </si>
  <si>
    <t>MAKITA LEAF SPRING 232286-0</t>
  </si>
  <si>
    <t>MAKITA ORING 213262-3</t>
  </si>
  <si>
    <t>MAKITA ORING 213499-2   HM1214C</t>
  </si>
  <si>
    <t>MAKITA ORING 213510-0 (BO4556)</t>
  </si>
  <si>
    <t>MAKITA OUTER FLANGE 35 5008MG 224409-4</t>
  </si>
  <si>
    <t>MAKITA RING SPRING 26 233973-4</t>
  </si>
  <si>
    <t>MAKITA SAW CHAIN 18" 191H43-2</t>
  </si>
  <si>
    <t>MAKITA STRAIN RELIEF 687124-5</t>
  </si>
  <si>
    <t>MAKITA STRAIN RELIEF FOR N1923B 687001-1</t>
  </si>
  <si>
    <t>MAKITA SWITCH FOR HS7600 651284-9</t>
  </si>
  <si>
    <t>MAKITA SWITCH UNIT FOR DF453D 632A24-0</t>
  </si>
  <si>
    <t>MAKITA TRIMMER BASE CPL RT0700 140739-4</t>
  </si>
  <si>
    <t>MAKITA X-RING 21 FOR HM1214C 213980-3</t>
  </si>
  <si>
    <t>MAKITA BEARING BOX COVER 318303-1</t>
  </si>
  <si>
    <t>MAKITA DC MOTOR 629937-8 DHP453</t>
  </si>
  <si>
    <t>MAKITA SWITCH LEVER CPL 2414NB 152463-7</t>
  </si>
  <si>
    <t>MAKITA BINDING HEAD SCREW M8 251217-0</t>
  </si>
  <si>
    <t>MAKITA IGNITION COIL CDIM 161310-1</t>
  </si>
  <si>
    <t>MAKITA PLUG CAP 424706-0</t>
  </si>
  <si>
    <t>MAKITA TERMINAL SPRING 234358-7</t>
  </si>
  <si>
    <t>MAKITA MAGNET FOR ML104 GM00001714</t>
  </si>
  <si>
    <t>MAKITA CARBON BRUSH CB-440 195021-6</t>
  </si>
  <si>
    <t>MAKITA INNER HOUSING CPL HR2460 141575-1</t>
  </si>
  <si>
    <t>MAKITA STATOR FOR DHR281 629340-3</t>
  </si>
  <si>
    <t>MAKITA FIELD ASS’Y 240V GA4031 633879-0</t>
  </si>
  <si>
    <t>MAKITA BAFFLE RING LS1018L JM23100168</t>
  </si>
  <si>
    <t>MAKITA CARBON BRUSH SET CB-100 194974-6</t>
  </si>
  <si>
    <t>MAKITA SWITCH BLOCK632K99-9</t>
  </si>
  <si>
    <t>MAKITA PAN HEAD SCREW M4X30 911158-9</t>
  </si>
  <si>
    <t>MAKITA GEAR ASSEMBLY FOR DHP486 122F80-3</t>
  </si>
  <si>
    <t>MAKITA CARBON BRUSH CB-203A B-80341</t>
  </si>
  <si>
    <t>MAKITA BARREL COMPLETE 151457-9</t>
  </si>
  <si>
    <t>MAKITA HANDLE COVER CPL154951-0</t>
  </si>
  <si>
    <t>MAKITA POLY V-BELT 6-285 225006-9</t>
  </si>
  <si>
    <t>MAKITA FLAT WASHER 10 253171-4</t>
  </si>
  <si>
    <t>MAKITA BRUSH HOLDER HM1305 643713-6</t>
  </si>
  <si>
    <t>MAKITA CAM SHAFT HR2470 324668-1</t>
  </si>
  <si>
    <t>MAKITA RING 10A HR2630 325794-9</t>
  </si>
  <si>
    <t>MAKITA SLEEVE 10 HR2810 331775-3</t>
  </si>
  <si>
    <t>MAKITA BUMPER TD111D 424907-0</t>
  </si>
  <si>
    <t>MAKITA HAMMER CASE COVER TD111D 457062-3</t>
  </si>
  <si>
    <t>MAKITA FIELD COIL HS7600 594644-1</t>
  </si>
  <si>
    <t>MAKITA CONTROLLER DGA406 620K14-5</t>
  </si>
  <si>
    <t>MAKITA ADJUSTING PIN 2712 JM27100055</t>
  </si>
  <si>
    <t>MAKITA TABLE INSERT 2712 JM27100148</t>
  </si>
  <si>
    <t>MAKITA BLADE FOR PLM4620N 671014610</t>
  </si>
  <si>
    <t>MAKITA ARMATURE ASSEMBLY 513469-4</t>
  </si>
  <si>
    <t>MAKITA DC MOTOR SET TP00000113</t>
  </si>
  <si>
    <t>MAKITA BEARING RETAINER 12-33 285818-2</t>
  </si>
  <si>
    <t>MAKITA BALL BEARING 6202LLB 210314-1</t>
  </si>
  <si>
    <t>MAKITA GEAR ASSEMBLY 122A41-3</t>
  </si>
  <si>
    <t>MAKITA SOCKET HEAD BOLT M5X16 266605-8</t>
  </si>
  <si>
    <t>MAKITA O RING 71 FOR HM1201 213754-2</t>
  </si>
  <si>
    <t>MAKITA CORD GUARD 10 682560-0</t>
  </si>
  <si>
    <t>MAKITA O RING 34 FOR HM1201 213464-1</t>
  </si>
  <si>
    <t>MAKITA HEX. SOCKET HEAD BOLT 922243-3</t>
  </si>
  <si>
    <t>MAKITA KEY 4 FOR 5900B 254203-0</t>
  </si>
  <si>
    <t>MAKITA PUMP COMPLETE SET TG00000063</t>
  </si>
  <si>
    <t>MAKITA FLAT HEAD SCREW 251468-5</t>
  </si>
  <si>
    <t>MAKITA SWITCH 651066-9</t>
  </si>
  <si>
    <t>MAKITA MOTOR HOUSING COMPLETE 141D78-9</t>
  </si>
  <si>
    <t>MAKITA MOTOR HOUSING 451380-1</t>
  </si>
  <si>
    <t>MAKITA DC MOTOR ASSEMBLY 136091-6</t>
  </si>
  <si>
    <t>MAKITA BASE FOR HS6600 346894-2</t>
  </si>
  <si>
    <t>MAKITA TENSION SPRING 4 231809-1</t>
  </si>
  <si>
    <t>MAKITA CONTROLLER 620A74-7</t>
  </si>
  <si>
    <t>MAKITA TOOL RETAINER FOR 310257-8</t>
  </si>
  <si>
    <t>MAKITA SLEEVE 11 327515-5</t>
  </si>
  <si>
    <t>MAKITA OUTER HOUSING COMPLETE 140735-2</t>
  </si>
  <si>
    <t>MAKITA HOUSING SET FOR DTD152 183B63-4</t>
  </si>
  <si>
    <t>MAKITA MOTOR HOUSING FOR BO5031 450809-4</t>
  </si>
  <si>
    <t>MAKITA BRUSH HOLDER UNIT 638237-5</t>
  </si>
  <si>
    <t>MAKITA CAM HOLDER COMPLETE 141165-0</t>
  </si>
  <si>
    <t>MAKITA SET BOLT M8 FOR RP0900 266920-0</t>
  </si>
  <si>
    <t>MAKITA CRANK SHAFT 325659-5</t>
  </si>
  <si>
    <t>MAKITA REAR COVER FOR TD152D 456044-2</t>
  </si>
  <si>
    <t>MAKITA REAR COVER FOR HP484D 456967-4</t>
  </si>
  <si>
    <t>MAKITA CUSHION V FOR AF505 HY00000008</t>
  </si>
  <si>
    <t>Material</t>
  </si>
  <si>
    <t>STOCK</t>
  </si>
  <si>
    <t>PRICE</t>
  </si>
  <si>
    <t>MAKITA POWER PLANER 1911B (4-3/8") 110MM</t>
  </si>
  <si>
    <t>MAKITA DRILL 6305 (13MM) 1/2"</t>
  </si>
  <si>
    <t>MAKITA AC ANGLE GRINDER 9556HPG</t>
  </si>
  <si>
    <t>MAKITA DC DUST DLOWER 40V BL AS001GZ02</t>
  </si>
  <si>
    <t>MAKITA DC INFLATOR 18V DMP180Z</t>
  </si>
  <si>
    <t>MAKITA DC MULTI TOOL 18V BL AVT DTM52Z</t>
  </si>
  <si>
    <t>MAKITA BENCH GRINDER 8" GB801 (205MM)</t>
  </si>
  <si>
    <t>MAKITA DISC SANDER GV6010 (150MM) 6"</t>
  </si>
  <si>
    <t>MAKITA DC HAMMERDRIVER DRILL HP333DZ 12V</t>
  </si>
  <si>
    <t>MAKITA AC ROUTER 12MM M3600B</t>
  </si>
  <si>
    <t>MAKITA AC POWER MIXER M6600XB</t>
  </si>
  <si>
    <t>MAKITA C-LESS IMPACTDRVR TD090DWE 10.8V</t>
  </si>
  <si>
    <t>MAKITA C-LESS IMPACTDRVR TD111DSAE 12V</t>
  </si>
  <si>
    <t>MAKITA ELECTRIC CHAINSAW 16" UC4051A</t>
  </si>
  <si>
    <t>MAKITA VACUMM CLEANER VC3210L</t>
  </si>
  <si>
    <t>MAKITA DC HAMMER DRILL 18V BL DHP486ZK</t>
  </si>
  <si>
    <t>MAKITA SHARPENING HOLDER 1900B 123004-6</t>
  </si>
  <si>
    <t>MAKITA BLADE GAUGE ASSY 123062-2 1900B</t>
  </si>
  <si>
    <t>MAKITA GRIP36 9027/9005B/9015B 152492-0</t>
  </si>
  <si>
    <t>MAKITA GUIDE RAIL SPLINTER 194419-4</t>
  </si>
  <si>
    <t>MAKITA CHAIN BLADE 16" 196521-9 (5016B)</t>
  </si>
  <si>
    <t>MAKITA BATTERY CHARGER DC10SB 197370-7</t>
  </si>
  <si>
    <t>MAKITA CHAINBLADE 20" 528099672 DCS6400</t>
  </si>
  <si>
    <t>MAKITA ROUND FILE 4.0MM 744003-1 (5012B)</t>
  </si>
  <si>
    <t>MAKITA ROUND FILE 4.0MM 953003090</t>
  </si>
  <si>
    <t>MAKITA DIE JN1601 A-15051</t>
  </si>
  <si>
    <t>MAKITA TCT SAWBLADE12" A-82105 WOOD 60T</t>
  </si>
  <si>
    <t>MAKITA TCT SAWBLADE 7" A-82476 40T</t>
  </si>
  <si>
    <t>MAKITA JIGSAW BLADE NO.10 A-85818(HOLE)</t>
  </si>
  <si>
    <t>MAKITA JIGSAW BLADE NO.58 A-86577 (PIN)</t>
  </si>
  <si>
    <t>MAKITA JIGSAW BLADE NO.59 A-86583(PIN)</t>
  </si>
  <si>
    <t>MAKITA ROUTER BITSET 1/4" A-91051(12PCS)</t>
  </si>
  <si>
    <t>MAKITA BAND SAW BLADE B-16689 16MM</t>
  </si>
  <si>
    <t>MAKITA TCT SAW 165MMX60T LS600D B-56530</t>
  </si>
  <si>
    <t>MAKITA STARLOCK CUTSAW TMA051 B-64858</t>
  </si>
  <si>
    <t>MAKITA STARLOCK CUTSAW TMA053 B-64870</t>
  </si>
  <si>
    <t>MAKITA SDS PLUS BIT 8MM P-02412/D-00125</t>
  </si>
  <si>
    <t>MAKITA SDS PLUS BIT 10MMX210 D-00181</t>
  </si>
  <si>
    <t>MAKITA SDS PLUSBIT 12MMX210 D-00620</t>
  </si>
  <si>
    <t>MAKITA MASONARY BIT 6 X 100  D-05256</t>
  </si>
  <si>
    <t>MAKITA WOOD DRILL BIT D-07026</t>
  </si>
  <si>
    <t>MAKITA WOOD DRILL BIT 14X315 D-07191</t>
  </si>
  <si>
    <t>MAKITA PLANER BLADE D-08822</t>
  </si>
  <si>
    <t>MAKITA STRAIGHT BIT D-09173 1/4"</t>
  </si>
  <si>
    <t>MAKITA HSS-G  DRILL BIT 2.0X49 D-09662</t>
  </si>
  <si>
    <t>MAKITA HSS-G  DRILL BIT 2.5X57 D-09678</t>
  </si>
  <si>
    <t>MAKITA STRAIGHT BIT  D-15512 (1/2")</t>
  </si>
  <si>
    <t>MAKITA WIRE CUP BRUSH  M10X1.50 D-24066</t>
  </si>
  <si>
    <t>MAKITA DRILL BIT D-29620</t>
  </si>
  <si>
    <t>MAKITA M FORCE HSS MET.DRILL BIT D-29658</t>
  </si>
  <si>
    <t>MAKITA M FORCE METAL BIT 4.5MM D-29664</t>
  </si>
  <si>
    <t>MAKITA HSS MET.DRILL BIT D-29810 (12mm)</t>
  </si>
  <si>
    <t>MAKITA M.DRILL BIT 1/4"HEX.SHANK D-31114</t>
  </si>
  <si>
    <t>MAKITA BRAD POINT DRILL BIT 4MM D-31251</t>
  </si>
  <si>
    <t>MAKITA BULL POINT SDS-MAX D-34176</t>
  </si>
  <si>
    <t>MAKITA DIAMOND WHEEL 105X10X20 D-41408</t>
  </si>
  <si>
    <t>MAKITA DIAMOND WHEEL D-44345</t>
  </si>
  <si>
    <t>MAKITA V GROOVE BIT 1/4" D-49373</t>
  </si>
  <si>
    <t>MAKITA T.C.T SAW BLADE WOOD D-50538</t>
  </si>
  <si>
    <t>MAKITA ABRASIVE DISC 125MM #180 D-54190</t>
  </si>
  <si>
    <t>MAKITA HSS-TIN DRILLBIT 4.0x75MM D-64319</t>
  </si>
  <si>
    <t>MAKITA ABRASIVE DISC 125MM A40 D-65816</t>
  </si>
  <si>
    <t>MAKITA ABRASIVE DISC125#80 WHITE D-65838</t>
  </si>
  <si>
    <t>MAKITA ABRASIVEDISC 125 #100 WHT D-65844</t>
  </si>
  <si>
    <t>MAKITA ABRASIVE DISC 125 # 120  D-65850</t>
  </si>
  <si>
    <t>MAKITA BLACK SCREW BIT SET E-14227</t>
  </si>
  <si>
    <t>MAKITA BLACK SCREW BIT SET E-14233</t>
  </si>
  <si>
    <t>MAKITA T.C.T SAW BLADE WOOD P-67957</t>
  </si>
  <si>
    <t>MAKITA T.C.T SAW BLADE 7" 60T P-67963</t>
  </si>
  <si>
    <t>MAKITA CLUTCHDRUM 125331-7 UC3530/UC4030</t>
  </si>
  <si>
    <t>MAKITA INNER HOUSING COMPLETE  141574-3</t>
  </si>
  <si>
    <t>MAKITA MOTOR HOUSING 151625-4</t>
  </si>
  <si>
    <t>MAKITA BLADE CASE CPL 153664-0</t>
  </si>
  <si>
    <t>MAKITA MAIN FRAME 159336-5 (1911B)</t>
  </si>
  <si>
    <t>MAKITA PRIMMER PUMP 168398-2 (EA3201S)</t>
  </si>
  <si>
    <t>MAKITA SPARK PLUG 168401-9</t>
  </si>
  <si>
    <t>MAKITA DRUM PLATE SET 187679-5  MT191</t>
  </si>
  <si>
    <t>MAKITA FLUORIDE RING 25 213392-0</t>
  </si>
  <si>
    <t>MAKITA SPRING  231965-7 (TD090D)</t>
  </si>
  <si>
    <t>MAKITA CONICAL COMP SPRING 233916-6</t>
  </si>
  <si>
    <t>MAKITA FLANGE 251609-3 1900B,1902,1923B</t>
  </si>
  <si>
    <t>MAKITA NUT 324621-7 /UC4030A</t>
  </si>
  <si>
    <t>MAKITA SPINDLE 324662-3 (UC4030)</t>
  </si>
  <si>
    <t>MAKITA SPINDLE 326373-6  ( UC4051A )</t>
  </si>
  <si>
    <t>MAKITA ADJUSTING PLATE 341601-8 1911B</t>
  </si>
  <si>
    <t>MAKITA GUIDE WASHER 345187-4 HR2470</t>
  </si>
  <si>
    <t>MAKITA BELT COVER 411426-5 (1911B)</t>
  </si>
  <si>
    <t>MAKITA FIELD 593864-4 (MT583)</t>
  </si>
  <si>
    <t>MAKITA SWITCH C3VA92L 650589-4</t>
  </si>
  <si>
    <t>MAKITA SWITCH SGEL 5806B 651281-5</t>
  </si>
  <si>
    <t>MAKITA SWITCH UC3500,UC4000 651922-3</t>
  </si>
  <si>
    <t>MAKITA POWER S-CORD 692527-0 / HR2470</t>
  </si>
  <si>
    <t>MAKITA SWITCH JM27000130 / MLT100</t>
  </si>
  <si>
    <t>MAKITA RIP FENCE JM27000202 MLT100</t>
  </si>
  <si>
    <t>MAKITA BIT SLEEVE FOR TD155D 326803-7</t>
  </si>
  <si>
    <t>MAKITA RETAINER COMPLETE 158393-0</t>
  </si>
  <si>
    <t>MAKITA PIN 4 FOR T1022D 256206-0</t>
  </si>
  <si>
    <t>MAKITA SHEAR BLADE ASS'Y DUH651 196688-3</t>
  </si>
  <si>
    <t>MAKITA TAPPING SCREW 4X22 265651-8</t>
  </si>
  <si>
    <t>MAKITA BAFFLE PLATE 419135-0</t>
  </si>
  <si>
    <t>MAKITA CORD GUARD 8 682559-5</t>
  </si>
  <si>
    <t>MAKITA CORD GUARD 10 682566-8</t>
  </si>
  <si>
    <t>MAKITA CORD GUARD 10  682573-1</t>
  </si>
  <si>
    <t>MAKITA COWLING COMPLETE 140751-4</t>
  </si>
  <si>
    <t>MAKITA MAG BOOST IMPACT PREMIER E-03442</t>
  </si>
  <si>
    <t>MAKITA MAGNET BIT SET  D-34833</t>
  </si>
  <si>
    <t>MAKITA SHEAR BLADE (S) 750MM 191Y05-2</t>
  </si>
  <si>
    <t>MAKITA T.C.T SAW BLADE P-68018</t>
  </si>
  <si>
    <t>MAKITA TCT SAWBLADE 14" A-82351J 100T</t>
  </si>
  <si>
    <t>MAKITA TCT SAWBLADE12" A-82557J ALU 100T</t>
  </si>
  <si>
    <t>MAKITA T.C.T SAW BLADE E-12924</t>
  </si>
  <si>
    <t>MAKITA RING 11 327516-3</t>
  </si>
  <si>
    <t>MAKITA T.C.T SAWBLADE 305MM S.S B-23151</t>
  </si>
  <si>
    <t>MAKITA T.C.T SAW BLADE WOOD B-03698</t>
  </si>
  <si>
    <t>MAKITA BATTERY BL4025 LI-ION40V 191B36-3</t>
  </si>
  <si>
    <t>MAKITA BATTERYBL4050F LI-ION40V 191L47-8</t>
  </si>
  <si>
    <t>MAKITA SDS-PLUS NEMESIS II E-14750</t>
  </si>
  <si>
    <t>MAKITA DC MOTOR DUH523 629930-2</t>
  </si>
  <si>
    <t>MAKITA MULTI LANCE HW102 3640640</t>
  </si>
  <si>
    <t>MAKITA CAP RUBBER HM1306 421034-4</t>
  </si>
  <si>
    <t>MAKITA STATOR DGA413 629298-6</t>
  </si>
  <si>
    <t>MAKITA BALL BEARING 6805LLB 211375-4</t>
  </si>
  <si>
    <t>MAKITA HOUSING SET M0801 183B61-8</t>
  </si>
  <si>
    <t>MAKITA HOUSING SET 6412 188277-8</t>
  </si>
  <si>
    <t>MAKITA JIG SAW BLADE A-86882</t>
  </si>
  <si>
    <t>MAKITA SPROCKET COVER UC4030 188858-8</t>
  </si>
  <si>
    <t>MAKITA GUID WASHER 346177-0 HR2601</t>
  </si>
  <si>
    <t>MAKITA HEX.BOLT LS0711B 265461-3</t>
  </si>
  <si>
    <t>MAKITA SWITCH 650626-4 HR2601</t>
  </si>
  <si>
    <t>MAKITA CONTROLLER 620C64-2</t>
  </si>
  <si>
    <t>MAKITA O-RING 18 FOR HR3200C 213283-5</t>
  </si>
  <si>
    <t>MAKITA HOOK 343693-3  (DP4700)</t>
  </si>
  <si>
    <t>MAKITA DC CHAIN SAW 40V UC015GZ</t>
  </si>
  <si>
    <t>MAKITA AC DEMOLITION HAMMER 5KG HM0810TA</t>
  </si>
  <si>
    <t>MAKITA DC IMPACT DRIVER 18V BL DTD153Z</t>
  </si>
  <si>
    <t>MAKITA BATTERY BL4040 LI-ION40V 191B26-6</t>
  </si>
  <si>
    <t>MAKITA M.DRILL BIT 1/4"HEX.SHANK D-31142</t>
  </si>
  <si>
    <t>MAKITA POLISHER PV7000C (180MM) 7"</t>
  </si>
  <si>
    <t>MAKITA TOOL RUCKSACK W ORGANIZER E-05511</t>
  </si>
  <si>
    <t>MAKITA DC CLEANER 12V CL115FDWR1</t>
  </si>
  <si>
    <t>MAKITA DC IMPACT WRENCH 40V BL TW001GZ</t>
  </si>
  <si>
    <t>MAKITA DC IMPACT WRENCH 40V BL TW010GZ</t>
  </si>
  <si>
    <t>MAKITA MITER GAUGE ASSEMBLY JM27110005</t>
  </si>
  <si>
    <t>MAKITA BEARING HOUSING  319091-3 UC4051A</t>
  </si>
  <si>
    <t>MAKITA ARMATURE 513904-2 ( UB1103)</t>
  </si>
  <si>
    <t>MAKITA ARMATURE ASS'Y 240V 513809-6</t>
  </si>
  <si>
    <t>MAKITA FRONT HAND GUARD 451130-4(UC3530)</t>
  </si>
  <si>
    <t>MAKITA SWITCH COVER 411852-8</t>
  </si>
  <si>
    <t>MAKITA C.SUNK HEADSCREW 912117-6(BO4556)</t>
  </si>
  <si>
    <t>MAKITA CHANGE LEVER 418083-0 HP2070</t>
  </si>
  <si>
    <t>MAKITA COLLET CONE 1/2" 763622-4</t>
  </si>
  <si>
    <t>MAKITA ARMATURE 516219-6 (4100NH)</t>
  </si>
  <si>
    <t>MAKITA GUIDE RULE 164095-8 5806B</t>
  </si>
  <si>
    <t>MAKITA PAN HEAD SCREW  911148-2 1900B</t>
  </si>
  <si>
    <t>MAKITA ARMATURE 515719-3</t>
  </si>
  <si>
    <t>MAKITA SWITCH 650555-1 (MT817)</t>
  </si>
  <si>
    <t>MAKITA MOTOR HOUSING CPL 142291-8</t>
  </si>
  <si>
    <t>MAKITA '+ HEAD SCREW M4X10  265135-6</t>
  </si>
  <si>
    <t>MAKITA PAN HEAD SCREW M4X55 911185-6</t>
  </si>
  <si>
    <t>MAKITA PAN HEAD SCREW M5X45 911268-2</t>
  </si>
  <si>
    <t>MAKITA TAPPING SCREW FLANGE  266044-2</t>
  </si>
  <si>
    <t>MAKITA TAPPING SCREW FLANGE  266045-0</t>
  </si>
  <si>
    <t>MAKITA PUSH CORN 326850-8</t>
  </si>
  <si>
    <t>MAKITA CORD GUARD 8-90 682503-2</t>
  </si>
  <si>
    <t>MAKITA CRANK HOUSING COMPLETE 158289-5</t>
  </si>
  <si>
    <t>MAKITA STATOR 629A98-0</t>
  </si>
  <si>
    <t>MAKITA REAR COVER 413405-9</t>
  </si>
  <si>
    <t>MAKITA ROTOR FOR HP/DF001G 619613-2</t>
  </si>
  <si>
    <t>MAKITA CORD GUARD FOR HP1500 682549-8</t>
  </si>
  <si>
    <t>MAKITA HELICAL GEAR 41 226423-6</t>
  </si>
  <si>
    <t>MAKITA CONTROLLER FOR DTD172 620E81-4</t>
  </si>
  <si>
    <t>MAKITA LED CIRCUIT FOR DTD172 620F12-9</t>
  </si>
  <si>
    <t>MAKITA SPEED CHANGE LEVER ASSY 125310-5</t>
  </si>
  <si>
    <t>MAKITA SPACER FOR M442 325747-8</t>
  </si>
  <si>
    <t>MAKITA RETURN VANE FOR M442 346114-4</t>
  </si>
  <si>
    <t>MAKITA FAN COVER FOR M442 346115-2</t>
  </si>
  <si>
    <t>MAKITA FLANGE FOR 407 316795-8</t>
  </si>
  <si>
    <t>MAKITA TORSION SPRING 35  233537-4</t>
  </si>
  <si>
    <t>MAKITA CLAMP NUT FOR HM0810 321497-3</t>
  </si>
  <si>
    <t>MAKITA CHAINBLADE 24"528099684/DCS7300</t>
  </si>
  <si>
    <t>MAKITA TCT SAWBLADE 792299-8 50T  85MM</t>
  </si>
  <si>
    <t>MAKITA PLANER BLADE 306 2012 793346-8</t>
  </si>
  <si>
    <t>MAKITA JIG SAW BLADE B-26 A-85771 (PIN)</t>
  </si>
  <si>
    <t>MAKITA JIGSAWBLADE NO.4 A-85874(HOLE)</t>
  </si>
  <si>
    <t>MAKITA BAND SAW BLADE B-16667 16MM</t>
  </si>
  <si>
    <t>MAKITA BAND SAW BLADE B-16673 13MM</t>
  </si>
  <si>
    <t>MAKITA TCT SAW BLADE METAL B-23117 136MM</t>
  </si>
  <si>
    <t>MAKITA D-END SET 3.0X46MM 10PCS B-26668</t>
  </si>
  <si>
    <t>MAKITA TCT SAWBLADE 305X30X40T W B-54237</t>
  </si>
  <si>
    <t>MAKITA T.C.T SAW BLADE185X20X40T D-03361</t>
  </si>
  <si>
    <t>MAKITA VGROOVING ROUTER BIT D-08470 1/4"</t>
  </si>
  <si>
    <t>MAKITA STRAIGHT BIT D-09313</t>
  </si>
  <si>
    <t>MAKITA ROUTER BIT 793329-8 / D-09329 6MM</t>
  </si>
  <si>
    <t>MAKITA ROUTER BIT D-09385(6MM)</t>
  </si>
  <si>
    <t>MAKITA M.DRILL BIT 1/4"HEX.SHANK D-31170</t>
  </si>
  <si>
    <t>MAKITA STEP DRILL BIT D-40191</t>
  </si>
  <si>
    <t>MAKITA T.C.T SAW BLADE D-59156</t>
  </si>
  <si>
    <t>MAKITA DC IMPACT WRENCH 18V BL DTW300RFJ</t>
  </si>
  <si>
    <t>MAKITA IMPACT WRENCH 18V BL DTW300RTJ</t>
  </si>
  <si>
    <t>MAKITA ANGLE GRINDER GA5010 (125MM) 5"</t>
  </si>
  <si>
    <t>MAKITA HAMMER-DRILL HP2070 (20MM) 3/4"</t>
  </si>
  <si>
    <t>MAKITA DC VACUUM CLEANER 40V VC008GZ04</t>
  </si>
  <si>
    <t>MAKITA GEAR COMPLETE JV0600 141026-4</t>
  </si>
  <si>
    <t>MAKITA RETAINER COMPLETE 141028-0</t>
  </si>
  <si>
    <t>MAKITA BEARING BOX COMPLETE 158671-8</t>
  </si>
  <si>
    <t>MAKITA SAFETY COVER 165367-4</t>
  </si>
  <si>
    <t>MAKITA HOUSING SET FOR TD110D 183B49-8</t>
  </si>
  <si>
    <t>MAKITA HOUSING SET FOR UC4041A 187869-0</t>
  </si>
  <si>
    <t>MAKITA O RING 20 213317-4</t>
  </si>
  <si>
    <t>MAKITA STEEL BALL   216019-1 (TD090D)</t>
  </si>
  <si>
    <t>MAKITA SPROCKET 221525-3 2012NB</t>
  </si>
  <si>
    <t>MAKITA POLY V-BELT 3-285 2030 225043-3</t>
  </si>
  <si>
    <t>MAKITA TORSION SPRING 231588-1</t>
  </si>
  <si>
    <t>MAKITA COMPRESSION SPRING 233344-5HR2470</t>
  </si>
  <si>
    <t>MAKITA FAN 110 241888-1 (4014N)</t>
  </si>
  <si>
    <t>MAKITA HEX.FLANGE BOLT 265355-2 (LS1013)</t>
  </si>
  <si>
    <t>MAKITA SPINDLE FOR 5806B 322838-6</t>
  </si>
  <si>
    <t>MAKITA SHAFT LOCK 344317-4</t>
  </si>
  <si>
    <t>MAKITA HANDLE COVER 411423-1 1911B</t>
  </si>
  <si>
    <t>MAKITA CHIP COVER 411650-0 1900B</t>
  </si>
  <si>
    <t>MAKITA THROTTLR LINKAGE 452022-0</t>
  </si>
  <si>
    <t>MAKITA ARMATURE  516739-0 (LS1212)</t>
  </si>
  <si>
    <t>MAKITA ARMATURE ASS'Y 517414-1 HP2050</t>
  </si>
  <si>
    <t>MAKITA FIELD 524559-8 5201N,5103N,5401N</t>
  </si>
  <si>
    <t>MAKITA FIELD ASS'Y 596183-7 (2702)</t>
  </si>
  <si>
    <t>MAKITA DC MOTOR HP347D 629900-1</t>
  </si>
  <si>
    <t>MAKITA YOKE UNIT FOR BPB180 638420-4</t>
  </si>
  <si>
    <t>MAKITA ENDBELL COMPLETE 638502-2</t>
  </si>
  <si>
    <t>MAKITA SWITCH (BRAZIL) AL00000168</t>
  </si>
  <si>
    <t>MAKITA SOFT STATER JM23100186 / LS1018L</t>
  </si>
  <si>
    <t>MAKITA PCB-EU HG6530 PR00000073</t>
  </si>
  <si>
    <t>MAKITA DC METAL CUTTER 40V 7" CS002GZ</t>
  </si>
  <si>
    <t>MAKITA DC PLANER 18V BL AWS 82MM DKP181Z</t>
  </si>
  <si>
    <t>MAKITA SOLID NOSE BAR 445050455</t>
  </si>
  <si>
    <t>MAKITA ABRASIVE DISC 225MM A180 B-68410</t>
  </si>
  <si>
    <t>MAKITA ABRASIVE DISC 225MM A320 B-68426</t>
  </si>
  <si>
    <t>MAKITA DUST BAG ANTI-BACTERIAL 166084-9</t>
  </si>
  <si>
    <t>MAKITA PRESS PLATE JM23100023 LS1018L</t>
  </si>
  <si>
    <t>BEVEL GEAR / JM27000167 (MLT100)</t>
  </si>
  <si>
    <t>MAKITA BRUSHHOLDERCAP 6.5 643650-4 1804N</t>
  </si>
  <si>
    <t>CORK RUBBER PLATE 9924DB 423035-8</t>
  </si>
  <si>
    <t>MAKITA ARMATURE  6904VH 511929-0</t>
  </si>
  <si>
    <t>MAKITA TAPPING SCREW BIND 266007-8 / UC3</t>
  </si>
  <si>
    <t>MAKITA&amp;#160; SPUR GEAR 10 227243-1</t>
  </si>
  <si>
    <t>MAKITA ARMATURE&amp;#160; 518614-6</t>
  </si>
  <si>
    <t xml:space="preserve"> MAKITA ROD FOR 4304 165089-6</t>
  </si>
  <si>
    <t xml:space="preserve"> MAKITA HOLDER FOR 4304 316608-3</t>
  </si>
  <si>
    <t xml:space="preserve"> MAKITA SLIDER FOR 4304 310028-3</t>
  </si>
  <si>
    <t xml:space="preserve"> MAKITA SLIDE PLATE FOR 4304 344137-6</t>
  </si>
  <si>
    <t xml:space="preserve"> MAKITA GEAR FOR LS1018L JM23200020</t>
  </si>
  <si>
    <t xml:space="preserve"> MAKITA KNOB LOW COVER JM27100077</t>
  </si>
  <si>
    <t xml:space="preserve"> MAKITA SPINDLE FOR N5900B 323955-5</t>
  </si>
  <si>
    <t xml:space="preserve"> MAKITA AIR FILTER FOR EA3201S 423414-0</t>
  </si>
  <si>
    <t xml:space="preserve"> MAKITA BASE FOR MT580 168370-4</t>
  </si>
  <si>
    <t xml:space="preserve"> MAKITA PUSH BUTTON FOR 9045B 411625-9</t>
  </si>
  <si>
    <t xml:space="preserve"> MAKITA HEX. NUT M4 FOR 5900B 931102-0</t>
  </si>
  <si>
    <t>MAKITA ASS'Y FOR LS1211/LS1040 122536-0</t>
  </si>
  <si>
    <t>MAKITA MOTOR HOUSING DGA406 183J39-9</t>
  </si>
  <si>
    <t>MAKITA BEARING BOX GA4040C 136012-8</t>
  </si>
  <si>
    <t>MAKITA HEX. SOCKET HEAD BOLT 265367-5</t>
  </si>
  <si>
    <t>MAKITA HEX. SOCKET HEAD BOLT 266304-2</t>
  </si>
  <si>
    <t>MAKITA HEX. SOCKET HEAD BOLT 265903-7</t>
  </si>
  <si>
    <t>MAKITA CUT-OFF MACHINE 2416S (405MM) 16"</t>
  </si>
  <si>
    <t>MAKITA DC CUT-OUT TOOL 18V DCO181Z</t>
  </si>
  <si>
    <t>MAKITA DC HAMMER DRILL 18V BL DHP484Z</t>
  </si>
  <si>
    <t>MAKITA DC ANGLE GRINDER BL40V GA003GD201</t>
  </si>
  <si>
    <t>MAKITA DC TRIMMER 40V BL RT001GZ04</t>
  </si>
  <si>
    <t>MAKITA DC TRIMMER 18V BL DRT50Z</t>
  </si>
  <si>
    <t>MAKITA DC CLEANER 18V DCL286FRTB</t>
  </si>
  <si>
    <t>MAKITA DC COMBINATION HAMMER 18V DHR202Z</t>
  </si>
  <si>
    <t>MAKITA DC IMPACT DRIVER 18V DTD173RTJ</t>
  </si>
  <si>
    <t>MAKITA DC IMPACT DRIVER 18V DTD173Z</t>
  </si>
  <si>
    <t>MAKITA DC CHAIN SAW 18V DUC357ZX4</t>
  </si>
  <si>
    <t>MAKITA DC DEMOLITION HAMMER 40V HM001GZ</t>
  </si>
  <si>
    <t>MAKITA DC COMBI HAMMER 40V HR003GM201</t>
  </si>
  <si>
    <t>MAKITA VISE ASSY 122854-6</t>
  </si>
  <si>
    <t>MAKITA INNER FLANGE 30 GA4060D 224483-2</t>
  </si>
  <si>
    <t>MAKITA ABR BELT 9401 794135-4 WA80 4"</t>
  </si>
  <si>
    <t>MAKITA ABR BELT 4" WA150 9401/794138-8</t>
  </si>
  <si>
    <t>MAKITA JIG SAW BLADE B-16 4304 A-85684</t>
  </si>
  <si>
    <t>MAKITA RECIPRO SAW BLADE B-03030</t>
  </si>
  <si>
    <t>MAKITA STAPLE 10 X 22MM B-04503</t>
  </si>
  <si>
    <t>MAKITA RECIPRO SAW BLADE METAL B-55821</t>
  </si>
  <si>
    <t>MAKITA RECIPRO SAW BLADE METAL B-55837</t>
  </si>
  <si>
    <t>MAKITA T.C.T SAW BLADE WOOD B-62022</t>
  </si>
  <si>
    <t>MAKITA COLD CHISEL 20X250MM B-64244</t>
  </si>
  <si>
    <t>MAKITA BULL POINT 400MM SDS-MAX B-64266</t>
  </si>
  <si>
    <t>MAKITA COLD CHISEL 25X400MM B-64272</t>
  </si>
  <si>
    <t>MAKITA SEGMENTSAW 100 TMA046 B-64808</t>
  </si>
  <si>
    <t>MAKITA HSS-G  DRILL BIT 4.5X80 D-09715</t>
  </si>
  <si>
    <t>MAKITA HSS-DRILL BIT SET (6PCS) D-30514</t>
  </si>
  <si>
    <t>MAKITA MASONARY BIT 4MM D-31479 BTD142</t>
  </si>
  <si>
    <t>MAKITA ABRASIVE DISC 125MM WA60 D-54140</t>
  </si>
  <si>
    <t>MAKITA M FORCE METAL DRILL BIT D-67599</t>
  </si>
  <si>
    <t>MAKITA DRILL&amp;DRIVE BIT 8X55MM D-73215</t>
  </si>
  <si>
    <t>MAKITA THIN CUT-OFF WHEEL 6" E-13742</t>
  </si>
  <si>
    <t>MAKITA ROD ASS’Y 135482-8</t>
  </si>
  <si>
    <t>MAKITA TOOL HOLDER ASS'Y HR3001 136312-6</t>
  </si>
  <si>
    <t>MAKITA TENTION SPRING 231833-4 (MT580)</t>
  </si>
  <si>
    <t>MAKITA LEAF SPRING 232182-2 / 8271D</t>
  </si>
  <si>
    <t>MAKITA ORING CASE 324216-6 / HR2450</t>
  </si>
  <si>
    <t>MAKITA DUST NOZZLE FOR DSS610 419283-5</t>
  </si>
  <si>
    <t>MAKITA OIL TANK 419407-3 FOR UC3530A</t>
  </si>
  <si>
    <t>MAKITA BASE HOLDER 419627-9</t>
  </si>
  <si>
    <t>MAKITA FIELD 524754-0 2416S</t>
  </si>
  <si>
    <t>MAKITA LED CIRCUIT   620283-2     DHP481</t>
  </si>
  <si>
    <t>MAKITA SWITCH UNIT 638887-6 / DF457D</t>
  </si>
  <si>
    <t>MAKITA SWITCH 650579-7(DGA404 RFE)</t>
  </si>
  <si>
    <t>MAKITA PAN HEAD SCREW  911123-8 1911B</t>
  </si>
  <si>
    <t>MAKITA HEAD SCREW 912107-9 /4350CT</t>
  </si>
  <si>
    <t>MAKITA HEX.SOCKETHEAD BOLT4323H 922107-1</t>
  </si>
  <si>
    <t>MAKITA WING BOLT 2416S 5806B  924316-8</t>
  </si>
  <si>
    <t>MAKITA MITER PRESSION SPRING JM23100049</t>
  </si>
  <si>
    <t>MAKITA LIMITED KNOB JM23100051 LS1018L</t>
  </si>
  <si>
    <t>MAKITA OUTPUT SHAFT JM23200017</t>
  </si>
  <si>
    <t>MAKITA CROSS HEAD SUNK SCREW /JM27000066</t>
  </si>
  <si>
    <t>MAKITA TCT SAWBLADE 185X20X45T B-68616</t>
  </si>
  <si>
    <t>MAKITA BLADE CLAMP JV101D 313140-8</t>
  </si>
  <si>
    <t>MAKITA OUTER SHAFT MLT100 JM27000321</t>
  </si>
  <si>
    <t>MAKITA KEY FOR MLT100 JM27000323</t>
  </si>
  <si>
    <t>MAKITA ARMATURE ASS'Y GA4040C 510510-4</t>
  </si>
  <si>
    <t>MAKITA ARMATURE 240V HS7010 510587-9</t>
  </si>
  <si>
    <t>MAKITA MKP1G002 BL4040X2+DC40RA 191K01-6</t>
  </si>
  <si>
    <t>SHRM</t>
  </si>
  <si>
    <t>HOME</t>
  </si>
  <si>
    <t>STAIRS</t>
  </si>
  <si>
    <t>CL06</t>
  </si>
  <si>
    <t>MA196</t>
  </si>
  <si>
    <t>65(3)</t>
  </si>
  <si>
    <t>AA16</t>
  </si>
  <si>
    <t>WA47</t>
  </si>
  <si>
    <t>BF4</t>
  </si>
  <si>
    <t>CHUCK</t>
  </si>
  <si>
    <t>E23</t>
  </si>
  <si>
    <t>A27</t>
  </si>
  <si>
    <t>AA17</t>
  </si>
  <si>
    <t>CAA22</t>
  </si>
  <si>
    <t>MA217</t>
  </si>
  <si>
    <t>ZC05</t>
  </si>
  <si>
    <t>i11</t>
  </si>
  <si>
    <t>ZN03</t>
  </si>
  <si>
    <t>MA177</t>
  </si>
  <si>
    <t>MA176</t>
  </si>
  <si>
    <t>ZB09</t>
  </si>
  <si>
    <t>CAA11</t>
  </si>
  <si>
    <t>ZQ09</t>
  </si>
  <si>
    <t>ZE07</t>
  </si>
  <si>
    <t>65(2)</t>
  </si>
  <si>
    <t>GK03</t>
  </si>
  <si>
    <t>MA05</t>
  </si>
  <si>
    <t>CI03</t>
  </si>
  <si>
    <t>WA57</t>
  </si>
  <si>
    <t>G13</t>
  </si>
  <si>
    <t>CJ01</t>
  </si>
  <si>
    <t>BA3</t>
  </si>
  <si>
    <t>GL04</t>
  </si>
  <si>
    <t>ZF10</t>
  </si>
  <si>
    <t>WA49</t>
  </si>
  <si>
    <t>CA06</t>
  </si>
  <si>
    <t>MA22</t>
  </si>
  <si>
    <t>D27</t>
  </si>
  <si>
    <t>C17</t>
  </si>
  <si>
    <t>E13</t>
  </si>
  <si>
    <t>MA253</t>
  </si>
  <si>
    <t>F32</t>
  </si>
  <si>
    <t>ZN11</t>
  </si>
  <si>
    <t>MA139</t>
  </si>
  <si>
    <t>ZG09</t>
  </si>
  <si>
    <t>GO02</t>
  </si>
  <si>
    <t>CJ03</t>
  </si>
  <si>
    <t>HM04</t>
  </si>
  <si>
    <t>MA161</t>
  </si>
  <si>
    <t>MA157</t>
  </si>
  <si>
    <t>D9</t>
  </si>
  <si>
    <t>H7</t>
  </si>
  <si>
    <t>MA199</t>
  </si>
  <si>
    <t>GP28</t>
  </si>
  <si>
    <t>S-1</t>
  </si>
  <si>
    <t>i9</t>
  </si>
  <si>
    <t>ZF01</t>
  </si>
  <si>
    <t>CAA25</t>
  </si>
  <si>
    <t>GP25</t>
  </si>
  <si>
    <t>ZC04</t>
  </si>
  <si>
    <t>MA276</t>
  </si>
  <si>
    <t>ZP01</t>
  </si>
  <si>
    <t>MA278</t>
  </si>
  <si>
    <t>GD03</t>
  </si>
  <si>
    <t>CL09</t>
  </si>
  <si>
    <t>GK04</t>
  </si>
  <si>
    <t>WA59</t>
  </si>
  <si>
    <t>GP31</t>
  </si>
  <si>
    <t>GD02</t>
  </si>
  <si>
    <t>ZL03</t>
  </si>
  <si>
    <t>F13</t>
  </si>
  <si>
    <t>MA273</t>
  </si>
  <si>
    <t>G30</t>
  </si>
  <si>
    <t>ZO02</t>
  </si>
  <si>
    <t>MA274</t>
  </si>
  <si>
    <t>GP35</t>
  </si>
  <si>
    <t>CAA27</t>
  </si>
  <si>
    <t>GP34</t>
  </si>
  <si>
    <t>MA259</t>
  </si>
  <si>
    <t>GP36</t>
  </si>
  <si>
    <t>GP37</t>
  </si>
  <si>
    <t>B31</t>
  </si>
  <si>
    <t>F5</t>
  </si>
  <si>
    <t>CAA28</t>
  </si>
  <si>
    <t>CJ08</t>
  </si>
  <si>
    <t>GP40</t>
  </si>
  <si>
    <t>ZJ13</t>
  </si>
  <si>
    <t>D28</t>
  </si>
  <si>
    <t>AB30</t>
  </si>
  <si>
    <t>E2</t>
  </si>
  <si>
    <t>ZA10</t>
  </si>
  <si>
    <t>MA277</t>
  </si>
  <si>
    <t>E6</t>
  </si>
  <si>
    <t>C13</t>
  </si>
  <si>
    <t>C29</t>
  </si>
  <si>
    <t>MA270</t>
  </si>
  <si>
    <t>J22</t>
  </si>
  <si>
    <t>ZP02</t>
  </si>
  <si>
    <t>MA272</t>
  </si>
  <si>
    <t>i17</t>
  </si>
  <si>
    <t>J6</t>
  </si>
  <si>
    <t>ZD13</t>
  </si>
  <si>
    <t>H35</t>
  </si>
  <si>
    <t>ZP14</t>
  </si>
  <si>
    <t>GP32</t>
  </si>
  <si>
    <t>MA115</t>
  </si>
  <si>
    <t>CAA17</t>
  </si>
  <si>
    <t>E33</t>
  </si>
  <si>
    <t>GP30</t>
  </si>
  <si>
    <t>GP29</t>
  </si>
  <si>
    <t>CAA30</t>
  </si>
  <si>
    <t>GP27</t>
  </si>
  <si>
    <t>CAA12</t>
  </si>
  <si>
    <t>AB21</t>
  </si>
  <si>
    <t>ZC02</t>
  </si>
  <si>
    <t>CAA16</t>
  </si>
  <si>
    <t>GP26</t>
  </si>
  <si>
    <t>MA114</t>
  </si>
  <si>
    <t>ZI08</t>
  </si>
  <si>
    <t>WA31</t>
  </si>
  <si>
    <t>CAA03</t>
  </si>
  <si>
    <t>WA36</t>
  </si>
  <si>
    <t>ZG03</t>
  </si>
  <si>
    <t>A13</t>
  </si>
  <si>
    <t>D17</t>
  </si>
  <si>
    <t>i25</t>
  </si>
  <si>
    <t>ZB10</t>
  </si>
  <si>
    <t>ZA14</t>
  </si>
  <si>
    <t>H33</t>
  </si>
  <si>
    <t>AB28</t>
  </si>
  <si>
    <t>WA45</t>
  </si>
  <si>
    <t>MA242</t>
  </si>
  <si>
    <t>MA244</t>
  </si>
  <si>
    <t>WA42</t>
  </si>
  <si>
    <t>WA52</t>
  </si>
  <si>
    <t>E26</t>
  </si>
  <si>
    <t>ZC14</t>
  </si>
  <si>
    <t>MA255</t>
  </si>
  <si>
    <t>F35</t>
  </si>
  <si>
    <t>F25</t>
  </si>
  <si>
    <t>D8</t>
  </si>
  <si>
    <t>AB34</t>
  </si>
  <si>
    <t>E9</t>
  </si>
  <si>
    <t>MA223</t>
  </si>
  <si>
    <t>CE02</t>
  </si>
  <si>
    <t>ZJ06</t>
  </si>
  <si>
    <t>A29</t>
  </si>
  <si>
    <t>CP11</t>
  </si>
  <si>
    <t>WA23</t>
  </si>
  <si>
    <t>MA257</t>
  </si>
  <si>
    <t>MA256</t>
  </si>
  <si>
    <t>CK09</t>
  </si>
  <si>
    <t>MA247</t>
  </si>
  <si>
    <t>ZH04</t>
  </si>
  <si>
    <t>MA246</t>
  </si>
  <si>
    <t>G24</t>
  </si>
  <si>
    <t>D11</t>
  </si>
  <si>
    <t>WA17</t>
  </si>
  <si>
    <t>AA21</t>
  </si>
  <si>
    <t>MA263</t>
  </si>
  <si>
    <t>MA266</t>
  </si>
  <si>
    <t>MA187</t>
  </si>
  <si>
    <t>MA265</t>
  </si>
  <si>
    <t>MA264</t>
  </si>
  <si>
    <t>MA190</t>
  </si>
  <si>
    <t>MA42</t>
  </si>
  <si>
    <t>J26</t>
  </si>
  <si>
    <t>MA170</t>
  </si>
  <si>
    <t>MA59</t>
  </si>
  <si>
    <t>MA267</t>
  </si>
  <si>
    <t>WA15</t>
  </si>
  <si>
    <t>B34</t>
  </si>
  <si>
    <t>I26</t>
  </si>
  <si>
    <t>G18</t>
  </si>
  <si>
    <t>WA63</t>
  </si>
  <si>
    <t>MA268</t>
  </si>
  <si>
    <t>C32</t>
  </si>
  <si>
    <t>AC18</t>
  </si>
  <si>
    <t>F31</t>
  </si>
  <si>
    <t>BE5</t>
  </si>
  <si>
    <t>A34</t>
  </si>
  <si>
    <t>MA237</t>
  </si>
  <si>
    <t>CP17</t>
  </si>
  <si>
    <t>CAA13</t>
  </si>
  <si>
    <t>MA238</t>
  </si>
  <si>
    <t>CAA35</t>
  </si>
  <si>
    <t>AB19</t>
  </si>
  <si>
    <t>A24</t>
  </si>
  <si>
    <t>WA27</t>
  </si>
  <si>
    <t>AA13</t>
  </si>
  <si>
    <t>E32</t>
  </si>
  <si>
    <t>D35</t>
  </si>
  <si>
    <t>MA210</t>
  </si>
  <si>
    <t>WA24</t>
  </si>
  <si>
    <t>F30</t>
  </si>
  <si>
    <t>C22</t>
  </si>
  <si>
    <t>A32</t>
  </si>
  <si>
    <t>D2</t>
  </si>
  <si>
    <t>MA91</t>
  </si>
  <si>
    <t>MA240</t>
  </si>
  <si>
    <t>MA239</t>
  </si>
  <si>
    <t>MA248</t>
  </si>
  <si>
    <t>CI06</t>
  </si>
  <si>
    <t>WA37</t>
  </si>
  <si>
    <t>AA30</t>
  </si>
  <si>
    <t>BF5</t>
  </si>
  <si>
    <t>MA137</t>
  </si>
  <si>
    <t>CE03</t>
  </si>
  <si>
    <t>ZM05</t>
  </si>
  <si>
    <t>ZG10</t>
  </si>
  <si>
    <t>A26</t>
  </si>
  <si>
    <t>B26</t>
  </si>
  <si>
    <t>MA215</t>
  </si>
  <si>
    <t>MA249</t>
  </si>
  <si>
    <t>HI04</t>
  </si>
  <si>
    <t>BH4</t>
  </si>
  <si>
    <t>MA10</t>
  </si>
  <si>
    <t>ZQ07</t>
  </si>
  <si>
    <t>ZM03</t>
  </si>
  <si>
    <t>ZP07</t>
  </si>
  <si>
    <t>ZF07</t>
  </si>
  <si>
    <t>CB06</t>
  </si>
  <si>
    <t>ZA15</t>
  </si>
  <si>
    <t>GA04</t>
  </si>
  <si>
    <t>ZG06</t>
  </si>
  <si>
    <t>ZQ06</t>
  </si>
  <si>
    <t>ZA07</t>
  </si>
  <si>
    <t>ZF04</t>
  </si>
  <si>
    <t>ZH16</t>
  </si>
  <si>
    <t>ZH12</t>
  </si>
  <si>
    <t>MA193</t>
  </si>
  <si>
    <t>H28</t>
  </si>
  <si>
    <t>MA164</t>
  </si>
  <si>
    <t>A15</t>
  </si>
  <si>
    <t>CA11</t>
  </si>
  <si>
    <t>ZL07</t>
  </si>
  <si>
    <t>ZF05</t>
  </si>
  <si>
    <t>ZL13</t>
  </si>
  <si>
    <t>ZK05</t>
  </si>
  <si>
    <t>HG04</t>
  </si>
  <si>
    <t>MA90</t>
  </si>
  <si>
    <t>ZH13</t>
  </si>
  <si>
    <t>HC02</t>
  </si>
  <si>
    <t>ZB12</t>
  </si>
  <si>
    <t>ZD09</t>
  </si>
  <si>
    <t>G19</t>
  </si>
  <si>
    <t>C30</t>
  </si>
  <si>
    <t>ZO01</t>
  </si>
  <si>
    <t>MA71</t>
  </si>
  <si>
    <t>MA48</t>
  </si>
  <si>
    <t>HB04</t>
  </si>
  <si>
    <t>MA150</t>
  </si>
  <si>
    <t>H22</t>
  </si>
  <si>
    <t>ZJ14</t>
  </si>
  <si>
    <t>B1</t>
  </si>
  <si>
    <t>AC28</t>
  </si>
  <si>
    <t>B32</t>
  </si>
  <si>
    <t>AA31</t>
  </si>
  <si>
    <t>MA162</t>
  </si>
  <si>
    <t>MA24</t>
  </si>
  <si>
    <t>MA148</t>
  </si>
  <si>
    <t>J32</t>
  </si>
  <si>
    <t>ZE11</t>
  </si>
  <si>
    <t>MA202</t>
  </si>
  <si>
    <t>ZO12</t>
  </si>
  <si>
    <t>MA136</t>
  </si>
  <si>
    <t>HE04</t>
  </si>
  <si>
    <t>ZM10</t>
  </si>
  <si>
    <t>GG01</t>
  </si>
  <si>
    <t>ZL09</t>
  </si>
  <si>
    <t>ZD12</t>
  </si>
  <si>
    <t>BA1</t>
  </si>
  <si>
    <t>B23</t>
  </si>
  <si>
    <t>A21</t>
  </si>
  <si>
    <t>B10</t>
  </si>
  <si>
    <t>MA51</t>
  </si>
  <si>
    <t>ZD06</t>
  </si>
  <si>
    <t>MA183</t>
  </si>
  <si>
    <t>MA165</t>
  </si>
  <si>
    <t>MA46</t>
  </si>
  <si>
    <t>ZF14</t>
  </si>
  <si>
    <t>ZB11</t>
  </si>
  <si>
    <t>ZI01</t>
  </si>
  <si>
    <t>ZG13</t>
  </si>
  <si>
    <t>MA37</t>
  </si>
  <si>
    <t>ZJ09</t>
  </si>
  <si>
    <t>MA50</t>
  </si>
  <si>
    <t>MA269</t>
  </si>
  <si>
    <t>ZA06</t>
  </si>
  <si>
    <t>HO02</t>
  </si>
  <si>
    <t>WA58</t>
  </si>
  <si>
    <t>J34</t>
  </si>
  <si>
    <t>CM03</t>
  </si>
  <si>
    <t>G35</t>
  </si>
  <si>
    <t>E25</t>
  </si>
  <si>
    <t>A31</t>
  </si>
  <si>
    <t>CAA24</t>
  </si>
  <si>
    <t>GL01</t>
  </si>
  <si>
    <t>MA132</t>
  </si>
  <si>
    <t>CH05</t>
  </si>
  <si>
    <t>CD07</t>
  </si>
  <si>
    <t>MA02</t>
  </si>
  <si>
    <t>ZQ12</t>
  </si>
  <si>
    <t>ZE05</t>
  </si>
  <si>
    <t>MA209</t>
  </si>
  <si>
    <t>MA226</t>
  </si>
  <si>
    <t>ZG01</t>
  </si>
  <si>
    <t>ZG05</t>
  </si>
  <si>
    <t>GO04</t>
  </si>
  <si>
    <t>ZQ03</t>
  </si>
  <si>
    <t>ZJ07</t>
  </si>
  <si>
    <t>ZB15</t>
  </si>
  <si>
    <t>ZC10</t>
  </si>
  <si>
    <t>MA36</t>
  </si>
  <si>
    <t>MA38</t>
  </si>
  <si>
    <t>MA84</t>
  </si>
  <si>
    <t>MA207</t>
  </si>
  <si>
    <t>MA29</t>
  </si>
  <si>
    <t>MA200</t>
  </si>
  <si>
    <t>MA103</t>
  </si>
  <si>
    <t>ZI13</t>
  </si>
  <si>
    <t>ZE09</t>
  </si>
  <si>
    <t>D5</t>
  </si>
  <si>
    <t>C33</t>
  </si>
  <si>
    <t>C23</t>
  </si>
  <si>
    <t>B22</t>
  </si>
  <si>
    <t>CE01</t>
  </si>
  <si>
    <t>i7</t>
  </si>
  <si>
    <t>A6</t>
  </si>
  <si>
    <t>MA56</t>
  </si>
  <si>
    <t>WA35</t>
  </si>
  <si>
    <t>E19</t>
  </si>
  <si>
    <t>C20</t>
  </si>
  <si>
    <t>GP10</t>
  </si>
  <si>
    <t>MA149</t>
  </si>
  <si>
    <t>MA206</t>
  </si>
  <si>
    <t>MA221</t>
  </si>
  <si>
    <t>MA198</t>
  </si>
  <si>
    <t>MA201</t>
  </si>
  <si>
    <t>MA218</t>
  </si>
  <si>
    <t>WA54</t>
  </si>
  <si>
    <t>GP7</t>
  </si>
  <si>
    <t>GP22</t>
  </si>
  <si>
    <t>GP6</t>
  </si>
  <si>
    <t>MA204</t>
  </si>
  <si>
    <t>MA203</t>
  </si>
  <si>
    <t>F2</t>
  </si>
  <si>
    <t>GP15</t>
  </si>
  <si>
    <t>H21</t>
  </si>
  <si>
    <t>WA26</t>
  </si>
  <si>
    <t>WA44</t>
  </si>
  <si>
    <t>WA34</t>
  </si>
  <si>
    <t>WA53</t>
  </si>
  <si>
    <t>CF02</t>
  </si>
  <si>
    <t>WA20</t>
  </si>
  <si>
    <t>WA32</t>
  </si>
  <si>
    <t>WA33</t>
  </si>
  <si>
    <t>B19</t>
  </si>
  <si>
    <t>MA245</t>
  </si>
  <si>
    <t>H15</t>
  </si>
  <si>
    <t>CP14</t>
  </si>
  <si>
    <t>i6</t>
  </si>
  <si>
    <t>ZH11</t>
  </si>
  <si>
    <t>ZJ12</t>
  </si>
  <si>
    <t>CL01</t>
  </si>
  <si>
    <t>J28</t>
  </si>
  <si>
    <t>i8</t>
  </si>
  <si>
    <t>E17</t>
  </si>
  <si>
    <t>E12</t>
  </si>
  <si>
    <t>G21</t>
  </si>
  <si>
    <t>GP41</t>
  </si>
  <si>
    <t>CA01</t>
  </si>
  <si>
    <t>GP33</t>
  </si>
  <si>
    <t>GP23</t>
  </si>
  <si>
    <t>H20</t>
  </si>
  <si>
    <t>ZO14</t>
  </si>
  <si>
    <t>HJ03</t>
  </si>
  <si>
    <t>CI07</t>
  </si>
  <si>
    <t>i13</t>
  </si>
  <si>
    <t>ZN02</t>
  </si>
  <si>
    <t>MA113</t>
  </si>
  <si>
    <t>MA108</t>
  </si>
  <si>
    <t>MA178</t>
  </si>
  <si>
    <t>CJ02</t>
  </si>
  <si>
    <t>E15</t>
  </si>
  <si>
    <t>CAA26</t>
  </si>
  <si>
    <t>E30</t>
  </si>
  <si>
    <t>CE05</t>
  </si>
  <si>
    <t>MA172</t>
  </si>
  <si>
    <t>F19</t>
  </si>
  <si>
    <t>C11</t>
  </si>
  <si>
    <t>D10</t>
  </si>
  <si>
    <t>B17</t>
  </si>
  <si>
    <t>C35</t>
  </si>
  <si>
    <t>MA44</t>
  </si>
  <si>
    <t>CA04</t>
  </si>
  <si>
    <t>GP11</t>
  </si>
  <si>
    <t>MA167</t>
  </si>
  <si>
    <t>MA169</t>
  </si>
  <si>
    <t>i16</t>
  </si>
  <si>
    <t>ZD02</t>
  </si>
  <si>
    <t>MA134</t>
  </si>
  <si>
    <t>MA224</t>
  </si>
  <si>
    <t>GP18</t>
  </si>
  <si>
    <t>GP19</t>
  </si>
  <si>
    <t>GB01</t>
  </si>
  <si>
    <t>ZI03</t>
  </si>
  <si>
    <t>HD03</t>
  </si>
  <si>
    <t>ZK14</t>
  </si>
  <si>
    <t>MA138</t>
  </si>
  <si>
    <t>ZI10</t>
  </si>
  <si>
    <t>MA227</t>
  </si>
  <si>
    <t>MA211</t>
  </si>
  <si>
    <t>E7</t>
  </si>
  <si>
    <t>MA233</t>
  </si>
  <si>
    <t>MA216</t>
  </si>
  <si>
    <t>WA62</t>
  </si>
  <si>
    <t>MA212</t>
  </si>
  <si>
    <t>GP5</t>
  </si>
  <si>
    <t>ZQ01</t>
  </si>
  <si>
    <t>ZK08</t>
  </si>
  <si>
    <t>CB03</t>
  </si>
  <si>
    <t>ZQ04</t>
  </si>
  <si>
    <t>MA62</t>
  </si>
  <si>
    <t>MA97</t>
  </si>
  <si>
    <t>ZJ02</t>
  </si>
  <si>
    <t>GP39</t>
  </si>
  <si>
    <t>ZN15</t>
  </si>
  <si>
    <t>MA153</t>
  </si>
  <si>
    <t>MA28</t>
  </si>
  <si>
    <t>ZC01</t>
  </si>
  <si>
    <t>HF01</t>
  </si>
  <si>
    <t>WA50</t>
  </si>
  <si>
    <t>ZE16</t>
  </si>
  <si>
    <t>ZP09</t>
  </si>
  <si>
    <t>ZE08</t>
  </si>
  <si>
    <t>ZI09</t>
  </si>
  <si>
    <t>ZC09</t>
  </si>
  <si>
    <t>ZG12</t>
  </si>
  <si>
    <t>MA126</t>
  </si>
  <si>
    <t>ZP03</t>
  </si>
  <si>
    <t>D30</t>
  </si>
  <si>
    <t>ZL11</t>
  </si>
  <si>
    <t>CC06</t>
  </si>
  <si>
    <t>ZP11</t>
  </si>
  <si>
    <t>ZJ16</t>
  </si>
  <si>
    <t>ZL01</t>
  </si>
  <si>
    <t>CL03</t>
  </si>
  <si>
    <t>ZF15</t>
  </si>
  <si>
    <t>BG2</t>
  </si>
  <si>
    <t>CD02</t>
  </si>
  <si>
    <t>ZJ01</t>
  </si>
  <si>
    <t>MA154</t>
  </si>
  <si>
    <t>H16</t>
  </si>
  <si>
    <t>J29</t>
  </si>
  <si>
    <t>MA41</t>
  </si>
  <si>
    <t>MA189</t>
  </si>
  <si>
    <t>MA159</t>
  </si>
  <si>
    <t>GP9</t>
  </si>
  <si>
    <t>WA55</t>
  </si>
  <si>
    <t>MA08</t>
  </si>
  <si>
    <t>GP8</t>
  </si>
  <si>
    <t>MA219</t>
  </si>
  <si>
    <t>MA12</t>
  </si>
  <si>
    <t>ZD08</t>
  </si>
  <si>
    <t>GM03</t>
  </si>
  <si>
    <t>MA80</t>
  </si>
  <si>
    <t>MA35</t>
  </si>
  <si>
    <t>AC12</t>
  </si>
  <si>
    <t>ZG11</t>
  </si>
  <si>
    <t>ZO07</t>
  </si>
  <si>
    <t>ZH07</t>
  </si>
  <si>
    <t>ZK06</t>
  </si>
  <si>
    <t>CF07</t>
  </si>
  <si>
    <t>MA77</t>
  </si>
  <si>
    <t>CJ06</t>
  </si>
  <si>
    <t>WA43</t>
  </si>
  <si>
    <t>A2</t>
  </si>
  <si>
    <t>AC15</t>
  </si>
  <si>
    <t>MA87</t>
  </si>
  <si>
    <t>ZJ11</t>
  </si>
  <si>
    <t>ZM12</t>
  </si>
  <si>
    <t>WA67</t>
  </si>
  <si>
    <t>MA03</t>
  </si>
  <si>
    <t>MA143</t>
  </si>
  <si>
    <t>MA43</t>
  </si>
  <si>
    <t>BD1</t>
  </si>
  <si>
    <t>J30</t>
  </si>
  <si>
    <t>CG03</t>
  </si>
  <si>
    <t>CD05</t>
  </si>
  <si>
    <t>ZK09</t>
  </si>
  <si>
    <t>CN07</t>
  </si>
  <si>
    <t>ZC03</t>
  </si>
  <si>
    <t>ZL05</t>
  </si>
  <si>
    <t>ZD10</t>
  </si>
  <si>
    <t>ZD15</t>
  </si>
  <si>
    <t>MA191</t>
  </si>
  <si>
    <t>D23</t>
  </si>
  <si>
    <t>i23</t>
  </si>
  <si>
    <t>MA26</t>
  </si>
  <si>
    <t>CD06</t>
  </si>
  <si>
    <t>ZA11</t>
  </si>
  <si>
    <t>ZK13</t>
  </si>
  <si>
    <t>MA81</t>
  </si>
  <si>
    <t>ZF11</t>
  </si>
  <si>
    <t>MA186</t>
  </si>
  <si>
    <t>ZJ05</t>
  </si>
  <si>
    <t>ZI16</t>
  </si>
  <si>
    <t>ZF16</t>
  </si>
  <si>
    <t>ZQ08</t>
  </si>
  <si>
    <t>MA147</t>
  </si>
  <si>
    <t>CO09</t>
  </si>
  <si>
    <t>ZQ14</t>
  </si>
  <si>
    <t>ZD11</t>
  </si>
  <si>
    <t>ZP13</t>
  </si>
  <si>
    <t>MA106</t>
  </si>
  <si>
    <t>MA64</t>
  </si>
  <si>
    <t>MA11</t>
  </si>
  <si>
    <t>MA83</t>
  </si>
  <si>
    <t>GH02</t>
  </si>
  <si>
    <t>HF04</t>
  </si>
  <si>
    <t>MA86</t>
  </si>
  <si>
    <t>ZQ16</t>
  </si>
  <si>
    <t>MA133</t>
  </si>
  <si>
    <t>ZP10</t>
  </si>
  <si>
    <t>ZL16</t>
  </si>
  <si>
    <t>ZN08</t>
  </si>
  <si>
    <t>MA195</t>
  </si>
  <si>
    <t>ZQ15</t>
  </si>
  <si>
    <t>MA194</t>
  </si>
  <si>
    <t>G20</t>
  </si>
  <si>
    <t>WA51</t>
  </si>
  <si>
    <t>AB14</t>
  </si>
  <si>
    <t>ZM14</t>
  </si>
  <si>
    <t>ZM13</t>
  </si>
  <si>
    <t>A22</t>
  </si>
  <si>
    <t>CN09</t>
  </si>
  <si>
    <t>ZN01</t>
  </si>
  <si>
    <t>MA122</t>
  </si>
  <si>
    <t>GP24</t>
  </si>
  <si>
    <t>i14</t>
  </si>
  <si>
    <t>MA99</t>
  </si>
  <si>
    <t>i35</t>
  </si>
  <si>
    <t>MA100</t>
  </si>
  <si>
    <t>D25</t>
  </si>
  <si>
    <t>E22</t>
  </si>
  <si>
    <t>E8</t>
  </si>
  <si>
    <t>i24</t>
  </si>
  <si>
    <t>HJ01</t>
  </si>
  <si>
    <t>ZN16</t>
  </si>
  <si>
    <t>MA65</t>
  </si>
  <si>
    <t>MA102</t>
  </si>
  <si>
    <t>ZB06</t>
  </si>
  <si>
    <t>MA104</t>
  </si>
  <si>
    <t>C28</t>
  </si>
  <si>
    <t>D4</t>
  </si>
  <si>
    <t>CH03</t>
  </si>
  <si>
    <t>MA112</t>
  </si>
  <si>
    <t>MA156</t>
  </si>
  <si>
    <t>GE01</t>
  </si>
  <si>
    <t>ZM06</t>
  </si>
  <si>
    <t>ZC13</t>
  </si>
  <si>
    <t>MA105</t>
  </si>
  <si>
    <t>MA110</t>
  </si>
  <si>
    <t>ZM16</t>
  </si>
  <si>
    <t>MA109</t>
  </si>
  <si>
    <t>GP3</t>
  </si>
  <si>
    <t>D24</t>
  </si>
  <si>
    <t>ZQ13</t>
  </si>
  <si>
    <t>MA61</t>
  </si>
  <si>
    <t>G14</t>
  </si>
  <si>
    <t>ZF03</t>
  </si>
  <si>
    <t>ZG02</t>
  </si>
  <si>
    <t>ZL06</t>
  </si>
  <si>
    <t>ZJ04</t>
  </si>
  <si>
    <t>MA185</t>
  </si>
  <si>
    <t>ZD01</t>
  </si>
  <si>
    <t>MA73</t>
  </si>
  <si>
    <t>ZI11</t>
  </si>
  <si>
    <t>GF01</t>
  </si>
  <si>
    <t>ZB08</t>
  </si>
  <si>
    <t>ZM09</t>
  </si>
  <si>
    <t>ZQ05</t>
  </si>
  <si>
    <t>MA92</t>
  </si>
  <si>
    <t>ZJ10</t>
  </si>
  <si>
    <t>ZK04</t>
  </si>
  <si>
    <t>ZH09</t>
  </si>
  <si>
    <t>MA208</t>
  </si>
  <si>
    <t>ZC15</t>
  </si>
  <si>
    <t>ZB01</t>
  </si>
  <si>
    <t>ZG08</t>
  </si>
  <si>
    <t>ZI14</t>
  </si>
  <si>
    <t>G25</t>
  </si>
  <si>
    <t>MA220</t>
  </si>
  <si>
    <t>MA119</t>
  </si>
  <si>
    <t>MA78</t>
  </si>
  <si>
    <t>GG04</t>
  </si>
  <si>
    <t>GJ03</t>
  </si>
  <si>
    <t>J8</t>
  </si>
  <si>
    <t>H2</t>
  </si>
  <si>
    <t>H19</t>
  </si>
  <si>
    <t>i31</t>
  </si>
  <si>
    <t>ZC11</t>
  </si>
  <si>
    <t>ZN06</t>
  </si>
  <si>
    <t>HB02</t>
  </si>
  <si>
    <t>MA101</t>
  </si>
  <si>
    <t>CG05</t>
  </si>
  <si>
    <t>BG3</t>
  </si>
  <si>
    <t>C24</t>
  </si>
  <si>
    <t>CH01</t>
  </si>
  <si>
    <t>WA70</t>
  </si>
  <si>
    <t>E18</t>
  </si>
  <si>
    <t>HB03</t>
  </si>
  <si>
    <t>ZN14</t>
  </si>
  <si>
    <t>ZP12</t>
  </si>
  <si>
    <t>H11</t>
  </si>
  <si>
    <t>ZK03</t>
  </si>
  <si>
    <t>MA130</t>
  </si>
  <si>
    <t>i4</t>
  </si>
  <si>
    <t>MA234</t>
  </si>
  <si>
    <t>ZD03</t>
  </si>
  <si>
    <t>ZE14</t>
  </si>
  <si>
    <t>ZQ02</t>
  </si>
  <si>
    <t>CH09</t>
  </si>
  <si>
    <t>CA12</t>
  </si>
  <si>
    <t>GO01</t>
  </si>
  <si>
    <t>ZA08</t>
  </si>
  <si>
    <t>GJ02</t>
  </si>
  <si>
    <t>i19</t>
  </si>
  <si>
    <t>B20</t>
  </si>
  <si>
    <t>F4</t>
  </si>
  <si>
    <t>ZM15</t>
  </si>
  <si>
    <t>ZM01</t>
  </si>
  <si>
    <t>MA141</t>
  </si>
  <si>
    <t>ZL14</t>
  </si>
  <si>
    <t>ZE13</t>
  </si>
  <si>
    <t>ZM02</t>
  </si>
  <si>
    <t>ZP04</t>
  </si>
  <si>
    <t>HD02</t>
  </si>
  <si>
    <t>ZB07</t>
  </si>
  <si>
    <t>HB01</t>
  </si>
  <si>
    <t>ZL12</t>
  </si>
  <si>
    <t>ZL02</t>
  </si>
  <si>
    <t>D33</t>
  </si>
  <si>
    <t>ZM11</t>
  </si>
  <si>
    <t>MA129</t>
  </si>
  <si>
    <t>MA243</t>
  </si>
  <si>
    <t>ZK16</t>
  </si>
  <si>
    <t>ZJ15</t>
  </si>
  <si>
    <t>MA98</t>
  </si>
  <si>
    <t>ZC08</t>
  </si>
  <si>
    <t>MA15</t>
  </si>
  <si>
    <t>ZA13</t>
  </si>
  <si>
    <t>ZF13</t>
  </si>
  <si>
    <t>J15</t>
  </si>
  <si>
    <t>i32</t>
  </si>
  <si>
    <t>D26</t>
  </si>
  <si>
    <t>CO03</t>
  </si>
  <si>
    <t>CB07</t>
  </si>
  <si>
    <t>i34</t>
  </si>
  <si>
    <t>GH01</t>
  </si>
  <si>
    <t>CI01</t>
  </si>
  <si>
    <t>WA64</t>
  </si>
  <si>
    <t>MA241</t>
  </si>
  <si>
    <t>MA214</t>
  </si>
  <si>
    <t>MA258</t>
  </si>
  <si>
    <t>AB31</t>
  </si>
  <si>
    <t>F22</t>
  </si>
  <si>
    <t>BE3</t>
  </si>
  <si>
    <t>F26</t>
  </si>
  <si>
    <t>A23</t>
  </si>
  <si>
    <t>H13</t>
  </si>
  <si>
    <t>B8</t>
  </si>
  <si>
    <t>AC31</t>
  </si>
  <si>
    <t>MA19</t>
  </si>
  <si>
    <t>F6</t>
  </si>
  <si>
    <t>MA235</t>
  </si>
  <si>
    <t>MA66</t>
  </si>
  <si>
    <t>H8</t>
  </si>
  <si>
    <t>CH07</t>
  </si>
  <si>
    <t>MA252</t>
  </si>
  <si>
    <t>MA88</t>
  </si>
  <si>
    <t>MA166</t>
  </si>
  <si>
    <t>CJ09</t>
  </si>
  <si>
    <t>ZK11</t>
  </si>
  <si>
    <t>MA181</t>
  </si>
  <si>
    <t>ZH15</t>
  </si>
  <si>
    <t>MA160</t>
  </si>
  <si>
    <t>ZK10</t>
  </si>
  <si>
    <t>G23</t>
  </si>
  <si>
    <t>E24</t>
  </si>
  <si>
    <t>A33</t>
  </si>
  <si>
    <t>BF1</t>
  </si>
  <si>
    <t>MA236</t>
  </si>
  <si>
    <t>AC27</t>
  </si>
  <si>
    <t>F18</t>
  </si>
  <si>
    <t>C21</t>
  </si>
  <si>
    <t>HF03</t>
  </si>
  <si>
    <t>H27</t>
  </si>
  <si>
    <t>D22</t>
  </si>
  <si>
    <t>MA250</t>
  </si>
  <si>
    <t>G32</t>
  </si>
  <si>
    <t>MA251</t>
  </si>
  <si>
    <t>BH5</t>
  </si>
  <si>
    <t>CA05</t>
  </si>
  <si>
    <t>MA47</t>
  </si>
  <si>
    <t>D19</t>
  </si>
  <si>
    <t>WA56</t>
  </si>
  <si>
    <t>CM08</t>
  </si>
  <si>
    <t>ZI15</t>
  </si>
  <si>
    <t>MA151</t>
  </si>
  <si>
    <t>MA144</t>
  </si>
  <si>
    <t>ZE06</t>
  </si>
  <si>
    <t>WA46</t>
  </si>
  <si>
    <t>ZK07</t>
  </si>
  <si>
    <t>MA82</t>
  </si>
  <si>
    <t>ZN10</t>
  </si>
  <si>
    <t>WA40</t>
  </si>
  <si>
    <t>MA171</t>
  </si>
  <si>
    <t>MA173</t>
  </si>
  <si>
    <t>MA174</t>
  </si>
  <si>
    <t>D34</t>
  </si>
  <si>
    <t>AB15</t>
  </si>
  <si>
    <t>ZE15</t>
  </si>
  <si>
    <t>WA30</t>
  </si>
  <si>
    <t>ZE03</t>
  </si>
  <si>
    <t>MA94</t>
  </si>
  <si>
    <t>H14</t>
  </si>
  <si>
    <t>D21</t>
  </si>
  <si>
    <t>C26</t>
  </si>
  <si>
    <t>G31</t>
  </si>
  <si>
    <t>WA60</t>
  </si>
  <si>
    <t>GM04</t>
  </si>
  <si>
    <t>B29</t>
  </si>
  <si>
    <t>ZD04</t>
  </si>
  <si>
    <t>MA205</t>
  </si>
  <si>
    <t>MA30</t>
  </si>
  <si>
    <t>D18</t>
  </si>
  <si>
    <t>H5</t>
  </si>
  <si>
    <t>J24</t>
  </si>
  <si>
    <t>H4S(1)</t>
  </si>
  <si>
    <t>B27</t>
  </si>
  <si>
    <t>H18</t>
  </si>
  <si>
    <t>CAA10</t>
  </si>
  <si>
    <t>AC23</t>
  </si>
  <si>
    <t>MA127</t>
  </si>
  <si>
    <t>HN02</t>
  </si>
  <si>
    <t>E28</t>
  </si>
  <si>
    <t>ZF09</t>
  </si>
  <si>
    <t>ZB03</t>
  </si>
  <si>
    <t>ZP08</t>
  </si>
  <si>
    <t>C34</t>
  </si>
  <si>
    <t>ZK02</t>
  </si>
  <si>
    <t>AC30</t>
  </si>
  <si>
    <t>ZF08</t>
  </si>
  <si>
    <t>ZB02</t>
  </si>
  <si>
    <t>ZP16</t>
  </si>
  <si>
    <t>J14</t>
  </si>
  <si>
    <t>MA75</t>
  </si>
  <si>
    <t>ZP06</t>
  </si>
  <si>
    <t>ZD05</t>
  </si>
  <si>
    <t>MA85</t>
  </si>
  <si>
    <t>ZG07</t>
  </si>
  <si>
    <t>MA231</t>
  </si>
  <si>
    <t>HE03</t>
  </si>
  <si>
    <t>AB13</t>
  </si>
  <si>
    <t>BB4</t>
  </si>
  <si>
    <t>BB2</t>
  </si>
  <si>
    <t>MA140</t>
  </si>
  <si>
    <t>H29</t>
  </si>
  <si>
    <t>HI01</t>
  </si>
  <si>
    <t>F8</t>
  </si>
  <si>
    <t>F23</t>
  </si>
  <si>
    <t>MA275</t>
  </si>
  <si>
    <t>A10</t>
  </si>
  <si>
    <t>MA07</t>
  </si>
  <si>
    <t>CC01</t>
  </si>
  <si>
    <t>AB16</t>
  </si>
  <si>
    <t>HM01</t>
  </si>
  <si>
    <t>MA32</t>
  </si>
  <si>
    <t>ZI02</t>
  </si>
  <si>
    <t>E31</t>
  </si>
  <si>
    <t>MA69</t>
  </si>
  <si>
    <t>ZB04</t>
  </si>
  <si>
    <t>C10</t>
  </si>
  <si>
    <t>CC09</t>
  </si>
  <si>
    <t>GJ01</t>
  </si>
  <si>
    <t>ZM07</t>
  </si>
  <si>
    <t>ZH02</t>
  </si>
  <si>
    <t>ZH01</t>
  </si>
  <si>
    <t>HL03</t>
  </si>
  <si>
    <t>MA117</t>
  </si>
  <si>
    <t>MA197</t>
  </si>
  <si>
    <t>G11</t>
  </si>
  <si>
    <t>MA53</t>
  </si>
  <si>
    <t>CA10</t>
  </si>
  <si>
    <t>ZI06</t>
  </si>
  <si>
    <t>MA120</t>
  </si>
  <si>
    <t>F1</t>
  </si>
  <si>
    <t>E29</t>
  </si>
  <si>
    <t>CC03</t>
  </si>
  <si>
    <t>CB08</t>
  </si>
  <si>
    <t>CB02</t>
  </si>
  <si>
    <t>ZC07</t>
  </si>
  <si>
    <t>ZC06</t>
  </si>
  <si>
    <t>ZQ10</t>
  </si>
  <si>
    <t>HJ02</t>
  </si>
  <si>
    <t>ZO11</t>
  </si>
  <si>
    <t>GP1</t>
  </si>
  <si>
    <t>CP12</t>
  </si>
  <si>
    <t>HN03</t>
  </si>
  <si>
    <t>GE04</t>
  </si>
  <si>
    <t>CP15</t>
  </si>
  <si>
    <t>F27</t>
  </si>
  <si>
    <t>MA89</t>
  </si>
  <si>
    <t>HE02</t>
  </si>
  <si>
    <t>ZI07</t>
  </si>
  <si>
    <t>HC04</t>
  </si>
  <si>
    <t>MA145</t>
  </si>
  <si>
    <t>ZF12</t>
  </si>
  <si>
    <t>G27</t>
  </si>
  <si>
    <t>HK02</t>
  </si>
  <si>
    <t>CN03</t>
  </si>
  <si>
    <t>HG03</t>
  </si>
  <si>
    <t>HH03</t>
  </si>
  <si>
    <t>MA121</t>
  </si>
  <si>
    <t>MA229</t>
  </si>
  <si>
    <t>CF01</t>
  </si>
  <si>
    <t>GP20</t>
  </si>
  <si>
    <t>CD01</t>
  </si>
  <si>
    <t>HO03</t>
  </si>
  <si>
    <t>ZF06</t>
  </si>
  <si>
    <t>MA45</t>
  </si>
  <si>
    <t>J4</t>
  </si>
  <si>
    <t>CF04</t>
  </si>
  <si>
    <t>ZA01</t>
  </si>
  <si>
    <t>HL04</t>
  </si>
  <si>
    <t>MA13</t>
  </si>
  <si>
    <t>ZD14</t>
  </si>
  <si>
    <t>MA09</t>
  </si>
  <si>
    <t>AB33</t>
  </si>
  <si>
    <t>ZD07</t>
  </si>
  <si>
    <t>HD01</t>
  </si>
  <si>
    <t>AC33</t>
  </si>
  <si>
    <t>BE4</t>
  </si>
  <si>
    <t>GC03</t>
  </si>
  <si>
    <t>A19</t>
  </si>
  <si>
    <t>CE07</t>
  </si>
  <si>
    <t>J13</t>
  </si>
  <si>
    <t>J18</t>
  </si>
  <si>
    <t>G7</t>
  </si>
  <si>
    <t>MA135</t>
  </si>
  <si>
    <t>ZO08</t>
  </si>
  <si>
    <t>MA49</t>
  </si>
  <si>
    <t>MA27</t>
  </si>
  <si>
    <t>MA16</t>
  </si>
  <si>
    <t>E20</t>
  </si>
  <si>
    <t>MA131</t>
  </si>
  <si>
    <t>WA10</t>
  </si>
  <si>
    <t>ZA02</t>
  </si>
  <si>
    <t>MA21</t>
  </si>
  <si>
    <t>MA20</t>
  </si>
  <si>
    <t>D31</t>
  </si>
  <si>
    <t>ZC16</t>
  </si>
  <si>
    <t>CL04</t>
  </si>
  <si>
    <t>J19</t>
  </si>
  <si>
    <t>ZH05</t>
  </si>
  <si>
    <t>CO06</t>
  </si>
  <si>
    <t>CO07</t>
  </si>
  <si>
    <t>CM09</t>
  </si>
  <si>
    <t>CK06</t>
  </si>
  <si>
    <t>CJ07</t>
  </si>
  <si>
    <t>HK03</t>
  </si>
  <si>
    <t>CM06</t>
  </si>
  <si>
    <t>CK01</t>
  </si>
  <si>
    <t>CK03</t>
  </si>
  <si>
    <t>CO01</t>
  </si>
  <si>
    <t>G2</t>
  </si>
  <si>
    <t>CB01</t>
  </si>
  <si>
    <t>J36</t>
  </si>
  <si>
    <t>CAA04</t>
  </si>
  <si>
    <t>AA20</t>
  </si>
  <si>
    <t>CJ05</t>
  </si>
  <si>
    <t>F28</t>
  </si>
  <si>
    <t>CE06</t>
  </si>
  <si>
    <t>AB12</t>
  </si>
  <si>
    <t>J27</t>
  </si>
  <si>
    <t>WA66</t>
  </si>
  <si>
    <t>ZA16</t>
  </si>
  <si>
    <t>AB26</t>
  </si>
  <si>
    <t>CC04</t>
  </si>
  <si>
    <t>ZP05</t>
  </si>
  <si>
    <t>ZN05</t>
  </si>
  <si>
    <t>ZE01</t>
  </si>
  <si>
    <t>GI01</t>
  </si>
  <si>
    <t>ZE04</t>
  </si>
  <si>
    <t>WE2</t>
  </si>
  <si>
    <t>CA07</t>
  </si>
  <si>
    <t>ZL10</t>
  </si>
  <si>
    <t>GP14</t>
  </si>
  <si>
    <t>ZA12</t>
  </si>
  <si>
    <t>ZN09</t>
  </si>
  <si>
    <t>CAA32</t>
  </si>
  <si>
    <t>AB18</t>
  </si>
  <si>
    <t>WA16</t>
  </si>
  <si>
    <t>ZN13</t>
  </si>
  <si>
    <t>MA184</t>
  </si>
  <si>
    <t>E14</t>
  </si>
  <si>
    <t>CI08</t>
  </si>
  <si>
    <t>GG02</t>
  </si>
  <si>
    <t>ZL08</t>
  </si>
  <si>
    <t>ZM04</t>
  </si>
  <si>
    <t>MA39</t>
  </si>
  <si>
    <t>B25</t>
  </si>
  <si>
    <t>B24</t>
  </si>
  <si>
    <t>CN06</t>
  </si>
  <si>
    <t>J25</t>
  </si>
  <si>
    <t>ZQ11</t>
  </si>
  <si>
    <t>GP13</t>
  </si>
  <si>
    <t>GP17</t>
  </si>
  <si>
    <t>GE02</t>
  </si>
  <si>
    <t>C16</t>
  </si>
  <si>
    <t>HO01</t>
  </si>
  <si>
    <t>GB02</t>
  </si>
  <si>
    <t>G12</t>
  </si>
  <si>
    <t>G26</t>
  </si>
  <si>
    <t>CH08</t>
  </si>
  <si>
    <t>A8</t>
  </si>
  <si>
    <t>F21</t>
  </si>
  <si>
    <t>D12</t>
  </si>
  <si>
    <t>A20</t>
  </si>
  <si>
    <t>ZP15</t>
  </si>
  <si>
    <t>WA41</t>
  </si>
  <si>
    <t>CO02</t>
  </si>
  <si>
    <t>MA175</t>
  </si>
  <si>
    <t>ZO16</t>
  </si>
  <si>
    <t>MA25</t>
  </si>
  <si>
    <t>HA02</t>
  </si>
  <si>
    <t>BD3</t>
  </si>
  <si>
    <t>ZO06</t>
  </si>
  <si>
    <t>ZK15</t>
  </si>
  <si>
    <t>E11</t>
  </si>
  <si>
    <t>ZB14</t>
  </si>
  <si>
    <t>F9</t>
  </si>
  <si>
    <t>G28</t>
  </si>
  <si>
    <t>B18</t>
  </si>
  <si>
    <t>C14</t>
  </si>
  <si>
    <t>MA222</t>
  </si>
  <si>
    <t>CI04</t>
  </si>
  <si>
    <t>i30</t>
  </si>
  <si>
    <t>ZO10</t>
  </si>
  <si>
    <t>GF04</t>
  </si>
  <si>
    <t>AA23</t>
  </si>
  <si>
    <t>MA67</t>
  </si>
  <si>
    <t>ZI12</t>
  </si>
  <si>
    <t>ZJ08</t>
  </si>
  <si>
    <t>i29</t>
  </si>
  <si>
    <t>ZH03</t>
  </si>
  <si>
    <t>MA128</t>
  </si>
  <si>
    <t>CD03</t>
  </si>
  <si>
    <t>MA123</t>
  </si>
  <si>
    <t>WA22</t>
  </si>
  <si>
    <t>ZE02</t>
  </si>
  <si>
    <t>HD04</t>
  </si>
  <si>
    <t>ZA09</t>
  </si>
  <si>
    <t>MA179</t>
  </si>
  <si>
    <t>ZA05</t>
  </si>
  <si>
    <t>ZG14</t>
  </si>
  <si>
    <t>ZL04</t>
  </si>
  <si>
    <t>WA28</t>
  </si>
  <si>
    <t>HA01</t>
  </si>
  <si>
    <t>CB09</t>
  </si>
  <si>
    <t>E3</t>
  </si>
  <si>
    <t>H6</t>
  </si>
  <si>
    <t>ZG16</t>
  </si>
  <si>
    <t>MA70</t>
  </si>
  <si>
    <t>BD5</t>
  </si>
  <si>
    <t>ZN04</t>
  </si>
  <si>
    <t>CB05</t>
  </si>
  <si>
    <t>F11</t>
  </si>
  <si>
    <t>H31</t>
  </si>
  <si>
    <t>BF2</t>
  </si>
  <si>
    <t>E10</t>
  </si>
  <si>
    <t>GC02</t>
  </si>
  <si>
    <t>CN05</t>
  </si>
  <si>
    <t>AB25</t>
  </si>
  <si>
    <t>MA60</t>
  </si>
  <si>
    <t>MA34</t>
  </si>
  <si>
    <t>MA146</t>
  </si>
  <si>
    <t>AA27</t>
  </si>
  <si>
    <t>HI03</t>
  </si>
  <si>
    <t>HC03</t>
  </si>
  <si>
    <t>WA48</t>
  </si>
  <si>
    <t>MA116</t>
  </si>
  <si>
    <t>H26</t>
  </si>
  <si>
    <t>J17</t>
  </si>
  <si>
    <t>AB24</t>
  </si>
  <si>
    <t>BC2</t>
  </si>
  <si>
    <t>J3</t>
  </si>
  <si>
    <t>MA232</t>
  </si>
  <si>
    <t>HH04</t>
  </si>
  <si>
    <t>A4</t>
  </si>
  <si>
    <t>ZN12</t>
  </si>
  <si>
    <t>GA03</t>
  </si>
  <si>
    <t>GN04</t>
  </si>
  <si>
    <t>F29</t>
  </si>
  <si>
    <t>ZO13</t>
  </si>
  <si>
    <t>WA61</t>
  </si>
  <si>
    <t>i27</t>
  </si>
  <si>
    <t>CM02</t>
  </si>
  <si>
    <t>GP43</t>
  </si>
  <si>
    <t>AC26</t>
  </si>
  <si>
    <t>ZO09</t>
  </si>
  <si>
    <t>AA14</t>
  </si>
  <si>
    <t>D6</t>
  </si>
  <si>
    <t>CN02</t>
  </si>
  <si>
    <t>ZK12</t>
  </si>
  <si>
    <t>AC14</t>
  </si>
  <si>
    <t>GP2</t>
  </si>
  <si>
    <t>ZO04</t>
  </si>
  <si>
    <t>ZE10</t>
  </si>
  <si>
    <t>ZO03</t>
  </si>
  <si>
    <t>ZH06</t>
  </si>
  <si>
    <t>ZI04</t>
  </si>
  <si>
    <t>MA74</t>
  </si>
  <si>
    <t>HO04</t>
  </si>
  <si>
    <t>A14</t>
  </si>
  <si>
    <t>J5</t>
  </si>
  <si>
    <t>B30</t>
  </si>
  <si>
    <t>A3</t>
  </si>
  <si>
    <t>G4</t>
  </si>
  <si>
    <t>C2</t>
  </si>
  <si>
    <t>A12</t>
  </si>
  <si>
    <t>E21</t>
  </si>
  <si>
    <t>G29</t>
  </si>
  <si>
    <t>A16</t>
  </si>
  <si>
    <t>A18</t>
  </si>
  <si>
    <t>F10</t>
  </si>
  <si>
    <t>C27</t>
  </si>
  <si>
    <t>E5</t>
  </si>
  <si>
    <t>A5</t>
  </si>
  <si>
    <t>i10</t>
  </si>
  <si>
    <t>C7</t>
  </si>
  <si>
    <t>F20</t>
  </si>
  <si>
    <t>D15</t>
  </si>
  <si>
    <t>B21</t>
  </si>
  <si>
    <t>D16</t>
  </si>
  <si>
    <t>J1</t>
  </si>
  <si>
    <t>C15</t>
  </si>
  <si>
    <t>B2</t>
  </si>
  <si>
    <t>B15</t>
  </si>
  <si>
    <t>MA96</t>
  </si>
  <si>
    <t>ZF02</t>
  </si>
  <si>
    <t>MA79</t>
  </si>
  <si>
    <t>H10</t>
  </si>
  <si>
    <t>CF09</t>
  </si>
  <si>
    <t>B9</t>
  </si>
  <si>
    <t>B35</t>
  </si>
  <si>
    <t>CB04</t>
  </si>
  <si>
    <t>HI02</t>
  </si>
  <si>
    <t>MA213</t>
  </si>
  <si>
    <t>AB22</t>
  </si>
  <si>
    <t>BF3</t>
  </si>
  <si>
    <t>F37</t>
  </si>
  <si>
    <t>CA08</t>
  </si>
  <si>
    <t>WA11</t>
  </si>
  <si>
    <t>GL03</t>
  </si>
  <si>
    <t>MA111</t>
  </si>
  <si>
    <t>GA01</t>
  </si>
  <si>
    <t>HL02</t>
  </si>
  <si>
    <t>ZA04</t>
  </si>
  <si>
    <t>MA72</t>
  </si>
  <si>
    <t>AA22</t>
  </si>
  <si>
    <t>ZH10</t>
  </si>
  <si>
    <t>AC21</t>
  </si>
  <si>
    <t>WA68</t>
  </si>
  <si>
    <t>CAA14</t>
  </si>
  <si>
    <t>H3(S-1)</t>
  </si>
  <si>
    <t>HL01</t>
  </si>
  <si>
    <t>HN04</t>
  </si>
  <si>
    <t>ZB05</t>
  </si>
  <si>
    <t>CM05</t>
  </si>
  <si>
    <t>i37</t>
  </si>
  <si>
    <t>H30</t>
  </si>
  <si>
    <t>WA12</t>
  </si>
  <si>
    <t>ZN07</t>
  </si>
  <si>
    <t>MA63</t>
  </si>
  <si>
    <t>C31</t>
  </si>
  <si>
    <t>CAA01</t>
  </si>
  <si>
    <t>CK04</t>
  </si>
  <si>
    <t>CA09</t>
  </si>
  <si>
    <t>BH1</t>
  </si>
  <si>
    <t>C19</t>
  </si>
  <si>
    <t>H17</t>
  </si>
  <si>
    <t>GC04</t>
  </si>
  <si>
    <t>GP4</t>
  </si>
  <si>
    <t>ZJ03</t>
  </si>
  <si>
    <t>GD01</t>
  </si>
  <si>
    <t>ZB16</t>
  </si>
  <si>
    <t>D7</t>
  </si>
  <si>
    <t>G22</t>
  </si>
  <si>
    <t>AC20</t>
  </si>
  <si>
    <t>CK02</t>
  </si>
  <si>
    <t>AC17</t>
  </si>
  <si>
    <t>MA125</t>
  </si>
  <si>
    <t>J20</t>
  </si>
  <si>
    <t>BB1</t>
  </si>
  <si>
    <t>BC3</t>
  </si>
  <si>
    <t>MA124</t>
  </si>
  <si>
    <t>CA02</t>
  </si>
  <si>
    <t>HH01</t>
  </si>
  <si>
    <t>CA03</t>
  </si>
  <si>
    <t>MA168</t>
  </si>
  <si>
    <t>MA188</t>
  </si>
  <si>
    <t>ZG04</t>
  </si>
  <si>
    <t>ZH08</t>
  </si>
  <si>
    <t>GB04</t>
  </si>
  <si>
    <t>i28</t>
  </si>
  <si>
    <t>AA15</t>
  </si>
  <si>
    <t>ZO15</t>
  </si>
  <si>
    <t>ZK01</t>
  </si>
  <si>
    <t>MA06</t>
  </si>
  <si>
    <t>ZA03</t>
  </si>
  <si>
    <t>B5</t>
  </si>
  <si>
    <t>F7</t>
  </si>
  <si>
    <t>A9</t>
  </si>
  <si>
    <t>G9</t>
  </si>
  <si>
    <t>G33</t>
  </si>
  <si>
    <t>E1</t>
  </si>
  <si>
    <t>A11</t>
  </si>
  <si>
    <t>A7</t>
  </si>
  <si>
    <t>B6</t>
  </si>
  <si>
    <t>C12</t>
  </si>
  <si>
    <t>F3</t>
  </si>
  <si>
    <t>i3</t>
  </si>
  <si>
    <t>J7</t>
  </si>
  <si>
    <t>B14</t>
  </si>
  <si>
    <t>F24</t>
  </si>
  <si>
    <t>B12</t>
  </si>
  <si>
    <t>F15</t>
  </si>
  <si>
    <t>E27</t>
  </si>
  <si>
    <t>D20</t>
  </si>
  <si>
    <t>H25</t>
  </si>
  <si>
    <t>i26</t>
  </si>
  <si>
    <t>F16</t>
  </si>
  <si>
    <t>B16</t>
  </si>
  <si>
    <t>A17</t>
  </si>
  <si>
    <t>H9</t>
  </si>
  <si>
    <t>J35</t>
  </si>
  <si>
    <t>H36</t>
  </si>
  <si>
    <t>B37</t>
  </si>
  <si>
    <t>F36</t>
  </si>
  <si>
    <t>G36</t>
  </si>
  <si>
    <t>H34</t>
  </si>
  <si>
    <t>B33</t>
  </si>
  <si>
    <t>GP21</t>
  </si>
  <si>
    <t>D29</t>
  </si>
  <si>
    <t>E34</t>
  </si>
  <si>
    <t>F33</t>
  </si>
  <si>
    <t>A25</t>
  </si>
  <si>
    <t>J33</t>
  </si>
  <si>
    <t>WA65</t>
  </si>
  <si>
    <t>MA230</t>
  </si>
  <si>
    <t>GP42</t>
  </si>
  <si>
    <t>AA34</t>
  </si>
  <si>
    <t>CF05</t>
  </si>
  <si>
    <t>CG06</t>
  </si>
  <si>
    <t>ZG15</t>
  </si>
  <si>
    <t>CL05</t>
  </si>
  <si>
    <t>CI09</t>
  </si>
  <si>
    <t>MA118</t>
  </si>
  <si>
    <t>ZM08</t>
  </si>
  <si>
    <t>WA25</t>
  </si>
  <si>
    <t>GP16</t>
  </si>
  <si>
    <t>HG01</t>
  </si>
  <si>
    <t>BH2</t>
  </si>
  <si>
    <t>CD04</t>
  </si>
  <si>
    <t>GN02</t>
  </si>
  <si>
    <t>CI05</t>
  </si>
  <si>
    <t>WA69</t>
  </si>
  <si>
    <t>CD08</t>
  </si>
  <si>
    <t>MA76</t>
  </si>
  <si>
    <t>MA155</t>
  </si>
  <si>
    <t>CE08</t>
  </si>
  <si>
    <t>MA152</t>
  </si>
  <si>
    <t>AA24</t>
  </si>
  <si>
    <t>GK02</t>
  </si>
  <si>
    <t>CE09</t>
  </si>
  <si>
    <t>MA180</t>
  </si>
  <si>
    <t>C5(S-1)</t>
  </si>
  <si>
    <t>GG03</t>
  </si>
  <si>
    <t>MA14</t>
  </si>
  <si>
    <t>ZO05</t>
  </si>
  <si>
    <t>MA31</t>
  </si>
  <si>
    <t>ZL15</t>
  </si>
  <si>
    <t>GJ04</t>
  </si>
  <si>
    <t>MA57</t>
  </si>
  <si>
    <t>CH02</t>
  </si>
  <si>
    <t>CG08</t>
  </si>
  <si>
    <t>CF08</t>
  </si>
  <si>
    <t>GN01</t>
  </si>
  <si>
    <t>i22</t>
  </si>
  <si>
    <t>CP10</t>
  </si>
  <si>
    <t>GM01</t>
  </si>
  <si>
    <t>GL02</t>
  </si>
  <si>
    <t>GE03</t>
  </si>
  <si>
    <t>CM01</t>
  </si>
  <si>
    <t>GP12</t>
  </si>
  <si>
    <t>AB32</t>
  </si>
  <si>
    <t>GO03</t>
  </si>
  <si>
    <t>MA40</t>
  </si>
  <si>
    <t>MA18</t>
  </si>
  <si>
    <t>G10</t>
  </si>
  <si>
    <t>CK05</t>
  </si>
  <si>
    <t>HC01</t>
  </si>
  <si>
    <t>HH02</t>
  </si>
  <si>
    <t>HM02</t>
  </si>
  <si>
    <t>MA158</t>
  </si>
  <si>
    <t>MA04</t>
  </si>
  <si>
    <t>GF03</t>
  </si>
  <si>
    <t>CC08</t>
  </si>
  <si>
    <t>CM07</t>
  </si>
  <si>
    <t>CG04</t>
  </si>
  <si>
    <t>CO08</t>
  </si>
  <si>
    <t>B28</t>
  </si>
  <si>
    <t>CG01</t>
  </si>
  <si>
    <t>CL07</t>
  </si>
  <si>
    <t>WE5</t>
  </si>
  <si>
    <t>WA18</t>
  </si>
  <si>
    <t>GB03</t>
  </si>
  <si>
    <t>CJ04</t>
  </si>
  <si>
    <t>H32</t>
  </si>
  <si>
    <t>AC34</t>
  </si>
  <si>
    <t>F12</t>
  </si>
  <si>
    <t>B11</t>
  </si>
  <si>
    <t>i36</t>
  </si>
  <si>
    <t>CD09</t>
  </si>
  <si>
    <t>CO05</t>
  </si>
  <si>
    <t>CL08</t>
  </si>
  <si>
    <t>H23</t>
  </si>
  <si>
    <t>AB29</t>
  </si>
  <si>
    <t>WA29</t>
  </si>
  <si>
    <t>ZE12</t>
  </si>
  <si>
    <t>ZC12</t>
  </si>
  <si>
    <t>WA13</t>
  </si>
  <si>
    <t>WA38</t>
  </si>
  <si>
    <t>J16</t>
  </si>
  <si>
    <t>J23</t>
  </si>
  <si>
    <t>C3</t>
  </si>
  <si>
    <t>MA95</t>
  </si>
  <si>
    <t>MA23</t>
  </si>
  <si>
    <t>GI02</t>
  </si>
  <si>
    <t>GF02</t>
  </si>
  <si>
    <t>HG02</t>
  </si>
  <si>
    <t>GD04</t>
  </si>
  <si>
    <t>MA58</t>
  </si>
  <si>
    <t>BH3</t>
  </si>
  <si>
    <t>MA261</t>
  </si>
  <si>
    <t>AC25</t>
  </si>
  <si>
    <t>MA142</t>
  </si>
  <si>
    <t>CK07</t>
  </si>
  <si>
    <t>AC16</t>
  </si>
  <si>
    <t>CM04</t>
  </si>
  <si>
    <t>H24</t>
  </si>
  <si>
    <t>AC29</t>
  </si>
  <si>
    <t>HE01</t>
  </si>
  <si>
    <t>B7</t>
  </si>
  <si>
    <t>AC13</t>
  </si>
  <si>
    <t>CN01</t>
  </si>
  <si>
    <t>A28</t>
  </si>
  <si>
    <t>J21</t>
  </si>
  <si>
    <t>E2 (S-1)</t>
  </si>
  <si>
    <t>C25</t>
  </si>
  <si>
    <t>J31</t>
  </si>
  <si>
    <t>C9</t>
  </si>
  <si>
    <t>BD2</t>
  </si>
  <si>
    <t>CH04</t>
  </si>
  <si>
    <t>i18</t>
  </si>
  <si>
    <t>BA2</t>
  </si>
  <si>
    <t>GH03</t>
  </si>
  <si>
    <t>GM02</t>
  </si>
  <si>
    <t>AA18</t>
  </si>
  <si>
    <t>BC4</t>
  </si>
  <si>
    <t>HF02</t>
  </si>
  <si>
    <t>CN04</t>
  </si>
  <si>
    <t>G34</t>
  </si>
  <si>
    <t>GC01</t>
  </si>
  <si>
    <t>D37</t>
  </si>
  <si>
    <t>WA39</t>
  </si>
  <si>
    <t>HN01</t>
  </si>
  <si>
    <t>G5</t>
  </si>
  <si>
    <t>AB27</t>
  </si>
  <si>
    <t>WE1</t>
  </si>
  <si>
    <t>GK01</t>
  </si>
  <si>
    <t>C18</t>
  </si>
  <si>
    <t>MA68</t>
  </si>
  <si>
    <t>HK01</t>
  </si>
  <si>
    <t>AC22</t>
  </si>
  <si>
    <t>CF03</t>
  </si>
  <si>
    <t>BG1</t>
  </si>
  <si>
    <t>AB23</t>
  </si>
  <si>
    <t>AA32</t>
  </si>
  <si>
    <t>A30</t>
  </si>
  <si>
    <t>G1</t>
  </si>
  <si>
    <t>CH06</t>
  </si>
  <si>
    <t>CF06</t>
  </si>
  <si>
    <t>CN08</t>
  </si>
  <si>
    <t>CO04</t>
  </si>
  <si>
    <t>MA54</t>
  </si>
  <si>
    <t>J9</t>
  </si>
  <si>
    <t>i2</t>
  </si>
  <si>
    <t>CAA31</t>
  </si>
  <si>
    <t>CA20</t>
  </si>
  <si>
    <t>i33</t>
  </si>
  <si>
    <t>MA225</t>
  </si>
  <si>
    <t>CA16</t>
  </si>
  <si>
    <t>CA15</t>
  </si>
  <si>
    <t>CAA15</t>
  </si>
  <si>
    <t>CA19</t>
  </si>
  <si>
    <t>MA192</t>
  </si>
  <si>
    <t>MA55</t>
  </si>
  <si>
    <t>CA18</t>
  </si>
  <si>
    <t>MA17</t>
  </si>
  <si>
    <t>CA14</t>
  </si>
  <si>
    <t>BE2</t>
  </si>
  <si>
    <t>CC02</t>
  </si>
  <si>
    <t>CA13</t>
  </si>
  <si>
    <t>MA254</t>
  </si>
  <si>
    <t>CC05</t>
  </si>
  <si>
    <t>CAA08</t>
  </si>
  <si>
    <t>CE04</t>
  </si>
  <si>
    <t>MA260</t>
  </si>
  <si>
    <t>CAA09</t>
  </si>
  <si>
    <t>CA17</t>
  </si>
  <si>
    <t>ZAA03</t>
  </si>
  <si>
    <t>D14</t>
  </si>
  <si>
    <t>F17</t>
  </si>
  <si>
    <t>GP44</t>
  </si>
  <si>
    <t>F14</t>
  </si>
  <si>
    <t>CAA29</t>
  </si>
  <si>
    <t>CK08</t>
  </si>
  <si>
    <t>CAA02</t>
  </si>
  <si>
    <t>CI02</t>
  </si>
  <si>
    <t>MA279</t>
  </si>
  <si>
    <t>CAA21</t>
  </si>
  <si>
    <t>CAA33</t>
  </si>
  <si>
    <t>CAA34</t>
  </si>
  <si>
    <t>CAA19</t>
  </si>
  <si>
    <t>CAA20</t>
  </si>
  <si>
    <t>CAA23</t>
  </si>
  <si>
    <t>MA52</t>
  </si>
  <si>
    <t>CG07</t>
  </si>
  <si>
    <t>CG09</t>
  </si>
  <si>
    <t>ZI05</t>
  </si>
  <si>
    <t>ZAA01</t>
  </si>
  <si>
    <t>ZAA02</t>
  </si>
  <si>
    <t>CL02</t>
  </si>
  <si>
    <t>GI03</t>
  </si>
  <si>
    <t>AB20</t>
  </si>
  <si>
    <t>GI04</t>
  </si>
  <si>
    <t>G17</t>
  </si>
  <si>
    <t>MA01</t>
  </si>
  <si>
    <t>CC07</t>
  </si>
  <si>
    <t>MA107</t>
  </si>
  <si>
    <t>G3</t>
  </si>
  <si>
    <t>GA02</t>
  </si>
  <si>
    <t>ZB13</t>
  </si>
  <si>
    <t>MAKITA OIL TANK 454826-6</t>
  </si>
  <si>
    <t>MODEL</t>
  </si>
  <si>
    <t>MAKITA HEX FRANGE HEAD BOLT 266755-9</t>
  </si>
  <si>
    <t>MAKITA ROLLER 424193-3 LS1016</t>
  </si>
  <si>
    <t>MAKITA Y RING 34 213494-2</t>
  </si>
  <si>
    <t>MAKITA ARMATURE 513305-4 3601B</t>
  </si>
  <si>
    <t>MAKITA CAP 416274-7 / UC3530A</t>
  </si>
  <si>
    <t>MAKITA SWITCH M6001 MT603 650551-9</t>
  </si>
  <si>
    <t>MAKITA BASE 454022-6</t>
  </si>
  <si>
    <t>MAKITA STRAIGHT GUIDE ASS'Y 122704-5</t>
  </si>
  <si>
    <t>MAKITA SAFETY COVER A COMPETE 158959-6</t>
  </si>
  <si>
    <t>MAKITA SPRING FOR UC3520A 231975-4</t>
  </si>
  <si>
    <t>MAKITA SWITCH BUTTON FOR LS1016 451037-4</t>
  </si>
  <si>
    <t>MAKITA AIR PIPE FOR HR3200C 453866-1</t>
  </si>
  <si>
    <t>MAKITA TOOL HOLDER FOR HM1306 326768-3</t>
  </si>
  <si>
    <t>ZH14</t>
  </si>
  <si>
    <t>MaterialDescription</t>
  </si>
  <si>
    <t>ISSEGODOWN</t>
  </si>
  <si>
    <t>A-49585</t>
  </si>
  <si>
    <t>423470-0</t>
  </si>
  <si>
    <t>594634-4</t>
  </si>
  <si>
    <t>JM23100106</t>
  </si>
  <si>
    <t>JM23100107</t>
  </si>
  <si>
    <t>JM23100108</t>
  </si>
  <si>
    <t>JM23100109</t>
  </si>
  <si>
    <t>JM23100110</t>
  </si>
  <si>
    <t>911128-8</t>
  </si>
  <si>
    <t>326629-7</t>
  </si>
  <si>
    <t>165071-5</t>
  </si>
  <si>
    <t>MAKITA SWITCH BUTTON 417113-4</t>
  </si>
  <si>
    <t>PART</t>
  </si>
  <si>
    <t>QTY</t>
  </si>
  <si>
    <t>MAKITA AC VACUUM CLEANER 20L VC2000L</t>
  </si>
  <si>
    <t>MAKITA DC CLEANER 40V CL003GZ14</t>
  </si>
  <si>
    <t>MAKITA DC HAMMER DRIVER 18V BL DHP489Z</t>
  </si>
  <si>
    <t>MAKITA DC COMBI HAMMER DHR183Z</t>
  </si>
  <si>
    <t>MAKITA DC MICROWAVE 40V 8L 500W MW001GZ</t>
  </si>
  <si>
    <t>MAKITA DC CHAIN SAW 40V 12" UC003GZ01</t>
  </si>
  <si>
    <t>MAKITA DC CHAIN SAW 40V 12" UC014GZ</t>
  </si>
  <si>
    <t>MAKITA DC CHAIN SAW 12V BL 100MM UC100DZ</t>
  </si>
  <si>
    <t>MAKITA DC HEDGE TRIMMER 40V UH014GZ</t>
  </si>
  <si>
    <t>MAKITA C-LESS IMPACTDRVR DTW450RTE</t>
  </si>
  <si>
    <t>MAKITA SANDER BO6050J 6"</t>
  </si>
  <si>
    <t>MAKITA C-LESS DRVR DRILL DF001DW</t>
  </si>
  <si>
    <t>MAKITA NEMESISII SDS PLUS 12X210 B-63460</t>
  </si>
  <si>
    <t>MAKITA HAMMER DRIVER DRILL 18V DHP453RYE</t>
  </si>
  <si>
    <t>MAKITA AC RECIPRO SAW JR3051TK</t>
  </si>
  <si>
    <t>MAKITA DC HAMMER DRIVER DRILL  DHP482Z</t>
  </si>
  <si>
    <t>MAKITA DC CLEANER 40V CYCLONE CL003GZ09</t>
  </si>
  <si>
    <t>MAKITA DC GREASE GUN 18V DGP180Z</t>
  </si>
  <si>
    <t>MAKITA CORDLESS LED WORK LIGHT DML805</t>
  </si>
  <si>
    <t>MAKITA COMBINATION HAMMER 18V DHR202RTE</t>
  </si>
  <si>
    <t>MAKITA BATTERY BL1860B SET 197422-4</t>
  </si>
  <si>
    <t>MAKITA SCREW BITSET B-55697</t>
  </si>
  <si>
    <t>MAKITA DC IMPACT DRIVER 18V DTD156Z</t>
  </si>
  <si>
    <t>MAKITA DC IMPACT WRENCH 18V DTW190Z</t>
  </si>
  <si>
    <t>MAKITA DC INFLATOR MP100DZ 12V</t>
  </si>
  <si>
    <t>MAKITA DC GRASS TRIMMER UR100DZ 12V</t>
  </si>
  <si>
    <t>MAKITA DC IMPACT DRIVER 18V BL DTD154Z</t>
  </si>
  <si>
    <t>MAKITA HAMMER DRILL 18V BL 13MM DHP487Z</t>
  </si>
  <si>
    <t>MAKITA DC IMPACT DRIVER 40V BL TD003GZ</t>
  </si>
  <si>
    <t>MAKITA SAWBLADE 165X20X60T EFF B-69892</t>
  </si>
  <si>
    <t>MAKITA ABRASIVE DISC 125MM WA400 D-65903</t>
  </si>
  <si>
    <t>MAKITA DC ANGLE GRINDER 18V BL DGA413Z</t>
  </si>
  <si>
    <t>MAKITA DC HAMMER DRILL BL40V HP001GD201</t>
  </si>
  <si>
    <t>MAKITA TABLE SAW 315MM 2712 (12-3/8")</t>
  </si>
  <si>
    <t>MAKITA SCROLL SAW SJ401</t>
  </si>
  <si>
    <t>MAKITA IMPACT WRENCH TW0350 12.7MM</t>
  </si>
  <si>
    <t>MAKITA DRILL BIT WOOD D-07179 (10MM)</t>
  </si>
  <si>
    <t>MAKITA HIGH PRESSURE WASHER HW151</t>
  </si>
  <si>
    <t>MAKITA TRIMMER RT0700CX2 (1/4") (3/8")</t>
  </si>
  <si>
    <t>MAKITA VACUMM CLEANER VC2510L</t>
  </si>
  <si>
    <t>MAKITA ORBITAL SANDER BO5031 ( 123MM)</t>
  </si>
  <si>
    <t>MAKITA SLIDE COMPOUND SAW 260MM LS1018L</t>
  </si>
  <si>
    <t>MAKITA ABRBELT WA40 4" 794133-8 (9401)</t>
  </si>
  <si>
    <t>MAKITA METAL CUTTING SAW LC1230  (12")</t>
  </si>
  <si>
    <t>MAKITA SOCKET BIT 8-55 784403-3</t>
  </si>
  <si>
    <t>MAKITA BENCH GRINDER 6" GB602 (150MM)</t>
  </si>
  <si>
    <t>MAKITA DC PRUNING SAW 18V DUC150Z 150MM</t>
  </si>
  <si>
    <t>MAKITA DC IMPACT WRENCH 18V DTW450Z</t>
  </si>
  <si>
    <t>MAKITA SDS-PLUS NEM II 12X215 E-14548</t>
  </si>
  <si>
    <t>MAKITA DC CLEANER 18V BL DCL286FZB</t>
  </si>
  <si>
    <t>MAKITA DC LED WORKLIGHT 18V DML814</t>
  </si>
  <si>
    <t>MAKITA DC LAWN MOWER 40V 430MM LM004GZ</t>
  </si>
  <si>
    <t>MAKITA DC RADIO WITH LANTERN 18V DMR057</t>
  </si>
  <si>
    <t>MAKITA DC RECIPRO SAW 18V DJR183Z</t>
  </si>
  <si>
    <t>MAKITA DC JIG SAW 18V BL DJV184RTJ</t>
  </si>
  <si>
    <t>MAKITA DC PRESSURE WASHER 18V DHW180Z01</t>
  </si>
  <si>
    <t>MAKITA DC DUST BLOWER 18V BL DAS180Z</t>
  </si>
  <si>
    <t>MAKITA GRASS TRIMMER ATTACHMENT 191N35-7</t>
  </si>
  <si>
    <t>MAKITA HP EXTENSION HOSE 5M 197845-6</t>
  </si>
  <si>
    <t>MAKITA PIN NAIL P35 F-00055</t>
  </si>
  <si>
    <t>MAKITA POLE SAW ATTACH SET 191T41-8</t>
  </si>
  <si>
    <t>MAKITA PAN HEAD SCREW M6/ 251247-1 5606B</t>
  </si>
  <si>
    <t>MAKITA SWITCH 650716-3 LW1401</t>
  </si>
  <si>
    <t>MAKITA LNK PLATE 345814-3 HR2810</t>
  </si>
  <si>
    <t>MAKITA TAPPING SCREW 266020-6 (BO4556)</t>
  </si>
  <si>
    <t>MAKITA RING SPRING 19 / 233940-9</t>
  </si>
  <si>
    <t>MAKTEC ARMATURE 513549-6 MT580/MT560</t>
  </si>
  <si>
    <t>MAKITA ARMATURE  516478-2 UB1100</t>
  </si>
  <si>
    <t>MAKITA HELICAL GEAR 28 227736-8 HS300D</t>
  </si>
  <si>
    <t>MAKITA BALL BEARING 6201LLB  211106-1</t>
  </si>
  <si>
    <t>MAKITA BASE BO4556 450067-2</t>
  </si>
  <si>
    <t>MAKITA SWITCH FOR MT190 650217-1</t>
  </si>
  <si>
    <t>MAKITA PIN 4 256251-5/ HP1630</t>
  </si>
  <si>
    <t>MAKITA ARMATURE 516334-6 (9015B/9016B)</t>
  </si>
  <si>
    <t>MAKITA ARMATURE 517904-4 ( UC3551A )</t>
  </si>
  <si>
    <t>MAKITA MOTOR HOUSING ASSY JM00000150</t>
  </si>
  <si>
    <t>MAKITA ARMATURE FOR BO6030 516453-8</t>
  </si>
  <si>
    <t>MAKITA FIELD FOR BO6030 634408-2</t>
  </si>
  <si>
    <t>MAKITA BASE FOR SP6000 318179-6</t>
  </si>
  <si>
    <t>MAKITA CONTROLLER A FOR DVC260 620524-6</t>
  </si>
  <si>
    <t>MAKITA CRANK CASE GASKET 346924-9</t>
  </si>
  <si>
    <t>MAKITA FAN 94 FOR DVC260 241851-4</t>
  </si>
  <si>
    <t>MAKITA STATOR FOR DVC260 629189-1</t>
  </si>
  <si>
    <t>MAKITA DC PRE.WASHER 18VX2 BL DHW080ZK</t>
  </si>
  <si>
    <t>MAKITA DC IMPACT DRIVER BL40V TD001GZ</t>
  </si>
  <si>
    <t>MAKITA DC PLANER 40V BL AWS 82MM KP001GZ</t>
  </si>
  <si>
    <t>MAKITA DC GARDEN SPRAYER 12V 5L US053DZ</t>
  </si>
  <si>
    <t>MAKITA DC VACUUM CLEANER 40V VC009GZ</t>
  </si>
  <si>
    <t>MAKITA DC LAWNMOWER 64V 530MM LM002JM101</t>
  </si>
  <si>
    <t>MAKITA T.C.T SAW BLADE WOOD 792259-0</t>
  </si>
  <si>
    <t>MAKITA DC CIRCULAR SAW  HS003GM201</t>
  </si>
  <si>
    <t>MAKITA CHAIN SAW 18V BL 250MM DUC254Z</t>
  </si>
  <si>
    <t>MAKITA DC GRASS TRIMMER 40V UR008GZ01</t>
  </si>
  <si>
    <t>MAKITA FLAT BIT D-07808  28MM</t>
  </si>
  <si>
    <t>MAKITA DRIVER COMPLETE HY00000911</t>
  </si>
  <si>
    <t>MAKITA AC ANGLE GRINDER 230MM GA9060</t>
  </si>
  <si>
    <t>MAKITA SPINDLE FOR GA406D 326669-5</t>
  </si>
  <si>
    <t>MAKITA BALANCER FOR MT813 318622-5</t>
  </si>
  <si>
    <t>MAKITA GEAR ASSEMBLY 126353-0 DHP480</t>
  </si>
  <si>
    <t>MAKITA PAN HEAD SCREW M195 251370-2</t>
  </si>
  <si>
    <t>MAKITA SLEEVE 9 331769-8</t>
  </si>
  <si>
    <t>MAKITA CHANGE LEUER 419250-0 FOR GDF452</t>
  </si>
  <si>
    <t>MAKITA ARMATURE 512407-3 9218SB,9215SB</t>
  </si>
  <si>
    <t>MAKITA BALL BEARING 6202DDW 211241-5</t>
  </si>
  <si>
    <t>MAKITA GEAR HOUSING UC4051A 454821-6</t>
  </si>
  <si>
    <t>MAKITA FIELD 240V FOR LS0714 594559-2</t>
  </si>
  <si>
    <t>MAKITA DUST BAG FOR BO4556 166078-4</t>
  </si>
  <si>
    <t>MAKITA LAWN MOWER 64V 480MM LM001JM101</t>
  </si>
  <si>
    <t>MAKITA HAMMER DRIVER DRILL 40V HP002GZ</t>
  </si>
  <si>
    <t>MAKITA DC ANGLE GRINDER 18V DGA408RTJ1</t>
  </si>
  <si>
    <t>MAKITA DC SPRAYER 18V DVF104Z</t>
  </si>
  <si>
    <t>MAKITA DC CIRCULAR SAW 10.8V HS300DZ</t>
  </si>
  <si>
    <t>MAKITA DC HEDGE TRIMMER 12V UH201DZ</t>
  </si>
  <si>
    <t>MAKITA DC HEDGE TRIMMER 12V UH353DZ</t>
  </si>
  <si>
    <t>MAKITA GRASS SHEAR 12V 160MM UM600DWA</t>
  </si>
  <si>
    <t>MAKITA AC COMBINATION HAMMER HR2670X5</t>
  </si>
  <si>
    <t>MAKITA DC CIRCULAR SAW 40V HS013GZ</t>
  </si>
  <si>
    <t>MAKITA DC BLOWER / VACUUM 18V BL DUB187Z</t>
  </si>
  <si>
    <t>MAKITA ROTOR FOR DTD172 619678-4</t>
  </si>
  <si>
    <t>MAKITA BASE FOR 4100NH 164195-4</t>
  </si>
  <si>
    <t>MAKITA FIELD 240V M0801B 633984-3</t>
  </si>
  <si>
    <t>MAKITA HSS METAL BIT 5X86MM D-64082</t>
  </si>
  <si>
    <t>MAKITA TCT SAWBLADE 260X30X120T D-62240</t>
  </si>
  <si>
    <t>MAKITA HSS METAL BIT 3.5X70MM D-64054</t>
  </si>
  <si>
    <t>MAKITA TCT SAWBLADE 305X25.4X60T B-67452</t>
  </si>
  <si>
    <t>MAKITA TCT SAW BLADE B-17158</t>
  </si>
  <si>
    <t>MAKITA ARMATURE ASS'Y FOR 6953 517554-5</t>
  </si>
  <si>
    <t>MAKITA HAMMER CASE DTD153 143957-3</t>
  </si>
  <si>
    <t>MAKITA HEX. SOCKET HEAD BOLT 266240-2</t>
  </si>
  <si>
    <t>MAKITA HEX SOCKET HEAD BOLT 266458-5</t>
  </si>
  <si>
    <t>STCK</t>
  </si>
  <si>
    <t>ART</t>
  </si>
  <si>
    <t>MAKITA DRILL DP4700 (13MM) 1/2"</t>
  </si>
  <si>
    <t>MAKITA DC DRIVER DRILL 40V BL DF001GD201</t>
  </si>
  <si>
    <t>MAKITA ANGLE GRINDER  GA4030</t>
  </si>
  <si>
    <t>MAKITA DC IMPACT DRIVER 12V  TD111DZ</t>
  </si>
  <si>
    <t>MAKITA ABRASIVE DISC 225MM A150 E-02375</t>
  </si>
  <si>
    <t>MAKITA DC POLISHER SCRUBBER 40V PS001GZ</t>
  </si>
  <si>
    <t>MAKITA DC LAWN MOWER 480MM 40V LM001GZ</t>
  </si>
  <si>
    <t>MAKITA SDS-PLUS NEMESIS II 16X165 E-1473</t>
  </si>
  <si>
    <t>MAKITA PIN NAIL 0.6X25MM F-31838</t>
  </si>
  <si>
    <t>MAKITA SHARPENING HOLDER 82MM 191C17-3</t>
  </si>
  <si>
    <t>MAKITA SOURCE KIT BL4040+DC40RB 191U06-6</t>
  </si>
  <si>
    <t>MAKITA CUT-OFF WHEEL 4" Z60V E-22931</t>
  </si>
  <si>
    <t>MAKITA PIN 4-55  256739-5</t>
  </si>
  <si>
    <t>MAKITA FLAT WASHER 10 253180-3</t>
  </si>
  <si>
    <t>MAKITA SPUR GEAR 10 FOR HR2320T 227359-2</t>
  </si>
  <si>
    <t>MAKITA PAN HEAD SCREW 251448-1 6010DW</t>
  </si>
  <si>
    <t>MAKITA HEX. FLANGE M6X17 4100NH 265226-3</t>
  </si>
  <si>
    <t xml:space="preserve"> MAKITA TOOL HOLDER FOR HR3200C 324840-5</t>
  </si>
  <si>
    <t xml:space="preserve"> MAKITA STATOR (AL) FOR GB801 AL00000238</t>
  </si>
  <si>
    <t>MAKITA STATOR FOR MLT100 JM27000302</t>
  </si>
  <si>
    <t>MAKITA SWITCH HM0810A 651051-2</t>
  </si>
  <si>
    <t>MAKITA MOTOR HOUSING SET HM1305 183940-8</t>
  </si>
  <si>
    <t>MAKITA CRANKCASE CS BLUE EA4301 143333-1</t>
  </si>
  <si>
    <t>MAKITA CRANKCASE MS EA4301 143337-3</t>
  </si>
  <si>
    <t>MAKITA CAPACITOR AL00000099</t>
  </si>
  <si>
    <t>MAKITA MKP1RG182 BL1860X2+DC18R 198119-8</t>
  </si>
  <si>
    <t>MAKITA DC IMPACT WRENCH 40V TW007GZ</t>
  </si>
  <si>
    <t>MAKITA DC RIVET GUN 18V BL DRV250Z</t>
  </si>
  <si>
    <t>MAKITA BATTERY BL1015K 10.8V 1913U9-9</t>
  </si>
  <si>
    <t>MAKITA TIE WIRE SET DTR181 191A57-9</t>
  </si>
  <si>
    <t>MAKITA CONTROLLER GA4040/5040C 620734-5</t>
  </si>
  <si>
    <t>MAKITA GEAR COMPLETE 153254-9</t>
  </si>
  <si>
    <t>MAKITA 90° BLOCK LS1018L JM23100047</t>
  </si>
  <si>
    <t>MAKITA LOCK PLATE FOR 3601B 342290-2</t>
  </si>
  <si>
    <t>MAKITA MOTOR PUMP FOR HW102 3640540</t>
  </si>
  <si>
    <t>MAKITA SPINDLE 6412 324376-4</t>
  </si>
  <si>
    <t>H12</t>
  </si>
  <si>
    <t>CP13</t>
  </si>
  <si>
    <t>i20</t>
  </si>
  <si>
    <t>253180-3</t>
  </si>
  <si>
    <t>265226-3</t>
  </si>
  <si>
    <t>621818-2</t>
  </si>
  <si>
    <t>515553-1</t>
  </si>
  <si>
    <t>345717-1</t>
  </si>
  <si>
    <t>257953-6</t>
  </si>
  <si>
    <t>596289-1</t>
  </si>
  <si>
    <t>517764-4</t>
  </si>
  <si>
    <t>5008MG</t>
  </si>
  <si>
    <t>M9506B</t>
  </si>
  <si>
    <t>213445-5</t>
  </si>
  <si>
    <t>210042-8</t>
  </si>
  <si>
    <t>227541-3</t>
  </si>
  <si>
    <t>252186-8</t>
  </si>
  <si>
    <t>621708-9</t>
  </si>
  <si>
    <t>510084-5</t>
  </si>
  <si>
    <t>418728-0</t>
  </si>
  <si>
    <t>DP4700</t>
  </si>
  <si>
    <t>HP1630</t>
  </si>
  <si>
    <t>HP2050</t>
  </si>
  <si>
    <t>HP2070</t>
  </si>
  <si>
    <t>HR3200C</t>
  </si>
  <si>
    <t>HM1306</t>
  </si>
  <si>
    <t>HR2810</t>
  </si>
  <si>
    <t>TD0101F</t>
  </si>
  <si>
    <t>1911B</t>
  </si>
  <si>
    <t>2012NB</t>
  </si>
  <si>
    <t>5103N</t>
  </si>
  <si>
    <t>N5900B</t>
  </si>
  <si>
    <t>5806B</t>
  </si>
  <si>
    <t>LS1040</t>
  </si>
  <si>
    <t>4327M</t>
  </si>
  <si>
    <t>M9400B</t>
  </si>
  <si>
    <t>D-50550</t>
  </si>
  <si>
    <t>DUH506Z</t>
  </si>
  <si>
    <t>E-14532</t>
  </si>
  <si>
    <t>144787-5</t>
  </si>
  <si>
    <t>VC2000L</t>
  </si>
  <si>
    <t>DCL286FRTB</t>
  </si>
  <si>
    <t>DHP484RFE</t>
  </si>
  <si>
    <t>DHP487RFJ</t>
  </si>
  <si>
    <t>DUH507Z</t>
  </si>
  <si>
    <t>MP001GZ</t>
  </si>
  <si>
    <t>CL003GZ14</t>
  </si>
  <si>
    <t>CS002GZ</t>
  </si>
  <si>
    <t>DCO181Z</t>
  </si>
  <si>
    <t>DHP489Z</t>
  </si>
  <si>
    <t>DUH751Z</t>
  </si>
  <si>
    <t>DTR181Z</t>
  </si>
  <si>
    <t>KP001GZ</t>
  </si>
  <si>
    <t>MW001GZ</t>
  </si>
  <si>
    <t>UC003GZ01</t>
  </si>
  <si>
    <t>GA036GZ</t>
  </si>
  <si>
    <t>GA037GZ</t>
  </si>
  <si>
    <t>UC014GZ</t>
  </si>
  <si>
    <t>UC100DZ</t>
  </si>
  <si>
    <t>UR003GZ</t>
  </si>
  <si>
    <t>VC008GZ04</t>
  </si>
  <si>
    <t>HS009GZ</t>
  </si>
  <si>
    <t>D-42553</t>
  </si>
  <si>
    <t>E-05664</t>
  </si>
  <si>
    <t>P-67963</t>
  </si>
  <si>
    <t>LS003GZ</t>
  </si>
  <si>
    <t>D-50522</t>
  </si>
  <si>
    <t>D-03377</t>
  </si>
  <si>
    <t>B-64238</t>
  </si>
  <si>
    <t>B-64266</t>
  </si>
  <si>
    <t>B-58811</t>
  </si>
  <si>
    <t>B-58899</t>
  </si>
  <si>
    <t>UB001CZ</t>
  </si>
  <si>
    <t>B-58992</t>
  </si>
  <si>
    <t>D-34637</t>
  </si>
  <si>
    <t>D-34659</t>
  </si>
  <si>
    <t>D-34665</t>
  </si>
  <si>
    <t>D-34045</t>
  </si>
  <si>
    <t>D-34051</t>
  </si>
  <si>
    <t>D-34073</t>
  </si>
  <si>
    <t>UB002CZ01</t>
  </si>
  <si>
    <t>D-34089</t>
  </si>
  <si>
    <t>D-34095</t>
  </si>
  <si>
    <t>D-34104</t>
  </si>
  <si>
    <t>D-34110</t>
  </si>
  <si>
    <t>D-34126</t>
  </si>
  <si>
    <t>D-34132</t>
  </si>
  <si>
    <t>D-34148</t>
  </si>
  <si>
    <t>D-34154</t>
  </si>
  <si>
    <t>D-34160</t>
  </si>
  <si>
    <t>D-07814</t>
  </si>
  <si>
    <t>D-09385</t>
  </si>
  <si>
    <t>343693-3</t>
  </si>
  <si>
    <t>794069-1</t>
  </si>
  <si>
    <t>794227-9</t>
  </si>
  <si>
    <t>A-81533</t>
  </si>
  <si>
    <t>DTW450RTE</t>
  </si>
  <si>
    <t>DHP482RFE</t>
  </si>
  <si>
    <t>DTD152RFE</t>
  </si>
  <si>
    <t>DHP482RTE</t>
  </si>
  <si>
    <t>DHR242RTE</t>
  </si>
  <si>
    <t>197396-9</t>
  </si>
  <si>
    <t>A-87242</t>
  </si>
  <si>
    <t>194367-7</t>
  </si>
  <si>
    <t>DTD152RTE</t>
  </si>
  <si>
    <t>B-13471</t>
  </si>
  <si>
    <t>B-40559</t>
  </si>
  <si>
    <t>HP332DSAE</t>
  </si>
  <si>
    <t>TD111DSAE</t>
  </si>
  <si>
    <t>DHP484RTE</t>
  </si>
  <si>
    <t>D-30514</t>
  </si>
  <si>
    <t>224270-9</t>
  </si>
  <si>
    <t>D-24125</t>
  </si>
  <si>
    <t>JV101DZ</t>
  </si>
  <si>
    <t>B-46078</t>
  </si>
  <si>
    <t>B-46090</t>
  </si>
  <si>
    <t>VC3210L</t>
  </si>
  <si>
    <t>A-84090</t>
  </si>
  <si>
    <t>BO6050J</t>
  </si>
  <si>
    <t>DDF482RFE</t>
  </si>
  <si>
    <t>198038-8</t>
  </si>
  <si>
    <t>197280-8</t>
  </si>
  <si>
    <t>6924N</t>
  </si>
  <si>
    <t>197599-5</t>
  </si>
  <si>
    <t>197406-2</t>
  </si>
  <si>
    <t>DHP482RFX1</t>
  </si>
  <si>
    <t>DF001DW</t>
  </si>
  <si>
    <t>D-06236</t>
  </si>
  <si>
    <t>B-51976</t>
  </si>
  <si>
    <t>HR2630X3</t>
  </si>
  <si>
    <t>127828-2</t>
  </si>
  <si>
    <t>ADP05</t>
  </si>
  <si>
    <t>191D93-3</t>
  </si>
  <si>
    <t>193312-9</t>
  </si>
  <si>
    <t>191X11-1</t>
  </si>
  <si>
    <t>D-29555</t>
  </si>
  <si>
    <t>191X13-7</t>
  </si>
  <si>
    <t>191X15-3</t>
  </si>
  <si>
    <t>191X17-9</t>
  </si>
  <si>
    <t>191X19-5</t>
  </si>
  <si>
    <t>D-20703</t>
  </si>
  <si>
    <t>191X21-8</t>
  </si>
  <si>
    <t>A-80787</t>
  </si>
  <si>
    <t>B-48832</t>
  </si>
  <si>
    <t>191X29-2</t>
  </si>
  <si>
    <t>B-51904</t>
  </si>
  <si>
    <t>GA7060</t>
  </si>
  <si>
    <t>452947-8</t>
  </si>
  <si>
    <t>783202-0</t>
  </si>
  <si>
    <t>DGA406RTE</t>
  </si>
  <si>
    <t>191E23-0</t>
  </si>
  <si>
    <t>195716-1</t>
  </si>
  <si>
    <t>199925-4</t>
  </si>
  <si>
    <t>B-20024</t>
  </si>
  <si>
    <t>B-51437</t>
  </si>
  <si>
    <t>B-51443</t>
  </si>
  <si>
    <t>B-51459</t>
  </si>
  <si>
    <t>B-51465</t>
  </si>
  <si>
    <t>B-51471</t>
  </si>
  <si>
    <t>B-51487</t>
  </si>
  <si>
    <t>B-58213</t>
  </si>
  <si>
    <t>B-64244</t>
  </si>
  <si>
    <t>B-64272</t>
  </si>
  <si>
    <t>B-64288</t>
  </si>
  <si>
    <t>D-63345</t>
  </si>
  <si>
    <t>D-74790</t>
  </si>
  <si>
    <t>DML809</t>
  </si>
  <si>
    <t>GM00001381</t>
  </si>
  <si>
    <t>GM00001396</t>
  </si>
  <si>
    <t>A-84121</t>
  </si>
  <si>
    <t>B-20068</t>
  </si>
  <si>
    <t>B-58637</t>
  </si>
  <si>
    <t>B-58774</t>
  </si>
  <si>
    <t>GM00002073</t>
  </si>
  <si>
    <t>191K30-9</t>
  </si>
  <si>
    <t>191H11-5</t>
  </si>
  <si>
    <t>191G24-0</t>
  </si>
  <si>
    <t>191H12-3</t>
  </si>
  <si>
    <t>D-54162</t>
  </si>
  <si>
    <t>D-64353</t>
  </si>
  <si>
    <t>B-14607</t>
  </si>
  <si>
    <t>D-19037</t>
  </si>
  <si>
    <t>D-50500</t>
  </si>
  <si>
    <t>B-23151</t>
  </si>
  <si>
    <t>D-65816</t>
  </si>
  <si>
    <t>B-65115</t>
  </si>
  <si>
    <t>D-64272</t>
  </si>
  <si>
    <t>D-36055</t>
  </si>
  <si>
    <t>D-16645</t>
  </si>
  <si>
    <t>D-16667</t>
  </si>
  <si>
    <t>D-36108</t>
  </si>
  <si>
    <t>D-07303</t>
  </si>
  <si>
    <t>165695-7</t>
  </si>
  <si>
    <t>D-31398</t>
  </si>
  <si>
    <t>191G26-6</t>
  </si>
  <si>
    <t>D-07559</t>
  </si>
  <si>
    <t>D-07727</t>
  </si>
  <si>
    <t>D-47519</t>
  </si>
  <si>
    <t>B-26668</t>
  </si>
  <si>
    <t>D-26602</t>
  </si>
  <si>
    <t>763260-2</t>
  </si>
  <si>
    <t>D-16302</t>
  </si>
  <si>
    <t>B-63242</t>
  </si>
  <si>
    <t>B-63214</t>
  </si>
  <si>
    <t>B-63220</t>
  </si>
  <si>
    <t>B-63264</t>
  </si>
  <si>
    <t>B-63373</t>
  </si>
  <si>
    <t>B-63410</t>
  </si>
  <si>
    <t>B-63426</t>
  </si>
  <si>
    <t>B-63460</t>
  </si>
  <si>
    <t>B-65931</t>
  </si>
  <si>
    <t>B-66020</t>
  </si>
  <si>
    <t>792259-0</t>
  </si>
  <si>
    <t>A-83967</t>
  </si>
  <si>
    <t>D-62810</t>
  </si>
  <si>
    <t>199163-8</t>
  </si>
  <si>
    <t xml:space="preserve">455176-2 </t>
  </si>
  <si>
    <t>DHP453RYE</t>
  </si>
  <si>
    <t>D-62686</t>
  </si>
  <si>
    <t>DTD153RTE</t>
  </si>
  <si>
    <t>DTW300RTJ</t>
  </si>
  <si>
    <t>E-03028</t>
  </si>
  <si>
    <t>CL106FDSAW</t>
  </si>
  <si>
    <t>DMP180Z</t>
  </si>
  <si>
    <t>DTD172RFJ</t>
  </si>
  <si>
    <t>D-65844</t>
  </si>
  <si>
    <t>D-54134</t>
  </si>
  <si>
    <t>D-64319</t>
  </si>
  <si>
    <t>E-13742</t>
  </si>
  <si>
    <t>B-58578</t>
  </si>
  <si>
    <t>E-14227</t>
  </si>
  <si>
    <t>191G25-8</t>
  </si>
  <si>
    <t>E-14233</t>
  </si>
  <si>
    <t>B-58126</t>
  </si>
  <si>
    <t>194419-4</t>
  </si>
  <si>
    <t>B-69478</t>
  </si>
  <si>
    <t>B-03030</t>
  </si>
  <si>
    <t>D-67599</t>
  </si>
  <si>
    <t>B-65838</t>
  </si>
  <si>
    <t>BTC06</t>
  </si>
  <si>
    <t>B-65551</t>
  </si>
  <si>
    <t>D-70823</t>
  </si>
  <si>
    <t>JR3051TK</t>
  </si>
  <si>
    <t>620B33-7</t>
  </si>
  <si>
    <t>DHP482Z</t>
  </si>
  <si>
    <t>HP002GD201</t>
  </si>
  <si>
    <t>M6001B</t>
  </si>
  <si>
    <t>CL003GZ09</t>
  </si>
  <si>
    <t>DGP180Z</t>
  </si>
  <si>
    <t>HR006GZ</t>
  </si>
  <si>
    <t>HS003GM201</t>
  </si>
  <si>
    <t>UC015GZ</t>
  </si>
  <si>
    <t>UX01GZ</t>
  </si>
  <si>
    <t>B-69917</t>
  </si>
  <si>
    <t>D-59156</t>
  </si>
  <si>
    <t>SG1251J</t>
  </si>
  <si>
    <t>E-12918</t>
  </si>
  <si>
    <t>199232-5</t>
  </si>
  <si>
    <t>123245-4</t>
  </si>
  <si>
    <t>A-86561</t>
  </si>
  <si>
    <t>A-85824</t>
  </si>
  <si>
    <t>515208-8</t>
  </si>
  <si>
    <t>B-62022</t>
  </si>
  <si>
    <t>763229-6</t>
  </si>
  <si>
    <t>P-67957</t>
  </si>
  <si>
    <t>D-29066</t>
  </si>
  <si>
    <t>188088-1</t>
  </si>
  <si>
    <t>HS301DWAE</t>
  </si>
  <si>
    <t>D-65894</t>
  </si>
  <si>
    <t>D-41408</t>
  </si>
  <si>
    <t>A-86038</t>
  </si>
  <si>
    <t>D-50538</t>
  </si>
  <si>
    <t>D-03349</t>
  </si>
  <si>
    <t>A-86044</t>
  </si>
  <si>
    <t>D-17603</t>
  </si>
  <si>
    <t>197314-7</t>
  </si>
  <si>
    <t>D-15584</t>
  </si>
  <si>
    <t>B-12289</t>
  </si>
  <si>
    <t>JV101DSAE</t>
  </si>
  <si>
    <t>D-29670</t>
  </si>
  <si>
    <t>D-40191</t>
  </si>
  <si>
    <t>B-14168</t>
  </si>
  <si>
    <t>195136-9</t>
  </si>
  <si>
    <t>D-33934</t>
  </si>
  <si>
    <t>B-01155</t>
  </si>
  <si>
    <t>194385-5</t>
  </si>
  <si>
    <t>DML805</t>
  </si>
  <si>
    <t>HG6031VK</t>
  </si>
  <si>
    <t>DSS610RTE</t>
  </si>
  <si>
    <t>LS1019L</t>
  </si>
  <si>
    <t>D-12027</t>
  </si>
  <si>
    <t>B-57679</t>
  </si>
  <si>
    <t>B-57962</t>
  </si>
  <si>
    <t>B-52392</t>
  </si>
  <si>
    <t>B-55821</t>
  </si>
  <si>
    <t>B-55594</t>
  </si>
  <si>
    <t>195562-2</t>
  </si>
  <si>
    <t>B-53285</t>
  </si>
  <si>
    <t>B-56487</t>
  </si>
  <si>
    <t>39130910</t>
  </si>
  <si>
    <t>B-57364</t>
  </si>
  <si>
    <t>D-07397</t>
  </si>
  <si>
    <t>B-56530</t>
  </si>
  <si>
    <t>D-17192</t>
  </si>
  <si>
    <t>D-24066</t>
  </si>
  <si>
    <t>DHR202RTE</t>
  </si>
  <si>
    <t>LS1219L</t>
  </si>
  <si>
    <t>B-51932</t>
  </si>
  <si>
    <t>D-07191</t>
  </si>
  <si>
    <t>D-07200</t>
  </si>
  <si>
    <t>D-07216</t>
  </si>
  <si>
    <t>198872-6</t>
  </si>
  <si>
    <t>198991-8</t>
  </si>
  <si>
    <t>197422-4</t>
  </si>
  <si>
    <t>B-10469</t>
  </si>
  <si>
    <t>B-58659</t>
  </si>
  <si>
    <t>B-58104</t>
  </si>
  <si>
    <t>DBO180Z</t>
  </si>
  <si>
    <t>DCS552Z</t>
  </si>
  <si>
    <t>B-55697</t>
  </si>
  <si>
    <t>D-65442</t>
  </si>
  <si>
    <t>9556HNG</t>
  </si>
  <si>
    <t>DJR183RTE</t>
  </si>
  <si>
    <t>B-58344</t>
  </si>
  <si>
    <t>B-58475</t>
  </si>
  <si>
    <t>B-51926</t>
  </si>
  <si>
    <t>B-57978</t>
  </si>
  <si>
    <t>CLX224SAX1</t>
  </si>
  <si>
    <t>HG5030</t>
  </si>
  <si>
    <t>HM1812</t>
  </si>
  <si>
    <t>B-58540</t>
  </si>
  <si>
    <t>A-43670</t>
  </si>
  <si>
    <t>193888-6</t>
  </si>
  <si>
    <t>DGA406Z</t>
  </si>
  <si>
    <t>B-04503</t>
  </si>
  <si>
    <t>M6500B</t>
  </si>
  <si>
    <t>M2300B</t>
  </si>
  <si>
    <t>D-67583</t>
  </si>
  <si>
    <t>B-58207</t>
  </si>
  <si>
    <t>251451-2</t>
  </si>
  <si>
    <t>766027-7</t>
  </si>
  <si>
    <t>D-65888</t>
  </si>
  <si>
    <t>E-12354</t>
  </si>
  <si>
    <t>DLW140Z</t>
  </si>
  <si>
    <t>HP001GM201</t>
  </si>
  <si>
    <t>DHS660Z</t>
  </si>
  <si>
    <t>DTD156Z</t>
  </si>
  <si>
    <t>DTW190Z</t>
  </si>
  <si>
    <t>DTD157RTJ</t>
  </si>
  <si>
    <t>MP100DZ</t>
  </si>
  <si>
    <t>DSS610Z</t>
  </si>
  <si>
    <t>UR100DZ</t>
  </si>
  <si>
    <t>HR3011FCJ</t>
  </si>
  <si>
    <t>HM0871C</t>
  </si>
  <si>
    <t>DDF482Z</t>
  </si>
  <si>
    <t>HP002GA201</t>
  </si>
  <si>
    <t>DTD154RTE</t>
  </si>
  <si>
    <t>DTD154Z</t>
  </si>
  <si>
    <t>DGA413RTE</t>
  </si>
  <si>
    <t>HR166DSAE1</t>
  </si>
  <si>
    <t>DHP486RTE</t>
  </si>
  <si>
    <t>DHP487Z</t>
  </si>
  <si>
    <t>DHR242Z</t>
  </si>
  <si>
    <t>HP0300</t>
  </si>
  <si>
    <t>M0600B</t>
  </si>
  <si>
    <t>M0801B</t>
  </si>
  <si>
    <t>HS6600</t>
  </si>
  <si>
    <t>GA029GZ</t>
  </si>
  <si>
    <t>B-64808</t>
  </si>
  <si>
    <t>D-05321</t>
  </si>
  <si>
    <t>D-65850</t>
  </si>
  <si>
    <t>B-54237</t>
  </si>
  <si>
    <t>M4001B</t>
  </si>
  <si>
    <t>TM3010CX6</t>
  </si>
  <si>
    <t>HM0810TA</t>
  </si>
  <si>
    <t>AS001GZ02</t>
  </si>
  <si>
    <t>DBO380Z</t>
  </si>
  <si>
    <t>DHP486Z</t>
  </si>
  <si>
    <t>TD003GZ</t>
  </si>
  <si>
    <t>DLX2131JX7</t>
  </si>
  <si>
    <t>HR005GZ</t>
  </si>
  <si>
    <t>D-54178</t>
  </si>
  <si>
    <t>A-85684</t>
  </si>
  <si>
    <t>264022-6</t>
  </si>
  <si>
    <t>D-03361</t>
  </si>
  <si>
    <t>E-10540</t>
  </si>
  <si>
    <t>191H13-1</t>
  </si>
  <si>
    <t>763252-1</t>
  </si>
  <si>
    <t>D-20719</t>
  </si>
  <si>
    <t>B-58067</t>
  </si>
  <si>
    <t>191L47-8</t>
  </si>
  <si>
    <t>D-54156</t>
  </si>
  <si>
    <t>D-54209</t>
  </si>
  <si>
    <t>E-13172</t>
  </si>
  <si>
    <t>D-65822</t>
  </si>
  <si>
    <t>DPO600Z</t>
  </si>
  <si>
    <t>D-44292</t>
  </si>
  <si>
    <t>D-54190</t>
  </si>
  <si>
    <t>194579-2</t>
  </si>
  <si>
    <t>319314-9</t>
  </si>
  <si>
    <t>224406-0</t>
  </si>
  <si>
    <t>191H10-7</t>
  </si>
  <si>
    <t>A-80911</t>
  </si>
  <si>
    <t>199137-9</t>
  </si>
  <si>
    <t>B-52744</t>
  </si>
  <si>
    <t>B-52766</t>
  </si>
  <si>
    <t>B-52772</t>
  </si>
  <si>
    <t>B-52788</t>
  </si>
  <si>
    <t>B-52794</t>
  </si>
  <si>
    <t>B-52803</t>
  </si>
  <si>
    <t>B-52819</t>
  </si>
  <si>
    <t>B-52825</t>
  </si>
  <si>
    <t>B-52831</t>
  </si>
  <si>
    <t>B-52853</t>
  </si>
  <si>
    <t>B-64973</t>
  </si>
  <si>
    <t>B-69892</t>
  </si>
  <si>
    <t>D-07347</t>
  </si>
  <si>
    <t>D-07630</t>
  </si>
  <si>
    <t>D-09662</t>
  </si>
  <si>
    <t>D-09678</t>
  </si>
  <si>
    <t>D-09715</t>
  </si>
  <si>
    <t>D-18487</t>
  </si>
  <si>
    <t>D-29664</t>
  </si>
  <si>
    <t>D-54140</t>
  </si>
  <si>
    <t>D-63476</t>
  </si>
  <si>
    <t>D-65903</t>
  </si>
  <si>
    <t>D-73215</t>
  </si>
  <si>
    <t>D-77198</t>
  </si>
  <si>
    <t>E-17108</t>
  </si>
  <si>
    <t>319612-1</t>
  </si>
  <si>
    <t>199911-5</t>
  </si>
  <si>
    <t>D-71227</t>
  </si>
  <si>
    <t>D-64294</t>
  </si>
  <si>
    <t>M9203B</t>
  </si>
  <si>
    <t>M9513B</t>
  </si>
  <si>
    <t>M3700B</t>
  </si>
  <si>
    <t>M2401B</t>
  </si>
  <si>
    <t>9556HPG</t>
  </si>
  <si>
    <t>AF506</t>
  </si>
  <si>
    <t>DGA413Z</t>
  </si>
  <si>
    <t>DTD153Z</t>
  </si>
  <si>
    <t>HR1840J</t>
  </si>
  <si>
    <t>M1902B</t>
  </si>
  <si>
    <t>M4000B</t>
  </si>
  <si>
    <t>M4301B</t>
  </si>
  <si>
    <t>198095-6</t>
  </si>
  <si>
    <t>M5801B</t>
  </si>
  <si>
    <t>B-51960</t>
  </si>
  <si>
    <t>M9200B</t>
  </si>
  <si>
    <t>198911-2</t>
  </si>
  <si>
    <t>M9204B</t>
  </si>
  <si>
    <t>B-58229</t>
  </si>
  <si>
    <t>191B26-6</t>
  </si>
  <si>
    <t>B-58724</t>
  </si>
  <si>
    <t>191B36-3</t>
  </si>
  <si>
    <t>B-64858</t>
  </si>
  <si>
    <t>191E08-6</t>
  </si>
  <si>
    <t>B-64870</t>
  </si>
  <si>
    <t>195424-4</t>
  </si>
  <si>
    <t>DUB185Z</t>
  </si>
  <si>
    <t>B-57990</t>
  </si>
  <si>
    <t>M8103B</t>
  </si>
  <si>
    <t>D-16346</t>
  </si>
  <si>
    <t>M6600XB</t>
  </si>
  <si>
    <t>B-58073</t>
  </si>
  <si>
    <t>M4100B</t>
  </si>
  <si>
    <t>D-70910</t>
  </si>
  <si>
    <t>198987-9</t>
  </si>
  <si>
    <t>DF333DSAE</t>
  </si>
  <si>
    <t>D-65872</t>
  </si>
  <si>
    <t>JM27000165</t>
  </si>
  <si>
    <t>JM27000163</t>
  </si>
  <si>
    <t>443141-3</t>
  </si>
  <si>
    <t>DHP453RFX4</t>
  </si>
  <si>
    <t>232257-7</t>
  </si>
  <si>
    <t>DKP181Z</t>
  </si>
  <si>
    <t>B-64989</t>
  </si>
  <si>
    <t>HG6530VK</t>
  </si>
  <si>
    <t>193058-7</t>
  </si>
  <si>
    <t>B-58665</t>
  </si>
  <si>
    <t>D-71211</t>
  </si>
  <si>
    <t>142002-1</t>
  </si>
  <si>
    <t>234098-7</t>
  </si>
  <si>
    <t>198192-8</t>
  </si>
  <si>
    <t>HP333DSAE</t>
  </si>
  <si>
    <t>DSL800Z</t>
  </si>
  <si>
    <t>191D71-3</t>
  </si>
  <si>
    <t>DUB186Z</t>
  </si>
  <si>
    <t>193059-5</t>
  </si>
  <si>
    <t>D-63286</t>
  </si>
  <si>
    <t>M3600B</t>
  </si>
  <si>
    <t>D-63270</t>
  </si>
  <si>
    <t>D-64397</t>
  </si>
  <si>
    <t>D-65838</t>
  </si>
  <si>
    <t>M8100B</t>
  </si>
  <si>
    <t>DF001GD201</t>
  </si>
  <si>
    <t>DF001GZ</t>
  </si>
  <si>
    <t>DUH604SZ</t>
  </si>
  <si>
    <t>HP001GD201</t>
  </si>
  <si>
    <t>HP001GZ</t>
  </si>
  <si>
    <t>TD001GD201</t>
  </si>
  <si>
    <t>D-44345</t>
  </si>
  <si>
    <t>TD001GZ</t>
  </si>
  <si>
    <t>GA003GD201</t>
  </si>
  <si>
    <t>D-34213</t>
  </si>
  <si>
    <t>DEK005SG</t>
  </si>
  <si>
    <t>B-19978</t>
  </si>
  <si>
    <t>HS003GZ</t>
  </si>
  <si>
    <t>B-20111</t>
  </si>
  <si>
    <t>D-18758</t>
  </si>
  <si>
    <t>A-80824</t>
  </si>
  <si>
    <t>D-44426</t>
  </si>
  <si>
    <t>UC4041A</t>
  </si>
  <si>
    <t>DTW300RFJ</t>
  </si>
  <si>
    <t>B-40711</t>
  </si>
  <si>
    <t>B-58718</t>
  </si>
  <si>
    <t>B-22931</t>
  </si>
  <si>
    <t>D-29773</t>
  </si>
  <si>
    <t>197393-5</t>
  </si>
  <si>
    <t>UB1102</t>
  </si>
  <si>
    <t>SP6000J</t>
  </si>
  <si>
    <t>LW1401</t>
  </si>
  <si>
    <t>D-33875</t>
  </si>
  <si>
    <t>D-18873</t>
  </si>
  <si>
    <t>D-34827</t>
  </si>
  <si>
    <t>A-84040</t>
  </si>
  <si>
    <t>197974-5</t>
  </si>
  <si>
    <t>HR2470X5</t>
  </si>
  <si>
    <t>D-07294</t>
  </si>
  <si>
    <t>D-24088</t>
  </si>
  <si>
    <t>D-07222</t>
  </si>
  <si>
    <t>D-47123</t>
  </si>
  <si>
    <t>B-09949</t>
  </si>
  <si>
    <t>D-34182</t>
  </si>
  <si>
    <t>HM0810A</t>
  </si>
  <si>
    <t>HR4003C</t>
  </si>
  <si>
    <t>B-05131</t>
  </si>
  <si>
    <t>UC4051A</t>
  </si>
  <si>
    <t>D-09422</t>
  </si>
  <si>
    <t>763636-3</t>
  </si>
  <si>
    <t>D-34176</t>
  </si>
  <si>
    <t>HM0870C</t>
  </si>
  <si>
    <t>D-05256</t>
  </si>
  <si>
    <t>D-05278</t>
  </si>
  <si>
    <t>D-05290</t>
  </si>
  <si>
    <t>B-16689</t>
  </si>
  <si>
    <t>B-16994</t>
  </si>
  <si>
    <t>DJV182Z</t>
  </si>
  <si>
    <t>UB1103</t>
  </si>
  <si>
    <t>UC3551A</t>
  </si>
  <si>
    <t>9237C</t>
  </si>
  <si>
    <t>197370-7</t>
  </si>
  <si>
    <t>A-81474</t>
  </si>
  <si>
    <t>B-06476</t>
  </si>
  <si>
    <t>134.412</t>
  </si>
  <si>
    <t>D-09444</t>
  </si>
  <si>
    <t>122.248</t>
  </si>
  <si>
    <t>134.414</t>
  </si>
  <si>
    <t>134.415</t>
  </si>
  <si>
    <t>196521-9</t>
  </si>
  <si>
    <t>D-49030</t>
  </si>
  <si>
    <t>D-49373</t>
  </si>
  <si>
    <t>D-49052</t>
  </si>
  <si>
    <t>D-49264</t>
  </si>
  <si>
    <t>D-49345</t>
  </si>
  <si>
    <t>D-05343</t>
  </si>
  <si>
    <t>D-08034</t>
  </si>
  <si>
    <t>B-28983</t>
  </si>
  <si>
    <t>D-41414</t>
  </si>
  <si>
    <t>B-16667</t>
  </si>
  <si>
    <t>B-16673</t>
  </si>
  <si>
    <t>B-16695</t>
  </si>
  <si>
    <t>B-07319</t>
  </si>
  <si>
    <t>A-81402</t>
  </si>
  <si>
    <t>DC1851</t>
  </si>
  <si>
    <t>B-06890</t>
  </si>
  <si>
    <t>B-06909</t>
  </si>
  <si>
    <t>SJ401</t>
  </si>
  <si>
    <t>TW0350</t>
  </si>
  <si>
    <t>LB1200F</t>
  </si>
  <si>
    <t>D-07107</t>
  </si>
  <si>
    <t>794609-5</t>
  </si>
  <si>
    <t>794610-0</t>
  </si>
  <si>
    <t>794611-8</t>
  </si>
  <si>
    <t>763187-6</t>
  </si>
  <si>
    <t>794612-6</t>
  </si>
  <si>
    <t>794613-4</t>
  </si>
  <si>
    <t>D-31114</t>
  </si>
  <si>
    <t>267143-3</t>
  </si>
  <si>
    <t>267001-3</t>
  </si>
  <si>
    <t>A-81131</t>
  </si>
  <si>
    <t>D-05284</t>
  </si>
  <si>
    <t>D-05262</t>
  </si>
  <si>
    <t>D-29614</t>
  </si>
  <si>
    <t>D-07163</t>
  </si>
  <si>
    <t>A-80612</t>
  </si>
  <si>
    <t>D-07179</t>
  </si>
  <si>
    <t>D-07185</t>
  </si>
  <si>
    <t>784811-8</t>
  </si>
  <si>
    <t>DS4011</t>
  </si>
  <si>
    <t>164834-6</t>
  </si>
  <si>
    <t>763601-2</t>
  </si>
  <si>
    <t>763607-0</t>
  </si>
  <si>
    <t>195586-8</t>
  </si>
  <si>
    <t>513633-7</t>
  </si>
  <si>
    <t>D-29810</t>
  </si>
  <si>
    <t>792299-8</t>
  </si>
  <si>
    <t>763447-6</t>
  </si>
  <si>
    <t>763801-4</t>
  </si>
  <si>
    <t>GA4040C</t>
  </si>
  <si>
    <t>D-26303</t>
  </si>
  <si>
    <t>A-80438</t>
  </si>
  <si>
    <t>D-09260</t>
  </si>
  <si>
    <t>794608-7</t>
  </si>
  <si>
    <t>D-47139</t>
  </si>
  <si>
    <t>D-07783</t>
  </si>
  <si>
    <t>D-07808</t>
  </si>
  <si>
    <t>D-08757</t>
  </si>
  <si>
    <t>D-19021</t>
  </si>
  <si>
    <t>B-23117</t>
  </si>
  <si>
    <t>HW151</t>
  </si>
  <si>
    <t>D-33679</t>
  </si>
  <si>
    <t>JV0600K</t>
  </si>
  <si>
    <t>792296-4</t>
  </si>
  <si>
    <t>D-34833</t>
  </si>
  <si>
    <t>D-17114</t>
  </si>
  <si>
    <t>194041-7</t>
  </si>
  <si>
    <t>B-30586</t>
  </si>
  <si>
    <t>164367-1</t>
  </si>
  <si>
    <t>A-86882</t>
  </si>
  <si>
    <t>794052-8</t>
  </si>
  <si>
    <t>D-07967</t>
  </si>
  <si>
    <t>D-08822</t>
  </si>
  <si>
    <t>A-88054</t>
  </si>
  <si>
    <t>763810-3</t>
  </si>
  <si>
    <t>001213042</t>
  </si>
  <si>
    <t>HM1214C</t>
  </si>
  <si>
    <t>A-19495</t>
  </si>
  <si>
    <t>A-49600</t>
  </si>
  <si>
    <t>LCT204</t>
  </si>
  <si>
    <t>195896-3</t>
  </si>
  <si>
    <t>D-05181</t>
  </si>
  <si>
    <t>D-16368</t>
  </si>
  <si>
    <t>B-10621</t>
  </si>
  <si>
    <t>B-00832</t>
  </si>
  <si>
    <t>194864-3</t>
  </si>
  <si>
    <t>RT0700CX2</t>
  </si>
  <si>
    <t>D-05206</t>
  </si>
  <si>
    <t>A-80818</t>
  </si>
  <si>
    <t>794091-8</t>
  </si>
  <si>
    <t>A-83696</t>
  </si>
  <si>
    <t>794092-6</t>
  </si>
  <si>
    <t>794093-4</t>
  </si>
  <si>
    <t>794221-1</t>
  </si>
  <si>
    <t>194065-3</t>
  </si>
  <si>
    <t>D-09313</t>
  </si>
  <si>
    <t>D-15388</t>
  </si>
  <si>
    <t>A-80793</t>
  </si>
  <si>
    <t>D-09167</t>
  </si>
  <si>
    <t>D-05212</t>
  </si>
  <si>
    <t>A-82476</t>
  </si>
  <si>
    <t>162279-2</t>
  </si>
  <si>
    <t>VC2510L</t>
  </si>
  <si>
    <t>HW102</t>
  </si>
  <si>
    <t>F-33250</t>
  </si>
  <si>
    <t>D-16988</t>
  </si>
  <si>
    <t>D-16972</t>
  </si>
  <si>
    <t>D-31142</t>
  </si>
  <si>
    <t>D-31170</t>
  </si>
  <si>
    <t>D-31223</t>
  </si>
  <si>
    <t>D-31413</t>
  </si>
  <si>
    <t>D-31435</t>
  </si>
  <si>
    <t>D-31441</t>
  </si>
  <si>
    <t>D-31457</t>
  </si>
  <si>
    <t>194731-2</t>
  </si>
  <si>
    <t>D-29636</t>
  </si>
  <si>
    <t>D-29658</t>
  </si>
  <si>
    <t>D-29692</t>
  </si>
  <si>
    <t>D-29739</t>
  </si>
  <si>
    <t>D-07054</t>
  </si>
  <si>
    <t>D-07076</t>
  </si>
  <si>
    <t>D-09709</t>
  </si>
  <si>
    <t>343411-9</t>
  </si>
  <si>
    <t>BO5031</t>
  </si>
  <si>
    <t>D-08682</t>
  </si>
  <si>
    <t>793346-8</t>
  </si>
  <si>
    <t>D-17647</t>
  </si>
  <si>
    <t>D-09547</t>
  </si>
  <si>
    <t>194368-5</t>
  </si>
  <si>
    <t>GA4030</t>
  </si>
  <si>
    <t>763623-2</t>
  </si>
  <si>
    <t>A-87557</t>
  </si>
  <si>
    <t>A-85771</t>
  </si>
  <si>
    <t>782407-9</t>
  </si>
  <si>
    <t>GA4031</t>
  </si>
  <si>
    <t>D-14093</t>
  </si>
  <si>
    <t>A-87563</t>
  </si>
  <si>
    <t>B-07331</t>
  </si>
  <si>
    <t>BO3710</t>
  </si>
  <si>
    <t>LS1018L</t>
  </si>
  <si>
    <t>794134-6</t>
  </si>
  <si>
    <t>D-15512</t>
  </si>
  <si>
    <t>D-31491</t>
  </si>
  <si>
    <t>794094-2</t>
  </si>
  <si>
    <t>A-85868</t>
  </si>
  <si>
    <t>763618-5</t>
  </si>
  <si>
    <t>794133-8</t>
  </si>
  <si>
    <t>A-86767</t>
  </si>
  <si>
    <t>341650-5</t>
  </si>
  <si>
    <t>D-16879</t>
  </si>
  <si>
    <t>191455-1</t>
  </si>
  <si>
    <t>A-80802</t>
  </si>
  <si>
    <t>D-31251</t>
  </si>
  <si>
    <t>D-05197</t>
  </si>
  <si>
    <t>D-08735</t>
  </si>
  <si>
    <t>D-25616</t>
  </si>
  <si>
    <t>A-49579</t>
  </si>
  <si>
    <t>3641950</t>
  </si>
  <si>
    <t>3641000</t>
  </si>
  <si>
    <t>D-31500</t>
  </si>
  <si>
    <t>D-30106</t>
  </si>
  <si>
    <t>D-00066</t>
  </si>
  <si>
    <t>763608-8</t>
  </si>
  <si>
    <t>RP0900</t>
  </si>
  <si>
    <t>784009-7</t>
  </si>
  <si>
    <t>B-00804</t>
  </si>
  <si>
    <t>D-08707</t>
  </si>
  <si>
    <t>D-08470</t>
  </si>
  <si>
    <t>782209-3</t>
  </si>
  <si>
    <t>784006-3</t>
  </si>
  <si>
    <t>B-00826</t>
  </si>
  <si>
    <t>KP0800X</t>
  </si>
  <si>
    <t>A-83646</t>
  </si>
  <si>
    <t>LC1230</t>
  </si>
  <si>
    <t>123062-2</t>
  </si>
  <si>
    <t>794136-2</t>
  </si>
  <si>
    <t>763132-1</t>
  </si>
  <si>
    <t>192629-7</t>
  </si>
  <si>
    <t>194589-9</t>
  </si>
  <si>
    <t>A-85737</t>
  </si>
  <si>
    <t>A-91051</t>
  </si>
  <si>
    <t>763805-6</t>
  </si>
  <si>
    <t>784204-9</t>
  </si>
  <si>
    <t>A-85802</t>
  </si>
  <si>
    <t>784001-3</t>
  </si>
  <si>
    <t>224343-8</t>
  </si>
  <si>
    <t>193067-6</t>
  </si>
  <si>
    <t>224053-7</t>
  </si>
  <si>
    <t>224387-8</t>
  </si>
  <si>
    <t>224386-0</t>
  </si>
  <si>
    <t>224415-9</t>
  </si>
  <si>
    <t>D-00103</t>
  </si>
  <si>
    <t>192019-4</t>
  </si>
  <si>
    <t>273444-9</t>
  </si>
  <si>
    <t>273495-2</t>
  </si>
  <si>
    <t>224554-5</t>
  </si>
  <si>
    <t>794135-4</t>
  </si>
  <si>
    <t>122555-6</t>
  </si>
  <si>
    <t>792287-5</t>
  </si>
  <si>
    <t>JM23000023</t>
  </si>
  <si>
    <t>784403-3</t>
  </si>
  <si>
    <t>191681-2</t>
  </si>
  <si>
    <t>794060-9</t>
  </si>
  <si>
    <t>794176-0</t>
  </si>
  <si>
    <t>AT1022AZ</t>
  </si>
  <si>
    <t>D-16863</t>
  </si>
  <si>
    <t>D-00125</t>
  </si>
  <si>
    <t>744003-1</t>
  </si>
  <si>
    <t>763432-9</t>
  </si>
  <si>
    <t>763418-3</t>
  </si>
  <si>
    <t>D-15300</t>
  </si>
  <si>
    <t>763663-0</t>
  </si>
  <si>
    <t>D-08713</t>
  </si>
  <si>
    <t>D-07901</t>
  </si>
  <si>
    <t>192536-4</t>
  </si>
  <si>
    <t>192877-8</t>
  </si>
  <si>
    <t>763077-3</t>
  </si>
  <si>
    <t>A-85852</t>
  </si>
  <si>
    <t>794138-8</t>
  </si>
  <si>
    <t>794137-0</t>
  </si>
  <si>
    <t>A-88456</t>
  </si>
  <si>
    <t>A-88478</t>
  </si>
  <si>
    <t>763441-8</t>
  </si>
  <si>
    <t>763442-6</t>
  </si>
  <si>
    <t>763161-4</t>
  </si>
  <si>
    <t>763170-3</t>
  </si>
  <si>
    <t>D-00620</t>
  </si>
  <si>
    <t>A-89545</t>
  </si>
  <si>
    <t>A-81767</t>
  </si>
  <si>
    <t>763199-9</t>
  </si>
  <si>
    <t>152492-0</t>
  </si>
  <si>
    <t>265142-9</t>
  </si>
  <si>
    <t>782401-1</t>
  </si>
  <si>
    <t>2416S</t>
  </si>
  <si>
    <t>A-86577</t>
  </si>
  <si>
    <t>A-85628</t>
  </si>
  <si>
    <t>D-31201</t>
  </si>
  <si>
    <t>D-31479</t>
  </si>
  <si>
    <t>JN1601</t>
  </si>
  <si>
    <t>4100NH</t>
  </si>
  <si>
    <t>763414-1</t>
  </si>
  <si>
    <t>PV7000C</t>
  </si>
  <si>
    <t>763804-8</t>
  </si>
  <si>
    <t>AF301</t>
  </si>
  <si>
    <t>A-07185</t>
  </si>
  <si>
    <t>A-83836</t>
  </si>
  <si>
    <t>793329-8</t>
  </si>
  <si>
    <t>A-81505</t>
  </si>
  <si>
    <t>A-81430</t>
  </si>
  <si>
    <t>A-81898</t>
  </si>
  <si>
    <t>A-82105</t>
  </si>
  <si>
    <t>P-67885</t>
  </si>
  <si>
    <t>A-82557</t>
  </si>
  <si>
    <t>A-82351</t>
  </si>
  <si>
    <t>A-81614</t>
  </si>
  <si>
    <t>A-82323</t>
  </si>
  <si>
    <t>A-89947</t>
  </si>
  <si>
    <t>A-81561</t>
  </si>
  <si>
    <t>A-82292</t>
  </si>
  <si>
    <t>A-80880</t>
  </si>
  <si>
    <t>A-80933</t>
  </si>
  <si>
    <t>A-80852</t>
  </si>
  <si>
    <t>A-84981</t>
  </si>
  <si>
    <t>A-85743</t>
  </si>
  <si>
    <t>A-86583</t>
  </si>
  <si>
    <t>A-85818</t>
  </si>
  <si>
    <t>A-85874</t>
  </si>
  <si>
    <t>D-00181</t>
  </si>
  <si>
    <t>MLT100</t>
  </si>
  <si>
    <t>LS0714</t>
  </si>
  <si>
    <t>BO4556</t>
  </si>
  <si>
    <t>GV6010</t>
  </si>
  <si>
    <t>9500NB</t>
  </si>
  <si>
    <t>GB602</t>
  </si>
  <si>
    <t>GB801</t>
  </si>
  <si>
    <t>GA5010</t>
  </si>
  <si>
    <t>GA6010</t>
  </si>
  <si>
    <t>DUC150Z</t>
  </si>
  <si>
    <t>DTW450Z</t>
  </si>
  <si>
    <t>E-05511</t>
  </si>
  <si>
    <t>HY00000911</t>
  </si>
  <si>
    <t>D-25149</t>
  </si>
  <si>
    <t>D-64107</t>
  </si>
  <si>
    <t>D-30368</t>
  </si>
  <si>
    <t>D-17544</t>
  </si>
  <si>
    <t>E-14548</t>
  </si>
  <si>
    <t>E-14744</t>
  </si>
  <si>
    <t>D-44286</t>
  </si>
  <si>
    <t>766021-9</t>
  </si>
  <si>
    <t>191A78-1</t>
  </si>
  <si>
    <t>DHP489RTJ</t>
  </si>
  <si>
    <t>TD111DZ</t>
  </si>
  <si>
    <t>DF001GM201</t>
  </si>
  <si>
    <t>GA9060</t>
  </si>
  <si>
    <t>RT001GZ04</t>
  </si>
  <si>
    <t>JV002GZ</t>
  </si>
  <si>
    <t>B-58796</t>
  </si>
  <si>
    <t>B-58914</t>
  </si>
  <si>
    <t>DHP484Z</t>
  </si>
  <si>
    <t>DBO380ZJ</t>
  </si>
  <si>
    <t>DCL286FZB</t>
  </si>
  <si>
    <t>191Y05-2</t>
  </si>
  <si>
    <t>P-68018</t>
  </si>
  <si>
    <t>B-03698</t>
  </si>
  <si>
    <t>E-12924</t>
  </si>
  <si>
    <t>E-14750</t>
  </si>
  <si>
    <t>E-03442</t>
  </si>
  <si>
    <t>CL115FDWR1</t>
  </si>
  <si>
    <t>TW001GZ</t>
  </si>
  <si>
    <t>TW010GZ</t>
  </si>
  <si>
    <t>DML814</t>
  </si>
  <si>
    <t>DMR057</t>
  </si>
  <si>
    <t>E-02375</t>
  </si>
  <si>
    <t>B-68410</t>
  </si>
  <si>
    <t>B-68426</t>
  </si>
  <si>
    <t>166084-9</t>
  </si>
  <si>
    <t>517554-5</t>
  </si>
  <si>
    <t>143957-3</t>
  </si>
  <si>
    <t>266240-2</t>
  </si>
  <si>
    <t>266458-5</t>
  </si>
  <si>
    <t>DHR202Z</t>
  </si>
  <si>
    <t>HM001GZ</t>
  </si>
  <si>
    <t>DTD173RTJ</t>
  </si>
  <si>
    <t>DTD173Z</t>
  </si>
  <si>
    <t>DUC357ZX4</t>
  </si>
  <si>
    <t>B-68616</t>
  </si>
  <si>
    <t>191K01-6</t>
  </si>
  <si>
    <t>DJR183Z</t>
  </si>
  <si>
    <t>DJV184RTJ</t>
  </si>
  <si>
    <t>PS001GZ</t>
  </si>
  <si>
    <t>DHW180Z01</t>
  </si>
  <si>
    <t>DAS180Z</t>
  </si>
  <si>
    <t>LM001GZ</t>
  </si>
  <si>
    <t>E-14738</t>
  </si>
  <si>
    <t>F-31838</t>
  </si>
  <si>
    <t>191C17-3</t>
  </si>
  <si>
    <t>191N35-7</t>
  </si>
  <si>
    <t>197845-6</t>
  </si>
  <si>
    <t>F-00055</t>
  </si>
  <si>
    <t>191T41-8</t>
  </si>
  <si>
    <t>191U06-6</t>
  </si>
  <si>
    <t>D-62240</t>
  </si>
  <si>
    <t>B-67452</t>
  </si>
  <si>
    <t>B-17158</t>
  </si>
  <si>
    <t>D-64082</t>
  </si>
  <si>
    <t>D-64054</t>
  </si>
  <si>
    <t>E-22931</t>
  </si>
  <si>
    <t>166078-4</t>
  </si>
  <si>
    <t>512639-2</t>
  </si>
  <si>
    <t>522838-8</t>
  </si>
  <si>
    <t>633414-4</t>
  </si>
  <si>
    <t>225049-1</t>
  </si>
  <si>
    <t>211061-7</t>
  </si>
  <si>
    <t>212049-0</t>
  </si>
  <si>
    <t>216003-6</t>
  </si>
  <si>
    <t>212005-0</t>
  </si>
  <si>
    <t>651607-1</t>
  </si>
  <si>
    <t>651256-4</t>
  </si>
  <si>
    <t>763628-2</t>
  </si>
  <si>
    <t>221514-8</t>
  </si>
  <si>
    <t>763811-1</t>
  </si>
  <si>
    <t>643552-4</t>
  </si>
  <si>
    <t>763806-4</t>
  </si>
  <si>
    <t>262506-8</t>
  </si>
  <si>
    <t>596264-7</t>
  </si>
  <si>
    <t>633159-4</t>
  </si>
  <si>
    <t>594704-9</t>
  </si>
  <si>
    <t>231231-2</t>
  </si>
  <si>
    <t>213432-4</t>
  </si>
  <si>
    <t>451227-9</t>
  </si>
  <si>
    <t>515834-3</t>
  </si>
  <si>
    <t>633844-9</t>
  </si>
  <si>
    <t>513654-9</t>
  </si>
  <si>
    <t>652066-2</t>
  </si>
  <si>
    <t>143299-5</t>
  </si>
  <si>
    <t>651572-4</t>
  </si>
  <si>
    <t>424914-3</t>
  </si>
  <si>
    <t>219020-5</t>
  </si>
  <si>
    <t>JM21000080</t>
  </si>
  <si>
    <t>JM27100066</t>
  </si>
  <si>
    <t>JM27100016</t>
  </si>
  <si>
    <t>266133-3</t>
  </si>
  <si>
    <t>158423-7</t>
  </si>
  <si>
    <t>153264-6</t>
  </si>
  <si>
    <t>457656-4</t>
  </si>
  <si>
    <t>327015-5</t>
  </si>
  <si>
    <t>424602-2</t>
  </si>
  <si>
    <t>213880-7</t>
  </si>
  <si>
    <t>231987-7</t>
  </si>
  <si>
    <t>313086-8</t>
  </si>
  <si>
    <t>144929-1</t>
  </si>
  <si>
    <t>458144-4</t>
  </si>
  <si>
    <t>347213-5</t>
  </si>
  <si>
    <t>188859-6</t>
  </si>
  <si>
    <t>213527-3</t>
  </si>
  <si>
    <t>AL00000228</t>
  </si>
  <si>
    <t>324469-7</t>
  </si>
  <si>
    <t>163471-3</t>
  </si>
  <si>
    <t>326576-2</t>
  </si>
  <si>
    <t>261155-8</t>
  </si>
  <si>
    <t>326507-1</t>
  </si>
  <si>
    <t>327155-9</t>
  </si>
  <si>
    <t>234331-7</t>
  </si>
  <si>
    <t>326710-4</t>
  </si>
  <si>
    <t>253314-8</t>
  </si>
  <si>
    <t>227351-8</t>
  </si>
  <si>
    <t>143976-9</t>
  </si>
  <si>
    <t>316933-2</t>
  </si>
  <si>
    <t>273649-1</t>
  </si>
  <si>
    <t>231647-1</t>
  </si>
  <si>
    <t>256739-5</t>
  </si>
  <si>
    <t>629220-3</t>
  </si>
  <si>
    <t>510188-3</t>
  </si>
  <si>
    <t>633733-8</t>
  </si>
  <si>
    <t>266276-1</t>
  </si>
  <si>
    <t>331792-3</t>
  </si>
  <si>
    <t>266167-6</t>
  </si>
  <si>
    <t>226009-6</t>
  </si>
  <si>
    <t>650676-9</t>
  </si>
  <si>
    <t>631751-0</t>
  </si>
  <si>
    <t>422768-2</t>
  </si>
  <si>
    <t>210216-1</t>
  </si>
  <si>
    <t>211489-9</t>
  </si>
  <si>
    <t>183B49-8</t>
  </si>
  <si>
    <t>123241-2</t>
  </si>
  <si>
    <t>344341-7</t>
  </si>
  <si>
    <t>529187-4</t>
  </si>
  <si>
    <t>619737-4</t>
  </si>
  <si>
    <t>313354-9</t>
  </si>
  <si>
    <t>195433-3</t>
  </si>
  <si>
    <t>456529-8</t>
  </si>
  <si>
    <t>325813-1</t>
  </si>
  <si>
    <t>233992-0</t>
  </si>
  <si>
    <t>513944-0</t>
  </si>
  <si>
    <t>317763-4</t>
  </si>
  <si>
    <t>594679-2</t>
  </si>
  <si>
    <t>188858-8</t>
  </si>
  <si>
    <t>419283-5</t>
  </si>
  <si>
    <t>515423-4</t>
  </si>
  <si>
    <t>628393-9</t>
  </si>
  <si>
    <t>513578-9</t>
  </si>
  <si>
    <t>634513-5</t>
  </si>
  <si>
    <t>233954-8</t>
  </si>
  <si>
    <t>233152-4</t>
  </si>
  <si>
    <t>322317-4</t>
  </si>
  <si>
    <t>410128-0</t>
  </si>
  <si>
    <t>629B61-9</t>
  </si>
  <si>
    <t>513664-6</t>
  </si>
  <si>
    <t>634549-4</t>
  </si>
  <si>
    <t>267153-0</t>
  </si>
  <si>
    <t>455393-4</t>
  </si>
  <si>
    <t>267114-0</t>
  </si>
  <si>
    <t>233989-9</t>
  </si>
  <si>
    <t>141572-7</t>
  </si>
  <si>
    <t>219021-3</t>
  </si>
  <si>
    <t>347228-2</t>
  </si>
  <si>
    <t>233360-7</t>
  </si>
  <si>
    <t>234343-0</t>
  </si>
  <si>
    <t>346036-8</t>
  </si>
  <si>
    <t>632K38-9</t>
  </si>
  <si>
    <t>318056-2</t>
  </si>
  <si>
    <t>285848-3</t>
  </si>
  <si>
    <t>183E11-1</t>
  </si>
  <si>
    <t>231252-4</t>
  </si>
  <si>
    <t>631871-0</t>
  </si>
  <si>
    <t>455158-4</t>
  </si>
  <si>
    <t>213787-7</t>
  </si>
  <si>
    <t>213380-7</t>
  </si>
  <si>
    <t>266948-8</t>
  </si>
  <si>
    <t>183H44-4</t>
  </si>
  <si>
    <t>127397-3</t>
  </si>
  <si>
    <t>442138-9</t>
  </si>
  <si>
    <t>123847-6</t>
  </si>
  <si>
    <t>643807-7</t>
  </si>
  <si>
    <t>626574-9</t>
  </si>
  <si>
    <t>165374-7</t>
  </si>
  <si>
    <t>417033-2</t>
  </si>
  <si>
    <t>517689-2</t>
  </si>
  <si>
    <t>539168-0</t>
  </si>
  <si>
    <t>619421-1</t>
  </si>
  <si>
    <t>651939-6</t>
  </si>
  <si>
    <t>JM23100015</t>
  </si>
  <si>
    <t>JM23100018</t>
  </si>
  <si>
    <t>JM23100025</t>
  </si>
  <si>
    <t>620E03-4</t>
  </si>
  <si>
    <t>PR00000073</t>
  </si>
  <si>
    <t>PR00000075</t>
  </si>
  <si>
    <t>PR00000077</t>
  </si>
  <si>
    <t>JM27000340</t>
  </si>
  <si>
    <t>140S89-1</t>
  </si>
  <si>
    <t>327266-0</t>
  </si>
  <si>
    <t>213622-9</t>
  </si>
  <si>
    <t>211242-3</t>
  </si>
  <si>
    <t>183C34-7</t>
  </si>
  <si>
    <t>241673-2</t>
  </si>
  <si>
    <t>140P57-6</t>
  </si>
  <si>
    <t>620555-5</t>
  </si>
  <si>
    <t>629228-7</t>
  </si>
  <si>
    <t>216040-0</t>
  </si>
  <si>
    <t>325798-1</t>
  </si>
  <si>
    <t>513989-8</t>
  </si>
  <si>
    <t>633994-0</t>
  </si>
  <si>
    <t>136312-6</t>
  </si>
  <si>
    <t>632U16-9</t>
  </si>
  <si>
    <t>519173-3</t>
  </si>
  <si>
    <t>141026-4</t>
  </si>
  <si>
    <t>144650-2</t>
  </si>
  <si>
    <t>144646-3</t>
  </si>
  <si>
    <t>455804-9</t>
  </si>
  <si>
    <t>135794-9</t>
  </si>
  <si>
    <t>629233-4</t>
  </si>
  <si>
    <t>620586-4</t>
  </si>
  <si>
    <t>JM21000135</t>
  </si>
  <si>
    <t>123100-0</t>
  </si>
  <si>
    <t>782034-2</t>
  </si>
  <si>
    <t>629930-2</t>
  </si>
  <si>
    <t>JM27000317</t>
  </si>
  <si>
    <t>266755-9</t>
  </si>
  <si>
    <t>456252-5</t>
  </si>
  <si>
    <t>233633-8</t>
  </si>
  <si>
    <t>261114-2</t>
  </si>
  <si>
    <t>316527-3</t>
  </si>
  <si>
    <t>619408-3</t>
  </si>
  <si>
    <t>222050-7</t>
  </si>
  <si>
    <t>513459-7</t>
  </si>
  <si>
    <t>140736-0</t>
  </si>
  <si>
    <t>142973-2</t>
  </si>
  <si>
    <t>143975-1</t>
  </si>
  <si>
    <t>417807-1</t>
  </si>
  <si>
    <t>219019-0</t>
  </si>
  <si>
    <t>226141-6</t>
  </si>
  <si>
    <t>324278-4</t>
  </si>
  <si>
    <t>331706-2</t>
  </si>
  <si>
    <t>332139-4</t>
  </si>
  <si>
    <t>456711-9</t>
  </si>
  <si>
    <t>620E43-2</t>
  </si>
  <si>
    <t>JM23000211</t>
  </si>
  <si>
    <t>JM23200031</t>
  </si>
  <si>
    <t>JM23200023</t>
  </si>
  <si>
    <t>TG00000005</t>
  </si>
  <si>
    <t>257390-4</t>
  </si>
  <si>
    <t>266320-4</t>
  </si>
  <si>
    <t>231638-2</t>
  </si>
  <si>
    <t>619672-6</t>
  </si>
  <si>
    <t>629A44-3</t>
  </si>
  <si>
    <t>122B23-1</t>
  </si>
  <si>
    <t>629A41-9</t>
  </si>
  <si>
    <t>326669-5</t>
  </si>
  <si>
    <t>619671-8</t>
  </si>
  <si>
    <t>629A16-8</t>
  </si>
  <si>
    <t>620G71-9</t>
  </si>
  <si>
    <t>327043-0</t>
  </si>
  <si>
    <t>135602-4</t>
  </si>
  <si>
    <t>327322-6</t>
  </si>
  <si>
    <t>513479-1</t>
  </si>
  <si>
    <t>327524-4</t>
  </si>
  <si>
    <t>416451-1</t>
  </si>
  <si>
    <t>327525-2</t>
  </si>
  <si>
    <t>593889-8</t>
  </si>
  <si>
    <t>327531-7</t>
  </si>
  <si>
    <t>629C05-5</t>
  </si>
  <si>
    <t>327573-1</t>
  </si>
  <si>
    <t>327595-1</t>
  </si>
  <si>
    <t>327648-6</t>
  </si>
  <si>
    <t>416171-7</t>
  </si>
  <si>
    <t>327742-4</t>
  </si>
  <si>
    <t>318382-9</t>
  </si>
  <si>
    <t>331596-3</t>
  </si>
  <si>
    <t>JM27000158</t>
  </si>
  <si>
    <t>346317-0</t>
  </si>
  <si>
    <t>38132020</t>
  </si>
  <si>
    <t>346670-4</t>
  </si>
  <si>
    <t>318622-5</t>
  </si>
  <si>
    <t>346947-7</t>
  </si>
  <si>
    <t>347107-4</t>
  </si>
  <si>
    <t>629998-8</t>
  </si>
  <si>
    <t>347113-9</t>
  </si>
  <si>
    <t>620893-5</t>
  </si>
  <si>
    <t>347299-9</t>
  </si>
  <si>
    <t>JM27100044</t>
  </si>
  <si>
    <t>347478-9</t>
  </si>
  <si>
    <t>347480-2</t>
  </si>
  <si>
    <t>619103-5</t>
  </si>
  <si>
    <t>347637-5</t>
  </si>
  <si>
    <t>513893-1</t>
  </si>
  <si>
    <t>347641-4</t>
  </si>
  <si>
    <t>517999-7</t>
  </si>
  <si>
    <t>347676-5</t>
  </si>
  <si>
    <t>158145-9</t>
  </si>
  <si>
    <t>347752-5</t>
  </si>
  <si>
    <t>141D19-5</t>
  </si>
  <si>
    <t>347783-4</t>
  </si>
  <si>
    <t>197129-2</t>
  </si>
  <si>
    <t>347914-5</t>
  </si>
  <si>
    <t>191972-1</t>
  </si>
  <si>
    <t>412233-9</t>
  </si>
  <si>
    <t>219024-7</t>
  </si>
  <si>
    <t>412339-3</t>
  </si>
  <si>
    <t>234251-5</t>
  </si>
  <si>
    <t>412361-0</t>
  </si>
  <si>
    <t>412476-3</t>
  </si>
  <si>
    <t>412480-2</t>
  </si>
  <si>
    <t>456039-5</t>
  </si>
  <si>
    <t>412697-7</t>
  </si>
  <si>
    <t>621A39-2</t>
  </si>
  <si>
    <t>412821-2</t>
  </si>
  <si>
    <t>634739-9</t>
  </si>
  <si>
    <t>412822-0</t>
  </si>
  <si>
    <t>141477-1</t>
  </si>
  <si>
    <t>412951-9</t>
  </si>
  <si>
    <t>424753-1</t>
  </si>
  <si>
    <t>412953-5</t>
  </si>
  <si>
    <t>213141-5</t>
  </si>
  <si>
    <t>412961-6</t>
  </si>
  <si>
    <t>413645-9</t>
  </si>
  <si>
    <t>413C47-7</t>
  </si>
  <si>
    <t>413C49-3</t>
  </si>
  <si>
    <t>419704-7</t>
  </si>
  <si>
    <t>422268-2</t>
  </si>
  <si>
    <t>422460-0</t>
  </si>
  <si>
    <t>422472-3</t>
  </si>
  <si>
    <t>422541-0</t>
  </si>
  <si>
    <t>422543-6</t>
  </si>
  <si>
    <t>422563-0</t>
  </si>
  <si>
    <t>422584-2</t>
  </si>
  <si>
    <t>422594-9</t>
  </si>
  <si>
    <t>422610-7</t>
  </si>
  <si>
    <t>422723-4</t>
  </si>
  <si>
    <t>422816-7</t>
  </si>
  <si>
    <t>422817-5</t>
  </si>
  <si>
    <t>422825-6</t>
  </si>
  <si>
    <t>424208-6</t>
  </si>
  <si>
    <t>424556-3</t>
  </si>
  <si>
    <t>424558-9</t>
  </si>
  <si>
    <t>424559-7</t>
  </si>
  <si>
    <t>424773-5</t>
  </si>
  <si>
    <t>454319-3</t>
  </si>
  <si>
    <t>454326-6</t>
  </si>
  <si>
    <t>454330-5</t>
  </si>
  <si>
    <t>454331-3</t>
  </si>
  <si>
    <t>454345-2</t>
  </si>
  <si>
    <t>456177-3</t>
  </si>
  <si>
    <t>458051-1</t>
  </si>
  <si>
    <t>458097-7</t>
  </si>
  <si>
    <t>458099-3</t>
  </si>
  <si>
    <t>458100-4</t>
  </si>
  <si>
    <t>458467-0</t>
  </si>
  <si>
    <t>458594-3</t>
  </si>
  <si>
    <t>458939-5</t>
  </si>
  <si>
    <t>458968-8</t>
  </si>
  <si>
    <t>459478-8</t>
  </si>
  <si>
    <t>459758-2</t>
  </si>
  <si>
    <t>459759-0</t>
  </si>
  <si>
    <t>459764-7</t>
  </si>
  <si>
    <t>620388-8</t>
  </si>
  <si>
    <t>459923-3</t>
  </si>
  <si>
    <t>459924-1</t>
  </si>
  <si>
    <t>510447-5</t>
  </si>
  <si>
    <t>142282-9</t>
  </si>
  <si>
    <t>519492-7</t>
  </si>
  <si>
    <t>519595-7</t>
  </si>
  <si>
    <t>326373-6</t>
  </si>
  <si>
    <t>519630-1</t>
  </si>
  <si>
    <t>644808-8</t>
  </si>
  <si>
    <t>519647-4</t>
  </si>
  <si>
    <t>619605-1</t>
  </si>
  <si>
    <t>620283-2</t>
  </si>
  <si>
    <t>619626-3</t>
  </si>
  <si>
    <t>643899-6</t>
  </si>
  <si>
    <t>619659-8</t>
  </si>
  <si>
    <t>452205-2</t>
  </si>
  <si>
    <t>620549-0</t>
  </si>
  <si>
    <t>961006-2</t>
  </si>
  <si>
    <t>187714-9</t>
  </si>
  <si>
    <t>620B96-3</t>
  </si>
  <si>
    <t>619331-2</t>
  </si>
  <si>
    <t>620B97-1</t>
  </si>
  <si>
    <t>629999-6</t>
  </si>
  <si>
    <t>620C31-7</t>
  </si>
  <si>
    <t>D-29620</t>
  </si>
  <si>
    <t>620C32-5</t>
  </si>
  <si>
    <t>620C81-2</t>
  </si>
  <si>
    <t>419553-2</t>
  </si>
  <si>
    <t>424165-8</t>
  </si>
  <si>
    <t>310279-8</t>
  </si>
  <si>
    <t>226289-4</t>
  </si>
  <si>
    <t>450961-8</t>
  </si>
  <si>
    <t>213149-9</t>
  </si>
  <si>
    <t>324839-0</t>
  </si>
  <si>
    <t>266041-8</t>
  </si>
  <si>
    <t>911233-1</t>
  </si>
  <si>
    <t>922123-3</t>
  </si>
  <si>
    <t>312956-8</t>
  </si>
  <si>
    <t>156401-1</t>
  </si>
  <si>
    <t>257288-5</t>
  </si>
  <si>
    <t>JM23100023</t>
  </si>
  <si>
    <t>965524043</t>
  </si>
  <si>
    <t>264010-3</t>
  </si>
  <si>
    <t>227520-1</t>
  </si>
  <si>
    <t>318300-7</t>
  </si>
  <si>
    <t>285728-3</t>
  </si>
  <si>
    <t>154989-5</t>
  </si>
  <si>
    <t>411617-8</t>
  </si>
  <si>
    <t>265875-6</t>
  </si>
  <si>
    <t>265876-4</t>
  </si>
  <si>
    <t>JM27000166</t>
  </si>
  <si>
    <t>126353-0</t>
  </si>
  <si>
    <t>620245-0</t>
  </si>
  <si>
    <t>689170-4</t>
  </si>
  <si>
    <t>319091-3</t>
  </si>
  <si>
    <t>454818-5</t>
  </si>
  <si>
    <t>142235-8</t>
  </si>
  <si>
    <t>593869-4</t>
  </si>
  <si>
    <t>513713-9</t>
  </si>
  <si>
    <t>227153-2</t>
  </si>
  <si>
    <t>135414-5</t>
  </si>
  <si>
    <t>421934-8</t>
  </si>
  <si>
    <t>158047-9</t>
  </si>
  <si>
    <t>233175-2</t>
  </si>
  <si>
    <t>168321-7</t>
  </si>
  <si>
    <t>344688-9</t>
  </si>
  <si>
    <t>231817-2</t>
  </si>
  <si>
    <t>452456-7</t>
  </si>
  <si>
    <t>221526-1</t>
  </si>
  <si>
    <t>183706-6</t>
  </si>
  <si>
    <t>265104-7</t>
  </si>
  <si>
    <t>452092-9</t>
  </si>
  <si>
    <t>266396-1</t>
  </si>
  <si>
    <t>346311-2</t>
  </si>
  <si>
    <t>266819-9</t>
  </si>
  <si>
    <t>141720-8</t>
  </si>
  <si>
    <t>513864-8</t>
  </si>
  <si>
    <t>227579-8</t>
  </si>
  <si>
    <t>633754-0</t>
  </si>
  <si>
    <t>452502-6</t>
  </si>
  <si>
    <t>141025-6</t>
  </si>
  <si>
    <t>227578-0</t>
  </si>
  <si>
    <t>126180-5</t>
  </si>
  <si>
    <t>452503-4</t>
  </si>
  <si>
    <t>452501-8</t>
  </si>
  <si>
    <t>633769-7</t>
  </si>
  <si>
    <t>313165-2</t>
  </si>
  <si>
    <t>515844-0</t>
  </si>
  <si>
    <t>159246-6</t>
  </si>
  <si>
    <t>510173-6</t>
  </si>
  <si>
    <t>227811-0</t>
  </si>
  <si>
    <t>161370-3</t>
  </si>
  <si>
    <t>142399-8</t>
  </si>
  <si>
    <t>450235-7</t>
  </si>
  <si>
    <t>267833-8</t>
  </si>
  <si>
    <t>345867-2</t>
  </si>
  <si>
    <t>510249-9</t>
  </si>
  <si>
    <t>252155-9</t>
  </si>
  <si>
    <t>020131043</t>
  </si>
  <si>
    <t>JM23100058</t>
  </si>
  <si>
    <t>912116-8</t>
  </si>
  <si>
    <t>168426-3</t>
  </si>
  <si>
    <t>267195-4</t>
  </si>
  <si>
    <t>227517-0</t>
  </si>
  <si>
    <t>227518-8</t>
  </si>
  <si>
    <t>038114052</t>
  </si>
  <si>
    <t>619372-8</t>
  </si>
  <si>
    <t>517829-2</t>
  </si>
  <si>
    <t>526193-0</t>
  </si>
  <si>
    <t>513439-3</t>
  </si>
  <si>
    <t>619375-2</t>
  </si>
  <si>
    <t>231634-0</t>
  </si>
  <si>
    <t>424190-9</t>
  </si>
  <si>
    <t>252014-7</t>
  </si>
  <si>
    <t>344463-3</t>
  </si>
  <si>
    <t>251887-5</t>
  </si>
  <si>
    <t>140482-5</t>
  </si>
  <si>
    <t>344178-2</t>
  </si>
  <si>
    <t>281216-8</t>
  </si>
  <si>
    <t>211361-5</t>
  </si>
  <si>
    <t>257104-1</t>
  </si>
  <si>
    <t>421329-5</t>
  </si>
  <si>
    <t>925146-0</t>
  </si>
  <si>
    <t>159911-7</t>
  </si>
  <si>
    <t>924341-9</t>
  </si>
  <si>
    <t>221353-6</t>
  </si>
  <si>
    <t>421490-8</t>
  </si>
  <si>
    <t>231781-7</t>
  </si>
  <si>
    <t>251256-0</t>
  </si>
  <si>
    <t>682540-6</t>
  </si>
  <si>
    <t>285802-7</t>
  </si>
  <si>
    <t>262502-6</t>
  </si>
  <si>
    <t>344317-4</t>
  </si>
  <si>
    <t>631806-1</t>
  </si>
  <si>
    <t>620067-8</t>
  </si>
  <si>
    <t>631623-9</t>
  </si>
  <si>
    <t>513888-4</t>
  </si>
  <si>
    <t>650597-5</t>
  </si>
  <si>
    <t>766014-6</t>
  </si>
  <si>
    <t>766023-5</t>
  </si>
  <si>
    <t>515894-5</t>
  </si>
  <si>
    <t>513904-2</t>
  </si>
  <si>
    <t>240148-8</t>
  </si>
  <si>
    <t>636389-6</t>
  </si>
  <si>
    <t>650577-1</t>
  </si>
  <si>
    <t>650717-1</t>
  </si>
  <si>
    <t>454826-6</t>
  </si>
  <si>
    <t>516868-9</t>
  </si>
  <si>
    <t>224074-9</t>
  </si>
  <si>
    <t>650724-4</t>
  </si>
  <si>
    <t>JM23200110</t>
  </si>
  <si>
    <t>213606-7</t>
  </si>
  <si>
    <t>233542-1</t>
  </si>
  <si>
    <t>010114010</t>
  </si>
  <si>
    <t>345873-7</t>
  </si>
  <si>
    <t>213755-0</t>
  </si>
  <si>
    <t>421265-5</t>
  </si>
  <si>
    <t>651145-3</t>
  </si>
  <si>
    <t>253794-8</t>
  </si>
  <si>
    <t>213806-9</t>
  </si>
  <si>
    <t>152373-8</t>
  </si>
  <si>
    <t>213504-5</t>
  </si>
  <si>
    <t>233929-7</t>
  </si>
  <si>
    <t>233401-9</t>
  </si>
  <si>
    <t>JM23100021</t>
  </si>
  <si>
    <t>JM23200012</t>
  </si>
  <si>
    <t>620D73-7</t>
  </si>
  <si>
    <t>272261-4</t>
  </si>
  <si>
    <t>620D74-5</t>
  </si>
  <si>
    <t>265783-1</t>
  </si>
  <si>
    <t>620D76-1</t>
  </si>
  <si>
    <t>233031-6</t>
  </si>
  <si>
    <t>620E42-4</t>
  </si>
  <si>
    <t>620E72-5</t>
  </si>
  <si>
    <t>620E74-1</t>
  </si>
  <si>
    <t>620F28-4</t>
  </si>
  <si>
    <t>620G89-0</t>
  </si>
  <si>
    <t>629335-6</t>
  </si>
  <si>
    <t>629458-0</t>
  </si>
  <si>
    <t>629464-5</t>
  </si>
  <si>
    <t>629470-0</t>
  </si>
  <si>
    <t>629476-8</t>
  </si>
  <si>
    <t>629A00-3</t>
  </si>
  <si>
    <t>629A13-4</t>
  </si>
  <si>
    <t>629A25-7</t>
  </si>
  <si>
    <t>629A35-4</t>
  </si>
  <si>
    <t>629A46-9</t>
  </si>
  <si>
    <t>629A91-4</t>
  </si>
  <si>
    <t>632L84-8</t>
  </si>
  <si>
    <t>632P49-4</t>
  </si>
  <si>
    <t>632P65-6</t>
  </si>
  <si>
    <t>632R99-1</t>
  </si>
  <si>
    <t>632S32-9</t>
  </si>
  <si>
    <t>638A30-3</t>
  </si>
  <si>
    <t>650019-5</t>
  </si>
  <si>
    <t>651083-9</t>
  </si>
  <si>
    <t>651439-6</t>
  </si>
  <si>
    <t>651442-7</t>
  </si>
  <si>
    <t>651443-5</t>
  </si>
  <si>
    <t>651445-1</t>
  </si>
  <si>
    <t>651492-2</t>
  </si>
  <si>
    <t>922117-8</t>
  </si>
  <si>
    <t>922128-3</t>
  </si>
  <si>
    <t>922216-6</t>
  </si>
  <si>
    <t>922242-5</t>
  </si>
  <si>
    <t>922351-0</t>
  </si>
  <si>
    <t>961060-6</t>
  </si>
  <si>
    <t>962105-3</t>
  </si>
  <si>
    <t>638420-4</t>
  </si>
  <si>
    <t>259034-2</t>
  </si>
  <si>
    <t>629244-9</t>
  </si>
  <si>
    <t>620578-3</t>
  </si>
  <si>
    <t>181180300</t>
  </si>
  <si>
    <t>517108-8</t>
  </si>
  <si>
    <t>524467-3</t>
  </si>
  <si>
    <t>516214-6</t>
  </si>
  <si>
    <t>325132035</t>
  </si>
  <si>
    <t>514506-7</t>
  </si>
  <si>
    <t>038130050</t>
  </si>
  <si>
    <t>027130034</t>
  </si>
  <si>
    <t>620088-0</t>
  </si>
  <si>
    <t>252171-1</t>
  </si>
  <si>
    <t>924206-5</t>
  </si>
  <si>
    <t>252145-2</t>
  </si>
  <si>
    <t>165174060</t>
  </si>
  <si>
    <t>181184020</t>
  </si>
  <si>
    <t>687116-4</t>
  </si>
  <si>
    <t>451266-9</t>
  </si>
  <si>
    <t>414145-2</t>
  </si>
  <si>
    <t>965525003</t>
  </si>
  <si>
    <t>038310062</t>
  </si>
  <si>
    <t>638674-3</t>
  </si>
  <si>
    <t>418084-8</t>
  </si>
  <si>
    <t>212133-1</t>
  </si>
  <si>
    <t>187163-0</t>
  </si>
  <si>
    <t>325735-5</t>
  </si>
  <si>
    <t>038180014</t>
  </si>
  <si>
    <t>632L89-8</t>
  </si>
  <si>
    <t>519226-8</t>
  </si>
  <si>
    <t>028223100</t>
  </si>
  <si>
    <t>AL00000237</t>
  </si>
  <si>
    <t>513874-5</t>
  </si>
  <si>
    <t>593969-0</t>
  </si>
  <si>
    <t>127124-8</t>
  </si>
  <si>
    <t>142074-6</t>
  </si>
  <si>
    <t>227764-3</t>
  </si>
  <si>
    <t>346290-4</t>
  </si>
  <si>
    <t>517804-8</t>
  </si>
  <si>
    <t>619656-4</t>
  </si>
  <si>
    <t>518186-1</t>
  </si>
  <si>
    <t>620564-4</t>
  </si>
  <si>
    <t>632F25-8</t>
  </si>
  <si>
    <t>347027-2</t>
  </si>
  <si>
    <t>632H63-2</t>
  </si>
  <si>
    <t>S-593260</t>
  </si>
  <si>
    <t>140L18-2</t>
  </si>
  <si>
    <t>S-593959</t>
  </si>
  <si>
    <t>S-595350</t>
  </si>
  <si>
    <t>620J73-3</t>
  </si>
  <si>
    <t>B-80313</t>
  </si>
  <si>
    <t>632H48-8</t>
  </si>
  <si>
    <t>AL00000168</t>
  </si>
  <si>
    <t>123849-2</t>
  </si>
  <si>
    <t>619496-0</t>
  </si>
  <si>
    <t>JM27100157</t>
  </si>
  <si>
    <t>199579-7</t>
  </si>
  <si>
    <t>193060-0</t>
  </si>
  <si>
    <t>JM21000191</t>
  </si>
  <si>
    <t>B-51823</t>
  </si>
  <si>
    <t>B-51839</t>
  </si>
  <si>
    <t>B-51845</t>
  </si>
  <si>
    <t>168517-0</t>
  </si>
  <si>
    <t>310345-1</t>
  </si>
  <si>
    <t>451208-3</t>
  </si>
  <si>
    <t>161365-6</t>
  </si>
  <si>
    <t>213258-4</t>
  </si>
  <si>
    <t>325782-6</t>
  </si>
  <si>
    <t>325784-2</t>
  </si>
  <si>
    <t>416331-1</t>
  </si>
  <si>
    <t>424267-0</t>
  </si>
  <si>
    <t>443060-3</t>
  </si>
  <si>
    <t>S-593819</t>
  </si>
  <si>
    <t>S-593960</t>
  </si>
  <si>
    <t>S-595009</t>
  </si>
  <si>
    <t>S-797434</t>
  </si>
  <si>
    <t>628391-3</t>
  </si>
  <si>
    <t>522459-6</t>
  </si>
  <si>
    <t>457129-7</t>
  </si>
  <si>
    <t>457478-2</t>
  </si>
  <si>
    <t>D-31011</t>
  </si>
  <si>
    <t>450070-3</t>
  </si>
  <si>
    <t>317534-9</t>
  </si>
  <si>
    <t>318331-6</t>
  </si>
  <si>
    <t>319487-8</t>
  </si>
  <si>
    <t>123867-0</t>
  </si>
  <si>
    <t>221475-2</t>
  </si>
  <si>
    <t>221476-0</t>
  </si>
  <si>
    <t>127499-5</t>
  </si>
  <si>
    <t>643760-7</t>
  </si>
  <si>
    <t>629217-2</t>
  </si>
  <si>
    <t>326828-1</t>
  </si>
  <si>
    <t>457137-8</t>
  </si>
  <si>
    <t>457130-2</t>
  </si>
  <si>
    <t>JM23300085</t>
  </si>
  <si>
    <t>620848-0</t>
  </si>
  <si>
    <t>JM23100320</t>
  </si>
  <si>
    <t>JM27100071</t>
  </si>
  <si>
    <t>125867-6</t>
  </si>
  <si>
    <t>324214-0</t>
  </si>
  <si>
    <t>418349-8</t>
  </si>
  <si>
    <t>423036-6</t>
  </si>
  <si>
    <t>JM27100067</t>
  </si>
  <si>
    <t>125757-3</t>
  </si>
  <si>
    <t>443140-5</t>
  </si>
  <si>
    <t>187138-9</t>
  </si>
  <si>
    <t>650673-5</t>
  </si>
  <si>
    <t>629178-6</t>
  </si>
  <si>
    <t>451197-2</t>
  </si>
  <si>
    <t>458785-6</t>
  </si>
  <si>
    <t>JM27000169</t>
  </si>
  <si>
    <t>JM27000168</t>
  </si>
  <si>
    <t>140M12-0</t>
  </si>
  <si>
    <t>240077-5</t>
  </si>
  <si>
    <t>619393-0</t>
  </si>
  <si>
    <t>619415-6</t>
  </si>
  <si>
    <t>38153515</t>
  </si>
  <si>
    <t>681613-2</t>
  </si>
  <si>
    <t>510181-7</t>
  </si>
  <si>
    <t>633799-8</t>
  </si>
  <si>
    <t>38160615</t>
  </si>
  <si>
    <t>168349-5</t>
  </si>
  <si>
    <t>626653-3</t>
  </si>
  <si>
    <t>629395-8</t>
  </si>
  <si>
    <t>221462-1</t>
  </si>
  <si>
    <t>632J71-5</t>
  </si>
  <si>
    <t>590087-5</t>
  </si>
  <si>
    <t>763238-5</t>
  </si>
  <si>
    <t>594709-9</t>
  </si>
  <si>
    <t>224479-3</t>
  </si>
  <si>
    <t>631873-6</t>
  </si>
  <si>
    <t>326555-0</t>
  </si>
  <si>
    <t>922261-1</t>
  </si>
  <si>
    <t>419409-9</t>
  </si>
  <si>
    <t>513678-5</t>
  </si>
  <si>
    <t>162244-1</t>
  </si>
  <si>
    <t>631729-3</t>
  </si>
  <si>
    <t>168604-5</t>
  </si>
  <si>
    <t>168823-3</t>
  </si>
  <si>
    <t>168601-1</t>
  </si>
  <si>
    <t>452986-8</t>
  </si>
  <si>
    <t>638747-2</t>
  </si>
  <si>
    <t>416107-6</t>
  </si>
  <si>
    <t>961057-5</t>
  </si>
  <si>
    <t>451754-6</t>
  </si>
  <si>
    <t>451019-6</t>
  </si>
  <si>
    <t>S-491588</t>
  </si>
  <si>
    <t>515364-4</t>
  </si>
  <si>
    <t>453366-1</t>
  </si>
  <si>
    <t>638950-5</t>
  </si>
  <si>
    <t>651418-4</t>
  </si>
  <si>
    <t>453369-5</t>
  </si>
  <si>
    <t>256535-1</t>
  </si>
  <si>
    <t>961005-4</t>
  </si>
  <si>
    <t>346556-2</t>
  </si>
  <si>
    <t>227592-6</t>
  </si>
  <si>
    <t>313228-4</t>
  </si>
  <si>
    <t>210302-8</t>
  </si>
  <si>
    <t>443124-3</t>
  </si>
  <si>
    <t>325978-9</t>
  </si>
  <si>
    <t>326454-6</t>
  </si>
  <si>
    <t>227457-2</t>
  </si>
  <si>
    <t>227456-4</t>
  </si>
  <si>
    <t>625704-9</t>
  </si>
  <si>
    <t>419133-4</t>
  </si>
  <si>
    <t>233292-8</t>
  </si>
  <si>
    <t>227488-1</t>
  </si>
  <si>
    <t>650101-0</t>
  </si>
  <si>
    <t>256491-5</t>
  </si>
  <si>
    <t>285724-1</t>
  </si>
  <si>
    <t>317988-0</t>
  </si>
  <si>
    <t>321954-1</t>
  </si>
  <si>
    <t>193004-0</t>
  </si>
  <si>
    <t>216004-4</t>
  </si>
  <si>
    <t>233191-4</t>
  </si>
  <si>
    <t>331518-3</t>
  </si>
  <si>
    <t>257206-3</t>
  </si>
  <si>
    <t>961108-4</t>
  </si>
  <si>
    <t>324832-4</t>
  </si>
  <si>
    <t>324822-7</t>
  </si>
  <si>
    <t>284067-8</t>
  </si>
  <si>
    <t>212263-8</t>
  </si>
  <si>
    <t>424048-2</t>
  </si>
  <si>
    <t>424049-0</t>
  </si>
  <si>
    <t>158388-3</t>
  </si>
  <si>
    <t>242502-2</t>
  </si>
  <si>
    <t>154438-2</t>
  </si>
  <si>
    <t>421888-9</t>
  </si>
  <si>
    <t>285807-7</t>
  </si>
  <si>
    <t>267104-3</t>
  </si>
  <si>
    <t>324215-8</t>
  </si>
  <si>
    <t>213727-5</t>
  </si>
  <si>
    <t>331992-5</t>
  </si>
  <si>
    <t>419716-0</t>
  </si>
  <si>
    <t>JM23100022</t>
  </si>
  <si>
    <t>JM23100024</t>
  </si>
  <si>
    <t>JM23100026</t>
  </si>
  <si>
    <t>JM23100027</t>
  </si>
  <si>
    <t>JM23100029</t>
  </si>
  <si>
    <t>JM23200016</t>
  </si>
  <si>
    <t>JM23200017</t>
  </si>
  <si>
    <t>232501-2</t>
  </si>
  <si>
    <t>JM23200018</t>
  </si>
  <si>
    <t>327376-3</t>
  </si>
  <si>
    <t>JM23200022</t>
  </si>
  <si>
    <t>651393-4</t>
  </si>
  <si>
    <t>JM23200130</t>
  </si>
  <si>
    <t>417842-9</t>
  </si>
  <si>
    <t>JM23100172</t>
  </si>
  <si>
    <t>JM23100175</t>
  </si>
  <si>
    <t>JM23100179</t>
  </si>
  <si>
    <t>JM23100182</t>
  </si>
  <si>
    <t>JM23100153</t>
  </si>
  <si>
    <t>JM23100016</t>
  </si>
  <si>
    <t>JM23100033</t>
  </si>
  <si>
    <t>213581-7</t>
  </si>
  <si>
    <t>620226-4</t>
  </si>
  <si>
    <t>233072-2</t>
  </si>
  <si>
    <t>227641-9</t>
  </si>
  <si>
    <t>187998-9</t>
  </si>
  <si>
    <t>455447-7</t>
  </si>
  <si>
    <t>650579-7</t>
  </si>
  <si>
    <t>322476-4</t>
  </si>
  <si>
    <t>213662-7</t>
  </si>
  <si>
    <t>651131-4</t>
  </si>
  <si>
    <t>S-591868</t>
  </si>
  <si>
    <t>168705-9</t>
  </si>
  <si>
    <t>419679-0</t>
  </si>
  <si>
    <t>419671-6</t>
  </si>
  <si>
    <t>213962-5</t>
  </si>
  <si>
    <t>213604-1</t>
  </si>
  <si>
    <t>526234-2</t>
  </si>
  <si>
    <t>513809-6</t>
  </si>
  <si>
    <t>233101-1</t>
  </si>
  <si>
    <t>JM23100049</t>
  </si>
  <si>
    <t>JM23100051</t>
  </si>
  <si>
    <t>418326-0</t>
  </si>
  <si>
    <t>934301-3</t>
  </si>
  <si>
    <t>251247-1</t>
  </si>
  <si>
    <t>165368-2</t>
  </si>
  <si>
    <t>911123-8</t>
  </si>
  <si>
    <t>638423-8</t>
  </si>
  <si>
    <t>140484-1</t>
  </si>
  <si>
    <t>638630-3</t>
  </si>
  <si>
    <t>419413-8</t>
  </si>
  <si>
    <t>253215-0</t>
  </si>
  <si>
    <t>515738-9</t>
  </si>
  <si>
    <t>621733-0</t>
  </si>
  <si>
    <t>158623-9</t>
  </si>
  <si>
    <t>266361-0</t>
  </si>
  <si>
    <t>267794-2</t>
  </si>
  <si>
    <t>962151-6</t>
  </si>
  <si>
    <t>267238-2</t>
  </si>
  <si>
    <t>265103-9</t>
  </si>
  <si>
    <t>650235-9</t>
  </si>
  <si>
    <t>224370-5</t>
  </si>
  <si>
    <t>261110-0</t>
  </si>
  <si>
    <t>251897-2</t>
  </si>
  <si>
    <t>231325-3</t>
  </si>
  <si>
    <t>941302-4</t>
  </si>
  <si>
    <t>451036-6</t>
  </si>
  <si>
    <t>187430-3</t>
  </si>
  <si>
    <t>453394-6</t>
  </si>
  <si>
    <t>231588-1</t>
  </si>
  <si>
    <t>650710-5</t>
  </si>
  <si>
    <t>219014-0</t>
  </si>
  <si>
    <t>510255-4</t>
  </si>
  <si>
    <t>150647-1</t>
  </si>
  <si>
    <t>233121-5</t>
  </si>
  <si>
    <t>233950-6</t>
  </si>
  <si>
    <t>324956-6</t>
  </si>
  <si>
    <t>620D01-2</t>
  </si>
  <si>
    <t>265180-1</t>
  </si>
  <si>
    <t>122885-5</t>
  </si>
  <si>
    <t>620D09-6</t>
  </si>
  <si>
    <t>A-50120</t>
  </si>
  <si>
    <t>620D30-5</t>
  </si>
  <si>
    <t>652113-9</t>
  </si>
  <si>
    <t>620D69-8</t>
  </si>
  <si>
    <t>911133-5</t>
  </si>
  <si>
    <t>911168-6</t>
  </si>
  <si>
    <t>911258-5</t>
  </si>
  <si>
    <t>227542-1</t>
  </si>
  <si>
    <t>651159-2</t>
  </si>
  <si>
    <t>650246-4</t>
  </si>
  <si>
    <t>911207-2</t>
  </si>
  <si>
    <t>272230-5</t>
  </si>
  <si>
    <t>231955-0</t>
  </si>
  <si>
    <t>252134-7</t>
  </si>
  <si>
    <t>331568-8</t>
  </si>
  <si>
    <t>323741-4</t>
  </si>
  <si>
    <t>256158-5</t>
  </si>
  <si>
    <t>911117-3</t>
  </si>
  <si>
    <t>126100-9</t>
  </si>
  <si>
    <t>620138-1</t>
  </si>
  <si>
    <t>126099-8</t>
  </si>
  <si>
    <t>638989-8</t>
  </si>
  <si>
    <t>A0800-0311</t>
  </si>
  <si>
    <t>A0801-1321</t>
  </si>
  <si>
    <t>619263-3</t>
  </si>
  <si>
    <t>241671-6</t>
  </si>
  <si>
    <t>450069-8</t>
  </si>
  <si>
    <t>450672-5</t>
  </si>
  <si>
    <t>515223-2</t>
  </si>
  <si>
    <t>421738-8</t>
  </si>
  <si>
    <t>626533-3</t>
  </si>
  <si>
    <t>233071-4</t>
  </si>
  <si>
    <t>266326-2</t>
  </si>
  <si>
    <t>188622-7</t>
  </si>
  <si>
    <t>265112-8</t>
  </si>
  <si>
    <t>638886-8</t>
  </si>
  <si>
    <t>763182-6</t>
  </si>
  <si>
    <t>140798-8</t>
  </si>
  <si>
    <t>318151-8</t>
  </si>
  <si>
    <t>266455-1</t>
  </si>
  <si>
    <t>265175-4</t>
  </si>
  <si>
    <t>B0500-0181</t>
  </si>
  <si>
    <t>A0200-1091</t>
  </si>
  <si>
    <t>140070-8</t>
  </si>
  <si>
    <t>318596-0</t>
  </si>
  <si>
    <t>318411-8</t>
  </si>
  <si>
    <t>318595-2</t>
  </si>
  <si>
    <t>620040-8</t>
  </si>
  <si>
    <t>187359-3</t>
  </si>
  <si>
    <t>266505-2</t>
  </si>
  <si>
    <t>650716-3</t>
  </si>
  <si>
    <t>417113-4</t>
  </si>
  <si>
    <t>157109-0</t>
  </si>
  <si>
    <t>B-52691</t>
  </si>
  <si>
    <t>192968-5</t>
  </si>
  <si>
    <t>262137-3</t>
  </si>
  <si>
    <t>324821-9</t>
  </si>
  <si>
    <t>267146-7</t>
  </si>
  <si>
    <t>262068-6</t>
  </si>
  <si>
    <t>256238-7</t>
  </si>
  <si>
    <t>213701-3</t>
  </si>
  <si>
    <t>419975-6</t>
  </si>
  <si>
    <t>318863-3</t>
  </si>
  <si>
    <t>961002-0</t>
  </si>
  <si>
    <t>455392-6</t>
  </si>
  <si>
    <t>346831-6</t>
  </si>
  <si>
    <t>326448-1</t>
  </si>
  <si>
    <t>227359-2</t>
  </si>
  <si>
    <t>332125-5</t>
  </si>
  <si>
    <t>227188-3</t>
  </si>
  <si>
    <t>227524-3</t>
  </si>
  <si>
    <t>125386-2</t>
  </si>
  <si>
    <t>265473-6</t>
  </si>
  <si>
    <t>324295-4</t>
  </si>
  <si>
    <t>451202-5</t>
  </si>
  <si>
    <t>450890-5</t>
  </si>
  <si>
    <t>345872-9</t>
  </si>
  <si>
    <t>331797-3</t>
  </si>
  <si>
    <t>141981-0</t>
  </si>
  <si>
    <t>227532-4</t>
  </si>
  <si>
    <t>345814-3</t>
  </si>
  <si>
    <t>223137-8</t>
  </si>
  <si>
    <t>324824-3</t>
  </si>
  <si>
    <t>763228-8</t>
  </si>
  <si>
    <t>629232-6</t>
  </si>
  <si>
    <t>620552-1</t>
  </si>
  <si>
    <t>038174023</t>
  </si>
  <si>
    <t>162256-4</t>
  </si>
  <si>
    <t>599089-8</t>
  </si>
  <si>
    <t>632K62-2</t>
  </si>
  <si>
    <t>265131-4</t>
  </si>
  <si>
    <t>183209-0</t>
  </si>
  <si>
    <t>226791-7</t>
  </si>
  <si>
    <t>143332-3</t>
  </si>
  <si>
    <t>038130071</t>
  </si>
  <si>
    <t>126729-1</t>
  </si>
  <si>
    <t>231730-4</t>
  </si>
  <si>
    <t>226671-7</t>
  </si>
  <si>
    <t>183053-5</t>
  </si>
  <si>
    <t>226217-9</t>
  </si>
  <si>
    <t>419138-4</t>
  </si>
  <si>
    <t>252652-5</t>
  </si>
  <si>
    <t>154672-4</t>
  </si>
  <si>
    <t>629225-3</t>
  </si>
  <si>
    <t>620548-2</t>
  </si>
  <si>
    <t>161056-9</t>
  </si>
  <si>
    <t>142814-2</t>
  </si>
  <si>
    <t>619377-8</t>
  </si>
  <si>
    <t>126459-4</t>
  </si>
  <si>
    <t>633674-8</t>
  </si>
  <si>
    <t>319351-3</t>
  </si>
  <si>
    <t>143484-0</t>
  </si>
  <si>
    <t>232154-7</t>
  </si>
  <si>
    <t>628185-6</t>
  </si>
  <si>
    <t>142813-4</t>
  </si>
  <si>
    <t>142812-6</t>
  </si>
  <si>
    <t>318410-0</t>
  </si>
  <si>
    <t>418726-4</t>
  </si>
  <si>
    <t>240122-6</t>
  </si>
  <si>
    <t>266306-8</t>
  </si>
  <si>
    <t>629888-5</t>
  </si>
  <si>
    <t>325649-8</t>
  </si>
  <si>
    <t>451018-8</t>
  </si>
  <si>
    <t>452022-0</t>
  </si>
  <si>
    <t>267353-2</t>
  </si>
  <si>
    <t>961011-9</t>
  </si>
  <si>
    <t>HY00000018</t>
  </si>
  <si>
    <t>510227-9</t>
  </si>
  <si>
    <t>HY00000019</t>
  </si>
  <si>
    <t>619202-3</t>
  </si>
  <si>
    <t>HY00000029</t>
  </si>
  <si>
    <t>211373-8</t>
  </si>
  <si>
    <t>516288-7</t>
  </si>
  <si>
    <t>346048-1</t>
  </si>
  <si>
    <t>450956-1</t>
  </si>
  <si>
    <t>346047-3</t>
  </si>
  <si>
    <t>526074-8</t>
  </si>
  <si>
    <t>322951-0</t>
  </si>
  <si>
    <t>265771-8</t>
  </si>
  <si>
    <t>416288-6</t>
  </si>
  <si>
    <t>345651-5</t>
  </si>
  <si>
    <t>233180-9</t>
  </si>
  <si>
    <t>251448-1</t>
  </si>
  <si>
    <t>322962-5</t>
  </si>
  <si>
    <t>643932-4</t>
  </si>
  <si>
    <t>331508-6</t>
  </si>
  <si>
    <t>513793-5</t>
  </si>
  <si>
    <t>040130910</t>
  </si>
  <si>
    <t>451044-7</t>
  </si>
  <si>
    <t>331770-3</t>
  </si>
  <si>
    <t>272262-2</t>
  </si>
  <si>
    <t>638502-2</t>
  </si>
  <si>
    <t>127099-1</t>
  </si>
  <si>
    <t>158870-2</t>
  </si>
  <si>
    <t>213392-0</t>
  </si>
  <si>
    <t>JM23100043</t>
  </si>
  <si>
    <t>457125-5</t>
  </si>
  <si>
    <t>455487-5</t>
  </si>
  <si>
    <t>266010-9</t>
  </si>
  <si>
    <t>226450-3</t>
  </si>
  <si>
    <t>123868-8</t>
  </si>
  <si>
    <t>419986-1</t>
  </si>
  <si>
    <t>213304-3</t>
  </si>
  <si>
    <t>213317-4</t>
  </si>
  <si>
    <t>213370-0</t>
  </si>
  <si>
    <t>213406-5</t>
  </si>
  <si>
    <t>256122-6</t>
  </si>
  <si>
    <t>322813-2</t>
  </si>
  <si>
    <t>416122-0</t>
  </si>
  <si>
    <t>322987-9</t>
  </si>
  <si>
    <t>416289-4</t>
  </si>
  <si>
    <t>233142-7</t>
  </si>
  <si>
    <t>226746-2</t>
  </si>
  <si>
    <t>158575-4</t>
  </si>
  <si>
    <t>322986-1</t>
  </si>
  <si>
    <t>233554-4</t>
  </si>
  <si>
    <t>222059-9</t>
  </si>
  <si>
    <t>267460-1</t>
  </si>
  <si>
    <t>B-14124</t>
  </si>
  <si>
    <t>632G49-0</t>
  </si>
  <si>
    <t>038174811</t>
  </si>
  <si>
    <t>346473-6</t>
  </si>
  <si>
    <t>141028-0</t>
  </si>
  <si>
    <t>151625-4</t>
  </si>
  <si>
    <t>266385-6</t>
  </si>
  <si>
    <t>266059-9</t>
  </si>
  <si>
    <t>961013-5</t>
  </si>
  <si>
    <t>231131-6</t>
  </si>
  <si>
    <t>020245041</t>
  </si>
  <si>
    <t>267047-9</t>
  </si>
  <si>
    <t>027245021</t>
  </si>
  <si>
    <t>961155-5</t>
  </si>
  <si>
    <t>265120-9</t>
  </si>
  <si>
    <t>265117-8</t>
  </si>
  <si>
    <t>262556-3</t>
  </si>
  <si>
    <t>267256-0</t>
  </si>
  <si>
    <t>418149-6</t>
  </si>
  <si>
    <t>266329-6</t>
  </si>
  <si>
    <t>345391-5</t>
  </si>
  <si>
    <t>520040-7</t>
  </si>
  <si>
    <t>324282-3</t>
  </si>
  <si>
    <t>410129-8</t>
  </si>
  <si>
    <t>251425-3</t>
  </si>
  <si>
    <t>326372-8</t>
  </si>
  <si>
    <t>326310-0</t>
  </si>
  <si>
    <t>629116-8</t>
  </si>
  <si>
    <t>165633-9</t>
  </si>
  <si>
    <t>419874-2</t>
  </si>
  <si>
    <t>251668-7</t>
  </si>
  <si>
    <t>911143-2</t>
  </si>
  <si>
    <t>629842-9</t>
  </si>
  <si>
    <t>510251-2</t>
  </si>
  <si>
    <t>593864-4</t>
  </si>
  <si>
    <t>141574-3</t>
  </si>
  <si>
    <t>224209-2</t>
  </si>
  <si>
    <t>224208-4</t>
  </si>
  <si>
    <t>421731-2</t>
  </si>
  <si>
    <t>265985-9</t>
  </si>
  <si>
    <t>253932-2</t>
  </si>
  <si>
    <t>344539-6</t>
  </si>
  <si>
    <t>643755-0</t>
  </si>
  <si>
    <t>140963-9</t>
  </si>
  <si>
    <t>650747-2</t>
  </si>
  <si>
    <t>456099-7</t>
  </si>
  <si>
    <t>126410-4</t>
  </si>
  <si>
    <t>454822-4</t>
  </si>
  <si>
    <t>227806-3</t>
  </si>
  <si>
    <t>619353-2</t>
  </si>
  <si>
    <t>126448-9</t>
  </si>
  <si>
    <t>510198-0</t>
  </si>
  <si>
    <t>126460-9</t>
  </si>
  <si>
    <t>424193-3</t>
  </si>
  <si>
    <t>227626-5</t>
  </si>
  <si>
    <t>142156-4</t>
  </si>
  <si>
    <t>142263-3</t>
  </si>
  <si>
    <t>JM27100112</t>
  </si>
  <si>
    <t>424476-1</t>
  </si>
  <si>
    <t>143339-9</t>
  </si>
  <si>
    <t>213017-6</t>
  </si>
  <si>
    <t>961034-7</t>
  </si>
  <si>
    <t>187921-4</t>
  </si>
  <si>
    <t>515263-0</t>
  </si>
  <si>
    <t>346177-0</t>
  </si>
  <si>
    <t>643852-2</t>
  </si>
  <si>
    <t>188446-1</t>
  </si>
  <si>
    <t>632A40-2</t>
  </si>
  <si>
    <t>140265-3</t>
  </si>
  <si>
    <t>325789-2</t>
  </si>
  <si>
    <t>325792-3</t>
  </si>
  <si>
    <t>233979-2</t>
  </si>
  <si>
    <t>156971-0</t>
  </si>
  <si>
    <t>156975-2</t>
  </si>
  <si>
    <t>156436-2</t>
  </si>
  <si>
    <t>227531-6</t>
  </si>
  <si>
    <t>324848-9</t>
  </si>
  <si>
    <t>285804-3</t>
  </si>
  <si>
    <t>650614-1</t>
  </si>
  <si>
    <t>515764-8</t>
  </si>
  <si>
    <t>633693-4</t>
  </si>
  <si>
    <t>515734-7</t>
  </si>
  <si>
    <t>331795-7</t>
  </si>
  <si>
    <t>285808-5</t>
  </si>
  <si>
    <t>911248-8</t>
  </si>
  <si>
    <t>643928-5</t>
  </si>
  <si>
    <t>416282-8</t>
  </si>
  <si>
    <t>256197-5</t>
  </si>
  <si>
    <t>416123-8</t>
  </si>
  <si>
    <t>233937-8</t>
  </si>
  <si>
    <t>257268-1</t>
  </si>
  <si>
    <t>419019-2</t>
  </si>
  <si>
    <t>423345-3</t>
  </si>
  <si>
    <t>419008-7</t>
  </si>
  <si>
    <t>419760-7</t>
  </si>
  <si>
    <t>S-799869</t>
  </si>
  <si>
    <t>JM23100078</t>
  </si>
  <si>
    <t>593944-6</t>
  </si>
  <si>
    <t>266334-8</t>
  </si>
  <si>
    <t>344871-8</t>
  </si>
  <si>
    <t>132311-6</t>
  </si>
  <si>
    <t>214014-5</t>
  </si>
  <si>
    <t>213105-9</t>
  </si>
  <si>
    <t>122A40-5</t>
  </si>
  <si>
    <t>454337-1</t>
  </si>
  <si>
    <t>253906-3</t>
  </si>
  <si>
    <t>346673-8</t>
  </si>
  <si>
    <t>346671-2</t>
  </si>
  <si>
    <t>313255-1</t>
  </si>
  <si>
    <t>419004-5</t>
  </si>
  <si>
    <t>213695-2</t>
  </si>
  <si>
    <t>454317-7</t>
  </si>
  <si>
    <t>227613-4</t>
  </si>
  <si>
    <t>454338-9</t>
  </si>
  <si>
    <t>256548-2</t>
  </si>
  <si>
    <t>JM23300003</t>
  </si>
  <si>
    <t>252172-9</t>
  </si>
  <si>
    <t>345582-8</t>
  </si>
  <si>
    <t>324985-9</t>
  </si>
  <si>
    <t>123502-0</t>
  </si>
  <si>
    <t>231985-1</t>
  </si>
  <si>
    <t>424058-9</t>
  </si>
  <si>
    <t>911243-8</t>
  </si>
  <si>
    <t>911942-2</t>
  </si>
  <si>
    <t>650569-0</t>
  </si>
  <si>
    <t>650753-7</t>
  </si>
  <si>
    <t>324321-9</t>
  </si>
  <si>
    <t>418981-8</t>
  </si>
  <si>
    <t>123857-3</t>
  </si>
  <si>
    <t>632J70-7</t>
  </si>
  <si>
    <t>424109-8</t>
  </si>
  <si>
    <t>267804-5</t>
  </si>
  <si>
    <t>631930-0</t>
  </si>
  <si>
    <t>123443-0</t>
  </si>
  <si>
    <t>632F22-4</t>
  </si>
  <si>
    <t>620260-4</t>
  </si>
  <si>
    <t>629167-1</t>
  </si>
  <si>
    <t>619290-0</t>
  </si>
  <si>
    <t>632J77-3</t>
  </si>
  <si>
    <t>344816-6</t>
  </si>
  <si>
    <t>629163-9</t>
  </si>
  <si>
    <t>143277-5</t>
  </si>
  <si>
    <t>411423-1</t>
  </si>
  <si>
    <t>417388-5</t>
  </si>
  <si>
    <t>182630-0</t>
  </si>
  <si>
    <t>911221-8</t>
  </si>
  <si>
    <t>512654-6</t>
  </si>
  <si>
    <t>221602-1</t>
  </si>
  <si>
    <t>140268-7</t>
  </si>
  <si>
    <t>B-49719</t>
  </si>
  <si>
    <t>318088-9</t>
  </si>
  <si>
    <t>525743-8</t>
  </si>
  <si>
    <t>122238-8</t>
  </si>
  <si>
    <t>127125-6</t>
  </si>
  <si>
    <t>140H65-9</t>
  </si>
  <si>
    <t>158387-5</t>
  </si>
  <si>
    <t>193540-6</t>
  </si>
  <si>
    <t>226399-7</t>
  </si>
  <si>
    <t>226610-7</t>
  </si>
  <si>
    <t>227360-7</t>
  </si>
  <si>
    <t>158092-4</t>
  </si>
  <si>
    <t>226637-7</t>
  </si>
  <si>
    <t>231928-3</t>
  </si>
  <si>
    <t>256633-1</t>
  </si>
  <si>
    <t>266432-3</t>
  </si>
  <si>
    <t>317039-9</t>
  </si>
  <si>
    <t>322702-1</t>
  </si>
  <si>
    <t>331993-3</t>
  </si>
  <si>
    <t>346094-4</t>
  </si>
  <si>
    <t>411113-6</t>
  </si>
  <si>
    <t>411114-4</t>
  </si>
  <si>
    <t>418350-3</t>
  </si>
  <si>
    <t>450427-8</t>
  </si>
  <si>
    <t>620470-3</t>
  </si>
  <si>
    <t>922211-6</t>
  </si>
  <si>
    <t>JM21000047</t>
  </si>
  <si>
    <t>JM27000087</t>
  </si>
  <si>
    <t>JM27000150</t>
  </si>
  <si>
    <t>127511-1</t>
  </si>
  <si>
    <t>629224-5</t>
  </si>
  <si>
    <t>513494-5</t>
  </si>
  <si>
    <t>515548-4</t>
  </si>
  <si>
    <t>519268-2</t>
  </si>
  <si>
    <t>251423-7</t>
  </si>
  <si>
    <t>232542-8</t>
  </si>
  <si>
    <t>251314-2</t>
  </si>
  <si>
    <t>251370-2</t>
  </si>
  <si>
    <t>253462-3</t>
  </si>
  <si>
    <t>253463-1</t>
  </si>
  <si>
    <t>253478-8</t>
  </si>
  <si>
    <t>253479-6</t>
  </si>
  <si>
    <t>261154-0</t>
  </si>
  <si>
    <t>261160-5</t>
  </si>
  <si>
    <t>265374-8</t>
  </si>
  <si>
    <t>265701-9</t>
  </si>
  <si>
    <t>267106-9</t>
  </si>
  <si>
    <t>267175-0</t>
  </si>
  <si>
    <t>267194-6</t>
  </si>
  <si>
    <t>267250-2</t>
  </si>
  <si>
    <t>267470-8</t>
  </si>
  <si>
    <t>911138-5</t>
  </si>
  <si>
    <t>326849-3</t>
  </si>
  <si>
    <t>643834-4</t>
  </si>
  <si>
    <t>643835-2</t>
  </si>
  <si>
    <t>231329-5</t>
  </si>
  <si>
    <t>310991-0</t>
  </si>
  <si>
    <t>198885-7</t>
  </si>
  <si>
    <t>620275-1</t>
  </si>
  <si>
    <t>155763-4</t>
  </si>
  <si>
    <t>421977-0</t>
  </si>
  <si>
    <t>134205-1</t>
  </si>
  <si>
    <t>638020-0</t>
  </si>
  <si>
    <t>619404-1</t>
  </si>
  <si>
    <t>593949-6</t>
  </si>
  <si>
    <t>126290-8</t>
  </si>
  <si>
    <t>127468-6</t>
  </si>
  <si>
    <t>140T33-4</t>
  </si>
  <si>
    <t>140W19-6</t>
  </si>
  <si>
    <t>127729-4</t>
  </si>
  <si>
    <t>127731-7</t>
  </si>
  <si>
    <t>136171-8</t>
  </si>
  <si>
    <t>140W55-2</t>
  </si>
  <si>
    <t>136190-4</t>
  </si>
  <si>
    <t>140W56-0</t>
  </si>
  <si>
    <t>136198-8</t>
  </si>
  <si>
    <t>140Y38-4</t>
  </si>
  <si>
    <t>136224-3</t>
  </si>
  <si>
    <t>140Y51-2</t>
  </si>
  <si>
    <t>136249-7</t>
  </si>
  <si>
    <t>141955-1</t>
  </si>
  <si>
    <t>136262-5</t>
  </si>
  <si>
    <t>141956-9</t>
  </si>
  <si>
    <t>141959-3</t>
  </si>
  <si>
    <t>136279-8</t>
  </si>
  <si>
    <t>141B54-1</t>
  </si>
  <si>
    <t>136357-4</t>
  </si>
  <si>
    <t>141D25-0</t>
  </si>
  <si>
    <t>136368-9</t>
  </si>
  <si>
    <t>141G57-5</t>
  </si>
  <si>
    <t>136378-6</t>
  </si>
  <si>
    <t>141H09-2</t>
  </si>
  <si>
    <t>136449-9</t>
  </si>
  <si>
    <t>141K56-1</t>
  </si>
  <si>
    <t>140F99-0</t>
  </si>
  <si>
    <t>158237-4</t>
  </si>
  <si>
    <t>140P50-0</t>
  </si>
  <si>
    <t>162739-4</t>
  </si>
  <si>
    <t>227591-8</t>
  </si>
  <si>
    <t>140P51-8</t>
  </si>
  <si>
    <t>183N57-1</t>
  </si>
  <si>
    <t>140P53-4</t>
  </si>
  <si>
    <t>183N58-9</t>
  </si>
  <si>
    <t>142783-7</t>
  </si>
  <si>
    <t>140R47-1</t>
  </si>
  <si>
    <t>183N63-6</t>
  </si>
  <si>
    <t>224482-4</t>
  </si>
  <si>
    <t>183P56-5</t>
  </si>
  <si>
    <t>140R48-9</t>
  </si>
  <si>
    <t>619380-9</t>
  </si>
  <si>
    <t>140R54-4</t>
  </si>
  <si>
    <t>183P61-2</t>
  </si>
  <si>
    <t>140S46-9</t>
  </si>
  <si>
    <t>183P78-5</t>
  </si>
  <si>
    <t>183R15-1</t>
  </si>
  <si>
    <t>183R16-9</t>
  </si>
  <si>
    <t>183R84-2</t>
  </si>
  <si>
    <t>183R88-4</t>
  </si>
  <si>
    <t>183S03-4</t>
  </si>
  <si>
    <t>183S36-9</t>
  </si>
  <si>
    <t>183S37-7</t>
  </si>
  <si>
    <t>183S87-2</t>
  </si>
  <si>
    <t>183T43-8</t>
  </si>
  <si>
    <t>191X75-5</t>
  </si>
  <si>
    <t>216011-7</t>
  </si>
  <si>
    <t>216013-3</t>
  </si>
  <si>
    <t>224483-2</t>
  </si>
  <si>
    <t>224593-5</t>
  </si>
  <si>
    <t>226862-0</t>
  </si>
  <si>
    <t>226960-0</t>
  </si>
  <si>
    <t>226961-8</t>
  </si>
  <si>
    <t>226976-5</t>
  </si>
  <si>
    <t>226989-6</t>
  </si>
  <si>
    <t>226990-1</t>
  </si>
  <si>
    <t>226991-9</t>
  </si>
  <si>
    <t>227337-2</t>
  </si>
  <si>
    <t>227338-0</t>
  </si>
  <si>
    <t>227612-6</t>
  </si>
  <si>
    <t>227772-4</t>
  </si>
  <si>
    <t>231907-1</t>
  </si>
  <si>
    <t>232152-1</t>
  </si>
  <si>
    <t>232280-2</t>
  </si>
  <si>
    <t>232411-3</t>
  </si>
  <si>
    <t>232418-9</t>
  </si>
  <si>
    <t>232485-4</t>
  </si>
  <si>
    <t>232493-5</t>
  </si>
  <si>
    <t>232591-5</t>
  </si>
  <si>
    <t>232592-3</t>
  </si>
  <si>
    <t>232597-3</t>
  </si>
  <si>
    <t>232615-7</t>
  </si>
  <si>
    <t>232623-8</t>
  </si>
  <si>
    <t>232682-2</t>
  </si>
  <si>
    <t>233314-4</t>
  </si>
  <si>
    <t>233438-6</t>
  </si>
  <si>
    <t>233594-2</t>
  </si>
  <si>
    <t>233622-3</t>
  </si>
  <si>
    <t>233948-3</t>
  </si>
  <si>
    <t>234288-2</t>
  </si>
  <si>
    <t>234289-0</t>
  </si>
  <si>
    <t>234381-2</t>
  </si>
  <si>
    <t>245041-1</t>
  </si>
  <si>
    <t>256380-4</t>
  </si>
  <si>
    <t>256886-2</t>
  </si>
  <si>
    <t>168375-4</t>
  </si>
  <si>
    <t>168296-0</t>
  </si>
  <si>
    <t>262166-6</t>
  </si>
  <si>
    <t>256546-6</t>
  </si>
  <si>
    <t>418150-1</t>
  </si>
  <si>
    <t>262167-4</t>
  </si>
  <si>
    <t>410126-4</t>
  </si>
  <si>
    <t>262168-2</t>
  </si>
  <si>
    <t>924216-2</t>
  </si>
  <si>
    <t>263032-0</t>
  </si>
  <si>
    <t>263036-2</t>
  </si>
  <si>
    <t>231808-3</t>
  </si>
  <si>
    <t>DC36WA</t>
  </si>
  <si>
    <t>526104-5</t>
  </si>
  <si>
    <t>265B38-6</t>
  </si>
  <si>
    <t>265132-2</t>
  </si>
  <si>
    <t>345378-7</t>
  </si>
  <si>
    <t>324781-5</t>
  </si>
  <si>
    <t>268238-5</t>
  </si>
  <si>
    <t>233264-3</t>
  </si>
  <si>
    <t>233284-7</t>
  </si>
  <si>
    <t>415071-8</t>
  </si>
  <si>
    <t>271460-5</t>
  </si>
  <si>
    <t>651416-8</t>
  </si>
  <si>
    <t>213180-5</t>
  </si>
  <si>
    <t>310848-5</t>
  </si>
  <si>
    <t>227768-5</t>
  </si>
  <si>
    <t>233117-6</t>
  </si>
  <si>
    <t>345317-7</t>
  </si>
  <si>
    <t>319970-5</t>
  </si>
  <si>
    <t>319973-9</t>
  </si>
  <si>
    <t>267255-2</t>
  </si>
  <si>
    <t>324727-1</t>
  </si>
  <si>
    <t>141717-7</t>
  </si>
  <si>
    <t>158670-0</t>
  </si>
  <si>
    <t>225520-5</t>
  </si>
  <si>
    <t>331769-8</t>
  </si>
  <si>
    <t>324669-9</t>
  </si>
  <si>
    <t>324402-9</t>
  </si>
  <si>
    <t>421955-0</t>
  </si>
  <si>
    <t>318193-2</t>
  </si>
  <si>
    <t>213494-2</t>
  </si>
  <si>
    <t>651984-1</t>
  </si>
  <si>
    <t>140433-8</t>
  </si>
  <si>
    <t>140434-6</t>
  </si>
  <si>
    <t>638498-7</t>
  </si>
  <si>
    <t>161328-2</t>
  </si>
  <si>
    <t>168599-2</t>
  </si>
  <si>
    <t>126411-2</t>
  </si>
  <si>
    <t>619336-2</t>
  </si>
  <si>
    <t>126289-3</t>
  </si>
  <si>
    <t>346859-4</t>
  </si>
  <si>
    <t>168648-5</t>
  </si>
  <si>
    <t>140T99-4</t>
  </si>
  <si>
    <t>140W13-8</t>
  </si>
  <si>
    <t>140W14-6</t>
  </si>
  <si>
    <t>326272-2</t>
  </si>
  <si>
    <t>326599-0</t>
  </si>
  <si>
    <t>515724-0</t>
  </si>
  <si>
    <t>516574-6</t>
  </si>
  <si>
    <t>619057-6</t>
  </si>
  <si>
    <t>515658-7</t>
  </si>
  <si>
    <t>633034-4</t>
  </si>
  <si>
    <t>593718-5</t>
  </si>
  <si>
    <t>593668-4</t>
  </si>
  <si>
    <t>636169-0</t>
  </si>
  <si>
    <t>593628-6</t>
  </si>
  <si>
    <t>AL00000013</t>
  </si>
  <si>
    <t>AL00000071</t>
  </si>
  <si>
    <t>158285-3</t>
  </si>
  <si>
    <t>158957-0</t>
  </si>
  <si>
    <t>168398-2</t>
  </si>
  <si>
    <t>451130-4</t>
  </si>
  <si>
    <t>266338-5</t>
  </si>
  <si>
    <t>643601-7</t>
  </si>
  <si>
    <t>317811-9</t>
  </si>
  <si>
    <t>324463-9</t>
  </si>
  <si>
    <t>514207-7</t>
  </si>
  <si>
    <t>524206-1</t>
  </si>
  <si>
    <t>257504-5</t>
  </si>
  <si>
    <t>651018-0</t>
  </si>
  <si>
    <t>212003-4</t>
  </si>
  <si>
    <t>594594-0</t>
  </si>
  <si>
    <t>513779-9</t>
  </si>
  <si>
    <t>511434-7</t>
  </si>
  <si>
    <t>594388-3</t>
  </si>
  <si>
    <t>522554-2</t>
  </si>
  <si>
    <t>625824-9</t>
  </si>
  <si>
    <t>619216-2</t>
  </si>
  <si>
    <t>523349-6</t>
  </si>
  <si>
    <t>514864-1</t>
  </si>
  <si>
    <t>517629-0</t>
  </si>
  <si>
    <t>595094-3</t>
  </si>
  <si>
    <t>593649-8</t>
  </si>
  <si>
    <t>513614-1</t>
  </si>
  <si>
    <t>594534-8</t>
  </si>
  <si>
    <t>317821-6</t>
  </si>
  <si>
    <t>411852-8</t>
  </si>
  <si>
    <t>TP00000164</t>
  </si>
  <si>
    <t>211282-1</t>
  </si>
  <si>
    <t>214004-8</t>
  </si>
  <si>
    <t>651285-7</t>
  </si>
  <si>
    <t>027130050</t>
  </si>
  <si>
    <t>261104-5</t>
  </si>
  <si>
    <t>451002-3</t>
  </si>
  <si>
    <t>227701-7</t>
  </si>
  <si>
    <t>227702-5</t>
  </si>
  <si>
    <t>216024-8</t>
  </si>
  <si>
    <t>325643-0</t>
  </si>
  <si>
    <t>961055-9</t>
  </si>
  <si>
    <t>227703-3</t>
  </si>
  <si>
    <t>267010-2</t>
  </si>
  <si>
    <t>942101-7</t>
  </si>
  <si>
    <t>931202-6</t>
  </si>
  <si>
    <t>285847-5</t>
  </si>
  <si>
    <t>325644-8</t>
  </si>
  <si>
    <t>285732-2</t>
  </si>
  <si>
    <t>265034-2</t>
  </si>
  <si>
    <t>224431-1</t>
  </si>
  <si>
    <t>224432-9</t>
  </si>
  <si>
    <t>159533-3</t>
  </si>
  <si>
    <t>643987-9</t>
  </si>
  <si>
    <t>226683-0</t>
  </si>
  <si>
    <t>157753-3</t>
  </si>
  <si>
    <t>321082-2</t>
  </si>
  <si>
    <t>266309-2</t>
  </si>
  <si>
    <t>345726-0</t>
  </si>
  <si>
    <t>524634-0</t>
  </si>
  <si>
    <t>231951-8</t>
  </si>
  <si>
    <t>125311-3</t>
  </si>
  <si>
    <t>419233-0</t>
  </si>
  <si>
    <t>253874-0</t>
  </si>
  <si>
    <t>267085-1</t>
  </si>
  <si>
    <t>233033-2</t>
  </si>
  <si>
    <t>324420-7</t>
  </si>
  <si>
    <t>216008-6</t>
  </si>
  <si>
    <t>154590-6</t>
  </si>
  <si>
    <t>951122-8</t>
  </si>
  <si>
    <t>261108-7</t>
  </si>
  <si>
    <t>419271-2</t>
  </si>
  <si>
    <t>226336-1</t>
  </si>
  <si>
    <t>231025-5</t>
  </si>
  <si>
    <t>324552-0</t>
  </si>
  <si>
    <t>125182-8</t>
  </si>
  <si>
    <t>213507-9</t>
  </si>
  <si>
    <t>154769-9</t>
  </si>
  <si>
    <t>038153511</t>
  </si>
  <si>
    <t>324919-2</t>
  </si>
  <si>
    <t>126270-4</t>
  </si>
  <si>
    <t>324896-8</t>
  </si>
  <si>
    <t>515854-7</t>
  </si>
  <si>
    <t>324894-2</t>
  </si>
  <si>
    <t>253052-2</t>
  </si>
  <si>
    <t>633789-1</t>
  </si>
  <si>
    <t>158671-8</t>
  </si>
  <si>
    <t>516433-4</t>
  </si>
  <si>
    <t>TL00000020</t>
  </si>
  <si>
    <t>AL00000030</t>
  </si>
  <si>
    <t>153299-7</t>
  </si>
  <si>
    <t>AL00000075</t>
  </si>
  <si>
    <t>417819-4</t>
  </si>
  <si>
    <t>638892-3</t>
  </si>
  <si>
    <t>417820-9</t>
  </si>
  <si>
    <t>651891-8</t>
  </si>
  <si>
    <t>210030-5</t>
  </si>
  <si>
    <t>629885-1</t>
  </si>
  <si>
    <t>417821-7</t>
  </si>
  <si>
    <t>210036-3</t>
  </si>
  <si>
    <t>257173-2</t>
  </si>
  <si>
    <t>227737-6</t>
  </si>
  <si>
    <t>450621-2</t>
  </si>
  <si>
    <t>227735-0</t>
  </si>
  <si>
    <t>211021-9</t>
  </si>
  <si>
    <t>643566-3</t>
  </si>
  <si>
    <t>226578-7</t>
  </si>
  <si>
    <t>593639-1</t>
  </si>
  <si>
    <t>650233-3</t>
  </si>
  <si>
    <t>650685-8</t>
  </si>
  <si>
    <t>418681-0</t>
  </si>
  <si>
    <t>213961-7</t>
  </si>
  <si>
    <t>687085-9</t>
  </si>
  <si>
    <t>638627-2</t>
  </si>
  <si>
    <t>158898-0</t>
  </si>
  <si>
    <t>267813-4</t>
  </si>
  <si>
    <t>268217-3</t>
  </si>
  <si>
    <t>227215-6</t>
  </si>
  <si>
    <t>158899-8</t>
  </si>
  <si>
    <t>638643-4</t>
  </si>
  <si>
    <t>629836-4</t>
  </si>
  <si>
    <t>638503-0</t>
  </si>
  <si>
    <t>519199-5</t>
  </si>
  <si>
    <t>638107-8</t>
  </si>
  <si>
    <t>643818-2</t>
  </si>
  <si>
    <t>643823-9</t>
  </si>
  <si>
    <t>643941-3</t>
  </si>
  <si>
    <t>266783-4</t>
  </si>
  <si>
    <t>224455-7</t>
  </si>
  <si>
    <t>213479-8</t>
  </si>
  <si>
    <t>326199-6</t>
  </si>
  <si>
    <t>253133-2</t>
  </si>
  <si>
    <t>517683-4</t>
  </si>
  <si>
    <t>210023-2</t>
  </si>
  <si>
    <t>688174-3</t>
  </si>
  <si>
    <t>259039-2</t>
  </si>
  <si>
    <t>623558-8</t>
  </si>
  <si>
    <t>651609-7</t>
  </si>
  <si>
    <t>650568-2</t>
  </si>
  <si>
    <t>125514-9</t>
  </si>
  <si>
    <t>638424-6</t>
  </si>
  <si>
    <t>163021-4</t>
  </si>
  <si>
    <t>212960-6</t>
  </si>
  <si>
    <t>158873-6</t>
  </si>
  <si>
    <t>158913-0</t>
  </si>
  <si>
    <t>513784-6</t>
  </si>
  <si>
    <t>594588-5</t>
  </si>
  <si>
    <t>424175-5</t>
  </si>
  <si>
    <t>212014-9</t>
  </si>
  <si>
    <t>153336-7</t>
  </si>
  <si>
    <t>631678-4</t>
  </si>
  <si>
    <t>152577-2</t>
  </si>
  <si>
    <t>344615-6</t>
  </si>
  <si>
    <t>344614-8</t>
  </si>
  <si>
    <t>344613-0</t>
  </si>
  <si>
    <t>257683-9</t>
  </si>
  <si>
    <t>343540-8</t>
  </si>
  <si>
    <t>168391-6</t>
  </si>
  <si>
    <t>212077-5</t>
  </si>
  <si>
    <t>165405-2</t>
  </si>
  <si>
    <t>161141-8</t>
  </si>
  <si>
    <t>421950-0</t>
  </si>
  <si>
    <t>452018-1</t>
  </si>
  <si>
    <t>317853-3</t>
  </si>
  <si>
    <t>213586-7</t>
  </si>
  <si>
    <t>165125-8</t>
  </si>
  <si>
    <t>212086-4</t>
  </si>
  <si>
    <t>451010-4</t>
  </si>
  <si>
    <t>422068-0</t>
  </si>
  <si>
    <t>3640920</t>
  </si>
  <si>
    <t>168507-3</t>
  </si>
  <si>
    <t>3641150</t>
  </si>
  <si>
    <t>424173-9</t>
  </si>
  <si>
    <t>233092-6</t>
  </si>
  <si>
    <t>259033-4</t>
  </si>
  <si>
    <t>140510-6</t>
  </si>
  <si>
    <t>285815-8</t>
  </si>
  <si>
    <t>346518-0</t>
  </si>
  <si>
    <t>JM27000294</t>
  </si>
  <si>
    <t>213656-2</t>
  </si>
  <si>
    <t>168401-9</t>
  </si>
  <si>
    <t>650699-7</t>
  </si>
  <si>
    <t>911146-6</t>
  </si>
  <si>
    <t>151726-8</t>
  </si>
  <si>
    <t>164496-0</t>
  </si>
  <si>
    <t>421631-6</t>
  </si>
  <si>
    <t>423469-5</t>
  </si>
  <si>
    <t>213373-4</t>
  </si>
  <si>
    <t>168393-2</t>
  </si>
  <si>
    <t>416994-3</t>
  </si>
  <si>
    <t>216022-2</t>
  </si>
  <si>
    <t>163451-9</t>
  </si>
  <si>
    <t>650620-6</t>
  </si>
  <si>
    <t>766003-1</t>
  </si>
  <si>
    <t>418729-8</t>
  </si>
  <si>
    <t>318941-9</t>
  </si>
  <si>
    <t>038180012</t>
  </si>
  <si>
    <t>158869-7</t>
  </si>
  <si>
    <t>165555-3</t>
  </si>
  <si>
    <t>213983-7</t>
  </si>
  <si>
    <t>257279-6</t>
  </si>
  <si>
    <t>416178-3</t>
  </si>
  <si>
    <t>DA00000048</t>
  </si>
  <si>
    <t>216002-8</t>
  </si>
  <si>
    <t>158216-2</t>
  </si>
  <si>
    <t>318132-2</t>
  </si>
  <si>
    <t>213977-2</t>
  </si>
  <si>
    <t>324320-1</t>
  </si>
  <si>
    <t>961003-8</t>
  </si>
  <si>
    <t>227119-2</t>
  </si>
  <si>
    <t>254211-1</t>
  </si>
  <si>
    <t>257018-4</t>
  </si>
  <si>
    <t>212012-3</t>
  </si>
  <si>
    <t>316849-1</t>
  </si>
  <si>
    <t>265099-4</t>
  </si>
  <si>
    <t>140480-9</t>
  </si>
  <si>
    <t>168503-1</t>
  </si>
  <si>
    <t>345836-3</t>
  </si>
  <si>
    <t>168607-9</t>
  </si>
  <si>
    <t>424339-1</t>
  </si>
  <si>
    <t>346304-9</t>
  </si>
  <si>
    <t>424340-6</t>
  </si>
  <si>
    <t>213021-5</t>
  </si>
  <si>
    <t>912117-6</t>
  </si>
  <si>
    <t>266020-6</t>
  </si>
  <si>
    <t>515869-4</t>
  </si>
  <si>
    <t>227761-9</t>
  </si>
  <si>
    <t>410834-7</t>
  </si>
  <si>
    <t>454115-9</t>
  </si>
  <si>
    <t>454120-6</t>
  </si>
  <si>
    <t>517864-0</t>
  </si>
  <si>
    <t>593803-4</t>
  </si>
  <si>
    <t>450278-9</t>
  </si>
  <si>
    <t>513743-0</t>
  </si>
  <si>
    <t>625809-5</t>
  </si>
  <si>
    <t>631780-3</t>
  </si>
  <si>
    <t>424023-8</t>
  </si>
  <si>
    <t>253807-5</t>
  </si>
  <si>
    <t>252103-8</t>
  </si>
  <si>
    <t>231834-2</t>
  </si>
  <si>
    <t>231833-4</t>
  </si>
  <si>
    <t>265355-2</t>
  </si>
  <si>
    <t>526584-5</t>
  </si>
  <si>
    <t>194928-3</t>
  </si>
  <si>
    <t>194435-6</t>
  </si>
  <si>
    <t>193466-2</t>
  </si>
  <si>
    <t>191904-8</t>
  </si>
  <si>
    <t>194547-5</t>
  </si>
  <si>
    <t>195483-8</t>
  </si>
  <si>
    <t>345228-6</t>
  </si>
  <si>
    <t>317553-5</t>
  </si>
  <si>
    <t>285637-6</t>
  </si>
  <si>
    <t>251391-4</t>
  </si>
  <si>
    <t>135482-8</t>
  </si>
  <si>
    <t>212965-6</t>
  </si>
  <si>
    <t>028142021</t>
  </si>
  <si>
    <t>233375-4</t>
  </si>
  <si>
    <t>257804-3</t>
  </si>
  <si>
    <t>265118-6</t>
  </si>
  <si>
    <t>317285-4</t>
  </si>
  <si>
    <t>313215-3</t>
  </si>
  <si>
    <t>211304-7</t>
  </si>
  <si>
    <t>346470-2</t>
  </si>
  <si>
    <t>227424-7</t>
  </si>
  <si>
    <t>941151-9</t>
  </si>
  <si>
    <t>159681-8</t>
  </si>
  <si>
    <t>021131160</t>
  </si>
  <si>
    <t>951222-4</t>
  </si>
  <si>
    <t>629798-6</t>
  </si>
  <si>
    <t>650616-7</t>
  </si>
  <si>
    <t>153449-4</t>
  </si>
  <si>
    <t>650691-3</t>
  </si>
  <si>
    <t>651424-9</t>
  </si>
  <si>
    <t>271226-3</t>
  </si>
  <si>
    <t>226467-6</t>
  </si>
  <si>
    <t>193710-7</t>
  </si>
  <si>
    <t>629795-2</t>
  </si>
  <si>
    <t>226012-7</t>
  </si>
  <si>
    <t>651923-1</t>
  </si>
  <si>
    <t>629789-7</t>
  </si>
  <si>
    <t>650518-7</t>
  </si>
  <si>
    <t>193959-9</t>
  </si>
  <si>
    <t>226586-8</t>
  </si>
  <si>
    <t>633488-5</t>
  </si>
  <si>
    <t>650508-0</t>
  </si>
  <si>
    <t>517424-8</t>
  </si>
  <si>
    <t>651298-8</t>
  </si>
  <si>
    <t>191978-9</t>
  </si>
  <si>
    <t>193941-8</t>
  </si>
  <si>
    <t>226747-0</t>
  </si>
  <si>
    <t>763812-9</t>
  </si>
  <si>
    <t>226589-2</t>
  </si>
  <si>
    <t>156592-8</t>
  </si>
  <si>
    <t>153334-1</t>
  </si>
  <si>
    <t>638375-3</t>
  </si>
  <si>
    <t>D-08729</t>
  </si>
  <si>
    <t>D-17631</t>
  </si>
  <si>
    <t>153622-6</t>
  </si>
  <si>
    <t>516308-7</t>
  </si>
  <si>
    <t>125176-3</t>
  </si>
  <si>
    <t>125259-9</t>
  </si>
  <si>
    <t>312951-8</t>
  </si>
  <si>
    <t>415209-5</t>
  </si>
  <si>
    <t>345144-2</t>
  </si>
  <si>
    <t>153120-0</t>
  </si>
  <si>
    <t>343641-2</t>
  </si>
  <si>
    <t>225083-1</t>
  </si>
  <si>
    <t>643929-3</t>
  </si>
  <si>
    <t>182305-1</t>
  </si>
  <si>
    <t>221273-4</t>
  </si>
  <si>
    <t>156402-9</t>
  </si>
  <si>
    <t>922331-6</t>
  </si>
  <si>
    <t>226331-1</t>
  </si>
  <si>
    <t>210006-2</t>
  </si>
  <si>
    <t>251918-0</t>
  </si>
  <si>
    <t>251267-5</t>
  </si>
  <si>
    <t>257241-1</t>
  </si>
  <si>
    <t>331491-7</t>
  </si>
  <si>
    <t>322924-3</t>
  </si>
  <si>
    <t>421563-7</t>
  </si>
  <si>
    <t>345160-4</t>
  </si>
  <si>
    <t>251697-0</t>
  </si>
  <si>
    <t>941101-4</t>
  </si>
  <si>
    <t>411425-7</t>
  </si>
  <si>
    <t>152565-9</t>
  </si>
  <si>
    <t>911586-8</t>
  </si>
  <si>
    <t>257022-3</t>
  </si>
  <si>
    <t>517414-1</t>
  </si>
  <si>
    <t>651978-6</t>
  </si>
  <si>
    <t>265324-3</t>
  </si>
  <si>
    <t>253024-7</t>
  </si>
  <si>
    <t>213278-8</t>
  </si>
  <si>
    <t>344641-5</t>
  </si>
  <si>
    <t>227449-1</t>
  </si>
  <si>
    <t>650543-8</t>
  </si>
  <si>
    <t>226449-8</t>
  </si>
  <si>
    <t>265984-1</t>
  </si>
  <si>
    <t>265408-7</t>
  </si>
  <si>
    <t>253823-7</t>
  </si>
  <si>
    <t>651564-3</t>
  </si>
  <si>
    <t>310136-0</t>
  </si>
  <si>
    <t>153384-6</t>
  </si>
  <si>
    <t>633579-2</t>
  </si>
  <si>
    <t>231457-6</t>
  </si>
  <si>
    <t>JM27000162</t>
  </si>
  <si>
    <t>271314-6</t>
  </si>
  <si>
    <t>184678-8</t>
  </si>
  <si>
    <t>515699-3</t>
  </si>
  <si>
    <t>638413-1</t>
  </si>
  <si>
    <t>596273-6</t>
  </si>
  <si>
    <t>226032-1</t>
  </si>
  <si>
    <t>324183-5</t>
  </si>
  <si>
    <t>650615-9</t>
  </si>
  <si>
    <t>515799-9</t>
  </si>
  <si>
    <t>038245061</t>
  </si>
  <si>
    <t>JM23300001</t>
  </si>
  <si>
    <t>253806-7</t>
  </si>
  <si>
    <t>125576-7</t>
  </si>
  <si>
    <t>619230-8</t>
  </si>
  <si>
    <t>650573-9</t>
  </si>
  <si>
    <t>419241-1</t>
  </si>
  <si>
    <t>151848-4</t>
  </si>
  <si>
    <t>517844-6</t>
  </si>
  <si>
    <t>631865-5</t>
  </si>
  <si>
    <t>JM23200001</t>
  </si>
  <si>
    <t>594344-3</t>
  </si>
  <si>
    <t>344464-1</t>
  </si>
  <si>
    <t>164744-7</t>
  </si>
  <si>
    <t>418517-3</t>
  </si>
  <si>
    <t>416972-3</t>
  </si>
  <si>
    <t>213026-5</t>
  </si>
  <si>
    <t>038245020</t>
  </si>
  <si>
    <t>285657-0</t>
  </si>
  <si>
    <t>316294-0</t>
  </si>
  <si>
    <t>251295-0</t>
  </si>
  <si>
    <t>636148-8</t>
  </si>
  <si>
    <t>227509-9</t>
  </si>
  <si>
    <t>231037-8</t>
  </si>
  <si>
    <t>027213652</t>
  </si>
  <si>
    <t>324312-0</t>
  </si>
  <si>
    <t>629853-4</t>
  </si>
  <si>
    <t>512167-7</t>
  </si>
  <si>
    <t>318484-1</t>
  </si>
  <si>
    <t>125485-0</t>
  </si>
  <si>
    <t>629851-8</t>
  </si>
  <si>
    <t>321514-9</t>
  </si>
  <si>
    <t>226044-4</t>
  </si>
  <si>
    <t>418794-7</t>
  </si>
  <si>
    <t>517824-2</t>
  </si>
  <si>
    <t>517774-1</t>
  </si>
  <si>
    <t>515359-7</t>
  </si>
  <si>
    <t>593739-7</t>
  </si>
  <si>
    <t>599531-9</t>
  </si>
  <si>
    <t>526179-4</t>
  </si>
  <si>
    <t>152841-1</t>
  </si>
  <si>
    <t>419250-0</t>
  </si>
  <si>
    <t>038155052</t>
  </si>
  <si>
    <t>317565-8</t>
  </si>
  <si>
    <t>344381-5</t>
  </si>
  <si>
    <t>273666-1</t>
  </si>
  <si>
    <t>323685-8</t>
  </si>
  <si>
    <t>325601-6</t>
  </si>
  <si>
    <t>258002-2</t>
  </si>
  <si>
    <t>345240-6</t>
  </si>
  <si>
    <t>256117-9</t>
  </si>
  <si>
    <t>214031-5</t>
  </si>
  <si>
    <t>135060-4</t>
  </si>
  <si>
    <t>310134-4</t>
  </si>
  <si>
    <t>135508-6</t>
  </si>
  <si>
    <t>625758-6</t>
  </si>
  <si>
    <t>419407-3</t>
  </si>
  <si>
    <t>JM23100001</t>
  </si>
  <si>
    <t>036153910</t>
  </si>
  <si>
    <t>125484-2</t>
  </si>
  <si>
    <t>322989-5</t>
  </si>
  <si>
    <t>911273-9</t>
  </si>
  <si>
    <t>213038-8</t>
  </si>
  <si>
    <t>743025-8</t>
  </si>
  <si>
    <t>183232-5</t>
  </si>
  <si>
    <t>517404-4</t>
  </si>
  <si>
    <t>650226-0</t>
  </si>
  <si>
    <t>633573-4</t>
  </si>
  <si>
    <t>911211-1</t>
  </si>
  <si>
    <t>912107-9</t>
  </si>
  <si>
    <t>593508-6</t>
  </si>
  <si>
    <t>650656-5</t>
  </si>
  <si>
    <t>629904-3</t>
  </si>
  <si>
    <t>650645-0</t>
  </si>
  <si>
    <t>650524-2</t>
  </si>
  <si>
    <t>318847-1</t>
  </si>
  <si>
    <t>324621-7</t>
  </si>
  <si>
    <t>510197-2</t>
  </si>
  <si>
    <t>226739-9</t>
  </si>
  <si>
    <t>915106-0</t>
  </si>
  <si>
    <t>224282-2</t>
  </si>
  <si>
    <t>224397-5</t>
  </si>
  <si>
    <t>159983-2</t>
  </si>
  <si>
    <t>316111-4</t>
  </si>
  <si>
    <t>JM23000123</t>
  </si>
  <si>
    <t>038174030</t>
  </si>
  <si>
    <t>125087-2</t>
  </si>
  <si>
    <t>037131010</t>
  </si>
  <si>
    <t>D-09173</t>
  </si>
  <si>
    <t>763629-0</t>
  </si>
  <si>
    <t>164491-0</t>
  </si>
  <si>
    <t>224543-0</t>
  </si>
  <si>
    <t>341079-5</t>
  </si>
  <si>
    <t>423029-3</t>
  </si>
  <si>
    <t>631239-0</t>
  </si>
  <si>
    <t>213960-9</t>
  </si>
  <si>
    <t>417771-6</t>
  </si>
  <si>
    <t>233376-2</t>
  </si>
  <si>
    <t>256486-8</t>
  </si>
  <si>
    <t>JM27000066</t>
  </si>
  <si>
    <t>JM27000067</t>
  </si>
  <si>
    <t>JM27000167</t>
  </si>
  <si>
    <t>517106-2</t>
  </si>
  <si>
    <t>271070-8</t>
  </si>
  <si>
    <t>316821-3</t>
  </si>
  <si>
    <t>322865-3</t>
  </si>
  <si>
    <t>251426-1</t>
  </si>
  <si>
    <t>A0200-0081</t>
  </si>
  <si>
    <t>225021-3</t>
  </si>
  <si>
    <t>156448-5</t>
  </si>
  <si>
    <t>222072-7</t>
  </si>
  <si>
    <t>651568-5</t>
  </si>
  <si>
    <t>286263-4</t>
  </si>
  <si>
    <t>233940-9</t>
  </si>
  <si>
    <t>417629-9</t>
  </si>
  <si>
    <t>345187-4</t>
  </si>
  <si>
    <t>233916-6</t>
  </si>
  <si>
    <t>515649-8</t>
  </si>
  <si>
    <t>633624-3</t>
  </si>
  <si>
    <t>125482-6</t>
  </si>
  <si>
    <t>521217-7</t>
  </si>
  <si>
    <t>252168-0</t>
  </si>
  <si>
    <t>941202-8</t>
  </si>
  <si>
    <t>322046-9</t>
  </si>
  <si>
    <t>231418-6</t>
  </si>
  <si>
    <t>253731-2</t>
  </si>
  <si>
    <t>266296-5</t>
  </si>
  <si>
    <t>416450-3</t>
  </si>
  <si>
    <t>182400-7</t>
  </si>
  <si>
    <t>125428-2</t>
  </si>
  <si>
    <t>161061-6</t>
  </si>
  <si>
    <t>418083-0</t>
  </si>
  <si>
    <t>263002-9</t>
  </si>
  <si>
    <t>650514-5</t>
  </si>
  <si>
    <t>411019-8</t>
  </si>
  <si>
    <t>517448-4</t>
  </si>
  <si>
    <t>158796-8</t>
  </si>
  <si>
    <t>B-80357</t>
  </si>
  <si>
    <t>783203-8</t>
  </si>
  <si>
    <t>418725-6</t>
  </si>
  <si>
    <t>654168-0</t>
  </si>
  <si>
    <t>654169-8</t>
  </si>
  <si>
    <t>026160640</t>
  </si>
  <si>
    <t>619170-0</t>
  </si>
  <si>
    <t>517838-1</t>
  </si>
  <si>
    <t>266026-4</t>
  </si>
  <si>
    <t>451013-8</t>
  </si>
  <si>
    <t>153178-9</t>
  </si>
  <si>
    <t>038131011</t>
  </si>
  <si>
    <t>629817-8</t>
  </si>
  <si>
    <t>631598-2</t>
  </si>
  <si>
    <t>651527-9</t>
  </si>
  <si>
    <t>162245-9</t>
  </si>
  <si>
    <t>233459-8</t>
  </si>
  <si>
    <t>419192-8</t>
  </si>
  <si>
    <t>226461-8</t>
  </si>
  <si>
    <t>763622-4</t>
  </si>
  <si>
    <t>763619-3</t>
  </si>
  <si>
    <t>251609-3</t>
  </si>
  <si>
    <t>153119-5</t>
  </si>
  <si>
    <t>792292-2</t>
  </si>
  <si>
    <t>A-15051</t>
  </si>
  <si>
    <t>157407-2</t>
  </si>
  <si>
    <t>153245-0</t>
  </si>
  <si>
    <t>157640-6</t>
  </si>
  <si>
    <t>226440-6</t>
  </si>
  <si>
    <t>152947-5</t>
  </si>
  <si>
    <t>155174-3</t>
  </si>
  <si>
    <t>241888-1</t>
  </si>
  <si>
    <t>224080-4</t>
  </si>
  <si>
    <t>224081-2</t>
  </si>
  <si>
    <t>226750-1</t>
  </si>
  <si>
    <t>629821-7</t>
  </si>
  <si>
    <t>040130023</t>
  </si>
  <si>
    <t>D-15285</t>
  </si>
  <si>
    <t>763185-0</t>
  </si>
  <si>
    <t>134645-3</t>
  </si>
  <si>
    <t>411426-5</t>
  </si>
  <si>
    <t>150710-0</t>
  </si>
  <si>
    <t>226742-0</t>
  </si>
  <si>
    <t>342505-7</t>
  </si>
  <si>
    <t>643550-8</t>
  </si>
  <si>
    <t>322701-3</t>
  </si>
  <si>
    <t>629785-5</t>
  </si>
  <si>
    <t>411023-7</t>
  </si>
  <si>
    <t>421494-0</t>
  </si>
  <si>
    <t>412053-1</t>
  </si>
  <si>
    <t>423035-8</t>
  </si>
  <si>
    <t>961052-5</t>
  </si>
  <si>
    <t>123004-6</t>
  </si>
  <si>
    <t>231240-1</t>
  </si>
  <si>
    <t>232053-3</t>
  </si>
  <si>
    <t>021245040</t>
  </si>
  <si>
    <t>161045-4</t>
  </si>
  <si>
    <t>134564-3</t>
  </si>
  <si>
    <t>266034-5</t>
  </si>
  <si>
    <t>321261-2</t>
  </si>
  <si>
    <t>213003-7</t>
  </si>
  <si>
    <t>253811-4</t>
  </si>
  <si>
    <t>216001-0</t>
  </si>
  <si>
    <t>213388-1</t>
  </si>
  <si>
    <t>213477-2</t>
  </si>
  <si>
    <t>743009-6</t>
  </si>
  <si>
    <t>743002-0</t>
  </si>
  <si>
    <t>942201-3</t>
  </si>
  <si>
    <t>941201-0</t>
  </si>
  <si>
    <t>345007-2</t>
  </si>
  <si>
    <t>027223101</t>
  </si>
  <si>
    <t>152869-9</t>
  </si>
  <si>
    <t>345146-8</t>
  </si>
  <si>
    <t>262536-9</t>
  </si>
  <si>
    <t>154346-7</t>
  </si>
  <si>
    <t>221647-9</t>
  </si>
  <si>
    <t>224333-1</t>
  </si>
  <si>
    <t>911226-8</t>
  </si>
  <si>
    <t>942151-2</t>
  </si>
  <si>
    <t>924316-8</t>
  </si>
  <si>
    <t>410918-1</t>
  </si>
  <si>
    <t>226756-9</t>
  </si>
  <si>
    <t>632673-7</t>
  </si>
  <si>
    <t>525099-9</t>
  </si>
  <si>
    <t>221730-2</t>
  </si>
  <si>
    <t>251612-4</t>
  </si>
  <si>
    <t>153489-2</t>
  </si>
  <si>
    <t>A-83951</t>
  </si>
  <si>
    <t>343692-5</t>
  </si>
  <si>
    <t>911121-2</t>
  </si>
  <si>
    <t>911153-9</t>
  </si>
  <si>
    <t>922107-1</t>
  </si>
  <si>
    <t>224329-2</t>
  </si>
  <si>
    <t>266024-8</t>
  </si>
  <si>
    <t>253951-8</t>
  </si>
  <si>
    <t>212309-0</t>
  </si>
  <si>
    <t>231593-8</t>
  </si>
  <si>
    <t>253977-0</t>
  </si>
  <si>
    <t>961018-5</t>
  </si>
  <si>
    <t>514884-5</t>
  </si>
  <si>
    <t>257163-5</t>
  </si>
  <si>
    <t>514959-0</t>
  </si>
  <si>
    <t>159336-5</t>
  </si>
  <si>
    <t>154530-4</t>
  </si>
  <si>
    <t>159909-4</t>
  </si>
  <si>
    <t>512614-8</t>
  </si>
  <si>
    <t>511754-9</t>
  </si>
  <si>
    <t>511799-7</t>
  </si>
  <si>
    <t>512067-1</t>
  </si>
  <si>
    <t>517104-6</t>
  </si>
  <si>
    <t>512699-4</t>
  </si>
  <si>
    <t>517044-8</t>
  </si>
  <si>
    <t>514714-0</t>
  </si>
  <si>
    <t>516219-6</t>
  </si>
  <si>
    <t>514824-3</t>
  </si>
  <si>
    <t>514559-6</t>
  </si>
  <si>
    <t>514859-4</t>
  </si>
  <si>
    <t>516089-3</t>
  </si>
  <si>
    <t>512555-8</t>
  </si>
  <si>
    <t>516084-3</t>
  </si>
  <si>
    <t>511939-7</t>
  </si>
  <si>
    <t>511959-1</t>
  </si>
  <si>
    <t>517099-3</t>
  </si>
  <si>
    <t>516149-1</t>
  </si>
  <si>
    <t>513146-8</t>
  </si>
  <si>
    <t>515099-7</t>
  </si>
  <si>
    <t>516279-8</t>
  </si>
  <si>
    <t>516274-8</t>
  </si>
  <si>
    <t>516643-3</t>
  </si>
  <si>
    <t>516724-3</t>
  </si>
  <si>
    <t>515114-7</t>
  </si>
  <si>
    <t>512954-4</t>
  </si>
  <si>
    <t>511699-1</t>
  </si>
  <si>
    <t>513305-4</t>
  </si>
  <si>
    <t>512407-3</t>
  </si>
  <si>
    <t>517339-9</t>
  </si>
  <si>
    <t>516819-2</t>
  </si>
  <si>
    <t>516922-9</t>
  </si>
  <si>
    <t>513549-6</t>
  </si>
  <si>
    <t>515289-2</t>
  </si>
  <si>
    <t>JM23000100</t>
  </si>
  <si>
    <t>151790-9</t>
  </si>
  <si>
    <t>517499-7</t>
  </si>
  <si>
    <t>517439-5</t>
  </si>
  <si>
    <t>322070-2</t>
  </si>
  <si>
    <t>517454-9</t>
  </si>
  <si>
    <t>213310-8</t>
  </si>
  <si>
    <t>515684-6</t>
  </si>
  <si>
    <t>322073-6</t>
  </si>
  <si>
    <t>517754-7</t>
  </si>
  <si>
    <t>619148-3</t>
  </si>
  <si>
    <t>227019-6</t>
  </si>
  <si>
    <t>515609-0</t>
  </si>
  <si>
    <t>256266-2</t>
  </si>
  <si>
    <t>516478-2</t>
  </si>
  <si>
    <t>161057-7</t>
  </si>
  <si>
    <t>516974-0</t>
  </si>
  <si>
    <t>225508-5</t>
  </si>
  <si>
    <t>629827-5</t>
  </si>
  <si>
    <t>JM27000155</t>
  </si>
  <si>
    <t>515668-4</t>
  </si>
  <si>
    <t>510060-9</t>
  </si>
  <si>
    <t>517398-3</t>
  </si>
  <si>
    <t>517479-3</t>
  </si>
  <si>
    <t>516764-1</t>
  </si>
  <si>
    <t>515119-7</t>
  </si>
  <si>
    <t>517184-2</t>
  </si>
  <si>
    <t>516813-4</t>
  </si>
  <si>
    <t>516329-9</t>
  </si>
  <si>
    <t>227736-8</t>
  </si>
  <si>
    <t>210069-8</t>
  </si>
  <si>
    <t>213435-8</t>
  </si>
  <si>
    <t>318660-7</t>
  </si>
  <si>
    <t>325983-6</t>
  </si>
  <si>
    <t>345507-2</t>
  </si>
  <si>
    <t>187676-1</t>
  </si>
  <si>
    <t>020173202</t>
  </si>
  <si>
    <t>221503-3</t>
  </si>
  <si>
    <t>252094-3</t>
  </si>
  <si>
    <t>513699-7</t>
  </si>
  <si>
    <t>226648-2</t>
  </si>
  <si>
    <t>153665-8</t>
  </si>
  <si>
    <t>792534-4</t>
  </si>
  <si>
    <t>415873-2</t>
  </si>
  <si>
    <t>261109-5</t>
  </si>
  <si>
    <t>253192-6</t>
  </si>
  <si>
    <t>152675-2</t>
  </si>
  <si>
    <t>593589-0</t>
  </si>
  <si>
    <t>226499-3</t>
  </si>
  <si>
    <t>B-80307</t>
  </si>
  <si>
    <t>226741-2</t>
  </si>
  <si>
    <t>125331-7</t>
  </si>
  <si>
    <t>450584-2</t>
  </si>
  <si>
    <t>411623-3</t>
  </si>
  <si>
    <t>38114130</t>
  </si>
  <si>
    <t>038114190</t>
  </si>
  <si>
    <t>227506-5</t>
  </si>
  <si>
    <t>227471-8</t>
  </si>
  <si>
    <t>JM23000020</t>
  </si>
  <si>
    <t>323221-0</t>
  </si>
  <si>
    <t>B-80329</t>
  </si>
  <si>
    <t>B-80335</t>
  </si>
  <si>
    <t>B-80379</t>
  </si>
  <si>
    <t>B-80400</t>
  </si>
  <si>
    <t>631719-6</t>
  </si>
  <si>
    <t>450619-9</t>
  </si>
  <si>
    <t>036163010</t>
  </si>
  <si>
    <t>525768-2</t>
  </si>
  <si>
    <t>421808-3</t>
  </si>
  <si>
    <t>JM23100186</t>
  </si>
  <si>
    <t>JM23000104</t>
  </si>
  <si>
    <t>344415-4</t>
  </si>
  <si>
    <t>221132-2</t>
  </si>
  <si>
    <t>132025-7</t>
  </si>
  <si>
    <t>JM27000324</t>
  </si>
  <si>
    <t>JM27000319</t>
  </si>
  <si>
    <t>152253-8</t>
  </si>
  <si>
    <t>122321-1</t>
  </si>
  <si>
    <t>123029-0</t>
  </si>
  <si>
    <t>221160-7</t>
  </si>
  <si>
    <t>020224070</t>
  </si>
  <si>
    <t>224301-4</t>
  </si>
  <si>
    <t>242054-3</t>
  </si>
  <si>
    <t>151829-8</t>
  </si>
  <si>
    <t>341342-6</t>
  </si>
  <si>
    <t>231316-4</t>
  </si>
  <si>
    <t>266286-8</t>
  </si>
  <si>
    <t>231504-3</t>
  </si>
  <si>
    <t>651184-3</t>
  </si>
  <si>
    <t>227411-6</t>
  </si>
  <si>
    <t>227412-4</t>
  </si>
  <si>
    <t>345944-0</t>
  </si>
  <si>
    <t>JM23000088</t>
  </si>
  <si>
    <t>766013-8</t>
  </si>
  <si>
    <t>951116-3</t>
  </si>
  <si>
    <t>140800-7</t>
  </si>
  <si>
    <t>911218-7</t>
  </si>
  <si>
    <t>650591-7</t>
  </si>
  <si>
    <t>268031-7</t>
  </si>
  <si>
    <t>513568-2</t>
  </si>
  <si>
    <t>341389-0</t>
  </si>
  <si>
    <t>271071-6</t>
  </si>
  <si>
    <t>341377-7</t>
  </si>
  <si>
    <t>516948-1</t>
  </si>
  <si>
    <t>257060-5</t>
  </si>
  <si>
    <t>515634-1</t>
  </si>
  <si>
    <t>322909-9</t>
  </si>
  <si>
    <t>182628-7</t>
  </si>
  <si>
    <t>415213-4</t>
  </si>
  <si>
    <t>211106-1</t>
  </si>
  <si>
    <t>911363-8</t>
  </si>
  <si>
    <t>325125-2</t>
  </si>
  <si>
    <t>182597-2</t>
  </si>
  <si>
    <t>214251-1</t>
  </si>
  <si>
    <t>222062-0</t>
  </si>
  <si>
    <t>321869-2</t>
  </si>
  <si>
    <t>222061-2</t>
  </si>
  <si>
    <t>B-80232</t>
  </si>
  <si>
    <t>214114-1</t>
  </si>
  <si>
    <t>B-80282</t>
  </si>
  <si>
    <t>152362-3</t>
  </si>
  <si>
    <t>140441-9</t>
  </si>
  <si>
    <t>225071-8</t>
  </si>
  <si>
    <t>212063-6</t>
  </si>
  <si>
    <t>922111-0</t>
  </si>
  <si>
    <t>911373-5</t>
  </si>
  <si>
    <t>922451-6</t>
  </si>
  <si>
    <t>344472-2</t>
  </si>
  <si>
    <t>321495-7</t>
  </si>
  <si>
    <t>152540-5</t>
  </si>
  <si>
    <t>211279-0</t>
  </si>
  <si>
    <t>JM23000084</t>
  </si>
  <si>
    <t>643700-5</t>
  </si>
  <si>
    <t>224181-8</t>
  </si>
  <si>
    <t>317666-2</t>
  </si>
  <si>
    <t>227030-8</t>
  </si>
  <si>
    <t>165367-4</t>
  </si>
  <si>
    <t>252003-2</t>
  </si>
  <si>
    <t>028213600</t>
  </si>
  <si>
    <t>153552-1</t>
  </si>
  <si>
    <t>254002-0</t>
  </si>
  <si>
    <t>265461-3</t>
  </si>
  <si>
    <t>323798-5</t>
  </si>
  <si>
    <t>210107-6</t>
  </si>
  <si>
    <t>317037-3</t>
  </si>
  <si>
    <t>638500-6</t>
  </si>
  <si>
    <t>257010-0</t>
  </si>
  <si>
    <t>511549-0</t>
  </si>
  <si>
    <t>416292-5</t>
  </si>
  <si>
    <t>341601-8</t>
  </si>
  <si>
    <t>194722-3</t>
  </si>
  <si>
    <t>194160-9</t>
  </si>
  <si>
    <t>450067-2</t>
  </si>
  <si>
    <t>626634-7</t>
  </si>
  <si>
    <t>417116-8</t>
  </si>
  <si>
    <t>416540-2</t>
  </si>
  <si>
    <t>331446-2</t>
  </si>
  <si>
    <t>417802-1</t>
  </si>
  <si>
    <t>163107-4</t>
  </si>
  <si>
    <t>021180210</t>
  </si>
  <si>
    <t>341685-6</t>
  </si>
  <si>
    <t>414546-4</t>
  </si>
  <si>
    <t>593004-4</t>
  </si>
  <si>
    <t>526049-7</t>
  </si>
  <si>
    <t>522017-8</t>
  </si>
  <si>
    <t>633289-1</t>
  </si>
  <si>
    <t>522479-0</t>
  </si>
  <si>
    <t>522226-9</t>
  </si>
  <si>
    <t>526068-3</t>
  </si>
  <si>
    <t>523037-5</t>
  </si>
  <si>
    <t>596209-5</t>
  </si>
  <si>
    <t>596279-4</t>
  </si>
  <si>
    <t>221188-5</t>
  </si>
  <si>
    <t>221623-3</t>
  </si>
  <si>
    <t>226712-9</t>
  </si>
  <si>
    <t>221261-1</t>
  </si>
  <si>
    <t>226754-3</t>
  </si>
  <si>
    <t>226725-0</t>
  </si>
  <si>
    <t>226572-9</t>
  </si>
  <si>
    <t>227452-2</t>
  </si>
  <si>
    <t>221739-4</t>
  </si>
  <si>
    <t>227451-4</t>
  </si>
  <si>
    <t>125237-9</t>
  </si>
  <si>
    <t>193003-2</t>
  </si>
  <si>
    <t>153551-3</t>
  </si>
  <si>
    <t>643605-9</t>
  </si>
  <si>
    <t>643750-0</t>
  </si>
  <si>
    <t>344412-0</t>
  </si>
  <si>
    <t>151595-7</t>
  </si>
  <si>
    <t>226684-8</t>
  </si>
  <si>
    <t>643923-5</t>
  </si>
  <si>
    <t>153379-9</t>
  </si>
  <si>
    <t>152541-3</t>
  </si>
  <si>
    <t>421958-4</t>
  </si>
  <si>
    <t>JM23000067</t>
  </si>
  <si>
    <t>162259-8</t>
  </si>
  <si>
    <t>961054-1</t>
  </si>
  <si>
    <t>415601-5</t>
  </si>
  <si>
    <t>154952-8</t>
  </si>
  <si>
    <t>262074-1</t>
  </si>
  <si>
    <t>267035-6</t>
  </si>
  <si>
    <t>931402-8</t>
  </si>
  <si>
    <t>254202-2</t>
  </si>
  <si>
    <t>256196-7</t>
  </si>
  <si>
    <t>224299-5</t>
  </si>
  <si>
    <t>344473-0</t>
  </si>
  <si>
    <t>251680-7</t>
  </si>
  <si>
    <t>322938-2</t>
  </si>
  <si>
    <t>318158-4</t>
  </si>
  <si>
    <t>021245100</t>
  </si>
  <si>
    <t>415980-1</t>
  </si>
  <si>
    <t>344333-6</t>
  </si>
  <si>
    <t>424131-5</t>
  </si>
  <si>
    <t>268090-1</t>
  </si>
  <si>
    <t>256482-6</t>
  </si>
  <si>
    <t>342489-9</t>
  </si>
  <si>
    <t>021132020</t>
  </si>
  <si>
    <t>021245007</t>
  </si>
  <si>
    <t>345585-2</t>
  </si>
  <si>
    <t>213428-5</t>
  </si>
  <si>
    <t>213411-2</t>
  </si>
  <si>
    <t>213508-7</t>
  </si>
  <si>
    <t>213575-2</t>
  </si>
  <si>
    <t>516339-6</t>
  </si>
  <si>
    <t>285840-9</t>
  </si>
  <si>
    <t>JM27000309</t>
  </si>
  <si>
    <t>516719-6</t>
  </si>
  <si>
    <t>517409-4</t>
  </si>
  <si>
    <t>619088-5</t>
  </si>
  <si>
    <t>513509-8</t>
  </si>
  <si>
    <t>510050-2</t>
  </si>
  <si>
    <t>517458-1</t>
  </si>
  <si>
    <t>517464-6</t>
  </si>
  <si>
    <t>511929-0</t>
  </si>
  <si>
    <t>516909-1</t>
  </si>
  <si>
    <t>517494-7</t>
  </si>
  <si>
    <t>515669-2</t>
  </si>
  <si>
    <t>516884-1</t>
  </si>
  <si>
    <t>524559-8</t>
  </si>
  <si>
    <t>524754-0</t>
  </si>
  <si>
    <t>593119-7</t>
  </si>
  <si>
    <t>524127-7</t>
  </si>
  <si>
    <t>523027-8</t>
  </si>
  <si>
    <t>524077-6</t>
  </si>
  <si>
    <t>633184-5</t>
  </si>
  <si>
    <t>522147-5</t>
  </si>
  <si>
    <t>626154-1</t>
  </si>
  <si>
    <t>626579-9</t>
  </si>
  <si>
    <t>634299-1</t>
  </si>
  <si>
    <t>522267-5</t>
  </si>
  <si>
    <t>596144-7</t>
  </si>
  <si>
    <t>634159-7</t>
  </si>
  <si>
    <t>521237-1</t>
  </si>
  <si>
    <t>596183-7</t>
  </si>
  <si>
    <t>636009-2</t>
  </si>
  <si>
    <t>634154-7</t>
  </si>
  <si>
    <t>525089-2</t>
  </si>
  <si>
    <t>521623-6</t>
  </si>
  <si>
    <t>621658-8</t>
  </si>
  <si>
    <t>522639-4</t>
  </si>
  <si>
    <t>633348-1</t>
  </si>
  <si>
    <t>593523-0</t>
  </si>
  <si>
    <t>529083-6</t>
  </si>
  <si>
    <t>522439-2</t>
  </si>
  <si>
    <t>524509-3</t>
  </si>
  <si>
    <t>633314-8</t>
  </si>
  <si>
    <t>636103-0</t>
  </si>
  <si>
    <t>596249-3</t>
  </si>
  <si>
    <t>594438-4</t>
  </si>
  <si>
    <t>633568-7</t>
  </si>
  <si>
    <t>524709-5</t>
  </si>
  <si>
    <t>522509-7</t>
  </si>
  <si>
    <t>593009-4</t>
  </si>
  <si>
    <t>529090-9</t>
  </si>
  <si>
    <t>633528-9</t>
  </si>
  <si>
    <t>596158-6</t>
  </si>
  <si>
    <t>593458-5</t>
  </si>
  <si>
    <t>A-81212</t>
  </si>
  <si>
    <t>191628-6</t>
  </si>
  <si>
    <t>191940-4</t>
  </si>
  <si>
    <t>191971-3</t>
  </si>
  <si>
    <t>A-81343</t>
  </si>
  <si>
    <t>225007-7</t>
  </si>
  <si>
    <t>225042-5</t>
  </si>
  <si>
    <t>225044-1</t>
  </si>
  <si>
    <t>225001-9</t>
  </si>
  <si>
    <t>225043-3</t>
  </si>
  <si>
    <t>225069-5</t>
  </si>
  <si>
    <t>211107-9</t>
  </si>
  <si>
    <t>210043-6</t>
  </si>
  <si>
    <t>211306-3</t>
  </si>
  <si>
    <t>515784-2</t>
  </si>
  <si>
    <t>593703-8</t>
  </si>
  <si>
    <t>211103-7</t>
  </si>
  <si>
    <t>526609-5</t>
  </si>
  <si>
    <t>211066-7</t>
  </si>
  <si>
    <t>616969-4</t>
  </si>
  <si>
    <t>639534-2</t>
  </si>
  <si>
    <t>211032-4</t>
  </si>
  <si>
    <t>763602-0</t>
  </si>
  <si>
    <t>211201-7</t>
  </si>
  <si>
    <t>211111-8</t>
  </si>
  <si>
    <t>210028-2</t>
  </si>
  <si>
    <t>650217-1</t>
  </si>
  <si>
    <t>JM23000112</t>
  </si>
  <si>
    <t>650556-9</t>
  </si>
  <si>
    <t>650562-4</t>
  </si>
  <si>
    <t>650212-1</t>
  </si>
  <si>
    <t>651233-6</t>
  </si>
  <si>
    <t>651989-1</t>
  </si>
  <si>
    <t>443074-2</t>
  </si>
  <si>
    <t>651016-4</t>
  </si>
  <si>
    <t>651260-3</t>
  </si>
  <si>
    <t>252625-8</t>
  </si>
  <si>
    <t>651240-9</t>
  </si>
  <si>
    <t>251228-5</t>
  </si>
  <si>
    <t>410127-2</t>
  </si>
  <si>
    <t>651242-5</t>
  </si>
  <si>
    <t>424086-4</t>
  </si>
  <si>
    <t>651922-3</t>
  </si>
  <si>
    <t>450458-7</t>
  </si>
  <si>
    <t>419566-3</t>
  </si>
  <si>
    <t>424087-2</t>
  </si>
  <si>
    <t>418796-3</t>
  </si>
  <si>
    <t>272237-1</t>
  </si>
  <si>
    <t>254011-9</t>
  </si>
  <si>
    <t>650209-0</t>
  </si>
  <si>
    <t>232239-9</t>
  </si>
  <si>
    <t>651280-7</t>
  </si>
  <si>
    <t>512749-5</t>
  </si>
  <si>
    <t>126148-1</t>
  </si>
  <si>
    <t>650559-3</t>
  </si>
  <si>
    <t>TP00000095</t>
  </si>
  <si>
    <t>419589-1</t>
  </si>
  <si>
    <t>268228-8</t>
  </si>
  <si>
    <t>623528-7</t>
  </si>
  <si>
    <t>638360-6</t>
  </si>
  <si>
    <t>419548-5</t>
  </si>
  <si>
    <t>331719-3</t>
  </si>
  <si>
    <t>272253-3</t>
  </si>
  <si>
    <t>252199-9</t>
  </si>
  <si>
    <t>266237-1</t>
  </si>
  <si>
    <t>766002-3</t>
  </si>
  <si>
    <t>S-00003</t>
  </si>
  <si>
    <t>154879-2</t>
  </si>
  <si>
    <t>233951-4</t>
  </si>
  <si>
    <t>226653-9</t>
  </si>
  <si>
    <t>650618-3</t>
  </si>
  <si>
    <t>331435-7</t>
  </si>
  <si>
    <t>638494-5</t>
  </si>
  <si>
    <t>631227-7</t>
  </si>
  <si>
    <t>651282-3</t>
  </si>
  <si>
    <t>452399-3</t>
  </si>
  <si>
    <t>643869-5</t>
  </si>
  <si>
    <t>163447-0</t>
  </si>
  <si>
    <t>515849-0</t>
  </si>
  <si>
    <t>635104-5</t>
  </si>
  <si>
    <t>213423-5</t>
  </si>
  <si>
    <t>271408-7</t>
  </si>
  <si>
    <t>262111-1</t>
  </si>
  <si>
    <t>324492-2</t>
  </si>
  <si>
    <t>262557-1</t>
  </si>
  <si>
    <t>324494-8</t>
  </si>
  <si>
    <t>317828-2</t>
  </si>
  <si>
    <t>268119-3</t>
  </si>
  <si>
    <t>324493-0</t>
  </si>
  <si>
    <t>213668-5</t>
  </si>
  <si>
    <t>317829-0</t>
  </si>
  <si>
    <t>442139-7</t>
  </si>
  <si>
    <t>421886-3</t>
  </si>
  <si>
    <t>A0100-0221</t>
  </si>
  <si>
    <t>A0200-0231</t>
  </si>
  <si>
    <t>A0205-0111</t>
  </si>
  <si>
    <t>A0309-0011</t>
  </si>
  <si>
    <t>A0200-0911</t>
  </si>
  <si>
    <t>A0800-0381</t>
  </si>
  <si>
    <t>A0310-0241</t>
  </si>
  <si>
    <t>A0711-0344</t>
  </si>
  <si>
    <t>K0600-1761</t>
  </si>
  <si>
    <t>K0300-0671</t>
  </si>
  <si>
    <t>K0300-0621</t>
  </si>
  <si>
    <t>651281-5</t>
  </si>
  <si>
    <t>K0300-0861</t>
  </si>
  <si>
    <t>286288-8</t>
  </si>
  <si>
    <t>763136-3</t>
  </si>
  <si>
    <t>451533-2</t>
  </si>
  <si>
    <t>651600-5</t>
  </si>
  <si>
    <t>638655-7</t>
  </si>
  <si>
    <t>345342-8</t>
  </si>
  <si>
    <t>650626-4</t>
  </si>
  <si>
    <t>224314-5</t>
  </si>
  <si>
    <t>JM23000085</t>
  </si>
  <si>
    <t>651481-7</t>
  </si>
  <si>
    <t>JM23000086</t>
  </si>
  <si>
    <t>651023-7</t>
  </si>
  <si>
    <t>001111012</t>
  </si>
  <si>
    <t>D-00175</t>
  </si>
  <si>
    <t>161346-0</t>
  </si>
  <si>
    <t>JM27000142</t>
  </si>
  <si>
    <t>JM27000171</t>
  </si>
  <si>
    <t>JM27000179</t>
  </si>
  <si>
    <t>JM27000180</t>
  </si>
  <si>
    <t>JM27000101</t>
  </si>
  <si>
    <t>JM27000202</t>
  </si>
  <si>
    <t>JM27000159</t>
  </si>
  <si>
    <t>510208-3</t>
  </si>
  <si>
    <t>187679-5</t>
  </si>
  <si>
    <t>140944-3</t>
  </si>
  <si>
    <t>911148-2</t>
  </si>
  <si>
    <t>631427-9</t>
  </si>
  <si>
    <t>158281-1</t>
  </si>
  <si>
    <t>631151-4</t>
  </si>
  <si>
    <t>226134-3</t>
  </si>
  <si>
    <t>226518-5</t>
  </si>
  <si>
    <t>TP00000111</t>
  </si>
  <si>
    <t>224180-0</t>
  </si>
  <si>
    <t>619246-3</t>
  </si>
  <si>
    <t>213039-6</t>
  </si>
  <si>
    <t>212102-2</t>
  </si>
  <si>
    <t>221422-3</t>
  </si>
  <si>
    <t>168421-3</t>
  </si>
  <si>
    <t>125278-5</t>
  </si>
  <si>
    <t>036118012</t>
  </si>
  <si>
    <t>221013-0</t>
  </si>
  <si>
    <t>416274-7</t>
  </si>
  <si>
    <t>317797-7</t>
  </si>
  <si>
    <t>153423-2</t>
  </si>
  <si>
    <t>631768-3</t>
  </si>
  <si>
    <t>650202-4</t>
  </si>
  <si>
    <t>153335-9</t>
  </si>
  <si>
    <t>210005-4</t>
  </si>
  <si>
    <t>631813-4</t>
  </si>
  <si>
    <t>125460-6</t>
  </si>
  <si>
    <t>643830-2</t>
  </si>
  <si>
    <t>638887-6</t>
  </si>
  <si>
    <t>643862-9</t>
  </si>
  <si>
    <t>650583-6</t>
  </si>
  <si>
    <t>629924-7</t>
  </si>
  <si>
    <t>651941-9</t>
  </si>
  <si>
    <t>271601-3</t>
  </si>
  <si>
    <t>JM27000130</t>
  </si>
  <si>
    <t>512550-8</t>
  </si>
  <si>
    <t>743053-3</t>
  </si>
  <si>
    <t>222060-4</t>
  </si>
  <si>
    <t>631777-2</t>
  </si>
  <si>
    <t>256251-5</t>
  </si>
  <si>
    <t>651315-4/</t>
  </si>
  <si>
    <t>450230-7</t>
  </si>
  <si>
    <t>638470-9</t>
  </si>
  <si>
    <t>638605-2</t>
  </si>
  <si>
    <t>650215-5</t>
  </si>
  <si>
    <t>257185-5</t>
  </si>
  <si>
    <t>153587-2</t>
  </si>
  <si>
    <t>635113-4</t>
  </si>
  <si>
    <t>158574-6</t>
  </si>
  <si>
    <t>521554-9</t>
  </si>
  <si>
    <t>021224011</t>
  </si>
  <si>
    <t>JM27000424</t>
  </si>
  <si>
    <t>310301-1</t>
  </si>
  <si>
    <t>911136-9</t>
  </si>
  <si>
    <t>310300-3</t>
  </si>
  <si>
    <t>266511-7</t>
  </si>
  <si>
    <t>213045-1</t>
  </si>
  <si>
    <t>346102-1</t>
  </si>
  <si>
    <t>324247-5</t>
  </si>
  <si>
    <t>265265-3</t>
  </si>
  <si>
    <t>168848-7</t>
  </si>
  <si>
    <t>196384-3</t>
  </si>
  <si>
    <t>510259-6</t>
  </si>
  <si>
    <t>510142-7</t>
  </si>
  <si>
    <t>194074-2</t>
  </si>
  <si>
    <t>195844-2</t>
  </si>
  <si>
    <t>638447-4</t>
  </si>
  <si>
    <t>625764-1</t>
  </si>
  <si>
    <t>633688-7</t>
  </si>
  <si>
    <t>227546-3</t>
  </si>
  <si>
    <t>227545-5</t>
  </si>
  <si>
    <t>226662-8</t>
  </si>
  <si>
    <t>651189-3</t>
  </si>
  <si>
    <t>631657-2</t>
  </si>
  <si>
    <t>152198-0</t>
  </si>
  <si>
    <t>318013-0</t>
  </si>
  <si>
    <t>631883-3</t>
  </si>
  <si>
    <t>451267-7</t>
  </si>
  <si>
    <t>240117-9</t>
  </si>
  <si>
    <t>216019-1</t>
  </si>
  <si>
    <t>233005-7</t>
  </si>
  <si>
    <t>231965-7</t>
  </si>
  <si>
    <t>222126-0</t>
  </si>
  <si>
    <t>222146-4</t>
  </si>
  <si>
    <t>222145-6</t>
  </si>
  <si>
    <t>183521-8</t>
  </si>
  <si>
    <t>324942-7</t>
  </si>
  <si>
    <t>183464-4</t>
  </si>
  <si>
    <t>450795-9</t>
  </si>
  <si>
    <t>418838-3</t>
  </si>
  <si>
    <t>153536-9</t>
  </si>
  <si>
    <t>515294-9</t>
  </si>
  <si>
    <t>233309-7</t>
  </si>
  <si>
    <t>324135-6</t>
  </si>
  <si>
    <t>411170-4</t>
  </si>
  <si>
    <t>324510-6</t>
  </si>
  <si>
    <t>213227-5</t>
  </si>
  <si>
    <t>331776-1</t>
  </si>
  <si>
    <t>154643-1</t>
  </si>
  <si>
    <t>158282-9</t>
  </si>
  <si>
    <t>159999-7</t>
  </si>
  <si>
    <t>324793-8</t>
  </si>
  <si>
    <t>324733-6</t>
  </si>
  <si>
    <t>266007-8</t>
  </si>
  <si>
    <t>324620-9</t>
  </si>
  <si>
    <t>251690-4</t>
  </si>
  <si>
    <t>221019-8</t>
  </si>
  <si>
    <t>345363-0</t>
  </si>
  <si>
    <t>510167-1</t>
  </si>
  <si>
    <t>153290-5</t>
  </si>
  <si>
    <t>211211-4</t>
  </si>
  <si>
    <t>226726-8</t>
  </si>
  <si>
    <t>226293-3</t>
  </si>
  <si>
    <t>227448-3</t>
  </si>
  <si>
    <t>221193-2</t>
  </si>
  <si>
    <t>253744-3</t>
  </si>
  <si>
    <t>233918-2</t>
  </si>
  <si>
    <t>267228-5</t>
  </si>
  <si>
    <t>233328-3</t>
  </si>
  <si>
    <t>227028-5</t>
  </si>
  <si>
    <t>267229-3</t>
  </si>
  <si>
    <t>324216-6</t>
  </si>
  <si>
    <t>213073-6</t>
  </si>
  <si>
    <t>233917-4</t>
  </si>
  <si>
    <t>324396-8</t>
  </si>
  <si>
    <t>419041-9</t>
  </si>
  <si>
    <t>650621-4</t>
  </si>
  <si>
    <t>650564-0</t>
  </si>
  <si>
    <t>638387-6</t>
  </si>
  <si>
    <t>763661-4</t>
  </si>
  <si>
    <t>619247-1</t>
  </si>
  <si>
    <t>188370-8</t>
  </si>
  <si>
    <t>161140-0</t>
  </si>
  <si>
    <t>156838-2</t>
  </si>
  <si>
    <t>115-120431H</t>
  </si>
  <si>
    <t>159998-9</t>
  </si>
  <si>
    <t>256505-0</t>
  </si>
  <si>
    <t>631534-8</t>
  </si>
  <si>
    <t>234057-1</t>
  </si>
  <si>
    <t>318335-8</t>
  </si>
  <si>
    <t>152937-8</t>
  </si>
  <si>
    <t>415619-6</t>
  </si>
  <si>
    <t>168514-6</t>
  </si>
  <si>
    <t>267212-0</t>
  </si>
  <si>
    <t>233347-9</t>
  </si>
  <si>
    <t>331734-7</t>
  </si>
  <si>
    <t>227182-5</t>
  </si>
  <si>
    <t>233388-5</t>
  </si>
  <si>
    <t>346035-0</t>
  </si>
  <si>
    <t>961017-7</t>
  </si>
  <si>
    <t>417796-0</t>
  </si>
  <si>
    <t>163430-7</t>
  </si>
  <si>
    <t>233344-5</t>
  </si>
  <si>
    <t>227109-5</t>
  </si>
  <si>
    <t>227179-4</t>
  </si>
  <si>
    <t>510164-7</t>
  </si>
  <si>
    <t>635099-2</t>
  </si>
  <si>
    <t>517794-5</t>
  </si>
  <si>
    <t>226579-5</t>
  </si>
  <si>
    <t>153764-6</t>
  </si>
  <si>
    <t>325550-7</t>
  </si>
  <si>
    <t>254032-1</t>
  </si>
  <si>
    <t>253147-1</t>
  </si>
  <si>
    <t>263005-3</t>
  </si>
  <si>
    <t>B-80248</t>
  </si>
  <si>
    <t>210013-5</t>
  </si>
  <si>
    <t>125387-0</t>
  </si>
  <si>
    <t>643844-1</t>
  </si>
  <si>
    <t>233052-8</t>
  </si>
  <si>
    <t>593539-5</t>
  </si>
  <si>
    <t>599536-9</t>
  </si>
  <si>
    <t>417818-6</t>
  </si>
  <si>
    <t>154481-1</t>
  </si>
  <si>
    <t>325183-8</t>
  </si>
  <si>
    <t>513748-0</t>
  </si>
  <si>
    <t>531057-5</t>
  </si>
  <si>
    <t>625813-4</t>
  </si>
  <si>
    <t>231934-8</t>
  </si>
  <si>
    <t>635014-6</t>
  </si>
  <si>
    <t>912222-9</t>
  </si>
  <si>
    <t>418141-2</t>
  </si>
  <si>
    <t>231307-5</t>
  </si>
  <si>
    <t>231397-8</t>
  </si>
  <si>
    <t>651286-5</t>
  </si>
  <si>
    <t>415366-9</t>
  </si>
  <si>
    <t>517654-1</t>
  </si>
  <si>
    <t>635109-5</t>
  </si>
  <si>
    <t>021245060</t>
  </si>
  <si>
    <t>227213-0</t>
  </si>
  <si>
    <t>266132-5</t>
  </si>
  <si>
    <t>324897-6</t>
  </si>
  <si>
    <t>911228-4</t>
  </si>
  <si>
    <t>650613-3</t>
  </si>
  <si>
    <t>331493-3</t>
  </si>
  <si>
    <t>153746-8</t>
  </si>
  <si>
    <t>344411-2</t>
  </si>
  <si>
    <t>154870-0</t>
  </si>
  <si>
    <t>322899-6</t>
  </si>
  <si>
    <t>322740-3</t>
  </si>
  <si>
    <t>233396-6</t>
  </si>
  <si>
    <t>911203-0</t>
  </si>
  <si>
    <t>232110-7</t>
  </si>
  <si>
    <t>213314-0</t>
  </si>
  <si>
    <t>650589-4</t>
  </si>
  <si>
    <t>417115-0</t>
  </si>
  <si>
    <t>123022-4</t>
  </si>
  <si>
    <t>654018-9</t>
  </si>
  <si>
    <t>253804-1</t>
  </si>
  <si>
    <t>021141012</t>
  </si>
  <si>
    <t>267136-0</t>
  </si>
  <si>
    <t>267287-9</t>
  </si>
  <si>
    <t>262112-9</t>
  </si>
  <si>
    <t>941051-3</t>
  </si>
  <si>
    <t>345589-4</t>
  </si>
  <si>
    <t>650586-0</t>
  </si>
  <si>
    <t>154463-3</t>
  </si>
  <si>
    <t>286265-0</t>
  </si>
  <si>
    <t>416410-5</t>
  </si>
  <si>
    <t>233203-3</t>
  </si>
  <si>
    <t>323819-3</t>
  </si>
  <si>
    <t>233234-2</t>
  </si>
  <si>
    <t>231979-6</t>
  </si>
  <si>
    <t>232190-3</t>
  </si>
  <si>
    <t>256447-8</t>
  </si>
  <si>
    <t>323820-8</t>
  </si>
  <si>
    <t>344690-2</t>
  </si>
  <si>
    <t>325549-2</t>
  </si>
  <si>
    <t>265062-7</t>
  </si>
  <si>
    <t>256836-7</t>
  </si>
  <si>
    <t>227464-5</t>
  </si>
  <si>
    <t>158324-9</t>
  </si>
  <si>
    <t>629733-4</t>
  </si>
  <si>
    <t>593479-7</t>
  </si>
  <si>
    <t>651262-9</t>
  </si>
  <si>
    <t>151594-9</t>
  </si>
  <si>
    <t>153389-6</t>
  </si>
  <si>
    <t>265035-0</t>
  </si>
  <si>
    <t>344232-2</t>
  </si>
  <si>
    <t>152454-8</t>
  </si>
  <si>
    <t>231940-3</t>
  </si>
  <si>
    <t>344134-2</t>
  </si>
  <si>
    <t>253792-2</t>
  </si>
  <si>
    <t>212043-2</t>
  </si>
  <si>
    <t>226428-6</t>
  </si>
  <si>
    <t>253139-0</t>
  </si>
  <si>
    <t>253715-0</t>
  </si>
  <si>
    <t>961004-6</t>
  </si>
  <si>
    <t>922126-7</t>
  </si>
  <si>
    <t>316836-0</t>
  </si>
  <si>
    <t>518713-4</t>
  </si>
  <si>
    <t>226497-7</t>
  </si>
  <si>
    <t>324140-3</t>
  </si>
  <si>
    <t>221525-3</t>
  </si>
  <si>
    <t>272221-6</t>
  </si>
  <si>
    <t>743081-8</t>
  </si>
  <si>
    <t>343682-8</t>
  </si>
  <si>
    <t>594489-7</t>
  </si>
  <si>
    <t>654020-2</t>
  </si>
  <si>
    <t>515619-7</t>
  </si>
  <si>
    <t>513704-0</t>
  </si>
  <si>
    <t>515708-8</t>
  </si>
  <si>
    <t>221318-8</t>
  </si>
  <si>
    <t>B-80422</t>
  </si>
  <si>
    <t>B-80254</t>
  </si>
  <si>
    <t>225008-5</t>
  </si>
  <si>
    <t>792728-1</t>
  </si>
  <si>
    <t>221636-4</t>
  </si>
  <si>
    <t>181150-1</t>
  </si>
  <si>
    <t>517324-2</t>
  </si>
  <si>
    <t>515719-3</t>
  </si>
  <si>
    <t>253922-5</t>
  </si>
  <si>
    <t>636303-2</t>
  </si>
  <si>
    <t>221194-0</t>
  </si>
  <si>
    <t>316882-3</t>
  </si>
  <si>
    <t>227550-2</t>
  </si>
  <si>
    <t>324662-3</t>
  </si>
  <si>
    <t>324223-9</t>
  </si>
  <si>
    <t>125421-6</t>
  </si>
  <si>
    <t>510139-6</t>
  </si>
  <si>
    <t>594469-3</t>
  </si>
  <si>
    <t>911223-4</t>
  </si>
  <si>
    <t>265894-2</t>
  </si>
  <si>
    <t>911113-1</t>
  </si>
  <si>
    <t>251246-3</t>
  </si>
  <si>
    <t>182229-1</t>
  </si>
  <si>
    <t>181118-7</t>
  </si>
  <si>
    <t>911213-7</t>
  </si>
  <si>
    <t>231936-4</t>
  </si>
  <si>
    <t>221687-7</t>
  </si>
  <si>
    <t>221712-4</t>
  </si>
  <si>
    <t>226465-0</t>
  </si>
  <si>
    <t>226415-5</t>
  </si>
  <si>
    <t>221669-9</t>
  </si>
  <si>
    <t>226495-1</t>
  </si>
  <si>
    <t>226553-3</t>
  </si>
  <si>
    <t>221159-2</t>
  </si>
  <si>
    <t>227438-6</t>
  </si>
  <si>
    <t>227440-9</t>
  </si>
  <si>
    <t>516888-3</t>
  </si>
  <si>
    <t>626134-7</t>
  </si>
  <si>
    <t>210025-8</t>
  </si>
  <si>
    <t>692021-2</t>
  </si>
  <si>
    <t>211016-2</t>
  </si>
  <si>
    <t>125366-8</t>
  </si>
  <si>
    <t>125348-0</t>
  </si>
  <si>
    <t>341381-6</t>
  </si>
  <si>
    <t>411650-0</t>
  </si>
  <si>
    <t>213620-3</t>
  </si>
  <si>
    <t>123191-1</t>
  </si>
  <si>
    <t>181137-3</t>
  </si>
  <si>
    <t>515859-7</t>
  </si>
  <si>
    <t>515794-9</t>
  </si>
  <si>
    <t>631693-8</t>
  </si>
  <si>
    <t>140426-5</t>
  </si>
  <si>
    <t>451907-7</t>
  </si>
  <si>
    <t>631784-5</t>
  </si>
  <si>
    <t>692527-0</t>
  </si>
  <si>
    <t>692434-7</t>
  </si>
  <si>
    <t>183767-6</t>
  </si>
  <si>
    <t>650672-7</t>
  </si>
  <si>
    <t>763808-0</t>
  </si>
  <si>
    <t>763809-8</t>
  </si>
  <si>
    <t>183768-4</t>
  </si>
  <si>
    <t>226656-3</t>
  </si>
  <si>
    <t>231266-3</t>
  </si>
  <si>
    <t>651478-6</t>
  </si>
  <si>
    <t>516739-0</t>
  </si>
  <si>
    <t>515354-7</t>
  </si>
  <si>
    <t>522166-1</t>
  </si>
  <si>
    <t>525834-5</t>
  </si>
  <si>
    <t>629B59-6</t>
  </si>
  <si>
    <t>639096-0</t>
  </si>
  <si>
    <t>633658-6</t>
  </si>
  <si>
    <t>651204-3</t>
  </si>
  <si>
    <t>651986-7</t>
  </si>
  <si>
    <t>650751-1</t>
  </si>
  <si>
    <t>638883-4</t>
  </si>
  <si>
    <t>651423-1</t>
  </si>
  <si>
    <t>650659-9</t>
  </si>
  <si>
    <t>143416-7</t>
  </si>
  <si>
    <t>632J82-0</t>
  </si>
  <si>
    <t>650775-7</t>
  </si>
  <si>
    <t>651434-6</t>
  </si>
  <si>
    <t>650224-4</t>
  </si>
  <si>
    <t>650781-2</t>
  </si>
  <si>
    <t>265008-3</t>
  </si>
  <si>
    <t>629195-6</t>
  </si>
  <si>
    <t>629211-4</t>
  </si>
  <si>
    <t>257932-4</t>
  </si>
  <si>
    <t>266029-8</t>
  </si>
  <si>
    <t>266340-8</t>
  </si>
  <si>
    <t>318304-9</t>
  </si>
  <si>
    <t>233343-7</t>
  </si>
  <si>
    <t>632K41-0</t>
  </si>
  <si>
    <t>763637-1</t>
  </si>
  <si>
    <t>412073-5</t>
  </si>
  <si>
    <t>416001-2</t>
  </si>
  <si>
    <t>413024-1</t>
  </si>
  <si>
    <t>227496-2</t>
  </si>
  <si>
    <t>419875-0</t>
  </si>
  <si>
    <t>252649-4</t>
  </si>
  <si>
    <t>312998-2</t>
  </si>
  <si>
    <t>326072-0</t>
  </si>
  <si>
    <t>195760-8</t>
  </si>
  <si>
    <t>232220-0</t>
  </si>
  <si>
    <t>620522-0</t>
  </si>
  <si>
    <t>213394-6</t>
  </si>
  <si>
    <t>450895-5</t>
  </si>
  <si>
    <t>141786-8</t>
  </si>
  <si>
    <t>262148-8</t>
  </si>
  <si>
    <t>262149-6</t>
  </si>
  <si>
    <t>451110-0</t>
  </si>
  <si>
    <t>234107-2</t>
  </si>
  <si>
    <t>257297-4</t>
  </si>
  <si>
    <t>158985-5</t>
  </si>
  <si>
    <t>213176-6</t>
  </si>
  <si>
    <t>443147-1</t>
  </si>
  <si>
    <t>150662-5</t>
  </si>
  <si>
    <t>453125-3</t>
  </si>
  <si>
    <t>241910-4</t>
  </si>
  <si>
    <t>213958-6</t>
  </si>
  <si>
    <t>632R82-8</t>
  </si>
  <si>
    <t>326891-4</t>
  </si>
  <si>
    <t>219029-7</t>
  </si>
  <si>
    <t>456129-4</t>
  </si>
  <si>
    <t>268101-2</t>
  </si>
  <si>
    <t>282015-1</t>
  </si>
  <si>
    <t>620E45-8</t>
  </si>
  <si>
    <t>TG00000004</t>
  </si>
  <si>
    <t>419057-4</t>
  </si>
  <si>
    <t>286287-0</t>
  </si>
  <si>
    <t>456135-9</t>
  </si>
  <si>
    <t>451432-8</t>
  </si>
  <si>
    <t>233430-2</t>
  </si>
  <si>
    <t>257960-9</t>
  </si>
  <si>
    <t>424261-2</t>
  </si>
  <si>
    <t>187869-0</t>
  </si>
  <si>
    <t>262116-1</t>
  </si>
  <si>
    <t>424245-0</t>
  </si>
  <si>
    <t>141993-3</t>
  </si>
  <si>
    <t>451639-6</t>
  </si>
  <si>
    <t>450098-1</t>
  </si>
  <si>
    <t>158231-6</t>
  </si>
  <si>
    <t>631932-6</t>
  </si>
  <si>
    <t>424247-6</t>
  </si>
  <si>
    <t>196688-3</t>
  </si>
  <si>
    <t>123649-0</t>
  </si>
  <si>
    <t>227243-1</t>
  </si>
  <si>
    <t>518614-6</t>
  </si>
  <si>
    <t>515829-6</t>
  </si>
  <si>
    <t>516334-6</t>
  </si>
  <si>
    <t>629815-2</t>
  </si>
  <si>
    <t>629962-9</t>
  </si>
  <si>
    <t>621713-6</t>
  </si>
  <si>
    <t>411478-6</t>
  </si>
  <si>
    <t>650555-1</t>
  </si>
  <si>
    <t>650689-0</t>
  </si>
  <si>
    <t>629834-8</t>
  </si>
  <si>
    <t>517904-4</t>
  </si>
  <si>
    <t>621779-6</t>
  </si>
  <si>
    <t>593644-8</t>
  </si>
  <si>
    <t>593974-7</t>
  </si>
  <si>
    <t>267202-3</t>
  </si>
  <si>
    <t>253428-3</t>
  </si>
  <si>
    <t>267785-3</t>
  </si>
  <si>
    <t>211241-5</t>
  </si>
  <si>
    <t>212225-6</t>
  </si>
  <si>
    <t>346832-4</t>
  </si>
  <si>
    <t>346833-2</t>
  </si>
  <si>
    <t>223170-0</t>
  </si>
  <si>
    <t>233174-4</t>
  </si>
  <si>
    <t>234121-8</t>
  </si>
  <si>
    <t>620033-5</t>
  </si>
  <si>
    <t>687123-7</t>
  </si>
  <si>
    <t>682502-4</t>
  </si>
  <si>
    <t>325660-0</t>
  </si>
  <si>
    <t>213431-6</t>
  </si>
  <si>
    <t>232182-2</t>
  </si>
  <si>
    <t>232286-0</t>
  </si>
  <si>
    <t>213262-3</t>
  </si>
  <si>
    <t>213499-2</t>
  </si>
  <si>
    <t>213510-0</t>
  </si>
  <si>
    <t>224409-4</t>
  </si>
  <si>
    <t>233973-4</t>
  </si>
  <si>
    <t>191H43-2</t>
  </si>
  <si>
    <t>687124-5</t>
  </si>
  <si>
    <t>687001-1</t>
  </si>
  <si>
    <t>651284-9</t>
  </si>
  <si>
    <t>632A24-0</t>
  </si>
  <si>
    <t>140739-4</t>
  </si>
  <si>
    <t>122854-6</t>
  </si>
  <si>
    <t>213980-3</t>
  </si>
  <si>
    <t>318303-1</t>
  </si>
  <si>
    <t>629937-8</t>
  </si>
  <si>
    <t>152463-7</t>
  </si>
  <si>
    <t>251217-0</t>
  </si>
  <si>
    <t>322838-6</t>
  </si>
  <si>
    <t>161310-1</t>
  </si>
  <si>
    <t>424706-0</t>
  </si>
  <si>
    <t>234358-7</t>
  </si>
  <si>
    <t>GM00001714</t>
  </si>
  <si>
    <t>195021-6</t>
  </si>
  <si>
    <t>165089-6</t>
  </si>
  <si>
    <t>316608-3</t>
  </si>
  <si>
    <t>310028-3</t>
  </si>
  <si>
    <t>344137-6</t>
  </si>
  <si>
    <t>141575-1</t>
  </si>
  <si>
    <t>JM23200020</t>
  </si>
  <si>
    <t>323955-5</t>
  </si>
  <si>
    <t>423414-0</t>
  </si>
  <si>
    <t>629340-3</t>
  </si>
  <si>
    <t>324840-5</t>
  </si>
  <si>
    <t>633879-0</t>
  </si>
  <si>
    <t>168370-4</t>
  </si>
  <si>
    <t>JM23100168</t>
  </si>
  <si>
    <t>AL00000238</t>
  </si>
  <si>
    <t>411625-9</t>
  </si>
  <si>
    <t>931102-0</t>
  </si>
  <si>
    <t>181030-1</t>
  </si>
  <si>
    <t>632K99-9</t>
  </si>
  <si>
    <t>911158-9</t>
  </si>
  <si>
    <t>122F80-3</t>
  </si>
  <si>
    <t>B-80341</t>
  </si>
  <si>
    <t>151457-9</t>
  </si>
  <si>
    <t>154951-0</t>
  </si>
  <si>
    <t>225006-9</t>
  </si>
  <si>
    <t>JM27000302</t>
  </si>
  <si>
    <t>650551-9</t>
  </si>
  <si>
    <t>253171-4</t>
  </si>
  <si>
    <t>454821-6</t>
  </si>
  <si>
    <t>643713-6</t>
  </si>
  <si>
    <t>324668-1</t>
  </si>
  <si>
    <t>325794-9</t>
  </si>
  <si>
    <t>331775-3</t>
  </si>
  <si>
    <t>424907-0</t>
  </si>
  <si>
    <t>457062-3</t>
  </si>
  <si>
    <t>594644-1</t>
  </si>
  <si>
    <t>620K14-5</t>
  </si>
  <si>
    <t>JM27100055</t>
  </si>
  <si>
    <t>JM27100148</t>
  </si>
  <si>
    <t>513469-4</t>
  </si>
  <si>
    <t>594559-2</t>
  </si>
  <si>
    <t>TP00000113</t>
  </si>
  <si>
    <t>285818-2</t>
  </si>
  <si>
    <t>210314-1</t>
  </si>
  <si>
    <t>122A41-3</t>
  </si>
  <si>
    <t>266605-8</t>
  </si>
  <si>
    <t>213754-2</t>
  </si>
  <si>
    <t>682560-0</t>
  </si>
  <si>
    <t>213464-1</t>
  </si>
  <si>
    <t>922243-3</t>
  </si>
  <si>
    <t>254203-0</t>
  </si>
  <si>
    <t>TG00000063</t>
  </si>
  <si>
    <t>251468-5</t>
  </si>
  <si>
    <t>651066-9</t>
  </si>
  <si>
    <t>141D78-9</t>
  </si>
  <si>
    <t>451380-1</t>
  </si>
  <si>
    <t>136091-6</t>
  </si>
  <si>
    <t>346894-2</t>
  </si>
  <si>
    <t>419627-9</t>
  </si>
  <si>
    <t>153254-9</t>
  </si>
  <si>
    <t>122536-0</t>
  </si>
  <si>
    <t>231809-1</t>
  </si>
  <si>
    <t>620A74-7</t>
  </si>
  <si>
    <t>265651-8</t>
  </si>
  <si>
    <t>326803-7</t>
  </si>
  <si>
    <t>158393-0</t>
  </si>
  <si>
    <t>310257-8</t>
  </si>
  <si>
    <t>256206-0</t>
  </si>
  <si>
    <t>419135-0</t>
  </si>
  <si>
    <t>682559-5</t>
  </si>
  <si>
    <t>682566-8</t>
  </si>
  <si>
    <t>682573-1</t>
  </si>
  <si>
    <t>140751-4</t>
  </si>
  <si>
    <t>JM00000150</t>
  </si>
  <si>
    <t>327515-5</t>
  </si>
  <si>
    <t>327516-3</t>
  </si>
  <si>
    <t>140735-2</t>
  </si>
  <si>
    <t>183B63-4</t>
  </si>
  <si>
    <t>450809-4</t>
  </si>
  <si>
    <t>638237-5</t>
  </si>
  <si>
    <t>141165-0</t>
  </si>
  <si>
    <t>266920-0</t>
  </si>
  <si>
    <t>325659-5</t>
  </si>
  <si>
    <t>456044-2</t>
  </si>
  <si>
    <t>456967-4</t>
  </si>
  <si>
    <t>HY00000008</t>
  </si>
  <si>
    <t>142291-8</t>
  </si>
  <si>
    <t>265135-6</t>
  </si>
  <si>
    <t>911185-6</t>
  </si>
  <si>
    <t>911268-2</t>
  </si>
  <si>
    <t>266044-2</t>
  </si>
  <si>
    <t>266045-0</t>
  </si>
  <si>
    <t>326850-8</t>
  </si>
  <si>
    <t>682503-2</t>
  </si>
  <si>
    <t>158289-5</t>
  </si>
  <si>
    <t>620C64-2</t>
  </si>
  <si>
    <t>629A98-0</t>
  </si>
  <si>
    <t>413405-9</t>
  </si>
  <si>
    <t>213283-5</t>
  </si>
  <si>
    <t>619613-2</t>
  </si>
  <si>
    <t>682549-8</t>
  </si>
  <si>
    <t>226423-6</t>
  </si>
  <si>
    <t>620E81-4</t>
  </si>
  <si>
    <t>620F12-9</t>
  </si>
  <si>
    <t>125310-5</t>
  </si>
  <si>
    <t>325747-8</t>
  </si>
  <si>
    <t>346114-4</t>
  </si>
  <si>
    <t>346115-2</t>
  </si>
  <si>
    <t>316795-8</t>
  </si>
  <si>
    <t>233537-4</t>
  </si>
  <si>
    <t>321497-3</t>
  </si>
  <si>
    <t>183J39-9</t>
  </si>
  <si>
    <t>211375-4</t>
  </si>
  <si>
    <t>136012-8</t>
  </si>
  <si>
    <t>265367-5</t>
  </si>
  <si>
    <t>266304-2</t>
  </si>
  <si>
    <t>265903-7</t>
  </si>
  <si>
    <t>421034-4</t>
  </si>
  <si>
    <t>629298-6</t>
  </si>
  <si>
    <t>183B61-8</t>
  </si>
  <si>
    <t>188277-8</t>
  </si>
  <si>
    <t>510510-4</t>
  </si>
  <si>
    <t>510587-9</t>
  </si>
  <si>
    <t>313140-8</t>
  </si>
  <si>
    <t>JM27000321</t>
  </si>
  <si>
    <t>JM27000323</t>
  </si>
  <si>
    <t>516453-8</t>
  </si>
  <si>
    <t>634408-2</t>
  </si>
  <si>
    <t>651051-2</t>
  </si>
  <si>
    <t>183940-8</t>
  </si>
  <si>
    <t>318179-6</t>
  </si>
  <si>
    <t>620524-6</t>
  </si>
  <si>
    <t>346924-9</t>
  </si>
  <si>
    <t>143333-1</t>
  </si>
  <si>
    <t>143337-3</t>
  </si>
  <si>
    <t>241851-4</t>
  </si>
  <si>
    <t>629189-1</t>
  </si>
  <si>
    <t>454022-6</t>
  </si>
  <si>
    <t>122704-5</t>
  </si>
  <si>
    <t>158959-6</t>
  </si>
  <si>
    <t>231975-4</t>
  </si>
  <si>
    <t>451037-4</t>
  </si>
  <si>
    <t>453866-1</t>
  </si>
  <si>
    <t>326768-3</t>
  </si>
  <si>
    <t>164195-4</t>
  </si>
  <si>
    <t>633984-3</t>
  </si>
  <si>
    <t>619678-4</t>
  </si>
  <si>
    <t>AL00000099</t>
  </si>
  <si>
    <t>DHR183Z</t>
  </si>
  <si>
    <t>UH014GZ</t>
  </si>
  <si>
    <t>US053DZ</t>
  </si>
  <si>
    <t>VC009GZ</t>
  </si>
  <si>
    <t>LM002JM101</t>
  </si>
  <si>
    <t>DUC254Z</t>
  </si>
  <si>
    <t>HP333DZ</t>
  </si>
  <si>
    <t>UR008GZ01</t>
  </si>
  <si>
    <t>DHW080ZK</t>
  </si>
  <si>
    <t>198182-1</t>
  </si>
  <si>
    <t>HP002GZ</t>
  </si>
  <si>
    <t>HR2670X5</t>
  </si>
  <si>
    <t>HS300DZ</t>
  </si>
  <si>
    <t>HS013GZ</t>
  </si>
  <si>
    <t>DGA408RTJ1</t>
  </si>
  <si>
    <t>UH201DZ</t>
  </si>
  <si>
    <t>UH353DZ</t>
  </si>
  <si>
    <t>UM600DWA</t>
  </si>
  <si>
    <t>LM001JM101</t>
  </si>
  <si>
    <t>DVF104Z</t>
  </si>
  <si>
    <t>DUB187Z</t>
  </si>
  <si>
    <t>198119-8</t>
  </si>
  <si>
    <t>TD090DWE</t>
  </si>
  <si>
    <t>DTW300Z</t>
  </si>
  <si>
    <t>TW007GZ</t>
  </si>
  <si>
    <t>DJV182RTE</t>
  </si>
  <si>
    <t>DTM52Z</t>
  </si>
  <si>
    <t>LM004GZ</t>
  </si>
  <si>
    <t>164095-8</t>
  </si>
  <si>
    <t>JM27110005</t>
  </si>
  <si>
    <t>191H08-4</t>
  </si>
  <si>
    <t>A-31099</t>
  </si>
  <si>
    <t>A-81418</t>
  </si>
  <si>
    <t>B-17142</t>
  </si>
  <si>
    <t>D-07026</t>
  </si>
  <si>
    <t>510241-5</t>
  </si>
  <si>
    <t>153664-0</t>
  </si>
  <si>
    <t>643650-4</t>
  </si>
  <si>
    <t>620734-5</t>
  </si>
  <si>
    <t>629900-1</t>
  </si>
  <si>
    <t>342290-2</t>
  </si>
  <si>
    <t>3640540</t>
  </si>
  <si>
    <t>324376-4</t>
  </si>
  <si>
    <t>191A57-9</t>
  </si>
  <si>
    <t>1913U9-9</t>
  </si>
  <si>
    <t>DRV250Z</t>
  </si>
  <si>
    <t>JM23100047</t>
  </si>
  <si>
    <t>TOTAL</t>
  </si>
  <si>
    <t>JM27100077</t>
  </si>
  <si>
    <t>A-59601</t>
  </si>
  <si>
    <t>516919-8</t>
  </si>
  <si>
    <t>513914-9</t>
  </si>
  <si>
    <t>515544-2</t>
  </si>
  <si>
    <t>634749-6</t>
  </si>
  <si>
    <t>419918-8</t>
  </si>
  <si>
    <t>632R65-8</t>
  </si>
  <si>
    <t>321958-3</t>
  </si>
  <si>
    <t>459174-8</t>
  </si>
  <si>
    <t>459175-6</t>
  </si>
  <si>
    <t>644813-5</t>
  </si>
  <si>
    <t>PR00000002</t>
  </si>
  <si>
    <t>620K80-2</t>
  </si>
  <si>
    <t>AC ALUMINUM GROOVE CUTTER 118MM</t>
  </si>
  <si>
    <t>DC IMPACT DRIVER 18V BL 140NM</t>
  </si>
  <si>
    <t>DC MULTI TOOL 18V</t>
  </si>
  <si>
    <t>DC PLUNGE CUT SAW 40V BL AWS 165MM</t>
  </si>
  <si>
    <t>DC BLOWER 12V</t>
  </si>
  <si>
    <t>MULTI TOOL STARLOCK FLOOR SET</t>
  </si>
  <si>
    <t>HSS-CO METAL DRILL BIT 4.5X80MM (5PCS)</t>
  </si>
  <si>
    <t>HAMMER CASE COMPLETE FOR TD111D</t>
  </si>
  <si>
    <t>HAMMER CASE COMPLETE FOR TD155D</t>
  </si>
  <si>
    <t>SPROCKET COVER COMPLETE</t>
  </si>
  <si>
    <t>POLY V-BELT 4-241 FOR MT190</t>
  </si>
  <si>
    <t>SPIRAL BEVEL GEAR 37 FOR UC3051A</t>
  </si>
  <si>
    <t>SLEEVE 6 FOR 5008MG</t>
  </si>
  <si>
    <t>NYLON WASHER 20 FOR TD090</t>
  </si>
  <si>
    <t>SPONGE SLEEVE 9 FOR BO3700</t>
  </si>
  <si>
    <t>BASE FOR MT923</t>
  </si>
  <si>
    <t>FAN GUIDE FOR MT923</t>
  </si>
  <si>
    <t>PUMP DRIVE FOR EA3200S</t>
  </si>
  <si>
    <t>ARMATURE FOR HS7600</t>
  </si>
  <si>
    <t>ARMATURE 240V FOR GV6010</t>
  </si>
  <si>
    <t>SWITCH (LOCK ON) FOR GA6010</t>
  </si>
  <si>
    <t>SWITCH FOR N3701</t>
  </si>
  <si>
    <t>PAN HEAD SCREW M4X10 FOR 4304</t>
  </si>
  <si>
    <t>T.C.T SAW BLADE 260X25.4X100T ALUM</t>
  </si>
  <si>
    <t>T.C.T SAW BLADE 185X20X60T ALUM EFFICUT</t>
  </si>
  <si>
    <t>B-67505</t>
  </si>
  <si>
    <t>D-16689</t>
  </si>
  <si>
    <t>144058-0</t>
  </si>
  <si>
    <t>144132-4</t>
  </si>
  <si>
    <t>154869-5</t>
  </si>
  <si>
    <t>225092-0</t>
  </si>
  <si>
    <t>227627-3</t>
  </si>
  <si>
    <t>257759-2</t>
  </si>
  <si>
    <t>261140-1</t>
  </si>
  <si>
    <t>424056-3</t>
  </si>
  <si>
    <t>451929-7</t>
  </si>
  <si>
    <t>451930-2</t>
  </si>
  <si>
    <t>452035-1</t>
  </si>
  <si>
    <t>513909-2</t>
  </si>
  <si>
    <t>515314-9</t>
  </si>
  <si>
    <t>651193-2</t>
  </si>
  <si>
    <t>651433-8</t>
  </si>
  <si>
    <t>911111-5</t>
  </si>
  <si>
    <t>D-03414</t>
  </si>
  <si>
    <t>E-16841</t>
  </si>
  <si>
    <t>CA5000X</t>
  </si>
  <si>
    <t>DTD157Z</t>
  </si>
  <si>
    <t>DTM51Z</t>
  </si>
  <si>
    <t>SP001GZ</t>
  </si>
  <si>
    <t>UB100DZ</t>
  </si>
  <si>
    <t>AC32</t>
  </si>
  <si>
    <t>CAA18</t>
  </si>
  <si>
    <t>HM03</t>
  </si>
  <si>
    <t>G15</t>
  </si>
  <si>
    <t>MAKITA ARMATURE ASS'Y 5800NB 512584-1</t>
  </si>
  <si>
    <t>MAKITA SWITCH DUB182 TP00000209</t>
  </si>
  <si>
    <t>MAKITA SWITCH M6600 650714-7</t>
  </si>
  <si>
    <t>MAKITA GUIDE WASHER HR3011 347944-6</t>
  </si>
  <si>
    <t>MAKITA GEAR ASSEMBLY HP347DWE 126001-1</t>
  </si>
  <si>
    <t>MAKITA LEVER M9201 324873-0</t>
  </si>
  <si>
    <t>MAKITA CENTER COVER LS1013 345226-0</t>
  </si>
  <si>
    <t>MAKITA OUTERSHAFT ASSY MLT100 JM27000322</t>
  </si>
  <si>
    <t>MAKITA CRANK PLATE DJV182 345237-5</t>
  </si>
  <si>
    <t>MAKITA CYLINDER 28.5 HR4002 326221-9</t>
  </si>
  <si>
    <t>MAKITA SEAL RING C HM1306 424053-9</t>
  </si>
  <si>
    <t>MAKITA CRANK HOUSING CPL HR4001 154625-3</t>
  </si>
  <si>
    <t>MAKITA CONTROLLER FOR TM3000C 620149-6</t>
  </si>
  <si>
    <t>MAKITA BUMPER TD110D 424737-9</t>
  </si>
  <si>
    <t>MAKITA SPINDLE N5900B 325226-6</t>
  </si>
  <si>
    <t>MAKITA CHIP COVER 1902 416523-2</t>
  </si>
  <si>
    <t>MAKITA CRANK SHAFT SET EA3201 197539-3</t>
  </si>
  <si>
    <t>MAKITA SPROCKET COVER UC4041A 142281-1</t>
  </si>
  <si>
    <t>MAKITA COVER UC4041A 454728-6</t>
  </si>
  <si>
    <t>MAKITA ARMATURE ASS'Y 220-240V 515528-0</t>
  </si>
  <si>
    <t>MAKITA FLAT WASHER 14 267101-9</t>
  </si>
  <si>
    <t>MAKITA SPROCKET COVER COMPLETE 142342-7</t>
  </si>
  <si>
    <t>MAKITA PCB TE00000336</t>
  </si>
  <si>
    <t>MAKITA DC MOTOR ASSEMBLY TE00000340</t>
  </si>
  <si>
    <t>MAKITA DIGITAL DISPLAY TE00000629</t>
  </si>
  <si>
    <t>MAKITA PUMP ASSY FOR HW151 1349285</t>
  </si>
  <si>
    <t>MAKITA COMPRESSION SPRING 7 233127-3</t>
  </si>
  <si>
    <t>MAKITA PIN 4 FOR 9526B 256437-1</t>
  </si>
  <si>
    <t>MAKITA ROTOR ASS'Y FOR DJR188 519457-9</t>
  </si>
  <si>
    <t>MAKITA STATOR FOR DJR188 629292-8</t>
  </si>
  <si>
    <t>MAKITA SUPPORT ARM COMPLETE  JM23100330</t>
  </si>
  <si>
    <t>MAKITA VENT VALVE 957114011</t>
  </si>
  <si>
    <t>MAKITA DC SCREW DRIVER 18V BL DFS251RTE</t>
  </si>
  <si>
    <t>MAKITA AC HAMMER DRILL 16MM M0801BX1</t>
  </si>
  <si>
    <t>MAKITA GUIDE BAR CHAIN COVER 419242-9</t>
  </si>
  <si>
    <t>MAKITA WASHER 16 346834-0</t>
  </si>
  <si>
    <t>MAKITA  HEX.NUT M8-13 252043-0 5016B</t>
  </si>
  <si>
    <t>MAKITA WORM GEAR 221427-3</t>
  </si>
  <si>
    <t>MAKITA LEVER 100 LS1212 416006-2</t>
  </si>
  <si>
    <t>MAKITA SWITCH KNOB FOR MT953 418016-5</t>
  </si>
  <si>
    <t>MAKITA HEX.SOCKET H.BOLT GV6000 265812-0</t>
  </si>
  <si>
    <t>MAKITA SPONGE SEAL 421959-2 / UC3530A</t>
  </si>
  <si>
    <t>MAKITA HOLDER PIN 4 256510-7 / GA4030</t>
  </si>
  <si>
    <t>MAKITA PAD CPL 158595-8</t>
  </si>
  <si>
    <t>MAKITA CAPACITOR AL00000095</t>
  </si>
  <si>
    <t>MAKITA RING 17 327269-4</t>
  </si>
  <si>
    <t>DFS251RTE</t>
  </si>
  <si>
    <t>M0801BX1</t>
  </si>
  <si>
    <t>419242-9</t>
  </si>
  <si>
    <t>346834-0</t>
  </si>
  <si>
    <t>252043-0</t>
  </si>
  <si>
    <t>221427-3</t>
  </si>
  <si>
    <t>416006-2</t>
  </si>
  <si>
    <t>418016-5</t>
  </si>
  <si>
    <t>265812-0</t>
  </si>
  <si>
    <t>421959-2</t>
  </si>
  <si>
    <t>256510-7</t>
  </si>
  <si>
    <t>158595-8</t>
  </si>
  <si>
    <t>AL00000095</t>
  </si>
  <si>
    <t>327269-4</t>
  </si>
  <si>
    <t>512584-1</t>
  </si>
  <si>
    <t>TP00000209</t>
  </si>
  <si>
    <t>650714-7</t>
  </si>
  <si>
    <t>347944-6</t>
  </si>
  <si>
    <t>126001-1</t>
  </si>
  <si>
    <t>324873-0</t>
  </si>
  <si>
    <t>345226-0</t>
  </si>
  <si>
    <t>JM27000322</t>
  </si>
  <si>
    <t>345237-5</t>
  </si>
  <si>
    <t>326221-9</t>
  </si>
  <si>
    <t>424053-9</t>
  </si>
  <si>
    <t>154625-3</t>
  </si>
  <si>
    <t>620149-6</t>
  </si>
  <si>
    <t>424737-9</t>
  </si>
  <si>
    <t>325226-6</t>
  </si>
  <si>
    <t>416523-2</t>
  </si>
  <si>
    <t>197539-3</t>
  </si>
  <si>
    <t>142281-1</t>
  </si>
  <si>
    <t>454728-6</t>
  </si>
  <si>
    <t>515528-0</t>
  </si>
  <si>
    <t>267101-9</t>
  </si>
  <si>
    <t>142342-7</t>
  </si>
  <si>
    <t>TE00000336</t>
  </si>
  <si>
    <t>TE00000340</t>
  </si>
  <si>
    <t>TE00000629</t>
  </si>
  <si>
    <t>233127-3</t>
  </si>
  <si>
    <t>256437-1</t>
  </si>
  <si>
    <t>519457-9</t>
  </si>
  <si>
    <t>629292-8</t>
  </si>
  <si>
    <t>JM23100330</t>
  </si>
  <si>
    <t>SR</t>
  </si>
  <si>
    <t>HM</t>
  </si>
  <si>
    <t>MAKITA ARMATURE 510009-9 (5103N,5201N)</t>
  </si>
  <si>
    <t>MAKITA DC SANDER POLISHER 75MM DPV300Z</t>
  </si>
  <si>
    <t>MAKITA DC ORBIT SANDER125MM BO001CGZ</t>
  </si>
  <si>
    <t>MAKITA DC ORBIT SANDER 40V BO006CGZ</t>
  </si>
  <si>
    <t>MAKITA DC CRIMPER 18V DTC301ZK</t>
  </si>
  <si>
    <t>MAKITA DC HEDGE TRIMMER 500MM UH020GZ</t>
  </si>
  <si>
    <t>MAKITA DC POLE HEDGE TRIMMER UN001GZ</t>
  </si>
  <si>
    <t>MAKITA DC HOLE PUNCHER PP001GZK</t>
  </si>
  <si>
    <t>MAKITA DC GRASS TRIMMER 18V DUR181Z</t>
  </si>
  <si>
    <t>MAKITA DC HEDGE TRIMMER 12V UN460WDZ</t>
  </si>
  <si>
    <t>MAKITA DC POLE SAW 40V UA001GM102</t>
  </si>
  <si>
    <t>MAKITA DC CLEANER 40V BL CL004GZ</t>
  </si>
  <si>
    <t>MAKITA DC BLOWER 40V UB002GZ</t>
  </si>
  <si>
    <t>MAKITA DC VACUUM CLEANER VC014GLZ</t>
  </si>
  <si>
    <t>MAKITA DC LAWN MOWER 64V LM004JZ</t>
  </si>
  <si>
    <t>MAKITA DC LAWN MOWER 40V 380MM LM003GZ</t>
  </si>
  <si>
    <t>MAKITA DC MULTI TOOL TM001GZ01</t>
  </si>
  <si>
    <t>MAKITA DC KETTLE 40V 0.8L KT001GZ</t>
  </si>
  <si>
    <t>MAKITA DC JOB SITE RADIO MR006G</t>
  </si>
  <si>
    <t>MAKITA DC STAPLER 18V DST221Z</t>
  </si>
  <si>
    <t>MAKITA DC FAN 40V 235MM CF001GZ</t>
  </si>
  <si>
    <t>MAKITA STARLOCK CUT SAW 32 TC/HM B-64951</t>
  </si>
  <si>
    <t>MAKITA SDS-PLUS NEMES II 16X315 E-14766</t>
  </si>
  <si>
    <t>MAKITA SCALING CHISEL 50X400MM D-34241</t>
  </si>
  <si>
    <t>MAKITA BATTERY BL4080F LI-ION 191X65-8</t>
  </si>
  <si>
    <t>MAKITA ANGLE HEDGE TRIMMER ATT  196341-1</t>
  </si>
  <si>
    <t>MAKITA GUIDE BAR 4" 1910W0-3</t>
  </si>
  <si>
    <t>MAKITA GUIDE BAR 6 (80TXL) 1912F1-4</t>
  </si>
  <si>
    <t>MAKITA WRENCH 22 FOR 3620 781011-1</t>
  </si>
  <si>
    <t>MAKITA WRENCH 13 FOR PM001G 781039-9</t>
  </si>
  <si>
    <t>MAKITA DC LED WORKLIGHT 18V DML813</t>
  </si>
  <si>
    <t>MAKITA DC LED WORKLIGHT 12V ML107</t>
  </si>
  <si>
    <t>MAKITA ANGLE GRINDER GA9020</t>
  </si>
  <si>
    <t>MAKITA ANGLE CUTTER 4114S     14"</t>
  </si>
  <si>
    <t>MAKITA SAW CHAIN 14" 531492652 (UC3500)</t>
  </si>
  <si>
    <t>MAKTEC SWITCH 650545-4 MT240</t>
  </si>
  <si>
    <t>GA9020</t>
  </si>
  <si>
    <t>4114S</t>
  </si>
  <si>
    <t>650545-4</t>
  </si>
  <si>
    <t>UC012GZ</t>
  </si>
  <si>
    <t>MAKITA DC CHAIN SAW 40V 16" UC012GZ</t>
  </si>
  <si>
    <t>DHG181ZK</t>
  </si>
  <si>
    <t xml:space="preserve">MAKITA DC HEAT GUN 18V DHG181ZK         </t>
  </si>
  <si>
    <t>UH006GZ</t>
  </si>
  <si>
    <t>MAKITA DC HEDGETRIMMER 40V 650MM UH006GZ</t>
  </si>
  <si>
    <t>DPV300Z</t>
  </si>
  <si>
    <t>UC015GT101</t>
  </si>
  <si>
    <t>MAKITA DC CHAIN SAW 40V  UC015GT101</t>
  </si>
  <si>
    <t>DHS661Z</t>
  </si>
  <si>
    <t>MAKITA DC CIRCULAR SAW 165MM DHS661Z</t>
  </si>
  <si>
    <t>DDF482RTE</t>
  </si>
  <si>
    <t>MAKITA DC DRIVER DRILL DDF482RTE 18V</t>
  </si>
  <si>
    <t>DCG180ZB</t>
  </si>
  <si>
    <t>MAKITA C-LESS CAULKING GUN DCG180ZB 18V</t>
  </si>
  <si>
    <t>DF002GZ</t>
  </si>
  <si>
    <t>MAKITA DC DRIVER DRILL BL 40V DF002GZ</t>
  </si>
  <si>
    <t>BO001CGZ</t>
  </si>
  <si>
    <t>DTC301ZK</t>
  </si>
  <si>
    <t>DHP490Z</t>
  </si>
  <si>
    <t>MAKITA DC HAMMER DRIVER DRILL DHP490Z</t>
  </si>
  <si>
    <t>UH020GZ</t>
  </si>
  <si>
    <t>UN001GZ</t>
  </si>
  <si>
    <t>TM001GZ01</t>
  </si>
  <si>
    <t>UB002GZ</t>
  </si>
  <si>
    <t>PP001GZK</t>
  </si>
  <si>
    <t>VC014GLZ</t>
  </si>
  <si>
    <t>DMR108</t>
  </si>
  <si>
    <t>MAKITA DC JOBSITE RADIO 18V/12V DMR108</t>
  </si>
  <si>
    <t>MR002G</t>
  </si>
  <si>
    <t>MAKITA DC JOB SITE RADIO MR002G</t>
  </si>
  <si>
    <t>MR010G</t>
  </si>
  <si>
    <t>MAKITA DC RADIO WITH LANTERN 40V MR010G</t>
  </si>
  <si>
    <t>UC029GZ</t>
  </si>
  <si>
    <t>MAKITA DC PRUNING SAW 40V UC029GZ</t>
  </si>
  <si>
    <t>BO006CGZ</t>
  </si>
  <si>
    <t>DPT353RTE</t>
  </si>
  <si>
    <t>MAKITA PIN NAILER 18V DPT353RTE</t>
  </si>
  <si>
    <t>KT001GZ</t>
  </si>
  <si>
    <t>GA035GZ</t>
  </si>
  <si>
    <t>MAKITA DC ANGLE GRINDER 40V GA035GZ</t>
  </si>
  <si>
    <t>LM004JZ</t>
  </si>
  <si>
    <t>LM003GZ</t>
  </si>
  <si>
    <t>DUR181Z</t>
  </si>
  <si>
    <t>UN460WDZ</t>
  </si>
  <si>
    <t>DFL650FZ</t>
  </si>
  <si>
    <t>MAKITA DC SCREWDRIVER 18V DFL650FZ</t>
  </si>
  <si>
    <t>GA7070X1</t>
  </si>
  <si>
    <t>MAKITA AC ANGLE GRINDER 180MM GA7070X1</t>
  </si>
  <si>
    <t>UA001GM102</t>
  </si>
  <si>
    <t>MR006G</t>
  </si>
  <si>
    <t>CF001GZ</t>
  </si>
  <si>
    <t>196341-1</t>
  </si>
  <si>
    <t>A-24642</t>
  </si>
  <si>
    <t>MAKITADRESSINGSTONE100X16X10 9803A-24642</t>
  </si>
  <si>
    <t>1910W0-3</t>
  </si>
  <si>
    <t>1912F1-4</t>
  </si>
  <si>
    <t>784634-4</t>
  </si>
  <si>
    <t>MAKITA CONNECTIND BIT 784634-4</t>
  </si>
  <si>
    <t>821552-6</t>
  </si>
  <si>
    <t>MAKITA MAKPAC CASE 4  821552-6</t>
  </si>
  <si>
    <t>B-67480</t>
  </si>
  <si>
    <t>MAKITA MULTI TOOL  PLUNGE SET B-67480</t>
  </si>
  <si>
    <t>B-67496</t>
  </si>
  <si>
    <t>MAKITA MULTI TOOL TILE SET B-67496</t>
  </si>
  <si>
    <t>D-70758</t>
  </si>
  <si>
    <t>MAKITA NYLON BEUSH SET - FINE D-70758</t>
  </si>
  <si>
    <t>D-70742</t>
  </si>
  <si>
    <t>MAKITA NYLON BRUSH SET – COARSE D-70742</t>
  </si>
  <si>
    <t>B-62561</t>
  </si>
  <si>
    <t>MAKITA SDS-PLUS 4-CUTTER 6.5X260MM B-625</t>
  </si>
  <si>
    <t>B-62527</t>
  </si>
  <si>
    <t>MAKITA SDS-PLUS 4-CUTTER 6X260 B-62527</t>
  </si>
  <si>
    <t>B-31697</t>
  </si>
  <si>
    <t>MAKITA T.C.T SAW BLADE 7" S.S B-31697</t>
  </si>
  <si>
    <t>B-64951</t>
  </si>
  <si>
    <t>D-07032</t>
  </si>
  <si>
    <t>MAKITA WOOD DRILL BIT D-07032</t>
  </si>
  <si>
    <t>781011-1</t>
  </si>
  <si>
    <t>510009-9</t>
  </si>
  <si>
    <t>511559-7</t>
  </si>
  <si>
    <t>MAKITA ARMATURE ASS'Y 240V 511559-7</t>
  </si>
  <si>
    <t>513449-0</t>
  </si>
  <si>
    <t>MAKITA ARMATURE GA7060 513449-0</t>
  </si>
  <si>
    <t>MAKITA ARMATURE HM1501/1511 515544-2</t>
  </si>
  <si>
    <t>619334-6</t>
  </si>
  <si>
    <t>MAKITA ARMATURE FOR HR163D 619334-6</t>
  </si>
  <si>
    <t>317284-6</t>
  </si>
  <si>
    <t>MAKITA BALANCER FOR BO3700 317284-6</t>
  </si>
  <si>
    <t>317796-9</t>
  </si>
  <si>
    <t>MAKITA BASE FOR 4324 317796-9</t>
  </si>
  <si>
    <t>324711-6</t>
  </si>
  <si>
    <t>MAKITA BIT SLEEVE  324711-6 (TD090D)</t>
  </si>
  <si>
    <t>MAKITA BRUSH HOLDER UNIT 632R65-8</t>
  </si>
  <si>
    <t>417405-1</t>
  </si>
  <si>
    <t>MAKITA CAM 417405-1 UC3530</t>
  </si>
  <si>
    <t>456196-9</t>
  </si>
  <si>
    <t>MAKITA CAPSULE CPL DCL180 456196-9</t>
  </si>
  <si>
    <t>419018-4</t>
  </si>
  <si>
    <t>MAKITA CHANGE PLATE FOR HR4001 419018-4</t>
  </si>
  <si>
    <t>620K37-3</t>
  </si>
  <si>
    <t>MAKITA CONTROLLER B FOR 18V 620K37-3</t>
  </si>
  <si>
    <t>411709-3</t>
  </si>
  <si>
    <t>MAKITA CRANK CAP HM0810 411709-3</t>
  </si>
  <si>
    <t>346925-7</t>
  </si>
  <si>
    <t>MAKITA CYLINDER BASE GASKET 346925-7</t>
  </si>
  <si>
    <t>MAKITA FIELD HM1511/1501 634749-6</t>
  </si>
  <si>
    <t>634774-7</t>
  </si>
  <si>
    <t>MAKITA FIELD FOR 3711 240V 634774-7</t>
  </si>
  <si>
    <t>253055-6</t>
  </si>
  <si>
    <t>MAKITA FLAT WASHER 12 253055-6 / 9500NB</t>
  </si>
  <si>
    <t>143331-5</t>
  </si>
  <si>
    <t>MAKITA FLYWHEEL CPL EA4301F 143331-5</t>
  </si>
  <si>
    <t>122C95-2</t>
  </si>
  <si>
    <t>MAKITA GEAR ASSEMBLY HP333D 122C95-2</t>
  </si>
  <si>
    <t>251644-1</t>
  </si>
  <si>
    <t>MAKITA H.FLANGE HEAD BOLT M8X20 251644-1</t>
  </si>
  <si>
    <t>922316-2</t>
  </si>
  <si>
    <t>MAKITA HEX SCKT HEADBOLT M6X14 922316-2</t>
  </si>
  <si>
    <t>344975-6</t>
  </si>
  <si>
    <t>MAKITA HOLDER CAP PLATE 344975-6</t>
  </si>
  <si>
    <t>681668-7</t>
  </si>
  <si>
    <t xml:space="preserve">MAKITA INSULATION WASHER 681668-7       </t>
  </si>
  <si>
    <t>417993-8</t>
  </si>
  <si>
    <t>MAKITA KERF BOARD 417993-8 / LS0714</t>
  </si>
  <si>
    <t>345464-4</t>
  </si>
  <si>
    <t>MAKITA LABYRINTH RING 345464-4</t>
  </si>
  <si>
    <t>159634-7</t>
  </si>
  <si>
    <t>MAKITA MOTOR HOUSING FOR HM0810 159634-7</t>
  </si>
  <si>
    <t>419731-4</t>
  </si>
  <si>
    <t>MAKITA MOTOR HOUSING HR2470 419731-4</t>
  </si>
  <si>
    <t>213077-8</t>
  </si>
  <si>
    <t>MAKITA OIL SEAL 10 FOR HR2470 213077-8</t>
  </si>
  <si>
    <t>257260-7</t>
  </si>
  <si>
    <t>MAKITA RING 17 FOR HM1305 257260-7</t>
  </si>
  <si>
    <t>233933-6</t>
  </si>
  <si>
    <t>MAKITA RING SPRING 15 233933-6</t>
  </si>
  <si>
    <t>262552-1</t>
  </si>
  <si>
    <t>MAKITA RUBBER SLEEVE 6 262552-1</t>
  </si>
  <si>
    <t>321111-1</t>
  </si>
  <si>
    <t>MAKITA SHIFTER PIN 321111-1</t>
  </si>
  <si>
    <t>151886-6</t>
  </si>
  <si>
    <t>MAKITA SIDE COVER CPL 2012NB 151886-6</t>
  </si>
  <si>
    <t>417040-5</t>
  </si>
  <si>
    <t>MAKITA SIDE COVER 2012NB 417040-5</t>
  </si>
  <si>
    <t>126233-0</t>
  </si>
  <si>
    <t>MAKITA  SPEED CHANGE LIVER  126233-0 DF0</t>
  </si>
  <si>
    <t>651172-0</t>
  </si>
  <si>
    <t>MAKITA SWITCH (WO LOCK) 651172-0</t>
  </si>
  <si>
    <t>650240-6</t>
  </si>
  <si>
    <t>MAKITA SWITCH FA2-4 650240-6</t>
  </si>
  <si>
    <t>651409-5</t>
  </si>
  <si>
    <t>MAKITA SWITCH ST115A-35 651409-5</t>
  </si>
  <si>
    <t>266427-6</t>
  </si>
  <si>
    <t>MAKITA TAPPING SCREW  266427-6  UC4051A</t>
  </si>
  <si>
    <t>266130-9</t>
  </si>
  <si>
    <t>MAKITA TAPPING SCREW 266130-9/ 8414D</t>
  </si>
  <si>
    <t>D-34207</t>
  </si>
  <si>
    <t>MAKITA COLD CHISEL 25X300 D-34207</t>
  </si>
  <si>
    <t>224491-3</t>
  </si>
  <si>
    <t>MAKITA INNER FLANGE 29 224491-3</t>
  </si>
  <si>
    <t>224610-1</t>
  </si>
  <si>
    <t>MAKITA LOCK NUT 10-29 224610-1</t>
  </si>
  <si>
    <t>E-14766</t>
  </si>
  <si>
    <t>781039-9</t>
  </si>
  <si>
    <t>127443-2</t>
  </si>
  <si>
    <t>MAKITA CLUTCH ASSEMBLY 127443-2</t>
  </si>
  <si>
    <t>224490-5</t>
  </si>
  <si>
    <t>MAKITA INNER FLANGE 14-45 224490-5</t>
  </si>
  <si>
    <t>265E16-4</t>
  </si>
  <si>
    <t>MAKITA TAPPING SCREW 4X18 265E16-4</t>
  </si>
  <si>
    <t>DML813</t>
  </si>
  <si>
    <t>ML107</t>
  </si>
  <si>
    <t>191X65-8</t>
  </si>
  <si>
    <t>WA14</t>
  </si>
  <si>
    <t>BG4</t>
  </si>
  <si>
    <t>GP38</t>
  </si>
  <si>
    <t>BE1</t>
  </si>
  <si>
    <t>D13</t>
  </si>
  <si>
    <t>ZD16</t>
  </si>
  <si>
    <t>MAKITA TWIST TORSION PH2-90 3PCS A-59601</t>
  </si>
  <si>
    <t>MAKITA GRIP 273603-5 5016B</t>
  </si>
  <si>
    <t>MAKITA OIL PUMP CPL 038245011</t>
  </si>
  <si>
    <t>MAKITA ARMATURE TW1000 516919-8</t>
  </si>
  <si>
    <t>MAKITA ARMATURE MT660 513914-9</t>
  </si>
  <si>
    <t>MAKITA BASE MT920 419918-8</t>
  </si>
  <si>
    <t>MAKITA PISTON HM0810 321958-3</t>
  </si>
  <si>
    <t>MAKITA CHANGE LEVER HR3001C 459174-8</t>
  </si>
  <si>
    <t>MAKITA LINK LEVER HR3001C 459175-6</t>
  </si>
  <si>
    <t>MAKITA TERMINAL TD110D 644813-5</t>
  </si>
  <si>
    <t>MAKITA HEATING ELEMENT HG5030 PR00000002</t>
  </si>
  <si>
    <t>MAKITA CONTROLLER HR003G 620K80-2</t>
  </si>
  <si>
    <t>MAKITA HOUSING SET CL106FD 183E88-6</t>
  </si>
  <si>
    <t>MAKITA BEARING RETAINER 457122-1</t>
  </si>
  <si>
    <t>273603-5</t>
  </si>
  <si>
    <t>MAKITA DC IMPACT WRENCH 18V BL DTW700RTJ</t>
  </si>
  <si>
    <t>DTW700RTJ</t>
  </si>
  <si>
    <t>MAKITA DC IMPACT WRENCH 40V BL TW004GZ</t>
  </si>
  <si>
    <t>TW004GZ</t>
  </si>
  <si>
    <t>MAKITA DC ANGLE GRINDER 18V BL DGA408Z</t>
  </si>
  <si>
    <t>DGA408Z</t>
  </si>
  <si>
    <t>MAKITA DC CHAIN SAW 18VX2  BL DUC355Z</t>
  </si>
  <si>
    <t>DUC355Z</t>
  </si>
  <si>
    <t>MAKITA SPINDLE 324246-7   9500NB</t>
  </si>
  <si>
    <t>324246-7</t>
  </si>
  <si>
    <t>MAKITA SPROCKET COVR SET 183B54-5 UC4051</t>
  </si>
  <si>
    <t>183B54-5</t>
  </si>
  <si>
    <t>MAKITA SWITCH GA4031 651065-1</t>
  </si>
  <si>
    <t>651065-1</t>
  </si>
  <si>
    <t>MAKITA BASE M4100 165711-5</t>
  </si>
  <si>
    <t>165711-5</t>
  </si>
  <si>
    <t>MAKITA GRIP 36 COMPLETE HR2470 158057-6</t>
  </si>
  <si>
    <t>158057-6</t>
  </si>
  <si>
    <t>MAKITA DRUM 161078-9/161119-1 1911B</t>
  </si>
  <si>
    <t>161119-1</t>
  </si>
  <si>
    <t>MAKITA NEEDLE BEARING 810 212004-2DP4700</t>
  </si>
  <si>
    <t>212004-2</t>
  </si>
  <si>
    <t>MAKITA NEEDLE BEARING 212108-0</t>
  </si>
  <si>
    <t>212108-0</t>
  </si>
  <si>
    <t xml:space="preserve">MAKITA V-PULLEY 4-38  222063-8 (1911B)  </t>
  </si>
  <si>
    <t>222063-8</t>
  </si>
  <si>
    <t>MAKITA BEARING RETAINER 23-36 285809-3</t>
  </si>
  <si>
    <t>285809-3</t>
  </si>
  <si>
    <t>MAKITA BLADE INNER RING JM23100191</t>
  </si>
  <si>
    <t>JM23100191</t>
  </si>
  <si>
    <t>MAKITA GEAR ASSEMBLY HP0300 127355-9</t>
  </si>
  <si>
    <t>127355-9</t>
  </si>
  <si>
    <t>MAKITA ARMATURE ASS'Y 6905B 515134-1</t>
  </si>
  <si>
    <t>515134-1</t>
  </si>
  <si>
    <t>183E88-6</t>
  </si>
  <si>
    <t>457122-1</t>
  </si>
  <si>
    <t>MAKITA ABRASIVE D.PAPER B-21593 GRIT 120</t>
  </si>
  <si>
    <t>B-21593</t>
  </si>
  <si>
    <t>MAKITA SWITCH KNOB   453368-7   (GA4040)</t>
  </si>
  <si>
    <t>453368-7</t>
  </si>
  <si>
    <t>MAKITA GEAR HOUSING COVER CPL 140G46-7</t>
  </si>
  <si>
    <t>140G46-7</t>
  </si>
  <si>
    <t>MAKITA NET SANDING DISC A240 D-78689</t>
  </si>
  <si>
    <t>D-78689</t>
  </si>
  <si>
    <t>MAKITA NET SANDING DISC A180 D-78673</t>
  </si>
  <si>
    <t>D-78673</t>
  </si>
  <si>
    <t>MAKITA NET SANDING DISC A320 D-78695</t>
  </si>
  <si>
    <t>D-78695</t>
  </si>
  <si>
    <t>MAKITA NET SANDING DISC A120 D-78667</t>
  </si>
  <si>
    <t>D-78667</t>
  </si>
  <si>
    <t>MAKITA NET SANDING DISC A80 D-78651</t>
  </si>
  <si>
    <t>D-78651</t>
  </si>
  <si>
    <t>MAKITA NET SANDING DELTA A240 D-78922</t>
  </si>
  <si>
    <t>D-78922</t>
  </si>
  <si>
    <t>MAKITA NET SANDING DELTA A180 D-78916</t>
  </si>
  <si>
    <t>D-78916</t>
  </si>
  <si>
    <t>MAKITA NET SANDING DELTA A320 D-78938</t>
  </si>
  <si>
    <t>D-78938</t>
  </si>
  <si>
    <t>MAKITA NET SANDING DELTA A120 D-78900</t>
  </si>
  <si>
    <t>D-78900</t>
  </si>
  <si>
    <t>MAKITA NET SANDING DELTA A80 D-78891</t>
  </si>
  <si>
    <t>D-78891</t>
  </si>
  <si>
    <t>HR3001CJ</t>
  </si>
  <si>
    <t>HM1511</t>
  </si>
  <si>
    <t>1805N</t>
  </si>
  <si>
    <t>MAKITA HEX.FRANGE HEAD BOLT 265405-3</t>
  </si>
  <si>
    <t>MAKITA PAN HEAD SCREW M5X65 911288-6</t>
  </si>
  <si>
    <t>MAKITA LEAF SPRING 232183-0</t>
  </si>
  <si>
    <t>MAKITA STATOR FOR XGT DC-HR 629454-8</t>
  </si>
  <si>
    <t>MAKITA ROTOR ASSY 619841-9</t>
  </si>
  <si>
    <t>MAKITA RIP FENCE JM23200037 LS1018L</t>
  </si>
  <si>
    <t>MAKITA LEVER 65 FOR 5008MG 272252-5</t>
  </si>
  <si>
    <t>MAKITA MOTOR HOUSING FOR 2030 157116-3</t>
  </si>
  <si>
    <t>MAKITA BRACKET COMPLETE 2030 152233-4</t>
  </si>
  <si>
    <t>MAKITA UP BLADE GUARD B JM23100342</t>
  </si>
  <si>
    <t>MAKITA HOUSING SET FOR DTW300 183P27-2</t>
  </si>
  <si>
    <t>MAKITA SPINDLE FOR 2414B/2414NB 322633-4</t>
  </si>
  <si>
    <t>MAKITA PAN HEAD SCREW M6X80 911948-0</t>
  </si>
  <si>
    <t>MAKITA GASKET 442147-8</t>
  </si>
  <si>
    <t>MAKITA MITER SCALE PLATE347412-9</t>
  </si>
  <si>
    <t>MAKITA DC JIG SAW 18V DJV186Z</t>
  </si>
  <si>
    <t>MAKITA SPIRAL BEVEL GEAR 37 227B90-2</t>
  </si>
  <si>
    <t>MAKITA SWITCH BUTTON FOR MT240 418138-1</t>
  </si>
  <si>
    <t>MAKITA CLUTCH 223167-9</t>
  </si>
  <si>
    <t>MAKITA BLADE HOLDER 155 342504-9</t>
  </si>
  <si>
    <t>MAKITA INSULATION WASHER 681636-0</t>
  </si>
  <si>
    <t>MAKITA ANVIL N ASSEMBLY 136888-3</t>
  </si>
  <si>
    <t>MAKITA FIELD 634293-3 FOR 9227C</t>
  </si>
  <si>
    <t>BI1</t>
  </si>
  <si>
    <t>GN03</t>
  </si>
  <si>
    <t>B13</t>
  </si>
  <si>
    <t>BC5</t>
  </si>
  <si>
    <t>MA228</t>
  </si>
  <si>
    <t>WA19</t>
  </si>
  <si>
    <t>DDF486Z</t>
  </si>
  <si>
    <t>GA7090</t>
  </si>
  <si>
    <t>GA9090</t>
  </si>
  <si>
    <t>HS010GZ</t>
  </si>
  <si>
    <t>TW001GD203</t>
  </si>
  <si>
    <t>DJR186RTE</t>
  </si>
  <si>
    <t>DDG460ZX4</t>
  </si>
  <si>
    <t>DHP490RF</t>
  </si>
  <si>
    <t>DHP490RFX1</t>
  </si>
  <si>
    <t>DPJ180Z</t>
  </si>
  <si>
    <t>DTW1001Z</t>
  </si>
  <si>
    <t>DTW1001JX2</t>
  </si>
  <si>
    <t>HG6030K</t>
  </si>
  <si>
    <t>LD030P</t>
  </si>
  <si>
    <t>763262-8</t>
  </si>
  <si>
    <t>161357-5</t>
  </si>
  <si>
    <t>4130J0-5</t>
  </si>
  <si>
    <t>137222-0</t>
  </si>
  <si>
    <t>141W46-6</t>
  </si>
  <si>
    <t>510613-4</t>
  </si>
  <si>
    <t>634864-6</t>
  </si>
  <si>
    <t>632V64-4</t>
  </si>
  <si>
    <t>137223-8</t>
  </si>
  <si>
    <t>137224-6</t>
  </si>
  <si>
    <t>T-90059</t>
  </si>
  <si>
    <t>T-90021</t>
  </si>
  <si>
    <t>T-90065</t>
  </si>
  <si>
    <t>T-90037</t>
  </si>
  <si>
    <t>T-90043</t>
  </si>
  <si>
    <t>T-90009</t>
  </si>
  <si>
    <t>T-90015</t>
  </si>
  <si>
    <t>DC DRIVER DRILL 18V BL 13MM</t>
  </si>
  <si>
    <t>AC COMBINATION HAMMER 30MM</t>
  </si>
  <si>
    <t>AC ANGLE GRINDER 180MM 2200W</t>
  </si>
  <si>
    <t>AC ANGLE GRINDER 230MM 2200W</t>
  </si>
  <si>
    <t>AC POWER PLANER 155MM</t>
  </si>
  <si>
    <t>DC CIRCULAR SAW 40V BL AWS 235MM</t>
  </si>
  <si>
    <t>DC IMPACT WRENCH 40V BL 1600NM(C/W-SB)</t>
  </si>
  <si>
    <t>DC RECIPRO SAW 18V</t>
  </si>
  <si>
    <t>AC DEMOLITION HAMMER 19KG AVT</t>
  </si>
  <si>
    <t>DC EARTH AUGER 18VX2 BL</t>
  </si>
  <si>
    <t>DC HAMMER DRIVER DRILL 18V BL 13MM</t>
  </si>
  <si>
    <t>DC PLATE JOINER 18V</t>
  </si>
  <si>
    <t>DC IMPACT WRENCH 18V BL 1,050NM</t>
  </si>
  <si>
    <t>DC IMPACT WRENCH 18V BL 1,050NM(C/W-SB)</t>
  </si>
  <si>
    <t>AC HEAT GUN</t>
  </si>
  <si>
    <t>LASER DISTANCE MEASURE</t>
  </si>
  <si>
    <t>KEYLESS DRILL CHUCK S13</t>
  </si>
  <si>
    <t>IGNITION COIL COMPLETE FOR EA4300F</t>
  </si>
  <si>
    <t>CHUCK COVER FOR HR2670</t>
  </si>
  <si>
    <t>GEAR HOUSING ASS'Y FOR HR2670</t>
  </si>
  <si>
    <t>INNER HOUSING FOR HR2670</t>
  </si>
  <si>
    <t>ARMATURE 240V FOR HR2670</t>
  </si>
  <si>
    <t>FIELD 240V FOR HR2670</t>
  </si>
  <si>
    <t>BRUSH HOLDER UNIT FOR HR2670</t>
  </si>
  <si>
    <t>TOOL HOLDER ASS'Y FOR HR2670</t>
  </si>
  <si>
    <t>CAM SHAFT ASS'Y FOR HR2670</t>
  </si>
  <si>
    <t>LOW-PROFILE MEDIUM ORGANIZER (SAMPLE)</t>
  </si>
  <si>
    <t>EX-LARGE EXTENSION TOOLBOX 18.4L SAMPLE</t>
  </si>
  <si>
    <t>DEEP COMPACT ORGANIZER (SAMPLE)</t>
  </si>
  <si>
    <t>MEDIUM TOOL BOX 18.4L (SAMPLE)</t>
  </si>
  <si>
    <t>DEEP MEDIUM ORGANIZER (SAMPLE)</t>
  </si>
  <si>
    <t>ROLLING TOOL CHEST 58.5L (SAMPLE)</t>
  </si>
  <si>
    <t>LARGE TOOL BOX 58.5L (SAMPLE)</t>
  </si>
  <si>
    <t>30(S-1)</t>
  </si>
  <si>
    <t>C21(C22)</t>
  </si>
  <si>
    <t>E4(D4)</t>
  </si>
  <si>
    <t>C1(S-1)</t>
  </si>
  <si>
    <t>G16(S-1)</t>
  </si>
  <si>
    <t>J11(J12)</t>
  </si>
  <si>
    <t>E21(S-1)</t>
  </si>
  <si>
    <t>H1(S-2)</t>
  </si>
  <si>
    <t>B4(S-1)</t>
  </si>
  <si>
    <t>B3(S-2)</t>
  </si>
  <si>
    <t>5(S-2)</t>
  </si>
  <si>
    <t>i15(S-1)</t>
  </si>
  <si>
    <t>C4(S-2)</t>
  </si>
  <si>
    <t>22(A23)</t>
  </si>
  <si>
    <t>G6(S-2)</t>
  </si>
  <si>
    <t>C3(S-2)</t>
  </si>
  <si>
    <t>A1(S-2)</t>
  </si>
  <si>
    <t>J2(S-2)</t>
  </si>
  <si>
    <t>19(S-2)</t>
  </si>
  <si>
    <t>30(S-2)</t>
  </si>
  <si>
    <t>i1(S-1)</t>
  </si>
  <si>
    <t>D3(S-2)</t>
  </si>
  <si>
    <t>C8(S-2)</t>
  </si>
  <si>
    <t>D1(G3)</t>
  </si>
  <si>
    <t>D2(S-1)</t>
  </si>
  <si>
    <t>i5(S-1)</t>
  </si>
  <si>
    <t>WA06</t>
  </si>
  <si>
    <t>H37</t>
  </si>
  <si>
    <t>C37</t>
  </si>
  <si>
    <t>A37</t>
  </si>
  <si>
    <t>G37</t>
  </si>
  <si>
    <t>C36</t>
  </si>
  <si>
    <t>WA03</t>
  </si>
  <si>
    <t>D10(S-2)</t>
  </si>
  <si>
    <t>AA33</t>
  </si>
  <si>
    <t>C10(S-1)</t>
  </si>
  <si>
    <t>i19(20)</t>
  </si>
  <si>
    <t>25(S-2)</t>
  </si>
  <si>
    <t>A22(A23)</t>
  </si>
  <si>
    <t>C6(S-1)</t>
  </si>
  <si>
    <t>B15(B16)</t>
  </si>
  <si>
    <t>WA04</t>
  </si>
  <si>
    <t>WA02</t>
  </si>
  <si>
    <t>WA09</t>
  </si>
  <si>
    <t>65 (3)</t>
  </si>
  <si>
    <t>WA01</t>
  </si>
  <si>
    <t>WA07</t>
  </si>
  <si>
    <t>WA05</t>
  </si>
  <si>
    <t>WA08</t>
  </si>
  <si>
    <t>265405-3</t>
  </si>
  <si>
    <t>911288-6</t>
  </si>
  <si>
    <t>232183-0</t>
  </si>
  <si>
    <t>629454-8</t>
  </si>
  <si>
    <t>619841-9</t>
  </si>
  <si>
    <t>JM23200037</t>
  </si>
  <si>
    <t>272252-5</t>
  </si>
  <si>
    <t>157116-3</t>
  </si>
  <si>
    <t>152233-4</t>
  </si>
  <si>
    <t>JM23100342</t>
  </si>
  <si>
    <t>183P27-2</t>
  </si>
  <si>
    <t>322633-4</t>
  </si>
  <si>
    <t>911948-0</t>
  </si>
  <si>
    <t>442147-8</t>
  </si>
  <si>
    <t>140J53-8</t>
  </si>
  <si>
    <t>347412-9</t>
  </si>
  <si>
    <t>DJV186Z</t>
  </si>
  <si>
    <t>227B90-2</t>
  </si>
  <si>
    <t>418138-1</t>
  </si>
  <si>
    <t>223167-9</t>
  </si>
  <si>
    <t>342504-9</t>
  </si>
  <si>
    <t>681636-0</t>
  </si>
  <si>
    <t>136888-3</t>
  </si>
  <si>
    <t>634293-3</t>
  </si>
  <si>
    <t>6200ZZ</t>
  </si>
  <si>
    <t>6000ZZ</t>
  </si>
  <si>
    <t>AA10</t>
  </si>
  <si>
    <t>AA11</t>
  </si>
  <si>
    <t>AA12</t>
  </si>
  <si>
    <t>AA19</t>
  </si>
  <si>
    <t>AA25</t>
  </si>
  <si>
    <t>AA26</t>
  </si>
  <si>
    <t>AA35</t>
  </si>
  <si>
    <t>AA36</t>
  </si>
  <si>
    <t>AA38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</si>
  <si>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</si>
  <si>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</si>
  <si>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</si>
  <si>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</si>
  <si>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</si>
  <si>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</si>
  <si>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</si>
  <si>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</si>
  <si>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</si>
  <si>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</si>
  <si>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</si>
  <si>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</si>
  <si>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</si>
  <si>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</si>
  <si>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</si>
  <si>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</si>
  <si>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AA55</t>
  </si>
  <si>
    <t>AA56</t>
  </si>
  <si>
    <t>AA57</t>
  </si>
  <si>
    <t>AA58</t>
  </si>
  <si>
    <t>AA59</t>
  </si>
  <si>
    <t>AA60</t>
  </si>
  <si>
    <t>AA61</t>
  </si>
  <si>
    <t>AA62</t>
  </si>
  <si>
    <t>AA63</t>
  </si>
  <si>
    <t>AA64</t>
  </si>
  <si>
    <t>AA65</t>
  </si>
  <si>
    <t>AA66</t>
  </si>
  <si>
    <t>AA67</t>
  </si>
  <si>
    <t>AA68</t>
  </si>
  <si>
    <t>AA69</t>
  </si>
  <si>
    <t>AA70</t>
  </si>
  <si>
    <t>AA71</t>
  </si>
  <si>
    <t>AA72</t>
  </si>
  <si>
    <t>AA73</t>
  </si>
  <si>
    <t>AA74</t>
  </si>
  <si>
    <t>AA75</t>
  </si>
  <si>
    <t>AA76</t>
  </si>
  <si>
    <t>AA77</t>
  </si>
  <si>
    <t>AA78</t>
  </si>
  <si>
    <t>AA79</t>
  </si>
  <si>
    <t>AA80</t>
  </si>
  <si>
    <t>AA81</t>
  </si>
  <si>
    <t>AA82</t>
  </si>
  <si>
    <t>AA83</t>
  </si>
  <si>
    <t>AA84</t>
  </si>
  <si>
    <t>AA85</t>
  </si>
  <si>
    <t>AA86</t>
  </si>
  <si>
    <t>AA87</t>
  </si>
  <si>
    <t>AA88</t>
  </si>
  <si>
    <t>AA89</t>
  </si>
  <si>
    <t>AA90</t>
  </si>
  <si>
    <t>AA91</t>
  </si>
  <si>
    <t>AA92</t>
  </si>
  <si>
    <t>AA93</t>
  </si>
  <si>
    <t>AA94</t>
  </si>
  <si>
    <t>AA95</t>
  </si>
  <si>
    <t>AA96</t>
  </si>
  <si>
    <t>AA97</t>
  </si>
  <si>
    <t>AA99</t>
  </si>
  <si>
    <t>AA100</t>
  </si>
  <si>
    <t>AA101</t>
  </si>
  <si>
    <t>AA102</t>
  </si>
  <si>
    <t>AA103</t>
  </si>
  <si>
    <t>AA104</t>
  </si>
  <si>
    <t>AA106</t>
  </si>
  <si>
    <t>AA107</t>
  </si>
  <si>
    <t>AA108</t>
  </si>
  <si>
    <t>AA109</t>
  </si>
  <si>
    <t>AA110</t>
  </si>
  <si>
    <t>AB10</t>
  </si>
  <si>
    <t>AB11</t>
  </si>
  <si>
    <t>AB17</t>
  </si>
  <si>
    <t>AB35</t>
  </si>
  <si>
    <t>AB36</t>
  </si>
  <si>
    <t>AB37</t>
  </si>
  <si>
    <t>AB38</t>
  </si>
  <si>
    <t>AB39</t>
  </si>
  <si>
    <t>AB40</t>
  </si>
  <si>
    <t>AB42</t>
  </si>
  <si>
    <t>AB43</t>
  </si>
  <si>
    <t>AB44</t>
  </si>
  <si>
    <t>AB45</t>
  </si>
  <si>
    <t>AB46</t>
  </si>
  <si>
    <t>AB47</t>
  </si>
  <si>
    <t>AB48</t>
  </si>
  <si>
    <t>AB49</t>
  </si>
  <si>
    <t>AB50</t>
  </si>
  <si>
    <t>AB51</t>
  </si>
  <si>
    <t>AB52</t>
  </si>
  <si>
    <t>AB53</t>
  </si>
  <si>
    <t>AB54</t>
  </si>
  <si>
    <t>AB55</t>
  </si>
  <si>
    <t>AB56</t>
  </si>
  <si>
    <t>AB57</t>
  </si>
  <si>
    <t>AB58</t>
  </si>
  <si>
    <t>AB59</t>
  </si>
  <si>
    <t>AB60</t>
  </si>
  <si>
    <t>AB61</t>
  </si>
  <si>
    <t>AB62</t>
  </si>
  <si>
    <t>AB63</t>
  </si>
  <si>
    <t>AB64</t>
  </si>
  <si>
    <t>AB65</t>
  </si>
  <si>
    <t>AB66</t>
  </si>
  <si>
    <t>AB67</t>
  </si>
  <si>
    <t>AB68</t>
  </si>
  <si>
    <t>AB69</t>
  </si>
  <si>
    <t>AB70</t>
  </si>
  <si>
    <t>AB71</t>
  </si>
  <si>
    <t>AB72</t>
  </si>
  <si>
    <t>AB73</t>
  </si>
  <si>
    <t>AB74</t>
  </si>
  <si>
    <t>AB75</t>
  </si>
  <si>
    <t>AB76</t>
  </si>
  <si>
    <t>AB77</t>
  </si>
  <si>
    <t>AB78</t>
  </si>
  <si>
    <t>AB79</t>
  </si>
  <si>
    <t>AB80</t>
  </si>
  <si>
    <t>AB81</t>
  </si>
  <si>
    <t>AB82</t>
  </si>
  <si>
    <t>AB83</t>
  </si>
  <si>
    <t>AB84</t>
  </si>
  <si>
    <t>AB85</t>
  </si>
  <si>
    <t>AB86</t>
  </si>
  <si>
    <t>AB87</t>
  </si>
  <si>
    <t>AB88</t>
  </si>
  <si>
    <t>AB90</t>
  </si>
  <si>
    <t>AB91</t>
  </si>
  <si>
    <t>AB92</t>
  </si>
  <si>
    <t>AB93</t>
  </si>
  <si>
    <t>AB94</t>
  </si>
  <si>
    <t>AB95</t>
  </si>
  <si>
    <t>AB96</t>
  </si>
  <si>
    <t>AB97</t>
  </si>
  <si>
    <t>AB98</t>
  </si>
  <si>
    <t>AB99</t>
  </si>
  <si>
    <t>AB100</t>
  </si>
  <si>
    <t>AB101</t>
  </si>
  <si>
    <t>AB102</t>
  </si>
  <si>
    <t>AB103</t>
  </si>
  <si>
    <t>AB104</t>
  </si>
  <si>
    <t>AB105</t>
  </si>
  <si>
    <t>AB106</t>
  </si>
  <si>
    <t>AB107</t>
  </si>
  <si>
    <t>AB108</t>
  </si>
  <si>
    <t>AB109</t>
  </si>
  <si>
    <t>AB110</t>
  </si>
  <si>
    <t>AB111</t>
  </si>
  <si>
    <t>AB112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</si>
  <si>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</si>
  <si>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</si>
  <si>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</si>
  <si>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</si>
  <si>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</si>
  <si>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</si>
  <si>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</si>
  <si>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</si>
  <si>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</si>
  <si>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MAKITA DC PIN NAILER 18V DPT353Z</t>
  </si>
  <si>
    <t>DPT353Z</t>
  </si>
  <si>
    <t>MAKITA DC IMPACT WRENCH 18V DTW700Z</t>
  </si>
  <si>
    <t>DTW700Z</t>
  </si>
  <si>
    <t>MAKITA DC BACKPACK MIST BLOWER PM001GZ01</t>
  </si>
  <si>
    <t>PM001GZ01</t>
  </si>
  <si>
    <t xml:space="preserve">MAKITA DC BELT SANDER 18V 533MM DBS180Z </t>
  </si>
  <si>
    <t>DBS180Z</t>
  </si>
  <si>
    <t>MAKITA DC CIRCULAR SAW 40V 6" HS012GZ</t>
  </si>
  <si>
    <t>MAKITA DC CHAIN SAW 40V 350MM UC022GZ</t>
  </si>
  <si>
    <t>UC022GZ</t>
  </si>
  <si>
    <t>MAKITA DC PRUNING SHEAR 12V UP100DZ</t>
  </si>
  <si>
    <t>UP100DZ</t>
  </si>
  <si>
    <t>MAKITA DC SCARIFIER 40V BL UV001GZ</t>
  </si>
  <si>
    <t>UV001GZ</t>
  </si>
  <si>
    <t xml:space="preserve">MAKITA DC VACUUM CLEANER 40V VC006GMZ03 </t>
  </si>
  <si>
    <t>VC006GMZ03</t>
  </si>
  <si>
    <t>MAKITA DC CHAIN SAW 40V 16″ UC012GT101</t>
  </si>
  <si>
    <t>UC012GT101</t>
  </si>
  <si>
    <t xml:space="preserve">MAKITA DC CHAINSAW 40V UC030GZ </t>
  </si>
  <si>
    <t>UC030GZ</t>
  </si>
  <si>
    <t>MAKITA DC METAL CUTTER 18V DCS552ZX</t>
  </si>
  <si>
    <t>DCS552ZX</t>
  </si>
  <si>
    <t>MAKITA DC DRIVER DRILL 40V DF001GM201X</t>
  </si>
  <si>
    <t>DF001GM201X</t>
  </si>
  <si>
    <t>MAKITA DC DRIVER DRILL 40V DF002GA201X</t>
  </si>
  <si>
    <t>MAKITA DC DRIVER DRILL 40V DF002GD201X</t>
  </si>
  <si>
    <t>DF002GD201X</t>
  </si>
  <si>
    <t xml:space="preserve">MAKITA DC ANGLE GRINDER 40V GA011GM201X </t>
  </si>
  <si>
    <t>GA011GM201X</t>
  </si>
  <si>
    <t>MAKITA DC RECIPRO SAW 40V JR001GM201X</t>
  </si>
  <si>
    <t>JR001GM201X</t>
  </si>
  <si>
    <t>MAKITA DC KETTLE 18VX2 0.8L DKT360Z</t>
  </si>
  <si>
    <t>DKT360Z</t>
  </si>
  <si>
    <t>MAKITA DC IMPACT DRIVER 18V DTD156SFE</t>
  </si>
  <si>
    <t>DTD156SFE</t>
  </si>
  <si>
    <t>MAKITA DC IMPACT DRIVER 40V TD001GZ01</t>
  </si>
  <si>
    <t>TD001GZ01</t>
  </si>
  <si>
    <t>MAKITA DC DRIVER DRILL 13MM DF002GM201</t>
  </si>
  <si>
    <t>DF002GM201</t>
  </si>
  <si>
    <t xml:space="preserve">MAKITA DC HAMMER DRIVER DRILL DHP453X10 </t>
  </si>
  <si>
    <t>DHP453X10</t>
  </si>
  <si>
    <t>MAKITA DC CIRCULAR SAW 40V HS012GD201</t>
  </si>
  <si>
    <t>HS012GD201</t>
  </si>
  <si>
    <t>MAKITA DC HAMMER DRILL 40V HP002GM201</t>
  </si>
  <si>
    <t>HP002GM201</t>
  </si>
  <si>
    <t>MAKITA DC HAMMER DRV DRILL 12V HP332DSME</t>
  </si>
  <si>
    <t>HP332DSME</t>
  </si>
  <si>
    <t>MAKITA COLLET NUT 763615-1</t>
  </si>
  <si>
    <t>763615-1</t>
  </si>
  <si>
    <t>MAKITA TWIST TORSION BIT PH2-90  A-59570</t>
  </si>
  <si>
    <t>A-59570</t>
  </si>
  <si>
    <t>MAKITA FLUSH TRIM BIT FLUTE 1/2" D-62832</t>
  </si>
  <si>
    <t>MAKITA FLUSH TRIM BIT FLUTE 1/2" D-62848</t>
  </si>
  <si>
    <t>D-62848</t>
  </si>
  <si>
    <t>MAKITA BLADE CLAMP 313084-2 FOR 4327M</t>
  </si>
  <si>
    <t>313084-2</t>
  </si>
  <si>
    <t>MAKITA FRONT BASE 316587-5 / N1900B</t>
  </si>
  <si>
    <t>316587-5</t>
  </si>
  <si>
    <t>MAKITA BASE 168297-8</t>
  </si>
  <si>
    <t>168297-8</t>
  </si>
  <si>
    <t>MAKITA BRAD NAIL 15MM-F15 B-04307</t>
  </si>
  <si>
    <t>B-04307</t>
  </si>
  <si>
    <t>MAKITA DUST EXTRACTION PAD SET 1914X3-8</t>
  </si>
  <si>
    <t>1914X3-8</t>
  </si>
  <si>
    <t>MAKITA BATTERY BL6440 64V 4AH 191R06-8</t>
  </si>
  <si>
    <t>191R06-8</t>
  </si>
  <si>
    <t>MAKITA BATTERY BL64100 64V 10AH 191Y69-6</t>
  </si>
  <si>
    <t>191Y69-6</t>
  </si>
  <si>
    <t>A18(BOX)</t>
  </si>
  <si>
    <t>A10(BOX)</t>
  </si>
  <si>
    <t>A17(BOX)</t>
  </si>
  <si>
    <t>A22(BOX)</t>
  </si>
  <si>
    <t>AC40</t>
  </si>
  <si>
    <t>AC10</t>
  </si>
  <si>
    <t>A23(BOX)</t>
  </si>
  <si>
    <t>AC24</t>
  </si>
  <si>
    <t>A8(BOX)</t>
  </si>
  <si>
    <t>A9(BOX)</t>
  </si>
  <si>
    <t>A24(BOX)</t>
  </si>
  <si>
    <t>AC46</t>
  </si>
  <si>
    <t>AC48</t>
  </si>
  <si>
    <t>AC45</t>
  </si>
  <si>
    <t>A3(BOX)</t>
  </si>
  <si>
    <t>AC47</t>
  </si>
  <si>
    <t>AC36</t>
  </si>
  <si>
    <t>AC03</t>
  </si>
  <si>
    <t>AC44</t>
  </si>
  <si>
    <t>AB03</t>
  </si>
  <si>
    <t>AC38</t>
  </si>
  <si>
    <t>AC04</t>
  </si>
  <si>
    <t>AB07</t>
  </si>
  <si>
    <t>AC06</t>
  </si>
  <si>
    <t>A5(BOX)</t>
  </si>
  <si>
    <t>AB01</t>
  </si>
  <si>
    <t>AB04</t>
  </si>
  <si>
    <t>AC39</t>
  </si>
  <si>
    <t>AB06</t>
  </si>
  <si>
    <t>A6(BOX)</t>
  </si>
  <si>
    <t>AB02</t>
  </si>
  <si>
    <t>AC35</t>
  </si>
  <si>
    <t>A20(BOX)</t>
  </si>
  <si>
    <t>A19(BOX)</t>
  </si>
  <si>
    <t>A21(BOX)</t>
  </si>
  <si>
    <t>AC11</t>
  </si>
  <si>
    <t>AC09</t>
  </si>
  <si>
    <t>A2(BOX)</t>
  </si>
  <si>
    <t>A1(BOX)</t>
  </si>
  <si>
    <t>AC43</t>
  </si>
  <si>
    <t>AC08</t>
  </si>
  <si>
    <t>AC01</t>
  </si>
  <si>
    <t>AC02</t>
  </si>
  <si>
    <t>AC37</t>
  </si>
  <si>
    <t>AC19</t>
  </si>
  <si>
    <t>AB09</t>
  </si>
  <si>
    <t>AB08</t>
  </si>
  <si>
    <t>A16(BOX)</t>
  </si>
  <si>
    <t>AB05</t>
  </si>
  <si>
    <t>AC05</t>
  </si>
  <si>
    <t>A4(BOX)</t>
  </si>
  <si>
    <t>AC07</t>
  </si>
  <si>
    <t>A7(BOX)</t>
  </si>
  <si>
    <t>AC42</t>
  </si>
  <si>
    <t>AC41</t>
  </si>
  <si>
    <t>MAKITA LINK PLATE COMPLETE 140J53-8</t>
  </si>
  <si>
    <t>E16</t>
  </si>
  <si>
    <t>GH04</t>
  </si>
  <si>
    <t>88(1)</t>
  </si>
  <si>
    <t>90(3)</t>
  </si>
  <si>
    <t>90(4)</t>
  </si>
  <si>
    <t>90(5)</t>
  </si>
  <si>
    <t>A14(BOX)</t>
  </si>
  <si>
    <t>A15(BOX)</t>
  </si>
  <si>
    <t>A25(BOX)</t>
  </si>
  <si>
    <t>A13(BOX)</t>
  </si>
  <si>
    <t>1910U0-9</t>
  </si>
  <si>
    <t>P-67991</t>
  </si>
  <si>
    <t>257162-7</t>
  </si>
  <si>
    <t>455011-4</t>
  </si>
  <si>
    <t>629952-2</t>
  </si>
  <si>
    <t>JM27000121</t>
  </si>
  <si>
    <t>DG001GZ02</t>
  </si>
  <si>
    <t>TD001GZJ</t>
  </si>
  <si>
    <t>DHS710Z</t>
  </si>
  <si>
    <t>191V97-3</t>
  </si>
  <si>
    <t>B-04400</t>
  </si>
  <si>
    <t>B-04416</t>
  </si>
  <si>
    <t>B-04438</t>
  </si>
  <si>
    <t>D-71093</t>
  </si>
  <si>
    <t>D-71102</t>
  </si>
  <si>
    <t>D-71118</t>
  </si>
  <si>
    <t>D-71124</t>
  </si>
  <si>
    <t>D-71146</t>
  </si>
  <si>
    <t>D-71152</t>
  </si>
  <si>
    <t>D-71168</t>
  </si>
  <si>
    <t>199910-7</t>
  </si>
  <si>
    <t>B-17120</t>
  </si>
  <si>
    <t>B-69434</t>
  </si>
  <si>
    <t>E-23391</t>
  </si>
  <si>
    <t>D-26587</t>
  </si>
  <si>
    <t>195010-1</t>
  </si>
  <si>
    <t>632R68-2</t>
  </si>
  <si>
    <t>516514-4</t>
  </si>
  <si>
    <t>515864-4</t>
  </si>
  <si>
    <t>319565-4</t>
  </si>
  <si>
    <t>521364-4</t>
  </si>
  <si>
    <t>140648-7</t>
  </si>
  <si>
    <t>344377-6</t>
  </si>
  <si>
    <t>651232-8</t>
  </si>
  <si>
    <t>629D46-7</t>
  </si>
  <si>
    <t>E-07294</t>
  </si>
  <si>
    <t>E-07303</t>
  </si>
  <si>
    <t>E-07319</t>
  </si>
  <si>
    <t>E-07630</t>
  </si>
  <si>
    <t>E-07646</t>
  </si>
  <si>
    <t>E-07652</t>
  </si>
  <si>
    <t>CARBON BRUSH SET CB-411</t>
  </si>
  <si>
    <t>MAKITA BALL BEARING 6001LLB 211103-7 906H</t>
  </si>
  <si>
    <t>620E44-0</t>
  </si>
  <si>
    <t>AL00000236</t>
  </si>
  <si>
    <t>452667-4</t>
  </si>
  <si>
    <t>632F74-5</t>
  </si>
  <si>
    <t>MAKITA LEVER 47 FOR RP0900 450821-4</t>
  </si>
  <si>
    <t>450821-4</t>
  </si>
  <si>
    <t>143298-7</t>
  </si>
  <si>
    <t>127127-2</t>
  </si>
  <si>
    <t>MAKITA IGNITION COIL DCS6400 38143043</t>
  </si>
  <si>
    <t>MAKITA CONTROLLER FOR DCC500 620E44-0</t>
  </si>
  <si>
    <t>MAKITA STATOR 240V AL00000236</t>
  </si>
  <si>
    <t>MAKITA GEAR COVER EA4301F 452667-4</t>
  </si>
  <si>
    <t>MAKITA SWITCH UNIT FOR GA9060 632F74-5</t>
  </si>
  <si>
    <t>MAKITA BEARING BOX DTD152 143298-7</t>
  </si>
  <si>
    <t>MAKITA CHANGE LEVER ASSY HP333 127127-2</t>
  </si>
  <si>
    <t>MAKITA CABLE DRUM 038162024 DCS7300</t>
  </si>
  <si>
    <t>-</t>
  </si>
  <si>
    <t>AA111</t>
  </si>
  <si>
    <t>AA112</t>
  </si>
  <si>
    <t>AB113</t>
  </si>
  <si>
    <t>MAKITA FIELD 526584-5 HR2810</t>
  </si>
  <si>
    <t>D32</t>
  </si>
  <si>
    <t>E35</t>
  </si>
  <si>
    <t>HT01</t>
  </si>
  <si>
    <t>HT02</t>
  </si>
  <si>
    <t>HT03</t>
  </si>
  <si>
    <t>HT04</t>
  </si>
  <si>
    <t>HT05</t>
  </si>
  <si>
    <t>HT06</t>
  </si>
  <si>
    <t>HT07</t>
  </si>
  <si>
    <t>HT08</t>
  </si>
  <si>
    <t>MAKITA CUT-OFF WHEEL 14" A-89545 (355MM)</t>
  </si>
  <si>
    <t>USED SPARES</t>
  </si>
  <si>
    <t>HT11</t>
  </si>
  <si>
    <t>HT10</t>
  </si>
  <si>
    <t>HT09</t>
  </si>
  <si>
    <t>HT10-07</t>
  </si>
  <si>
    <t>G8(S-2)</t>
  </si>
  <si>
    <t>3(S-2)</t>
  </si>
  <si>
    <t>WE8</t>
  </si>
  <si>
    <t>HT12</t>
  </si>
  <si>
    <t>ZO12(S-1)</t>
  </si>
  <si>
    <t>WE16</t>
  </si>
  <si>
    <t>WE21</t>
  </si>
  <si>
    <t>AA37</t>
  </si>
  <si>
    <t>AB89</t>
  </si>
  <si>
    <t>WE13</t>
  </si>
  <si>
    <t>HT13</t>
  </si>
  <si>
    <t>HT14</t>
  </si>
  <si>
    <t>WE11</t>
  </si>
  <si>
    <t>ZF06(S-1)</t>
  </si>
  <si>
    <t>WE20</t>
  </si>
  <si>
    <t>WE9</t>
  </si>
  <si>
    <t>WE7</t>
  </si>
  <si>
    <t>MA276(S-1)</t>
  </si>
  <si>
    <t>WE17</t>
  </si>
  <si>
    <t>WE4</t>
  </si>
  <si>
    <t>WE18</t>
  </si>
  <si>
    <t>WE19</t>
  </si>
  <si>
    <t>WE12</t>
  </si>
  <si>
    <t>WE14</t>
  </si>
  <si>
    <t>AA28-29</t>
  </si>
  <si>
    <t>MA200(S-1)</t>
  </si>
  <si>
    <t>MA212(S-1)</t>
  </si>
  <si>
    <t>MAKITA SAW CHAIN OIL 1L 1910U0-9</t>
  </si>
  <si>
    <t>MAKITA TCT SAWBLADE 255X60TX25.4 P-67991</t>
  </si>
  <si>
    <t>MAKITA RING 7 257162-7 FOR LS1040 "MAK"</t>
  </si>
  <si>
    <t>MAKITA REAR COVER 455011-4</t>
  </si>
  <si>
    <t>MAKITA DC MOTOR FOR DB0180 629952-2</t>
  </si>
  <si>
    <t>MAKITA O.LOAD SWITCH JM27000121 / MLT100</t>
  </si>
  <si>
    <t>MAKITA DC EARTH AUGER 40V BL DG001GZ02</t>
  </si>
  <si>
    <t>MAKITA DC IMPACT DRIVER 40V TD001GZJ</t>
  </si>
  <si>
    <t>MAKITA DC CIRCULAR SAW 190MM DHS710Z</t>
  </si>
  <si>
    <t>MAKITA BLADE 480 SET FOR LM001J 191V97-3</t>
  </si>
  <si>
    <t>MAKITA STAPLE 4X10-410J B-04400</t>
  </si>
  <si>
    <t>MAKITA STAPLE 4X13-413J B-04416</t>
  </si>
  <si>
    <t>MAKITA STAPLE 4X19-419J B-04438</t>
  </si>
  <si>
    <t>MAKITA TCT H CUTTING BIT 15X77 D-71093</t>
  </si>
  <si>
    <t>MAKITA TCT H CUTTING BIT 19X77 D-71102</t>
  </si>
  <si>
    <t>MAKITA TCT H CUTTING BIT 20X77 D-71118</t>
  </si>
  <si>
    <t>MAKITA TCT H CUTTING BIT 25X77 D-71124</t>
  </si>
  <si>
    <t>MAKITA TCT H CUTTING BIT 30X77 D-71146</t>
  </si>
  <si>
    <t>MAKITA TCT H CUTTING BIT 32X77 D-71152</t>
  </si>
  <si>
    <t>MAKITA TCT H CUTTING BIT 35X77 D-71168</t>
  </si>
  <si>
    <t>MAKITA PLANER BLADE 306MM 2030 199910-7</t>
  </si>
  <si>
    <t>MAKITA SAWBLADE 203X25.4X40T B-17120</t>
  </si>
  <si>
    <t>MAKITA SAWBLADE 136X20X45T EFF B-69434</t>
  </si>
  <si>
    <t>MAKITA SAWBLADE 136X20X48T METAL E-23391</t>
  </si>
  <si>
    <t>MAKITA COLD CHISEL 19X210MM D-26587</t>
  </si>
  <si>
    <t>MAKITA SWITCH UNIT DUB185 632R68-2</t>
  </si>
  <si>
    <t>MAKITA ARMATURE ASS'Y 5900B 516514-4</t>
  </si>
  <si>
    <t>MAKITA ARMATURE ASSY M4000 515864-4</t>
  </si>
  <si>
    <t>MAKITA GUIDE FENCE LS1019L 319565-4</t>
  </si>
  <si>
    <t>MAKITA FIELD ASS'Y 6010B 521364-4</t>
  </si>
  <si>
    <t>MAKITA BLADE CASE CPL LS1040 140648-7</t>
  </si>
  <si>
    <t>MAKITA LINK PLATE FOR LS1040 344377-6</t>
  </si>
  <si>
    <t>MAKITA HP HOSE 5 MT HW102 3640630</t>
  </si>
  <si>
    <t>MAKITA SWITCH SGEL206C 9035 651232-8</t>
  </si>
  <si>
    <t>MAKITA STATOR COMPLETE DHP486 629D46-7</t>
  </si>
  <si>
    <t>MAKITA EARTH AUGER DRILL BIT 100 E-07294</t>
  </si>
  <si>
    <t>MAKITA EARTH AUGER DRILL BIT 150 E-07303</t>
  </si>
  <si>
    <t>MAKITA EARTH AUGER DRILL BIT 200 E-07319</t>
  </si>
  <si>
    <t>MAKITA EARTH AUGER BLADES 100 E-07630</t>
  </si>
  <si>
    <t>MAKITA EARTH AUGER BLADES 150 E-07646</t>
  </si>
  <si>
    <t>MAKITA EARTH AUGER BLADES 200 E-07652</t>
  </si>
  <si>
    <t>MAKITA DC RECIPRO SAW 18V BL DJR188Z</t>
  </si>
  <si>
    <t>MAKITA DC HEDGE TRIMMER 18V BL DUH606Z</t>
  </si>
  <si>
    <t>MAKITA AC HAMMER DRILL 13MM M8103KX2BX</t>
  </si>
  <si>
    <t>MAKITA USB ADAPTER XGT 40V ADP001G</t>
  </si>
  <si>
    <t>MAKITA TWIST TORSION BIT 65MM A-67505</t>
  </si>
  <si>
    <t>MAKITA TWIST TORSION BIT (SLIM)  A-67511</t>
  </si>
  <si>
    <t>MAKITA SCREW BIT SET E-06622</t>
  </si>
  <si>
    <t>MAKITA IMPACT BLACK SCREW BIT  E-08763</t>
  </si>
  <si>
    <t>MAKITA IMPACT BLACK BIT HOLDER E-08785</t>
  </si>
  <si>
    <t>MAKITA NEMESIIS SDS PLUS 12X215 E-14831</t>
  </si>
  <si>
    <t>MAKITA LENCE+ROTOPOWER 3320120</t>
  </si>
  <si>
    <t>MAKITA DIAMOND WHEEL 105MM DRY  D-42531</t>
  </si>
  <si>
    <t>MAKITA GUIDE RAIL 1.9M 194925-9</t>
  </si>
  <si>
    <t>MAKITA QABPSKG3 BL4050X2+DC40RB 191U20-2</t>
  </si>
  <si>
    <t>MAKITA TCT SAW BLADE 260MM 100T D-81103</t>
  </si>
  <si>
    <t>MAKITA TCT SAW BLADE 260MM ALUM D-81789</t>
  </si>
  <si>
    <t>DJR188Z</t>
  </si>
  <si>
    <t>DUH606Z</t>
  </si>
  <si>
    <t>M8103KX2BX</t>
  </si>
  <si>
    <t>ADP001G</t>
  </si>
  <si>
    <t>A-67505</t>
  </si>
  <si>
    <t>A-67511</t>
  </si>
  <si>
    <t>E-06622</t>
  </si>
  <si>
    <t>E-08763</t>
  </si>
  <si>
    <t>E-08785</t>
  </si>
  <si>
    <t>E-14831</t>
  </si>
  <si>
    <t>D-42531</t>
  </si>
  <si>
    <t>194925-9</t>
  </si>
  <si>
    <t>191U20-2</t>
  </si>
  <si>
    <t>D-81103</t>
  </si>
  <si>
    <t>D-81789</t>
  </si>
  <si>
    <t>MAKITA PLUNGE CUT SAW 40V 165MM SP001GZ</t>
  </si>
  <si>
    <t>MAKITA DC DRIVER DRILL 18V BL DDF486Z</t>
  </si>
  <si>
    <t>MAKITA POWER PLANER 1805N (6-1/8") 155MM</t>
  </si>
  <si>
    <t>MAKITA C-LESS RECIPRO SAW DJR186RTE</t>
  </si>
  <si>
    <t>MAKITA AC ANGLE GRINDER 180MM GA7090</t>
  </si>
  <si>
    <t>MAKITA AC ANGLE GRINDER 230MM GA9090</t>
  </si>
  <si>
    <t>MAKITA AC DEMOLITION HAMMER HM1511</t>
  </si>
  <si>
    <t>MAKITA DC CIRCULAR SAW 40V 9" HS010GZ</t>
  </si>
  <si>
    <t>MAKITA IMPACT DRIVER 40V BL TD001GM201</t>
  </si>
  <si>
    <t>MAKITA DC IMPACT WRENCH 40VBL TW001GD203</t>
  </si>
  <si>
    <t>MAKITA DC EARTH AUGER 18VX2 BL DDG460ZX4</t>
  </si>
  <si>
    <t>MAKITA DC PLATE JOINER 18V DPJ180Z</t>
  </si>
  <si>
    <t>MAKITA DC IMPACT WRENCH 18V BL DTW1001Z</t>
  </si>
  <si>
    <t>MAKITA DC IMPACT WRENCH 18V DTW1001JX2</t>
  </si>
  <si>
    <t>SPECIAL OFFER 10%</t>
  </si>
  <si>
    <t>SPECIAL OFFER 20%</t>
  </si>
  <si>
    <t>SPECIAL OFFER 30%</t>
  </si>
  <si>
    <t>SPECIAL OFFER 40%</t>
  </si>
  <si>
    <t>SPECIAL OFFER 70%</t>
  </si>
  <si>
    <t>SPECIAL OFFER 50%</t>
  </si>
  <si>
    <t>654502-4</t>
  </si>
  <si>
    <t>144661-7</t>
  </si>
  <si>
    <t>JM23100099</t>
  </si>
  <si>
    <t>JM23200120</t>
  </si>
  <si>
    <t>JM23100177</t>
  </si>
  <si>
    <t>JM23100098</t>
  </si>
  <si>
    <t>231848-1</t>
  </si>
  <si>
    <t>253308-3</t>
  </si>
  <si>
    <t>234147-0</t>
  </si>
  <si>
    <t>MAKITA FLAT WASHER 12 253813-0</t>
  </si>
  <si>
    <t>253813-0</t>
  </si>
  <si>
    <t>511A03-0</t>
  </si>
  <si>
    <t>140L27-1</t>
  </si>
  <si>
    <t>267112-4</t>
  </si>
  <si>
    <t>347252-5</t>
  </si>
  <si>
    <t>631832-0</t>
  </si>
  <si>
    <t>MAKITA SWITCH TG813TB-3 UB1100 651359-4</t>
  </si>
  <si>
    <t>651359-4</t>
  </si>
  <si>
    <t>MAKITA CONNECTOR P-2 FOR LS1013</t>
  </si>
  <si>
    <t>MAKITA OUTER HOUSING 144661-7</t>
  </si>
  <si>
    <t>MAKITA LINK LS1018L JM23100099</t>
  </si>
  <si>
    <t>MAKITA MOTOR HOUSE COMPLETE JM23200120</t>
  </si>
  <si>
    <t>MAKITA BRAKE SYS SWITCH KEY JM23100177</t>
  </si>
  <si>
    <t>MAKITA LINK SLEEVE JM23100098</t>
  </si>
  <si>
    <t>MAKITA TENSION SPRING 231848-1 (5008MG)</t>
  </si>
  <si>
    <t>MAKITA SPINDLE FOR 5008MG 324690-8</t>
  </si>
  <si>
    <t>MAKITA THIN WASHER 6 FOR 9741 253308-3</t>
  </si>
  <si>
    <t>MAKITA COMPRESSION SPRING 5 234147-0</t>
  </si>
  <si>
    <t>MAKITA MOTOR BRACKET 141868-6</t>
  </si>
  <si>
    <t>MAKITA ARMATURE ASS'Y 220-240V 511A03-0</t>
  </si>
  <si>
    <t>MAKITA BRACKET COMPLETE 140L27-1</t>
  </si>
  <si>
    <t>MAKITA FLAT WASHER 34 267112-4</t>
  </si>
  <si>
    <t>MAKITA TENSION SLIDE 347252-5</t>
  </si>
  <si>
    <t>MAKITA CONTROLLER HV BO5031 R/P 631832-0</t>
  </si>
  <si>
    <t>MA281</t>
  </si>
  <si>
    <t>MA280</t>
  </si>
  <si>
    <t>MAKITA DC BELT SANDER 18V 533MM DBS180Z</t>
  </si>
  <si>
    <t>MAKITA DC VACUUM CLEANER 40V VC006GMZ03</t>
  </si>
  <si>
    <t>Material Description</t>
  </si>
  <si>
    <t>Unrestr.</t>
  </si>
  <si>
    <t>MAKITA DC BLOWER 12V UB100DZ</t>
  </si>
  <si>
    <t>MAKITA LASER DISTANCE MEASURE LD030P 30M</t>
  </si>
  <si>
    <t>MAKITA MULTI TOOL STARLOCK SET B-67505</t>
  </si>
  <si>
    <t>MAKITA HSS-CO DRILL BIT 4.5X80MM D-16689</t>
  </si>
  <si>
    <t>MAKITA SDSPLUS 4CUTTER 6.5X260MM B-62561</t>
  </si>
  <si>
    <t>MAKITA AC COMBINATION HAMMER HR3001CJ</t>
  </si>
  <si>
    <t>MAKITA TCT SAWBLADE D-03414 10" ALU 100T</t>
  </si>
  <si>
    <t>MAKITA SDS-PLUS NEMESISII 16X165 E-14738</t>
  </si>
  <si>
    <t>MAKITA MKP1RG182 BL1860X2+DC18RC 198119-</t>
  </si>
  <si>
    <t>MAKITA DC HAMMER DRILL 13MM DHP490RF</t>
  </si>
  <si>
    <t>MAKITA DC HAMMER DRILL 13MM DHP490RFX1</t>
  </si>
  <si>
    <t>MAKITA AC HEAT GUN HG6030K</t>
  </si>
  <si>
    <t>MAKITA KEYLESS DRILL CHUCK S13 763262-8</t>
  </si>
  <si>
    <t>MAKITA LOW-PROFILE MEDIUM ORG T-90059</t>
  </si>
  <si>
    <t>MAKITA DEEP COMPACT ORG T-90065</t>
  </si>
  <si>
    <t>MAKITA MEDIUM TOOL BOX T-90037</t>
  </si>
  <si>
    <t>MAKITA DEEP MEDIUM ORG T-90043</t>
  </si>
  <si>
    <t>MAKITA AC ANGLE GRINDER 115MM GA4593X01</t>
  </si>
  <si>
    <t>MAKITA AC ANGLE GRINDER 115MM GA4595</t>
  </si>
  <si>
    <t>MAKITA DC CHAIN SAW 40V 16# UC012GT101</t>
  </si>
  <si>
    <t>MAKITA DC CHAINSAW 40V UC030GZ</t>
  </si>
  <si>
    <t>MAKITA DC ANGLE GRINDER 40V GA011GM201X</t>
  </si>
  <si>
    <t>MAKITA DC HAMMER DRIVER DRILL DHP453X10</t>
  </si>
  <si>
    <t>MAKITA INSULATION WASHER 681668-7</t>
  </si>
  <si>
    <t>MAKITA HAMMER CASE CMPL DTD155 144132-4</t>
  </si>
  <si>
    <t>MAKITA FAN GUIDE FOR MT923 451930-2</t>
  </si>
  <si>
    <t>MAKITA  SLEEVE 6 257759-2</t>
  </si>
  <si>
    <t>MAKITA NYLONE WASHER 261140-1</t>
  </si>
  <si>
    <t>MAKITA SPONGE SLEEVE 9 424056-3</t>
  </si>
  <si>
    <t>MAKITA V-PULLEY 4-38  222063-8 (1911B)</t>
  </si>
  <si>
    <t>MAKITA FIELD 526584-5</t>
  </si>
  <si>
    <t>MAKITA ARMATURE 515314-9 / GV6010</t>
  </si>
  <si>
    <t>MAKITA BALL BEARING 6001LB 211103-7 906H</t>
  </si>
  <si>
    <t>MAKITA SPROCKETCOVER CPL154869-5 UC4030A</t>
  </si>
  <si>
    <t>MAKITA SWITCH FOR N3701 651433-8</t>
  </si>
  <si>
    <t>MAKITA SWITCH 651193-2</t>
  </si>
  <si>
    <t xml:space="preserve"> MAKITA CONTROLLER GA4040/5040C 620734-5</t>
  </si>
  <si>
    <t>MAKITA HAMMER CASE COMPLETE 144058-0</t>
  </si>
  <si>
    <t>MAKITA ARMATURE HS7600 513909-2</t>
  </si>
  <si>
    <t>MAKITA LINK PLATE COMPLETE140J53-8</t>
  </si>
  <si>
    <t>MAKITA CHUCK COVER FOR HR2670 4130J0-5</t>
  </si>
  <si>
    <t>MAKITA GEAR HOUSING HR2670 137222-0</t>
  </si>
  <si>
    <t>MAKITA INNER HOUSING HR2670 141W46-6</t>
  </si>
  <si>
    <t>MAKITA ARMATURE 240V HR2670 510613-4</t>
  </si>
  <si>
    <t>MAKITA FIELD 240V FOR HR2670 634864-6</t>
  </si>
  <si>
    <t>MAKITA BRUSH HOLDER HR2670 632V64-4</t>
  </si>
  <si>
    <t>MAKITA TOOL HOLDER ASS'Y HR2670 137223-8</t>
  </si>
  <si>
    <t>MAKITA CAM SHAFT ASS'Y HR2670 137224-6</t>
  </si>
  <si>
    <r>
      <t xml:space="preserve">MAKITA BALL BEARING </t>
    </r>
    <r>
      <rPr>
        <sz val="10"/>
        <rFont val="Arial"/>
        <family val="2"/>
      </rPr>
      <t>6001DDW</t>
    </r>
    <r>
      <rPr>
        <sz val="10"/>
        <rFont val="Arial"/>
        <family val="2"/>
      </rPr>
      <t xml:space="preserve"> 210216-1</t>
    </r>
  </si>
  <si>
    <t>M001</t>
  </si>
  <si>
    <t>MAKITA DC TELESCOPIC POLE SAW DUA301ZB</t>
  </si>
  <si>
    <t>MAKITA AUGER BIT 6X250 D-07331</t>
  </si>
  <si>
    <t>MAKITA WRENCH 21 781029-2 3501N</t>
  </si>
  <si>
    <t>MAKITA INSULATION COVER 422542-8</t>
  </si>
  <si>
    <t>MAKITA HOLDER 35 322932-4 LS1013</t>
  </si>
  <si>
    <t>MAKITA HEX NUT M10  2712 JM27100070</t>
  </si>
  <si>
    <t>MAKITA PISTON 324536-8 (HM1810)</t>
  </si>
  <si>
    <t>MAKITA PISTON CYLINDER 317517-9 HR2020</t>
  </si>
  <si>
    <t>MAKITA HEX. SOCKET HEAD BOLT 266308-4</t>
  </si>
  <si>
    <t>MAKITA GRIP 32 LS0714 273515-2</t>
  </si>
  <si>
    <t>MAKITA TAPPING SCREW 3X20 251497-8</t>
  </si>
  <si>
    <t>MAKITA TAPPING SCREW 3X14 263046-9</t>
  </si>
  <si>
    <t>MAKITA TAPPING SCRW FLNGE 4X25  265999-8</t>
  </si>
  <si>
    <t>MAKITA TAPPING SCREW 4X40 266048-4</t>
  </si>
  <si>
    <t>MAKITA TAPPING SCREW 4X45 266425-0</t>
  </si>
  <si>
    <t>MAKITA TAPPING  SCREW 5*25 266459-3</t>
  </si>
  <si>
    <t>MAKITA WAVE WASHER 15 HR2453 267721-9</t>
  </si>
  <si>
    <t>MAKITA HEX. BOLT M5X14 RP1800 265586-3</t>
  </si>
  <si>
    <t>MAKITA POLE FOR 3612C 314062-5</t>
  </si>
  <si>
    <t>MAKITA MOTOR COVER R COMPLETE 141E55-7</t>
  </si>
  <si>
    <t>MAKITA RING SPRING 59 234290-5</t>
  </si>
  <si>
    <t>MAKITA HEX. SOCKET H.BOLT M5X25 251513-6</t>
  </si>
  <si>
    <t>MAKITA PIN 6 256945-2</t>
  </si>
  <si>
    <t>MAKITA RING 28 FOR HM1111C 257308-5</t>
  </si>
  <si>
    <t>MAKITA RING33 257340-9</t>
  </si>
  <si>
    <t>MAKITA RETAINING RING(EXT) 18 257430-8</t>
  </si>
  <si>
    <t>MAKITA RETAINING RING WR-32.5 257991-8</t>
  </si>
  <si>
    <t>MAKITA RETAINING RING WR-14 259075-8</t>
  </si>
  <si>
    <t>MAKITA HEX.SOCKET H.BOLT M4*40 265A78-8</t>
  </si>
  <si>
    <t>MAKITA HEX.SOCKT HEX.BOLT M8X20 266283-4</t>
  </si>
  <si>
    <t>MAKITA PIN 3 FOR JR3050T 268094-3</t>
  </si>
  <si>
    <t>MAKITA PIN 5 FOR DTW281 268311-1</t>
  </si>
  <si>
    <t>MAKITA PUSH PIN FOR JR100 310912-2</t>
  </si>
  <si>
    <t>MAKITA TOOL HOLDER 326268-3</t>
  </si>
  <si>
    <t>MAKITA BOARD CUTTER BLADE B-49703</t>
  </si>
  <si>
    <t>MAKITA STRIKER 326270-6</t>
  </si>
  <si>
    <t>MAKITA RING 17 326274-8</t>
  </si>
  <si>
    <t>MAKITA BALL BEARING 2012DDW 211326-7</t>
  </si>
  <si>
    <t>MAKITA BALL BEARING 627LB 211028-5 1900B</t>
  </si>
  <si>
    <t>MAKITA COMPRESION RING 233110-0 / HR2410</t>
  </si>
  <si>
    <t>MAKITA LEAF SPRING 232207-2 4350CT</t>
  </si>
  <si>
    <t>MAKITA MAKITA GASKET 965531131 (DCS6400)</t>
  </si>
  <si>
    <t>MAKITA O RING 46 213611-4</t>
  </si>
  <si>
    <t>MAKITA BASE 316883-1 (4304)</t>
  </si>
  <si>
    <t>DEC (MAR)</t>
  </si>
  <si>
    <t>OFFICE</t>
  </si>
  <si>
    <t>F34</t>
  </si>
  <si>
    <t>SC</t>
  </si>
  <si>
    <t>CP02</t>
  </si>
  <si>
    <t>CP09</t>
  </si>
  <si>
    <t>CP05</t>
  </si>
  <si>
    <t>CP01</t>
  </si>
  <si>
    <t>CAA07</t>
  </si>
  <si>
    <t>HK04</t>
  </si>
  <si>
    <t>CAA05</t>
  </si>
  <si>
    <t>CAA06</t>
  </si>
  <si>
    <t>CP06</t>
  </si>
  <si>
    <t>WE15</t>
  </si>
  <si>
    <t>CP07</t>
  </si>
  <si>
    <t>CP08</t>
  </si>
  <si>
    <t>CP03</t>
  </si>
  <si>
    <t>CP04</t>
  </si>
  <si>
    <t>AA98</t>
  </si>
  <si>
    <t>BG5</t>
  </si>
  <si>
    <t>WE6</t>
  </si>
  <si>
    <t>HR2470</t>
  </si>
  <si>
    <t>GLX001MX1SG</t>
  </si>
  <si>
    <t>DC COMBO KIT (HP002F+TD002G) 40V</t>
  </si>
  <si>
    <t>BARREL COMPLETE</t>
  </si>
  <si>
    <t>MOTOR HOUSING COMPLETE 5008MG</t>
  </si>
  <si>
    <t>GUIDE BAR 12" 1.3MM/.050" SPROCKET</t>
  </si>
  <si>
    <t>STATOR FOR JR002G</t>
  </si>
  <si>
    <t>SWITCH FOR UT1305</t>
  </si>
  <si>
    <t>T.C.T SAW BLADE 260X30X120T MULTI-PURPOS</t>
  </si>
  <si>
    <t>T.C.T SAW BLADE 260X25.4X80T WOOD EFFICU</t>
  </si>
  <si>
    <t>T.C.T SAW BLADE 260X25.4X60T WOOD EFFICU</t>
  </si>
  <si>
    <t>CUTTER 100MMX6T PJ7000</t>
  </si>
  <si>
    <t>INNER FLANGE 29B FOR DC GRINDER</t>
  </si>
  <si>
    <t>HEX WRENCH 5 FOR MT410</t>
  </si>
  <si>
    <t>CLUTCH DRUM COMPLETE FOR EA3201S</t>
  </si>
  <si>
    <t>MOTOR HOUSING FOR M9513</t>
  </si>
  <si>
    <t>BAMPER FOR TD0100(WITH 452440-2 AS A SET</t>
  </si>
  <si>
    <t>140J35-0</t>
  </si>
  <si>
    <t>141T68-8</t>
  </si>
  <si>
    <t>191G23-2</t>
  </si>
  <si>
    <t>629B69-3</t>
  </si>
  <si>
    <t>650203-2</t>
  </si>
  <si>
    <t>D-81832</t>
  </si>
  <si>
    <t>B-67446</t>
  </si>
  <si>
    <t>B-67430</t>
  </si>
  <si>
    <t>B-20644</t>
  </si>
  <si>
    <t>224492-1</t>
  </si>
  <si>
    <t>783217-7</t>
  </si>
  <si>
    <t>140M30-8</t>
  </si>
  <si>
    <t>412227-4</t>
  </si>
  <si>
    <t>424376-5</t>
  </si>
  <si>
    <t>NEW</t>
  </si>
  <si>
    <r>
      <t xml:space="preserve">MAKITA POWER S-CORD </t>
    </r>
    <r>
      <rPr>
        <sz val="10"/>
        <color theme="1"/>
        <rFont val="Arial"/>
        <family val="2"/>
      </rPr>
      <t>692527-0 / HR2470</t>
    </r>
  </si>
  <si>
    <t>RAMADAN PROMO</t>
  </si>
  <si>
    <t>268311-1</t>
  </si>
  <si>
    <t>DUA301ZB</t>
  </si>
  <si>
    <t>781029-2</t>
  </si>
  <si>
    <t>HS7010</t>
  </si>
  <si>
    <t>322932-4</t>
  </si>
  <si>
    <t>324536-8</t>
  </si>
  <si>
    <t>317517-9</t>
  </si>
  <si>
    <t>6003DDW</t>
  </si>
  <si>
    <t>211028-5</t>
  </si>
  <si>
    <t>233110-0</t>
  </si>
  <si>
    <t>232207-2</t>
  </si>
  <si>
    <t>316883-1</t>
  </si>
  <si>
    <t>MAKITA BEARING 6003DDW 211275-8 3620</t>
  </si>
  <si>
    <t>JAN (APR)</t>
  </si>
  <si>
    <t>DUX18Z</t>
  </si>
  <si>
    <t>UA002GM102</t>
  </si>
  <si>
    <t>DPB182Z</t>
  </si>
  <si>
    <t>PV001GZ</t>
  </si>
  <si>
    <t>HR007GZ</t>
  </si>
  <si>
    <t>BO4510H</t>
  </si>
  <si>
    <t>DHR183RTWJ</t>
  </si>
  <si>
    <t>DHG180ZK</t>
  </si>
  <si>
    <t>M8103KX2B</t>
  </si>
  <si>
    <t>LD080P</t>
  </si>
  <si>
    <t>E-25046</t>
  </si>
  <si>
    <t>D-81262</t>
  </si>
  <si>
    <t>629484-9</t>
  </si>
  <si>
    <t>PR00000022</t>
  </si>
  <si>
    <t>DC LED WORKLIGHT 18V 3,000LM</t>
  </si>
  <si>
    <t>HEATING ELEMENT FOR HG6031V</t>
  </si>
  <si>
    <t>MOTOR FOR HW151</t>
  </si>
  <si>
    <t>DC MOTOR FOR DUB186/186</t>
  </si>
  <si>
    <t>T.C.T SAW BLADE 185X25.4X24T WOOD</t>
  </si>
  <si>
    <t>IMPACT BLACK RIGHT ANGLE ATTACHMENT</t>
  </si>
  <si>
    <t>MAKITA DC BAND SAW 18V 64MM DPB182Z</t>
  </si>
  <si>
    <t>MAKITA MULTIFUNCTION POW.HEAD 18V DUX18Z</t>
  </si>
  <si>
    <t>MAKITA DC POLISHER 40V BL 180MM PV001GZ</t>
  </si>
  <si>
    <t>MAKITA DC COMBI HAMMER 40V HR007GZ</t>
  </si>
  <si>
    <t>MAKITA CIRCULAR SAW HS7010 185MM</t>
  </si>
  <si>
    <t>MAKITA LASER DISTANCE MEASURE LD080P 80M</t>
  </si>
  <si>
    <t>MAKITA FINISHING SANDER110X110MM BO4510H</t>
  </si>
  <si>
    <t>MAKITA DC HAMMER 18V BL 18MM DHR183RTWJ</t>
  </si>
  <si>
    <t>MAKITA AC HAMMER DRILL 13MM M8103KX2B</t>
  </si>
  <si>
    <t>MAKITA DC HEAT GUN 18V DHG180ZK</t>
  </si>
  <si>
    <t>MAKITA DC TELESCOPIC POLE SAW UA002GM102</t>
  </si>
  <si>
    <t>J10</t>
  </si>
  <si>
    <t>MA163</t>
  </si>
  <si>
    <t>DHL</t>
  </si>
  <si>
    <t>D-07331</t>
  </si>
  <si>
    <t>422542-8</t>
  </si>
  <si>
    <t>JM27100070</t>
  </si>
  <si>
    <t>266308-4</t>
  </si>
  <si>
    <t>273515-2</t>
  </si>
  <si>
    <t>251497-8</t>
  </si>
  <si>
    <t>263046-9</t>
  </si>
  <si>
    <t>265999-8</t>
  </si>
  <si>
    <t>266048-4</t>
  </si>
  <si>
    <t>266425-0</t>
  </si>
  <si>
    <t>266459-3</t>
  </si>
  <si>
    <t>267721-9</t>
  </si>
  <si>
    <t>265586-3</t>
  </si>
  <si>
    <t>314062-5</t>
  </si>
  <si>
    <t>141E55-7</t>
  </si>
  <si>
    <t>234290-5</t>
  </si>
  <si>
    <t>251513-6</t>
  </si>
  <si>
    <t>256945-2</t>
  </si>
  <si>
    <t>257308-5</t>
  </si>
  <si>
    <t>257340-9</t>
  </si>
  <si>
    <t>257430-8</t>
  </si>
  <si>
    <t>257991-8</t>
  </si>
  <si>
    <t>259075-8</t>
  </si>
  <si>
    <t>265A78-8</t>
  </si>
  <si>
    <t>266283-4</t>
  </si>
  <si>
    <t>268094-3</t>
  </si>
  <si>
    <t>310912-2</t>
  </si>
  <si>
    <t>326268-3</t>
  </si>
  <si>
    <t>B-49703</t>
  </si>
  <si>
    <t>326270-6</t>
  </si>
  <si>
    <t>326274-8</t>
  </si>
  <si>
    <t>211326-7</t>
  </si>
  <si>
    <t>213611-4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</si>
</sst>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name val="Arial"/>
      <family val="2"/>
    </font>
    <font>
      <sz val="10"/>
      <color theme="1"/>
      <name val="Arial"/>
      <family val="2"/>
    </font>
    <font>
      <sz val="15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4" fontId="0" fillId="0" borderId="0" xfId="0" applyNumberFormat="1" applyAlignment="1">
      <alignment vertical="top"/>
    </xf>
    <xf numFmtId="0" fontId="5" fillId="0" borderId="1" xfId="0" applyFont="1" applyBorder="1"/>
    <xf numFmtId="0" fontId="1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vertical="top"/>
    </xf>
    <xf numFmtId="0" fontId="4" fillId="0" borderId="0" xfId="0" applyFont="1" applyAlignment="1">
      <alignment horizontal="right"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4" fillId="0" borderId="2" xfId="0" applyFont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3" fontId="3" fillId="2" borderId="1" xfId="0" applyNumberFormat="1" applyFont="1" applyFill="1" applyBorder="1" applyAlignment="1">
      <alignment horizontal="center" vertical="top" wrapText="1"/>
    </xf>
    <xf numFmtId="1" fontId="0" fillId="3" borderId="1" xfId="0" applyNumberFormat="1" applyFill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/>
    </xf>
    <xf numFmtId="0" fontId="0" fillId="0" borderId="0" xfId="0"/>
    <xf numFmtId="0" fontId="9" fillId="0" borderId="0" xfId="0" applyFont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7" fillId="0" borderId="1" xfId="0" applyFont="1" applyBorder="1" applyAlignment="1">
      <alignment vertical="center"/>
    </xf>
    <xf numFmtId="3" fontId="0" fillId="0" borderId="0" xfId="0" applyNumberFormat="1" applyAlignment="1">
      <alignment vertical="top"/>
    </xf>
    <xf numFmtId="0" fontId="11" fillId="4" borderId="3" xfId="0" applyFont="1" applyFill="1" applyBorder="1" applyAlignment="1">
      <alignment horizontal="center" wrapText="1"/>
    </xf>
    <xf numFmtId="0" fontId="11" fillId="6" borderId="4" xfId="0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wrapText="1"/>
    </xf>
    <xf numFmtId="0" fontId="11" fillId="4" borderId="5" xfId="0" applyFont="1" applyFill="1" applyBorder="1" applyAlignment="1">
      <alignment horizontal="center" wrapText="1"/>
    </xf>
    <xf numFmtId="0" fontId="11" fillId="6" borderId="6" xfId="0" applyFont="1" applyFill="1" applyBorder="1" applyAlignment="1">
      <alignment horizontal="center" wrapText="1"/>
    </xf>
    <xf numFmtId="0" fontId="11" fillId="4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1" fillId="3" borderId="4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/>
    </xf>
    <xf numFmtId="2" fontId="4" fillId="2" borderId="1" xfId="0" applyNumberFormat="1" applyFont="1" applyFill="1" applyBorder="1" applyAlignment="1">
      <alignment horizontal="center" vertical="top" wrapText="1"/>
    </xf>
    <xf numFmtId="2" fontId="4" fillId="0" borderId="0" xfId="0" applyNumberFormat="1" applyFont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2" fontId="1" fillId="0" borderId="2" xfId="0" applyNumberFormat="1" applyFont="1" applyBorder="1" applyAlignment="1">
      <alignment horizontal="center" vertical="top"/>
    </xf>
    <xf numFmtId="2" fontId="4" fillId="0" borderId="2" xfId="0" applyNumberFormat="1" applyFont="1" applyBorder="1" applyAlignment="1">
      <alignment horizontal="center" vertical="top"/>
    </xf>
    <xf numFmtId="1" fontId="0" fillId="0" borderId="2" xfId="0" applyNumberFormat="1" applyBorder="1" applyAlignment="1">
      <alignment horizontal="center" vertical="top"/>
    </xf>
  </cellXfs>
  <cellStyles count="2">
    <cellStyle name="Normal" xfId="0" builtinId="0"/>
    <cellStyle name="Normal 2" xfId="1" xr:uid="{619BC488-47D3-4251-958C-1BDADA357F04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B9B9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mv-my.sharepoint.com/personal/ali_ishad_sto_mv/Documents/Desktop/MAKITA%20MASTERSHEET.xlsx" TargetMode="External"/><Relationship Id="rId1" Type="http://schemas.openxmlformats.org/officeDocument/2006/relationships/externalLinkPath" Target="MAKITA%20MASTER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mv-my.sharepoint.com/personal/ali_ishad_sto_mv/Documents/Desktop/VIJAY%20LOCATION%20NEW%2011.05.24.xlsx" TargetMode="External"/><Relationship Id="rId1" Type="http://schemas.openxmlformats.org/officeDocument/2006/relationships/externalLinkPath" Target="Desktop/VIJAY%20LOCATION%20NEW%2011.0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KITA MASTERSHEET"/>
      <sheetName val="MERCH"/>
      <sheetName val="MSG PRICE"/>
      <sheetName val="NEW MSG PRICE"/>
      <sheetName val="ALTERNATIVES"/>
    </sheetNames>
    <sheetDataSet>
      <sheetData sheetId="0">
        <row r="2">
          <cell r="E2" t="str">
            <v>MODEL</v>
          </cell>
          <cell r="F2" t="str">
            <v>ART</v>
          </cell>
          <cell r="G2" t="str">
            <v>S4 CODE</v>
          </cell>
        </row>
        <row r="3">
          <cell r="E3" t="str">
            <v>M9506B</v>
          </cell>
          <cell r="F3">
            <v>10097846</v>
          </cell>
          <cell r="G3">
            <v>10018921</v>
          </cell>
        </row>
        <row r="4">
          <cell r="E4" t="str">
            <v>9556HPG</v>
          </cell>
          <cell r="F4">
            <v>10097328</v>
          </cell>
          <cell r="G4">
            <v>10018878</v>
          </cell>
        </row>
        <row r="5">
          <cell r="E5" t="str">
            <v>M4000B</v>
          </cell>
          <cell r="F5">
            <v>10097337</v>
          </cell>
          <cell r="G5">
            <v>10018892</v>
          </cell>
        </row>
        <row r="6">
          <cell r="E6" t="str">
            <v>M4001B</v>
          </cell>
          <cell r="F6">
            <v>10102690</v>
          </cell>
          <cell r="G6">
            <v>10018742</v>
          </cell>
        </row>
        <row r="7">
          <cell r="E7" t="str">
            <v>UC4041A</v>
          </cell>
          <cell r="F7">
            <v>10093960</v>
          </cell>
          <cell r="G7">
            <v>10019026</v>
          </cell>
        </row>
        <row r="8">
          <cell r="E8" t="str">
            <v>HS6600</v>
          </cell>
          <cell r="F8">
            <v>10101544</v>
          </cell>
          <cell r="G8">
            <v>10018726</v>
          </cell>
        </row>
        <row r="9">
          <cell r="E9" t="str">
            <v>M5801B</v>
          </cell>
          <cell r="F9">
            <v>10097339</v>
          </cell>
          <cell r="G9">
            <v>10018896</v>
          </cell>
        </row>
        <row r="10">
          <cell r="E10" t="str">
            <v>HR3001CJ</v>
          </cell>
          <cell r="F10">
            <v>10101530</v>
          </cell>
          <cell r="G10">
            <v>10018710</v>
          </cell>
        </row>
        <row r="11">
          <cell r="E11" t="str">
            <v>HR3011FCJ</v>
          </cell>
          <cell r="F11">
            <v>10101527</v>
          </cell>
          <cell r="G11">
            <v>10018705</v>
          </cell>
        </row>
        <row r="12">
          <cell r="E12" t="str">
            <v>PC5010C</v>
          </cell>
          <cell r="F12">
            <v>10087896</v>
          </cell>
          <cell r="G12">
            <v>10018891</v>
          </cell>
        </row>
        <row r="13">
          <cell r="E13" t="str">
            <v>M4100B</v>
          </cell>
          <cell r="F13">
            <v>10097849</v>
          </cell>
          <cell r="G13">
            <v>10018927</v>
          </cell>
        </row>
        <row r="14">
          <cell r="E14" t="str">
            <v>HM0810TA</v>
          </cell>
          <cell r="F14">
            <v>10102694</v>
          </cell>
          <cell r="G14">
            <v>10018746</v>
          </cell>
        </row>
        <row r="15">
          <cell r="E15" t="str">
            <v>GV7000C</v>
          </cell>
          <cell r="F15">
            <v>10086770</v>
          </cell>
          <cell r="G15">
            <v>10018684</v>
          </cell>
        </row>
        <row r="16">
          <cell r="E16" t="str">
            <v>M0600B</v>
          </cell>
          <cell r="F16">
            <v>10101542</v>
          </cell>
          <cell r="G16">
            <v>10018724</v>
          </cell>
        </row>
        <row r="17">
          <cell r="E17" t="str">
            <v>M9200B</v>
          </cell>
          <cell r="F17">
            <v>10097340</v>
          </cell>
          <cell r="G17">
            <v>10018898</v>
          </cell>
        </row>
        <row r="18">
          <cell r="E18" t="str">
            <v>HP0300</v>
          </cell>
          <cell r="F18">
            <v>10101541</v>
          </cell>
          <cell r="G18">
            <v>10018723</v>
          </cell>
        </row>
        <row r="19">
          <cell r="E19" t="str">
            <v>HP1230</v>
          </cell>
          <cell r="F19">
            <v>10097342</v>
          </cell>
          <cell r="G19">
            <v>10018902</v>
          </cell>
        </row>
        <row r="20">
          <cell r="E20" t="str">
            <v>M8103B</v>
          </cell>
          <cell r="F20">
            <v>10097843</v>
          </cell>
          <cell r="G20">
            <v>10018915</v>
          </cell>
        </row>
        <row r="21">
          <cell r="E21" t="str">
            <v>M8103KX2B</v>
          </cell>
          <cell r="F21">
            <v>10103829</v>
          </cell>
          <cell r="G21">
            <v>10018482</v>
          </cell>
        </row>
        <row r="22">
          <cell r="E22" t="str">
            <v>M0801B</v>
          </cell>
          <cell r="F22">
            <v>10101543</v>
          </cell>
          <cell r="G22">
            <v>10018725</v>
          </cell>
        </row>
        <row r="23">
          <cell r="E23" t="str">
            <v>M0801BX1</v>
          </cell>
          <cell r="F23">
            <v>10097847</v>
          </cell>
          <cell r="G23">
            <v>10018923</v>
          </cell>
        </row>
        <row r="24">
          <cell r="E24" t="str">
            <v>M0801GX1</v>
          </cell>
          <cell r="F24">
            <v>10089585</v>
          </cell>
          <cell r="G24">
            <v>10018959</v>
          </cell>
        </row>
        <row r="25">
          <cell r="E25" t="str">
            <v>M8100B</v>
          </cell>
          <cell r="F25">
            <v>10098951</v>
          </cell>
          <cell r="G25">
            <v>10018991</v>
          </cell>
        </row>
        <row r="26">
          <cell r="E26" t="str">
            <v>HG6530VK</v>
          </cell>
          <cell r="F26">
            <v>10089580</v>
          </cell>
          <cell r="G26">
            <v>10018949</v>
          </cell>
        </row>
        <row r="27">
          <cell r="E27" t="str">
            <v>HW132</v>
          </cell>
          <cell r="F27">
            <v>10087891</v>
          </cell>
          <cell r="G27">
            <v>10018880</v>
          </cell>
        </row>
        <row r="28">
          <cell r="E28" t="str">
            <v>M6500B</v>
          </cell>
          <cell r="F28">
            <v>10100494</v>
          </cell>
          <cell r="G28">
            <v>10018676</v>
          </cell>
        </row>
        <row r="29">
          <cell r="E29" t="str">
            <v>M4301B</v>
          </cell>
          <cell r="F29">
            <v>10097338</v>
          </cell>
          <cell r="G29">
            <v>10018894</v>
          </cell>
        </row>
        <row r="30">
          <cell r="E30" t="str">
            <v>DEK007SG</v>
          </cell>
          <cell r="F30">
            <v>10098942</v>
          </cell>
          <cell r="G30">
            <v>10018979</v>
          </cell>
        </row>
        <row r="31">
          <cell r="E31" t="str">
            <v>TM3010CX6</v>
          </cell>
          <cell r="F31">
            <v>10102691</v>
          </cell>
          <cell r="G31">
            <v>10018743</v>
          </cell>
        </row>
        <row r="32">
          <cell r="E32" t="str">
            <v>M9204B</v>
          </cell>
          <cell r="F32">
            <v>10097341</v>
          </cell>
          <cell r="G32">
            <v>10018900</v>
          </cell>
        </row>
        <row r="33">
          <cell r="E33" t="str">
            <v>HP1640K</v>
          </cell>
          <cell r="F33">
            <v>10097334</v>
          </cell>
          <cell r="G33">
            <v>10018888</v>
          </cell>
        </row>
        <row r="34">
          <cell r="E34" t="str">
            <v>M2401G</v>
          </cell>
          <cell r="F34">
            <v>10066563</v>
          </cell>
          <cell r="G34">
            <v>10018181</v>
          </cell>
        </row>
        <row r="35">
          <cell r="E35" t="str">
            <v>M6600XB</v>
          </cell>
          <cell r="F35">
            <v>10097848</v>
          </cell>
          <cell r="G35">
            <v>10018925</v>
          </cell>
        </row>
        <row r="36">
          <cell r="E36" t="str">
            <v>M1902B</v>
          </cell>
          <cell r="F36">
            <v>10097335</v>
          </cell>
          <cell r="G36">
            <v>10018890</v>
          </cell>
        </row>
        <row r="37">
          <cell r="E37" t="str">
            <v>JR3051TK</v>
          </cell>
          <cell r="F37">
            <v>10103830</v>
          </cell>
          <cell r="G37">
            <v>10018483</v>
          </cell>
        </row>
        <row r="38">
          <cell r="E38" t="str">
            <v>HR1840J</v>
          </cell>
          <cell r="F38">
            <v>10087895</v>
          </cell>
          <cell r="G38">
            <v>10018889</v>
          </cell>
        </row>
        <row r="39">
          <cell r="E39" t="str">
            <v>HR2300</v>
          </cell>
          <cell r="F39">
            <v>10102688</v>
          </cell>
          <cell r="G39">
            <v>10018740</v>
          </cell>
        </row>
        <row r="40">
          <cell r="E40" t="str">
            <v>M3600B</v>
          </cell>
          <cell r="F40">
            <v>10098941</v>
          </cell>
          <cell r="G40">
            <v>10018977</v>
          </cell>
        </row>
        <row r="41">
          <cell r="E41" t="str">
            <v>RP1800</v>
          </cell>
          <cell r="F41">
            <v>10101537</v>
          </cell>
          <cell r="G41">
            <v>10018719</v>
          </cell>
        </row>
        <row r="42">
          <cell r="E42" t="str">
            <v>HR006GZ</v>
          </cell>
          <cell r="F42">
            <v>10105247</v>
          </cell>
          <cell r="G42">
            <v>10018499</v>
          </cell>
        </row>
        <row r="43">
          <cell r="E43">
            <v>3711</v>
          </cell>
          <cell r="F43">
            <v>10101545</v>
          </cell>
          <cell r="G43">
            <v>10018727</v>
          </cell>
        </row>
        <row r="44">
          <cell r="E44" t="str">
            <v>DCW180Z</v>
          </cell>
          <cell r="F44">
            <v>10101549</v>
          </cell>
          <cell r="G44">
            <v>10018731</v>
          </cell>
        </row>
        <row r="45">
          <cell r="E45" t="str">
            <v>B-11536</v>
          </cell>
          <cell r="F45">
            <v>10088135</v>
          </cell>
          <cell r="G45">
            <v>10018920</v>
          </cell>
        </row>
        <row r="46">
          <cell r="E46" t="str">
            <v>DEK002SG</v>
          </cell>
          <cell r="F46">
            <v>10093080</v>
          </cell>
          <cell r="G46">
            <v>10019009</v>
          </cell>
        </row>
        <row r="47">
          <cell r="E47" t="str">
            <v>DA4000LR</v>
          </cell>
          <cell r="F47">
            <v>10000202</v>
          </cell>
          <cell r="G47">
            <v>10013677</v>
          </cell>
        </row>
        <row r="48">
          <cell r="E48" t="str">
            <v>M9506G</v>
          </cell>
          <cell r="F48">
            <v>10061647</v>
          </cell>
          <cell r="G48">
            <v>10018091</v>
          </cell>
        </row>
        <row r="49">
          <cell r="E49" t="str">
            <v>4114S</v>
          </cell>
          <cell r="F49">
            <v>10055562</v>
          </cell>
          <cell r="G49">
            <v>10019154</v>
          </cell>
        </row>
        <row r="50">
          <cell r="E50" t="str">
            <v>9557HPG/B</v>
          </cell>
          <cell r="F50">
            <v>10095564</v>
          </cell>
          <cell r="G50">
            <v>10018865</v>
          </cell>
        </row>
        <row r="51">
          <cell r="E51" t="str">
            <v>GA4031</v>
          </cell>
          <cell r="F51">
            <v>10002828</v>
          </cell>
          <cell r="G51">
            <v>10019666</v>
          </cell>
        </row>
        <row r="52">
          <cell r="E52" t="str">
            <v>M9509B</v>
          </cell>
          <cell r="F52">
            <v>10098940</v>
          </cell>
          <cell r="G52">
            <v>10018975</v>
          </cell>
        </row>
        <row r="53">
          <cell r="E53" t="str">
            <v>M9513G</v>
          </cell>
          <cell r="F53">
            <v>10080869</v>
          </cell>
          <cell r="G53">
            <v>10018635</v>
          </cell>
        </row>
        <row r="54">
          <cell r="E54" t="str">
            <v>M9509G</v>
          </cell>
          <cell r="F54">
            <v>10095563</v>
          </cell>
          <cell r="G54">
            <v>10018864</v>
          </cell>
        </row>
        <row r="55">
          <cell r="E55" t="str">
            <v>M9513B</v>
          </cell>
          <cell r="F55">
            <v>10095572</v>
          </cell>
          <cell r="G55">
            <v>10018873</v>
          </cell>
        </row>
        <row r="56">
          <cell r="E56" t="str">
            <v>M9512B</v>
          </cell>
          <cell r="F56">
            <v>10109708</v>
          </cell>
          <cell r="G56">
            <v>10018376</v>
          </cell>
        </row>
        <row r="57">
          <cell r="E57" t="str">
            <v>M9507G</v>
          </cell>
          <cell r="F57">
            <v>10095562</v>
          </cell>
          <cell r="G57">
            <v>10018863</v>
          </cell>
        </row>
        <row r="58">
          <cell r="E58" t="str">
            <v>GA7060</v>
          </cell>
          <cell r="F58">
            <v>10067717</v>
          </cell>
          <cell r="G58">
            <v>10018211</v>
          </cell>
        </row>
        <row r="59">
          <cell r="E59" t="str">
            <v>DGA406RTE</v>
          </cell>
          <cell r="F59">
            <v>10067721</v>
          </cell>
          <cell r="G59">
            <v>10018220</v>
          </cell>
        </row>
        <row r="60">
          <cell r="E60" t="str">
            <v>GA029GZ</v>
          </cell>
          <cell r="F60">
            <v>10101547</v>
          </cell>
          <cell r="G60">
            <v>10018729</v>
          </cell>
        </row>
        <row r="61">
          <cell r="E61" t="str">
            <v>9500NB</v>
          </cell>
          <cell r="F61">
            <v>10000292</v>
          </cell>
          <cell r="G61">
            <v>10020128</v>
          </cell>
        </row>
        <row r="62">
          <cell r="E62" t="str">
            <v>9553NB</v>
          </cell>
          <cell r="F62">
            <v>10000295</v>
          </cell>
          <cell r="G62">
            <v>10020131</v>
          </cell>
        </row>
        <row r="63">
          <cell r="E63" t="str">
            <v>9554NB</v>
          </cell>
          <cell r="F63">
            <v>10000297</v>
          </cell>
          <cell r="G63">
            <v>10020133</v>
          </cell>
        </row>
        <row r="64">
          <cell r="E64" t="str">
            <v>9556HNG</v>
          </cell>
          <cell r="F64">
            <v>10084322</v>
          </cell>
          <cell r="G64">
            <v>10018652</v>
          </cell>
        </row>
        <row r="65">
          <cell r="E65" t="str">
            <v>9556NB</v>
          </cell>
          <cell r="F65">
            <v>10000296</v>
          </cell>
          <cell r="G65">
            <v>10020132</v>
          </cell>
        </row>
        <row r="66">
          <cell r="E66" t="str">
            <v>9556PB</v>
          </cell>
          <cell r="F66">
            <v>10000302</v>
          </cell>
          <cell r="G66">
            <v>10020138</v>
          </cell>
        </row>
        <row r="67">
          <cell r="E67" t="str">
            <v>9556PBG</v>
          </cell>
          <cell r="F67">
            <v>10039024</v>
          </cell>
          <cell r="G67">
            <v>10019281</v>
          </cell>
        </row>
        <row r="68">
          <cell r="E68" t="str">
            <v>GA4040C</v>
          </cell>
          <cell r="F68">
            <v>10042349</v>
          </cell>
          <cell r="G68">
            <v>10019308</v>
          </cell>
        </row>
        <row r="69">
          <cell r="E69" t="str">
            <v>GA4530</v>
          </cell>
          <cell r="F69">
            <v>10021302</v>
          </cell>
          <cell r="G69">
            <v>10019637</v>
          </cell>
        </row>
        <row r="70">
          <cell r="E70" t="str">
            <v>GA5010</v>
          </cell>
          <cell r="F70">
            <v>10000300</v>
          </cell>
          <cell r="G70">
            <v>10020136</v>
          </cell>
        </row>
        <row r="71">
          <cell r="E71" t="str">
            <v>GA6010</v>
          </cell>
          <cell r="F71">
            <v>10000301</v>
          </cell>
          <cell r="G71">
            <v>10020137</v>
          </cell>
        </row>
        <row r="72">
          <cell r="E72" t="str">
            <v>GA7020</v>
          </cell>
          <cell r="F72">
            <v>10000291</v>
          </cell>
          <cell r="G72">
            <v>10020127</v>
          </cell>
        </row>
        <row r="73">
          <cell r="E73" t="str">
            <v>GA9020</v>
          </cell>
          <cell r="F73">
            <v>10063274</v>
          </cell>
          <cell r="G73">
            <v>10018156</v>
          </cell>
        </row>
        <row r="74">
          <cell r="E74" t="str">
            <v>DVC260Z</v>
          </cell>
          <cell r="F74">
            <v>10061650</v>
          </cell>
          <cell r="G74">
            <v>10018094</v>
          </cell>
        </row>
        <row r="75">
          <cell r="E75" t="str">
            <v>LB1200F</v>
          </cell>
          <cell r="F75">
            <v>10049179</v>
          </cell>
          <cell r="G75">
            <v>10019236</v>
          </cell>
        </row>
        <row r="76">
          <cell r="E76">
            <v>9401</v>
          </cell>
          <cell r="F76">
            <v>10000281</v>
          </cell>
          <cell r="G76">
            <v>10020117</v>
          </cell>
        </row>
        <row r="77">
          <cell r="E77" t="str">
            <v>9924DB</v>
          </cell>
          <cell r="F77">
            <v>10000282</v>
          </cell>
          <cell r="G77">
            <v>10020118</v>
          </cell>
        </row>
        <row r="78">
          <cell r="E78" t="str">
            <v>GB602</v>
          </cell>
          <cell r="F78">
            <v>10000298</v>
          </cell>
          <cell r="G78">
            <v>10020134</v>
          </cell>
        </row>
        <row r="79">
          <cell r="E79" t="str">
            <v>GB801</v>
          </cell>
          <cell r="F79">
            <v>10000299</v>
          </cell>
          <cell r="G79">
            <v>10020135</v>
          </cell>
        </row>
        <row r="80">
          <cell r="E80" t="str">
            <v>9553HNG</v>
          </cell>
          <cell r="F80">
            <v>10105240</v>
          </cell>
          <cell r="G80">
            <v>10018492</v>
          </cell>
        </row>
        <row r="81">
          <cell r="E81" t="str">
            <v>DUB182Z</v>
          </cell>
          <cell r="F81">
            <v>10002846</v>
          </cell>
          <cell r="G81">
            <v>10019692</v>
          </cell>
        </row>
        <row r="82">
          <cell r="E82" t="str">
            <v>M4000G</v>
          </cell>
          <cell r="F82">
            <v>10059567</v>
          </cell>
          <cell r="G82">
            <v>10019055</v>
          </cell>
        </row>
        <row r="83">
          <cell r="E83" t="str">
            <v>UB1100</v>
          </cell>
          <cell r="F83">
            <v>10000284</v>
          </cell>
          <cell r="G83">
            <v>10020120</v>
          </cell>
        </row>
        <row r="84">
          <cell r="E84" t="str">
            <v>UB1101</v>
          </cell>
          <cell r="F84">
            <v>10000285</v>
          </cell>
          <cell r="G84">
            <v>10020121</v>
          </cell>
        </row>
        <row r="85">
          <cell r="E85" t="str">
            <v>UB1102</v>
          </cell>
          <cell r="F85">
            <v>10058384</v>
          </cell>
          <cell r="G85">
            <v>10019046</v>
          </cell>
        </row>
        <row r="86">
          <cell r="E86" t="str">
            <v>UB1103</v>
          </cell>
          <cell r="F86">
            <v>10055546</v>
          </cell>
          <cell r="G86">
            <v>10019144</v>
          </cell>
        </row>
        <row r="87">
          <cell r="E87" t="str">
            <v>DEK006SG</v>
          </cell>
          <cell r="F87">
            <v>10093083</v>
          </cell>
          <cell r="G87">
            <v>10019015</v>
          </cell>
        </row>
        <row r="88">
          <cell r="E88" t="str">
            <v>DEK004SG</v>
          </cell>
          <cell r="F88">
            <v>10093081</v>
          </cell>
          <cell r="G88">
            <v>10019011</v>
          </cell>
        </row>
        <row r="89">
          <cell r="E89" t="str">
            <v>DEK005SG</v>
          </cell>
          <cell r="F89">
            <v>10093082</v>
          </cell>
          <cell r="G89">
            <v>10019013</v>
          </cell>
        </row>
        <row r="90">
          <cell r="E90" t="str">
            <v>DEK009SG</v>
          </cell>
          <cell r="F90">
            <v>10097851</v>
          </cell>
          <cell r="G90">
            <v>10018931</v>
          </cell>
        </row>
        <row r="91">
          <cell r="E91" t="str">
            <v>EBH340R</v>
          </cell>
          <cell r="F91">
            <v>10000310</v>
          </cell>
          <cell r="G91">
            <v>10019988</v>
          </cell>
        </row>
        <row r="92">
          <cell r="E92" t="str">
            <v>198494-2</v>
          </cell>
          <cell r="F92">
            <v>10090096</v>
          </cell>
          <cell r="G92">
            <v>10018988</v>
          </cell>
        </row>
        <row r="93">
          <cell r="E93" t="str">
            <v>199116-7</v>
          </cell>
          <cell r="F93">
            <v>10090097</v>
          </cell>
          <cell r="G93">
            <v>10018990</v>
          </cell>
        </row>
        <row r="94">
          <cell r="E94" t="str">
            <v>DUC254Z</v>
          </cell>
          <cell r="F94">
            <v>10080383</v>
          </cell>
          <cell r="G94">
            <v>10018623</v>
          </cell>
        </row>
        <row r="95">
          <cell r="E95" t="str">
            <v>EA6100P60E</v>
          </cell>
          <cell r="F95">
            <v>10094359</v>
          </cell>
          <cell r="G95">
            <v>10018861</v>
          </cell>
        </row>
        <row r="96">
          <cell r="E96" t="str">
            <v>5606B</v>
          </cell>
          <cell r="F96">
            <v>10000242</v>
          </cell>
          <cell r="G96">
            <v>10013715</v>
          </cell>
        </row>
        <row r="97">
          <cell r="E97" t="str">
            <v>DHS630Z</v>
          </cell>
          <cell r="F97">
            <v>10095567</v>
          </cell>
          <cell r="G97">
            <v>10018868</v>
          </cell>
        </row>
        <row r="98">
          <cell r="E98" t="str">
            <v>5008MG</v>
          </cell>
          <cell r="F98">
            <v>10000245</v>
          </cell>
          <cell r="G98">
            <v>10013719</v>
          </cell>
        </row>
        <row r="99">
          <cell r="E99" t="str">
            <v>5103N</v>
          </cell>
          <cell r="F99">
            <v>10000238</v>
          </cell>
          <cell r="G99">
            <v>10013710</v>
          </cell>
        </row>
        <row r="100">
          <cell r="E100" t="str">
            <v>5201N</v>
          </cell>
          <cell r="F100">
            <v>10000244</v>
          </cell>
          <cell r="G100">
            <v>10013717</v>
          </cell>
        </row>
        <row r="101">
          <cell r="E101">
            <v>5402</v>
          </cell>
          <cell r="F101">
            <v>10000240</v>
          </cell>
          <cell r="G101">
            <v>10013712</v>
          </cell>
        </row>
        <row r="102">
          <cell r="E102" t="str">
            <v>5806B</v>
          </cell>
          <cell r="F102">
            <v>10000243</v>
          </cell>
          <cell r="G102">
            <v>10013716</v>
          </cell>
        </row>
        <row r="103">
          <cell r="E103" t="str">
            <v>N5900B</v>
          </cell>
          <cell r="F103">
            <v>10000241</v>
          </cell>
          <cell r="G103">
            <v>10013713</v>
          </cell>
        </row>
        <row r="104">
          <cell r="E104" t="str">
            <v>UC015GT101</v>
          </cell>
          <cell r="F104">
            <v>10105255</v>
          </cell>
          <cell r="G104">
            <v>10018507</v>
          </cell>
        </row>
        <row r="105">
          <cell r="E105" t="str">
            <v>UC015GZ</v>
          </cell>
          <cell r="F105">
            <v>10105249</v>
          </cell>
          <cell r="G105">
            <v>10018501</v>
          </cell>
        </row>
        <row r="106">
          <cell r="E106" t="str">
            <v>CL106FDSAW</v>
          </cell>
          <cell r="F106">
            <v>10103800</v>
          </cell>
          <cell r="G106">
            <v>10018440</v>
          </cell>
        </row>
        <row r="107">
          <cell r="E107" t="str">
            <v>CG100DZA</v>
          </cell>
          <cell r="F107">
            <v>10065752</v>
          </cell>
          <cell r="G107">
            <v>10018174</v>
          </cell>
        </row>
        <row r="108">
          <cell r="E108" t="str">
            <v>DSS610RTE</v>
          </cell>
          <cell r="F108">
            <v>10076823</v>
          </cell>
          <cell r="G108">
            <v>10018590</v>
          </cell>
        </row>
        <row r="109">
          <cell r="E109" t="str">
            <v>CLX303SAX3</v>
          </cell>
          <cell r="F109">
            <v>10064969</v>
          </cell>
          <cell r="G109">
            <v>10018163</v>
          </cell>
        </row>
        <row r="110">
          <cell r="E110" t="str">
            <v>BDF452RHE</v>
          </cell>
          <cell r="F110">
            <v>10000176</v>
          </cell>
          <cell r="G110">
            <v>10013661</v>
          </cell>
        </row>
        <row r="111">
          <cell r="E111" t="str">
            <v>DDF482RFE</v>
          </cell>
          <cell r="F111">
            <v>10063215</v>
          </cell>
          <cell r="G111">
            <v>10018153</v>
          </cell>
        </row>
        <row r="112">
          <cell r="E112" t="str">
            <v>DF001DW</v>
          </cell>
          <cell r="F112">
            <v>10065731</v>
          </cell>
          <cell r="G112">
            <v>10018171</v>
          </cell>
        </row>
        <row r="113">
          <cell r="E113" t="str">
            <v>DF030DWE</v>
          </cell>
          <cell r="F113">
            <v>10000179</v>
          </cell>
          <cell r="G113">
            <v>10013664</v>
          </cell>
        </row>
        <row r="114">
          <cell r="E114" t="str">
            <v>DF332DSAE</v>
          </cell>
          <cell r="F114">
            <v>10062905</v>
          </cell>
          <cell r="G114">
            <v>10018105</v>
          </cell>
        </row>
        <row r="115">
          <cell r="E115" t="str">
            <v>DHP481RFE</v>
          </cell>
          <cell r="F115">
            <v>10046363</v>
          </cell>
          <cell r="G115">
            <v>10019184</v>
          </cell>
        </row>
        <row r="116">
          <cell r="E116" t="str">
            <v>DHP482RFE</v>
          </cell>
          <cell r="F116">
            <v>10061268</v>
          </cell>
          <cell r="G116">
            <v>10018048</v>
          </cell>
        </row>
        <row r="117">
          <cell r="E117" t="str">
            <v>DHP482RFX1</v>
          </cell>
          <cell r="F117">
            <v>10065730</v>
          </cell>
          <cell r="G117">
            <v>10018170</v>
          </cell>
        </row>
        <row r="118">
          <cell r="E118" t="str">
            <v>DHP482RTE</v>
          </cell>
          <cell r="F118">
            <v>10061270</v>
          </cell>
          <cell r="G118">
            <v>10018052</v>
          </cell>
        </row>
        <row r="119">
          <cell r="E119" t="str">
            <v>HP332DSAE</v>
          </cell>
          <cell r="F119">
            <v>10062907</v>
          </cell>
          <cell r="G119">
            <v>10018110</v>
          </cell>
        </row>
        <row r="120">
          <cell r="E120" t="str">
            <v>HR007GM201</v>
          </cell>
          <cell r="F120">
            <v>10105254</v>
          </cell>
          <cell r="G120">
            <v>10018506</v>
          </cell>
        </row>
        <row r="121">
          <cell r="E121" t="str">
            <v>HR003GZ</v>
          </cell>
          <cell r="F121">
            <v>10105246</v>
          </cell>
          <cell r="G121">
            <v>10018498</v>
          </cell>
        </row>
        <row r="122">
          <cell r="E122" t="str">
            <v>DHP482Z</v>
          </cell>
          <cell r="F122">
            <v>10105235</v>
          </cell>
          <cell r="G122">
            <v>10018487</v>
          </cell>
        </row>
        <row r="123">
          <cell r="E123" t="str">
            <v>HP002GD201</v>
          </cell>
          <cell r="F123">
            <v>10105237</v>
          </cell>
          <cell r="G123">
            <v>10018489</v>
          </cell>
        </row>
        <row r="124">
          <cell r="E124" t="str">
            <v>DTD155RFEB</v>
          </cell>
          <cell r="F124">
            <v>10076824</v>
          </cell>
          <cell r="G124">
            <v>10018591</v>
          </cell>
        </row>
        <row r="125">
          <cell r="E125" t="str">
            <v>DTD171RTJ</v>
          </cell>
          <cell r="F125">
            <v>10084321</v>
          </cell>
          <cell r="G125">
            <v>10018651</v>
          </cell>
        </row>
        <row r="126">
          <cell r="E126" t="str">
            <v>BTD142RHE</v>
          </cell>
          <cell r="F126">
            <v>10000177</v>
          </cell>
          <cell r="G126">
            <v>10013662</v>
          </cell>
        </row>
        <row r="127">
          <cell r="E127" t="str">
            <v>DTD152RFE</v>
          </cell>
          <cell r="F127">
            <v>10061269</v>
          </cell>
          <cell r="G127">
            <v>10018050</v>
          </cell>
        </row>
        <row r="128">
          <cell r="E128" t="str">
            <v>DTW450RTE</v>
          </cell>
          <cell r="F128">
            <v>10060483</v>
          </cell>
          <cell r="G128">
            <v>10018046</v>
          </cell>
        </row>
        <row r="129">
          <cell r="E129" t="str">
            <v>TD020DSW</v>
          </cell>
          <cell r="F129">
            <v>10000214</v>
          </cell>
          <cell r="G129">
            <v>10013689</v>
          </cell>
        </row>
        <row r="130">
          <cell r="E130" t="str">
            <v>TD090DWE</v>
          </cell>
          <cell r="F130">
            <v>10000180</v>
          </cell>
          <cell r="G130">
            <v>10013665</v>
          </cell>
        </row>
        <row r="131">
          <cell r="E131" t="str">
            <v>TD111DSAE</v>
          </cell>
          <cell r="F131">
            <v>10062908</v>
          </cell>
          <cell r="G131">
            <v>10018112</v>
          </cell>
        </row>
        <row r="132">
          <cell r="E132" t="str">
            <v>JV101DZ</v>
          </cell>
          <cell r="F132">
            <v>10062898</v>
          </cell>
          <cell r="G132">
            <v>10018136</v>
          </cell>
        </row>
        <row r="133">
          <cell r="E133" t="str">
            <v>DCS552Z</v>
          </cell>
          <cell r="F133">
            <v>10084317</v>
          </cell>
          <cell r="G133">
            <v>10018647</v>
          </cell>
        </row>
        <row r="134">
          <cell r="E134" t="str">
            <v>8271DWPE</v>
          </cell>
          <cell r="F134">
            <v>10000183</v>
          </cell>
          <cell r="G134">
            <v>10013668</v>
          </cell>
        </row>
        <row r="135">
          <cell r="E135" t="str">
            <v>8414DWAE</v>
          </cell>
          <cell r="F135">
            <v>10000199</v>
          </cell>
          <cell r="G135">
            <v>10013674</v>
          </cell>
        </row>
        <row r="136">
          <cell r="E136" t="str">
            <v>DJR186RTE</v>
          </cell>
          <cell r="F136">
            <v>10062904</v>
          </cell>
          <cell r="G136">
            <v>10018148</v>
          </cell>
        </row>
        <row r="137">
          <cell r="E137" t="str">
            <v>DJR188RFJ</v>
          </cell>
          <cell r="F137">
            <v>10076827</v>
          </cell>
          <cell r="G137">
            <v>10018594</v>
          </cell>
        </row>
        <row r="138">
          <cell r="E138" t="str">
            <v>BHR202RFE</v>
          </cell>
          <cell r="F138">
            <v>10000212</v>
          </cell>
          <cell r="G138">
            <v>10013687</v>
          </cell>
        </row>
        <row r="139">
          <cell r="E139" t="str">
            <v>BHR241RFE</v>
          </cell>
          <cell r="F139">
            <v>10000213</v>
          </cell>
          <cell r="G139">
            <v>10013688</v>
          </cell>
        </row>
        <row r="140">
          <cell r="E140" t="str">
            <v>6723DW</v>
          </cell>
          <cell r="F140">
            <v>10000181</v>
          </cell>
          <cell r="G140">
            <v>10013666</v>
          </cell>
        </row>
        <row r="141">
          <cell r="E141" t="str">
            <v>DLS600Z</v>
          </cell>
          <cell r="F141">
            <v>10084318</v>
          </cell>
          <cell r="G141">
            <v>10018648</v>
          </cell>
        </row>
        <row r="142">
          <cell r="E142" t="str">
            <v>DLS714R</v>
          </cell>
          <cell r="F142">
            <v>10063273</v>
          </cell>
          <cell r="G142">
            <v>10018155</v>
          </cell>
        </row>
        <row r="143">
          <cell r="E143" t="str">
            <v>DHR242Z</v>
          </cell>
          <cell r="F143">
            <v>10101540</v>
          </cell>
          <cell r="G143">
            <v>10018722</v>
          </cell>
        </row>
        <row r="144">
          <cell r="E144" t="str">
            <v>DHR202RTE</v>
          </cell>
          <cell r="F144">
            <v>10080381</v>
          </cell>
          <cell r="G144">
            <v>10018621</v>
          </cell>
        </row>
        <row r="145">
          <cell r="E145" t="str">
            <v>HR2630X3</v>
          </cell>
          <cell r="F145">
            <v>10067147</v>
          </cell>
          <cell r="G145">
            <v>10018187</v>
          </cell>
        </row>
        <row r="146">
          <cell r="E146" t="str">
            <v>DHR242RTE</v>
          </cell>
          <cell r="F146">
            <v>10061275</v>
          </cell>
          <cell r="G146">
            <v>10018061</v>
          </cell>
        </row>
        <row r="147">
          <cell r="E147" t="str">
            <v>CLX224SAX1</v>
          </cell>
          <cell r="F147">
            <v>10084715</v>
          </cell>
          <cell r="G147">
            <v>10018660</v>
          </cell>
        </row>
        <row r="148">
          <cell r="E148" t="str">
            <v>DLX2085M</v>
          </cell>
          <cell r="F148">
            <v>10056229</v>
          </cell>
          <cell r="G148">
            <v>10019169</v>
          </cell>
        </row>
        <row r="149">
          <cell r="E149" t="str">
            <v>LCT204</v>
          </cell>
          <cell r="F149">
            <v>10037182</v>
          </cell>
          <cell r="G149">
            <v>10019445</v>
          </cell>
        </row>
        <row r="150">
          <cell r="E150" t="str">
            <v>M2300B</v>
          </cell>
          <cell r="F150">
            <v>10100495</v>
          </cell>
          <cell r="G150">
            <v>10018678</v>
          </cell>
        </row>
        <row r="151">
          <cell r="E151" t="str">
            <v>LS1040</v>
          </cell>
          <cell r="F151">
            <v>10000249</v>
          </cell>
          <cell r="G151">
            <v>10013721</v>
          </cell>
        </row>
        <row r="152">
          <cell r="E152" t="str">
            <v>LS1045</v>
          </cell>
          <cell r="F152">
            <v>10000250</v>
          </cell>
          <cell r="G152">
            <v>10013723</v>
          </cell>
        </row>
        <row r="153">
          <cell r="E153" t="str">
            <v>DCL180Z</v>
          </cell>
          <cell r="F153">
            <v>10045802</v>
          </cell>
          <cell r="G153">
            <v>10019174</v>
          </cell>
        </row>
        <row r="154">
          <cell r="E154" t="str">
            <v>DHP481RTE</v>
          </cell>
          <cell r="F154">
            <v>10059568</v>
          </cell>
          <cell r="G154">
            <v>10019056</v>
          </cell>
        </row>
        <row r="155">
          <cell r="E155" t="str">
            <v>DTD152RTE</v>
          </cell>
          <cell r="F155">
            <v>10061645</v>
          </cell>
          <cell r="G155">
            <v>10018089</v>
          </cell>
        </row>
        <row r="156">
          <cell r="E156" t="str">
            <v>BCS550Z</v>
          </cell>
          <cell r="F156">
            <v>10037169</v>
          </cell>
          <cell r="G156">
            <v>10019418</v>
          </cell>
        </row>
        <row r="157">
          <cell r="E157" t="str">
            <v>DJV182Z</v>
          </cell>
          <cell r="F157">
            <v>10055017</v>
          </cell>
          <cell r="G157">
            <v>10019142</v>
          </cell>
        </row>
        <row r="158">
          <cell r="E158" t="str">
            <v>LW1401</v>
          </cell>
          <cell r="F158">
            <v>10058964</v>
          </cell>
          <cell r="G158">
            <v>10019051</v>
          </cell>
        </row>
        <row r="159">
          <cell r="E159" t="str">
            <v>2416S</v>
          </cell>
          <cell r="F159">
            <v>10000305</v>
          </cell>
          <cell r="G159">
            <v>10019975</v>
          </cell>
        </row>
        <row r="160">
          <cell r="E160" t="str">
            <v>M4100G</v>
          </cell>
          <cell r="F160">
            <v>10070757</v>
          </cell>
          <cell r="G160">
            <v>10018559</v>
          </cell>
        </row>
        <row r="161">
          <cell r="E161" t="str">
            <v>4100NH</v>
          </cell>
          <cell r="F161">
            <v>10002036</v>
          </cell>
          <cell r="G161">
            <v>10019992</v>
          </cell>
        </row>
        <row r="162">
          <cell r="E162" t="str">
            <v>EK105DSG</v>
          </cell>
          <cell r="F162">
            <v>10087679</v>
          </cell>
          <cell r="G162">
            <v>10018711</v>
          </cell>
        </row>
        <row r="163">
          <cell r="E163" t="str">
            <v>DEK801SG</v>
          </cell>
          <cell r="F163">
            <v>10087678</v>
          </cell>
          <cell r="G163">
            <v>10018709</v>
          </cell>
        </row>
        <row r="164">
          <cell r="E164" t="str">
            <v>DGA406Z</v>
          </cell>
          <cell r="F164">
            <v>10100493</v>
          </cell>
          <cell r="G164">
            <v>10018672</v>
          </cell>
        </row>
        <row r="165">
          <cell r="E165" t="str">
            <v>DGA413RTE</v>
          </cell>
          <cell r="F165">
            <v>10101532</v>
          </cell>
          <cell r="G165">
            <v>10018714</v>
          </cell>
        </row>
        <row r="166">
          <cell r="E166" t="str">
            <v>DGA413Z</v>
          </cell>
          <cell r="F166">
            <v>10097331</v>
          </cell>
          <cell r="G166">
            <v>10018883</v>
          </cell>
        </row>
        <row r="167">
          <cell r="E167" t="str">
            <v>GA003GD201</v>
          </cell>
          <cell r="F167">
            <v>10093079</v>
          </cell>
          <cell r="G167">
            <v>10019007</v>
          </cell>
        </row>
        <row r="168">
          <cell r="E168" t="str">
            <v>GA003GZ</v>
          </cell>
          <cell r="F168">
            <v>10093074</v>
          </cell>
          <cell r="G168">
            <v>10018997</v>
          </cell>
        </row>
        <row r="169">
          <cell r="E169" t="str">
            <v>DUB184Z</v>
          </cell>
          <cell r="F169">
            <v>10089590</v>
          </cell>
          <cell r="G169">
            <v>10018968</v>
          </cell>
        </row>
        <row r="170">
          <cell r="E170" t="str">
            <v>DUB185Z</v>
          </cell>
          <cell r="F170">
            <v>10097842</v>
          </cell>
          <cell r="G170">
            <v>10018913</v>
          </cell>
        </row>
        <row r="171">
          <cell r="E171" t="str">
            <v>DUB186Z</v>
          </cell>
          <cell r="F171">
            <v>10098939</v>
          </cell>
          <cell r="G171">
            <v>10018973</v>
          </cell>
        </row>
        <row r="172">
          <cell r="E172" t="str">
            <v>DUB362Z</v>
          </cell>
          <cell r="F172">
            <v>10087894</v>
          </cell>
          <cell r="G172">
            <v>10018886</v>
          </cell>
        </row>
        <row r="173">
          <cell r="E173" t="str">
            <v>DUC353Z</v>
          </cell>
          <cell r="F173">
            <v>10070212</v>
          </cell>
          <cell r="G173">
            <v>10018542</v>
          </cell>
        </row>
        <row r="174">
          <cell r="E174" t="str">
            <v>DUC353ZB</v>
          </cell>
          <cell r="F174">
            <v>10101533</v>
          </cell>
          <cell r="G174">
            <v>10018715</v>
          </cell>
        </row>
        <row r="175">
          <cell r="E175" t="str">
            <v>DUC306ZB</v>
          </cell>
          <cell r="F175">
            <v>10089575</v>
          </cell>
          <cell r="G175">
            <v>10018940</v>
          </cell>
        </row>
        <row r="176">
          <cell r="E176" t="str">
            <v>DSS610Z</v>
          </cell>
          <cell r="F176">
            <v>10101526</v>
          </cell>
          <cell r="G176">
            <v>10018703</v>
          </cell>
        </row>
        <row r="177">
          <cell r="E177" t="str">
            <v>DHS660Z</v>
          </cell>
          <cell r="F177">
            <v>10101522</v>
          </cell>
          <cell r="G177">
            <v>10018695</v>
          </cell>
        </row>
        <row r="178">
          <cell r="E178" t="str">
            <v>HS003GZ</v>
          </cell>
          <cell r="F178">
            <v>10093084</v>
          </cell>
          <cell r="G178">
            <v>10019018</v>
          </cell>
        </row>
        <row r="179">
          <cell r="E179" t="str">
            <v>CL121DZ</v>
          </cell>
          <cell r="F179">
            <v>10089576</v>
          </cell>
          <cell r="G179">
            <v>10018942</v>
          </cell>
        </row>
        <row r="180">
          <cell r="E180" t="str">
            <v>CL280FZB</v>
          </cell>
          <cell r="F180">
            <v>10089589</v>
          </cell>
          <cell r="G180">
            <v>10018967</v>
          </cell>
        </row>
        <row r="181">
          <cell r="E181" t="str">
            <v>CL281FZB</v>
          </cell>
          <cell r="F181">
            <v>10089581</v>
          </cell>
          <cell r="G181">
            <v>10018951</v>
          </cell>
        </row>
        <row r="182">
          <cell r="E182" t="str">
            <v>CL281FZW</v>
          </cell>
          <cell r="F182">
            <v>10089573</v>
          </cell>
          <cell r="G182">
            <v>10018936</v>
          </cell>
        </row>
        <row r="183">
          <cell r="E183" t="str">
            <v>DCL180FRFW</v>
          </cell>
          <cell r="F183">
            <v>10101535</v>
          </cell>
          <cell r="G183">
            <v>10018717</v>
          </cell>
        </row>
        <row r="184">
          <cell r="E184" t="str">
            <v>DCL180ZB</v>
          </cell>
          <cell r="F184">
            <v>10101548</v>
          </cell>
          <cell r="G184">
            <v>10018730</v>
          </cell>
        </row>
        <row r="185">
          <cell r="E185" t="str">
            <v>CL001GZ</v>
          </cell>
          <cell r="F185">
            <v>10102696</v>
          </cell>
          <cell r="G185">
            <v>10018748</v>
          </cell>
        </row>
        <row r="186">
          <cell r="E186" t="str">
            <v>DCL280FZW</v>
          </cell>
          <cell r="F186">
            <v>10086776</v>
          </cell>
          <cell r="G186">
            <v>10018696</v>
          </cell>
        </row>
        <row r="187">
          <cell r="E187" t="str">
            <v>CLX210SAX1</v>
          </cell>
          <cell r="F187">
            <v>10087892</v>
          </cell>
          <cell r="G187">
            <v>10018882</v>
          </cell>
        </row>
        <row r="188">
          <cell r="E188" t="str">
            <v>CLX308SAX3</v>
          </cell>
          <cell r="F188">
            <v>10097330</v>
          </cell>
          <cell r="G188">
            <v>10018881</v>
          </cell>
        </row>
        <row r="189">
          <cell r="E189" t="str">
            <v>DLX2202TJ1</v>
          </cell>
          <cell r="F189">
            <v>10097332</v>
          </cell>
          <cell r="G189">
            <v>10018885</v>
          </cell>
        </row>
        <row r="190">
          <cell r="E190" t="str">
            <v>DLX2198J</v>
          </cell>
          <cell r="F190">
            <v>10087893</v>
          </cell>
          <cell r="G190">
            <v>10018884</v>
          </cell>
        </row>
        <row r="191">
          <cell r="E191" t="str">
            <v>DLX2209TJ</v>
          </cell>
          <cell r="F191">
            <v>10070761</v>
          </cell>
          <cell r="G191">
            <v>10018563</v>
          </cell>
        </row>
        <row r="192">
          <cell r="E192" t="str">
            <v>SD100DSAJ</v>
          </cell>
          <cell r="F192">
            <v>10070760</v>
          </cell>
          <cell r="G192">
            <v>10018562</v>
          </cell>
        </row>
        <row r="193">
          <cell r="E193" t="str">
            <v>DLW140Z</v>
          </cell>
          <cell r="F193">
            <v>10086774</v>
          </cell>
          <cell r="G193">
            <v>10018692</v>
          </cell>
        </row>
        <row r="194">
          <cell r="E194" t="str">
            <v>DCC500RTE</v>
          </cell>
          <cell r="F194">
            <v>10098937</v>
          </cell>
          <cell r="G194">
            <v>10018969</v>
          </cell>
        </row>
        <row r="195">
          <cell r="E195" t="str">
            <v>DF333DSAE</v>
          </cell>
          <cell r="F195">
            <v>10089572</v>
          </cell>
          <cell r="G195">
            <v>10018934</v>
          </cell>
        </row>
        <row r="196">
          <cell r="E196" t="str">
            <v>DF333DSME</v>
          </cell>
          <cell r="F196">
            <v>10089571</v>
          </cell>
          <cell r="G196">
            <v>10018932</v>
          </cell>
        </row>
        <row r="197">
          <cell r="E197" t="str">
            <v>DDF482Z</v>
          </cell>
          <cell r="F197">
            <v>10101528</v>
          </cell>
          <cell r="G197">
            <v>10018707</v>
          </cell>
        </row>
        <row r="198">
          <cell r="E198" t="str">
            <v>DF001GD201</v>
          </cell>
          <cell r="F198">
            <v>10093071</v>
          </cell>
          <cell r="G198">
            <v>10018992</v>
          </cell>
        </row>
        <row r="199">
          <cell r="E199" t="str">
            <v>DF001GZ</v>
          </cell>
          <cell r="F199">
            <v>10093072</v>
          </cell>
          <cell r="G199">
            <v>10018995</v>
          </cell>
        </row>
        <row r="200">
          <cell r="E200" t="str">
            <v>DDF453SFX7</v>
          </cell>
          <cell r="F200">
            <v>10086771</v>
          </cell>
          <cell r="G200">
            <v>10018686</v>
          </cell>
        </row>
        <row r="201">
          <cell r="E201" t="str">
            <v>DDF482RTE</v>
          </cell>
          <cell r="F201">
            <v>10059336</v>
          </cell>
          <cell r="G201">
            <v>10019054</v>
          </cell>
        </row>
        <row r="202">
          <cell r="E202" t="str">
            <v>DSL800Z</v>
          </cell>
          <cell r="F202">
            <v>10089588</v>
          </cell>
          <cell r="G202">
            <v>10018965</v>
          </cell>
        </row>
        <row r="203">
          <cell r="E203" t="str">
            <v>AS001GZ02</v>
          </cell>
          <cell r="F203">
            <v>10102695</v>
          </cell>
          <cell r="G203">
            <v>10018747</v>
          </cell>
        </row>
        <row r="204">
          <cell r="E204" t="str">
            <v>DDG460ZX4</v>
          </cell>
          <cell r="F204">
            <v>10098943</v>
          </cell>
          <cell r="G204">
            <v>10018981</v>
          </cell>
        </row>
        <row r="205">
          <cell r="E205" t="str">
            <v>DBO380Z</v>
          </cell>
          <cell r="F205">
            <v>10102697</v>
          </cell>
          <cell r="G205">
            <v>10018750</v>
          </cell>
        </row>
        <row r="206">
          <cell r="E206" t="str">
            <v>DUR192LZ</v>
          </cell>
          <cell r="F206">
            <v>10102699</v>
          </cell>
          <cell r="G206">
            <v>10018753</v>
          </cell>
        </row>
        <row r="207">
          <cell r="E207" t="str">
            <v>UR008GZ01</v>
          </cell>
          <cell r="F207">
            <v>10102702</v>
          </cell>
          <cell r="G207">
            <v>10018760</v>
          </cell>
        </row>
        <row r="208">
          <cell r="E208" t="str">
            <v>UR100DZ</v>
          </cell>
          <cell r="F208">
            <v>10086780</v>
          </cell>
          <cell r="G208">
            <v>10018704</v>
          </cell>
        </row>
        <row r="209">
          <cell r="E209" t="str">
            <v>DHR281ZJ</v>
          </cell>
          <cell r="F209">
            <v>10089574</v>
          </cell>
          <cell r="G209">
            <v>10018938</v>
          </cell>
        </row>
        <row r="210">
          <cell r="E210" t="str">
            <v>DHR280PG2J</v>
          </cell>
          <cell r="F210">
            <v>10089583</v>
          </cell>
          <cell r="G210">
            <v>10018955</v>
          </cell>
        </row>
        <row r="211">
          <cell r="E211" t="str">
            <v>HP347DWE</v>
          </cell>
          <cell r="F211">
            <v>10093958</v>
          </cell>
          <cell r="G211">
            <v>10019022</v>
          </cell>
        </row>
        <row r="212">
          <cell r="E212" t="str">
            <v>HP001GM201</v>
          </cell>
          <cell r="F212">
            <v>10101521</v>
          </cell>
          <cell r="G212">
            <v>10018693</v>
          </cell>
        </row>
        <row r="213">
          <cell r="E213" t="str">
            <v>HP002GA201</v>
          </cell>
          <cell r="F213">
            <v>10101529</v>
          </cell>
          <cell r="G213">
            <v>10018708</v>
          </cell>
        </row>
        <row r="214">
          <cell r="E214" t="str">
            <v>HP001GD201</v>
          </cell>
          <cell r="F214">
            <v>10093075</v>
          </cell>
          <cell r="G214">
            <v>10018999</v>
          </cell>
        </row>
        <row r="215">
          <cell r="E215" t="str">
            <v>HP001GZ</v>
          </cell>
          <cell r="F215">
            <v>10093076</v>
          </cell>
          <cell r="G215">
            <v>10019001</v>
          </cell>
        </row>
        <row r="216">
          <cell r="E216" t="str">
            <v>DHP453RFX4</v>
          </cell>
          <cell r="F216">
            <v>10089578</v>
          </cell>
          <cell r="G216">
            <v>10018945</v>
          </cell>
        </row>
        <row r="217">
          <cell r="E217" t="str">
            <v>HP333DSAE</v>
          </cell>
          <cell r="F217">
            <v>10089587</v>
          </cell>
          <cell r="G217">
            <v>10018963</v>
          </cell>
        </row>
        <row r="218">
          <cell r="E218" t="str">
            <v>HP333DSME</v>
          </cell>
          <cell r="F218">
            <v>10089584</v>
          </cell>
          <cell r="G218">
            <v>10018957</v>
          </cell>
        </row>
        <row r="219">
          <cell r="E219" t="str">
            <v>DUH651Z</v>
          </cell>
          <cell r="F219">
            <v>10070211</v>
          </cell>
          <cell r="G219">
            <v>10018540</v>
          </cell>
        </row>
        <row r="220">
          <cell r="E220" t="str">
            <v>DUH604SZ</v>
          </cell>
          <cell r="F220">
            <v>10093073</v>
          </cell>
          <cell r="G220">
            <v>10018996</v>
          </cell>
        </row>
        <row r="221">
          <cell r="E221" t="str">
            <v>DUH502Z</v>
          </cell>
          <cell r="F221">
            <v>10086777</v>
          </cell>
          <cell r="G221">
            <v>10018698</v>
          </cell>
        </row>
        <row r="222">
          <cell r="E222" t="str">
            <v>DTD153Z</v>
          </cell>
          <cell r="F222">
            <v>10097333</v>
          </cell>
          <cell r="G222">
            <v>10018887</v>
          </cell>
        </row>
        <row r="223">
          <cell r="E223" t="str">
            <v>DTD154RTE</v>
          </cell>
          <cell r="F223">
            <v>10101531</v>
          </cell>
          <cell r="G223">
            <v>10018712</v>
          </cell>
        </row>
        <row r="224">
          <cell r="E224" t="str">
            <v>DTD154Z</v>
          </cell>
          <cell r="F224">
            <v>10087889</v>
          </cell>
          <cell r="G224">
            <v>10018713</v>
          </cell>
        </row>
        <row r="225">
          <cell r="E225" t="str">
            <v>DTD157RTJ</v>
          </cell>
          <cell r="F225">
            <v>10101525</v>
          </cell>
          <cell r="G225">
            <v>10018701</v>
          </cell>
        </row>
        <row r="226">
          <cell r="E226" t="str">
            <v>DTD157Z</v>
          </cell>
          <cell r="F226">
            <v>10101520</v>
          </cell>
          <cell r="G226">
            <v>10018691</v>
          </cell>
        </row>
        <row r="227">
          <cell r="E227" t="str">
            <v>DTD156Z</v>
          </cell>
          <cell r="F227">
            <v>10101523</v>
          </cell>
          <cell r="G227">
            <v>10018697</v>
          </cell>
        </row>
        <row r="228">
          <cell r="E228" t="str">
            <v>TD001GD201</v>
          </cell>
          <cell r="F228">
            <v>10093077</v>
          </cell>
          <cell r="G228">
            <v>10019003</v>
          </cell>
        </row>
        <row r="229">
          <cell r="E229" t="str">
            <v>TD001GZ</v>
          </cell>
          <cell r="F229">
            <v>10093078</v>
          </cell>
          <cell r="G229">
            <v>10019005</v>
          </cell>
        </row>
        <row r="230">
          <cell r="E230" t="str">
            <v>TD022DSE</v>
          </cell>
          <cell r="F230">
            <v>10058626</v>
          </cell>
          <cell r="G230">
            <v>10019050</v>
          </cell>
        </row>
        <row r="231">
          <cell r="E231" t="str">
            <v>DTW285RFE</v>
          </cell>
          <cell r="F231">
            <v>10070207</v>
          </cell>
          <cell r="G231">
            <v>10018532</v>
          </cell>
        </row>
        <row r="232">
          <cell r="E232" t="str">
            <v>DTW285Z</v>
          </cell>
          <cell r="F232">
            <v>10087890</v>
          </cell>
          <cell r="G232">
            <v>10018877</v>
          </cell>
        </row>
        <row r="233">
          <cell r="E233" t="str">
            <v>DTW300RFJ</v>
          </cell>
          <cell r="F233">
            <v>10093962</v>
          </cell>
          <cell r="G233">
            <v>10019030</v>
          </cell>
        </row>
        <row r="234">
          <cell r="E234" t="str">
            <v>DTW300Z</v>
          </cell>
          <cell r="F234">
            <v>10097850</v>
          </cell>
          <cell r="G234">
            <v>10018929</v>
          </cell>
        </row>
        <row r="235">
          <cell r="E235" t="str">
            <v>DTW190Z</v>
          </cell>
          <cell r="F235">
            <v>10101524</v>
          </cell>
          <cell r="G235">
            <v>10018699</v>
          </cell>
        </row>
        <row r="236">
          <cell r="E236" t="str">
            <v>DTW285RTJX</v>
          </cell>
          <cell r="F236">
            <v>10089586</v>
          </cell>
          <cell r="G236">
            <v>10018961</v>
          </cell>
        </row>
        <row r="237">
          <cell r="E237" t="str">
            <v>TW001GD201</v>
          </cell>
          <cell r="F237">
            <v>10097844</v>
          </cell>
          <cell r="G237">
            <v>10018917</v>
          </cell>
        </row>
        <row r="238">
          <cell r="E238" t="str">
            <v>TW001GM201</v>
          </cell>
          <cell r="F238">
            <v>10097845</v>
          </cell>
          <cell r="G238">
            <v>10018919</v>
          </cell>
        </row>
        <row r="239">
          <cell r="E239" t="str">
            <v>TW001GD203</v>
          </cell>
          <cell r="F239">
            <v>10109709</v>
          </cell>
          <cell r="G239">
            <v>10018378</v>
          </cell>
        </row>
        <row r="240">
          <cell r="E240" t="str">
            <v>MP100DZ</v>
          </cell>
          <cell r="F240">
            <v>10086779</v>
          </cell>
          <cell r="G240">
            <v>10018702</v>
          </cell>
        </row>
        <row r="241">
          <cell r="E241" t="str">
            <v>DJV182RTE</v>
          </cell>
          <cell r="F241">
            <v>10068017</v>
          </cell>
          <cell r="G241">
            <v>10018520</v>
          </cell>
        </row>
        <row r="242">
          <cell r="E242" t="str">
            <v>DLM382CF2</v>
          </cell>
          <cell r="F242">
            <v>10102689</v>
          </cell>
          <cell r="G242">
            <v>10018741</v>
          </cell>
        </row>
        <row r="243">
          <cell r="E243" t="str">
            <v>DLM538Z</v>
          </cell>
          <cell r="F243">
            <v>10102703</v>
          </cell>
          <cell r="G243">
            <v>10018763</v>
          </cell>
        </row>
        <row r="244">
          <cell r="E244" t="str">
            <v>DLM530Z</v>
          </cell>
          <cell r="F244">
            <v>10109710</v>
          </cell>
          <cell r="G244">
            <v>10018380</v>
          </cell>
        </row>
        <row r="245">
          <cell r="E245" t="str">
            <v>SK209GDZ</v>
          </cell>
          <cell r="F245">
            <v>10093961</v>
          </cell>
          <cell r="G245">
            <v>10019028</v>
          </cell>
        </row>
        <row r="246">
          <cell r="E246" t="str">
            <v>TM30DZ</v>
          </cell>
          <cell r="F246">
            <v>10087897</v>
          </cell>
          <cell r="G246">
            <v>10018893</v>
          </cell>
        </row>
        <row r="247">
          <cell r="E247" t="str">
            <v>DTM52Z</v>
          </cell>
          <cell r="F247">
            <v>10101546</v>
          </cell>
          <cell r="G247">
            <v>10018728</v>
          </cell>
        </row>
        <row r="248">
          <cell r="E248" t="str">
            <v>DKP181Z</v>
          </cell>
          <cell r="F248">
            <v>10089579</v>
          </cell>
          <cell r="G248">
            <v>10018947</v>
          </cell>
        </row>
        <row r="249">
          <cell r="E249" t="str">
            <v>DJR183RTE</v>
          </cell>
          <cell r="F249">
            <v>10084323</v>
          </cell>
          <cell r="G249">
            <v>10018653</v>
          </cell>
        </row>
        <row r="250">
          <cell r="E250" t="str">
            <v>JR001GZ</v>
          </cell>
          <cell r="F250">
            <v>10102701</v>
          </cell>
          <cell r="G250">
            <v>10018758</v>
          </cell>
        </row>
        <row r="251">
          <cell r="E251" t="str">
            <v>HR005GZ</v>
          </cell>
          <cell r="F251">
            <v>10102704</v>
          </cell>
          <cell r="G251">
            <v>10018765</v>
          </cell>
        </row>
        <row r="252">
          <cell r="E252" t="str">
            <v>DFS251RTE</v>
          </cell>
          <cell r="F252">
            <v>10075214</v>
          </cell>
          <cell r="G252">
            <v>10018574</v>
          </cell>
        </row>
        <row r="253">
          <cell r="E253" t="str">
            <v>DVC560Z</v>
          </cell>
          <cell r="F253">
            <v>10098944</v>
          </cell>
          <cell r="G253">
            <v>10018983</v>
          </cell>
        </row>
        <row r="254">
          <cell r="E254" t="str">
            <v>DVC260ZX</v>
          </cell>
          <cell r="F254">
            <v>10086775</v>
          </cell>
          <cell r="G254">
            <v>10018694</v>
          </cell>
        </row>
        <row r="255">
          <cell r="E255" t="str">
            <v>DCU180Z</v>
          </cell>
          <cell r="F255">
            <v>10090094</v>
          </cell>
          <cell r="G255">
            <v>10018984</v>
          </cell>
        </row>
        <row r="256">
          <cell r="E256" t="str">
            <v>HM1812</v>
          </cell>
          <cell r="F256">
            <v>10086114</v>
          </cell>
          <cell r="G256">
            <v>10018662</v>
          </cell>
        </row>
        <row r="257">
          <cell r="E257" t="str">
            <v>HM0810</v>
          </cell>
          <cell r="F257">
            <v>10000203</v>
          </cell>
          <cell r="G257">
            <v>10013678</v>
          </cell>
        </row>
        <row r="258">
          <cell r="E258" t="str">
            <v>HM0810A</v>
          </cell>
          <cell r="F258">
            <v>10050935</v>
          </cell>
          <cell r="G258">
            <v>10019110</v>
          </cell>
        </row>
        <row r="259">
          <cell r="E259" t="str">
            <v>HM0870C</v>
          </cell>
          <cell r="F259">
            <v>10054023</v>
          </cell>
          <cell r="G259">
            <v>10019132</v>
          </cell>
        </row>
        <row r="260">
          <cell r="E260" t="str">
            <v>HM0871C</v>
          </cell>
          <cell r="F260">
            <v>10087655</v>
          </cell>
          <cell r="G260">
            <v>10018706</v>
          </cell>
        </row>
        <row r="261">
          <cell r="E261" t="str">
            <v>HM1214C</v>
          </cell>
          <cell r="F261">
            <v>10035013</v>
          </cell>
          <cell r="G261">
            <v>10019428</v>
          </cell>
        </row>
        <row r="262">
          <cell r="E262" t="str">
            <v>HM1306</v>
          </cell>
          <cell r="F262">
            <v>10000208</v>
          </cell>
          <cell r="G262">
            <v>10013683</v>
          </cell>
        </row>
        <row r="263">
          <cell r="E263" t="str">
            <v>HM1810</v>
          </cell>
          <cell r="F263">
            <v>10000215</v>
          </cell>
          <cell r="G263">
            <v>10013690</v>
          </cell>
        </row>
        <row r="264">
          <cell r="E264" t="str">
            <v>HM1511</v>
          </cell>
          <cell r="F264">
            <v>10105253</v>
          </cell>
          <cell r="G264">
            <v>10018505</v>
          </cell>
        </row>
        <row r="265">
          <cell r="E265" t="str">
            <v>906H</v>
          </cell>
          <cell r="F265">
            <v>10014224</v>
          </cell>
        </row>
        <row r="266">
          <cell r="E266" t="str">
            <v>9215SB</v>
          </cell>
          <cell r="F266">
            <v>10000280</v>
          </cell>
          <cell r="G266">
            <v>10020116</v>
          </cell>
        </row>
        <row r="267">
          <cell r="E267" t="str">
            <v>9218SB</v>
          </cell>
          <cell r="F267">
            <v>10000274</v>
          </cell>
          <cell r="G267">
            <v>10020110</v>
          </cell>
        </row>
        <row r="268">
          <cell r="E268" t="str">
            <v>GV6010</v>
          </cell>
          <cell r="F268">
            <v>10000278</v>
          </cell>
          <cell r="G268">
            <v>10020114</v>
          </cell>
        </row>
        <row r="269">
          <cell r="E269" t="str">
            <v>M6001G</v>
          </cell>
          <cell r="F269">
            <v>10060086</v>
          </cell>
          <cell r="G269">
            <v>10019065</v>
          </cell>
        </row>
        <row r="270">
          <cell r="E270" t="str">
            <v>M6500G</v>
          </cell>
          <cell r="F270">
            <v>10062516</v>
          </cell>
          <cell r="G270">
            <v>10018107</v>
          </cell>
        </row>
        <row r="271">
          <cell r="E271" t="str">
            <v>6013BR</v>
          </cell>
          <cell r="F271">
            <v>10000170</v>
          </cell>
          <cell r="G271">
            <v>10013655</v>
          </cell>
        </row>
        <row r="272">
          <cell r="E272">
            <v>6016</v>
          </cell>
          <cell r="F272">
            <v>10002818</v>
          </cell>
          <cell r="G272">
            <v>10019647</v>
          </cell>
        </row>
        <row r="273">
          <cell r="E273" t="str">
            <v>6300NB</v>
          </cell>
          <cell r="F273">
            <v>10000175</v>
          </cell>
          <cell r="G273">
            <v>10013660</v>
          </cell>
        </row>
        <row r="274">
          <cell r="E274">
            <v>6305</v>
          </cell>
          <cell r="F274">
            <v>10084714</v>
          </cell>
          <cell r="G274">
            <v>10018659</v>
          </cell>
        </row>
        <row r="275">
          <cell r="E275">
            <v>6411</v>
          </cell>
          <cell r="F275">
            <v>10000186</v>
          </cell>
          <cell r="G275">
            <v>10013670</v>
          </cell>
        </row>
        <row r="276">
          <cell r="E276">
            <v>6412</v>
          </cell>
          <cell r="F276">
            <v>10000187</v>
          </cell>
          <cell r="G276">
            <v>10013671</v>
          </cell>
        </row>
        <row r="277">
          <cell r="E277" t="str">
            <v>DP4700</v>
          </cell>
          <cell r="F277">
            <v>10000174</v>
          </cell>
          <cell r="G277">
            <v>10013659</v>
          </cell>
        </row>
        <row r="278">
          <cell r="E278" t="str">
            <v>DS4011</v>
          </cell>
          <cell r="F278">
            <v>10039022</v>
          </cell>
          <cell r="G278">
            <v>10019277</v>
          </cell>
        </row>
        <row r="279">
          <cell r="E279" t="str">
            <v>M6001B</v>
          </cell>
          <cell r="F279">
            <v>10105239</v>
          </cell>
          <cell r="G279">
            <v>10018491</v>
          </cell>
        </row>
        <row r="280">
          <cell r="E280" t="str">
            <v>UC4051A</v>
          </cell>
          <cell r="F280">
            <v>10053355</v>
          </cell>
          <cell r="G280">
            <v>10019121</v>
          </cell>
        </row>
        <row r="281">
          <cell r="E281" t="str">
            <v>5016B</v>
          </cell>
          <cell r="F281">
            <v>10000266</v>
          </cell>
          <cell r="G281">
            <v>10013753</v>
          </cell>
        </row>
        <row r="282">
          <cell r="E282" t="str">
            <v>UC3530A</v>
          </cell>
          <cell r="F282">
            <v>10000265</v>
          </cell>
          <cell r="G282">
            <v>10013751</v>
          </cell>
        </row>
        <row r="283">
          <cell r="E283" t="str">
            <v>UC3551A</v>
          </cell>
          <cell r="F283">
            <v>10055547</v>
          </cell>
          <cell r="G283">
            <v>10019145</v>
          </cell>
        </row>
        <row r="284">
          <cell r="E284" t="str">
            <v>UC4030A</v>
          </cell>
          <cell r="F284">
            <v>10000267</v>
          </cell>
          <cell r="G284">
            <v>10020103</v>
          </cell>
        </row>
        <row r="285">
          <cell r="E285" t="str">
            <v>EA4301FX1</v>
          </cell>
          <cell r="F285">
            <v>10101550</v>
          </cell>
          <cell r="G285">
            <v>10018732</v>
          </cell>
        </row>
        <row r="286">
          <cell r="E286" t="str">
            <v>EK8100WS</v>
          </cell>
          <cell r="F286">
            <v>10066564</v>
          </cell>
          <cell r="G286">
            <v>10018182</v>
          </cell>
        </row>
        <row r="287">
          <cell r="E287" t="str">
            <v>PLM4622N2</v>
          </cell>
          <cell r="F287">
            <v>10103799</v>
          </cell>
          <cell r="G287">
            <v>10018438</v>
          </cell>
        </row>
        <row r="288">
          <cell r="E288" t="str">
            <v>PLM4620N2</v>
          </cell>
          <cell r="F288">
            <v>10061648</v>
          </cell>
          <cell r="G288">
            <v>10018092</v>
          </cell>
        </row>
        <row r="289">
          <cell r="E289" t="str">
            <v>9045B</v>
          </cell>
          <cell r="F289">
            <v>10000271</v>
          </cell>
          <cell r="G289">
            <v>10020107</v>
          </cell>
        </row>
        <row r="290">
          <cell r="E290" t="str">
            <v>BO3700</v>
          </cell>
          <cell r="F290">
            <v>10000273</v>
          </cell>
          <cell r="G290">
            <v>10020109</v>
          </cell>
        </row>
        <row r="291">
          <cell r="E291" t="str">
            <v>BO3710</v>
          </cell>
          <cell r="F291">
            <v>10002834</v>
          </cell>
          <cell r="G291">
            <v>10019678</v>
          </cell>
        </row>
        <row r="292">
          <cell r="E292" t="str">
            <v>BO4540</v>
          </cell>
          <cell r="F292">
            <v>10002632</v>
          </cell>
          <cell r="G292">
            <v>10019927</v>
          </cell>
        </row>
        <row r="293">
          <cell r="E293" t="str">
            <v>BO4556</v>
          </cell>
          <cell r="F293">
            <v>10000277</v>
          </cell>
          <cell r="G293">
            <v>10020113</v>
          </cell>
        </row>
        <row r="294">
          <cell r="E294" t="str">
            <v>M9200G</v>
          </cell>
          <cell r="F294">
            <v>10060091</v>
          </cell>
          <cell r="G294">
            <v>10019070</v>
          </cell>
        </row>
        <row r="295">
          <cell r="E295" t="str">
            <v>M9203B</v>
          </cell>
          <cell r="F295">
            <v>10095571</v>
          </cell>
          <cell r="G295">
            <v>10018872</v>
          </cell>
        </row>
        <row r="296">
          <cell r="E296" t="str">
            <v>BO4510H</v>
          </cell>
          <cell r="F296">
            <v>10103797</v>
          </cell>
          <cell r="G296">
            <v>10018434</v>
          </cell>
        </row>
        <row r="297">
          <cell r="E297" t="str">
            <v>DUR365UZ</v>
          </cell>
          <cell r="F297">
            <v>10102693</v>
          </cell>
          <cell r="G297">
            <v>10018745</v>
          </cell>
        </row>
        <row r="298">
          <cell r="E298" t="str">
            <v>DHP483RTE</v>
          </cell>
          <cell r="F298">
            <v>10068014</v>
          </cell>
          <cell r="G298">
            <v>10018226</v>
          </cell>
        </row>
        <row r="299">
          <cell r="E299" t="str">
            <v>M8100G</v>
          </cell>
          <cell r="F299">
            <v>10068015</v>
          </cell>
          <cell r="G299">
            <v>10018514</v>
          </cell>
        </row>
        <row r="300">
          <cell r="E300" t="str">
            <v>DHP487Z</v>
          </cell>
          <cell r="F300">
            <v>10101539</v>
          </cell>
          <cell r="G300">
            <v>10018721</v>
          </cell>
        </row>
        <row r="301">
          <cell r="E301" t="str">
            <v>DHP486RFE</v>
          </cell>
          <cell r="F301">
            <v>10103791</v>
          </cell>
          <cell r="G301">
            <v>10018798</v>
          </cell>
        </row>
        <row r="302">
          <cell r="E302" t="str">
            <v>DHP486RTE</v>
          </cell>
          <cell r="F302">
            <v>10101538</v>
          </cell>
          <cell r="G302">
            <v>10018720</v>
          </cell>
        </row>
        <row r="303">
          <cell r="E303" t="str">
            <v>HP333DWYE</v>
          </cell>
          <cell r="F303">
            <v>10102692</v>
          </cell>
          <cell r="G303">
            <v>10018744</v>
          </cell>
        </row>
        <row r="304">
          <cell r="E304" t="str">
            <v>HP488DZ</v>
          </cell>
          <cell r="F304">
            <v>10102700</v>
          </cell>
          <cell r="G304">
            <v>10018755</v>
          </cell>
        </row>
        <row r="305">
          <cell r="E305" t="str">
            <v>DHP453RYE</v>
          </cell>
          <cell r="F305">
            <v>10103793</v>
          </cell>
          <cell r="G305">
            <v>10018425</v>
          </cell>
        </row>
        <row r="306">
          <cell r="E306" t="str">
            <v>DHP486Z</v>
          </cell>
          <cell r="F306">
            <v>10102698</v>
          </cell>
          <cell r="G306">
            <v>10018751</v>
          </cell>
        </row>
        <row r="307">
          <cell r="E307" t="str">
            <v>HP457DWE10</v>
          </cell>
          <cell r="F307">
            <v>10095570</v>
          </cell>
          <cell r="G307">
            <v>10018871</v>
          </cell>
        </row>
        <row r="308">
          <cell r="E308" t="str">
            <v>M8103G</v>
          </cell>
          <cell r="F308">
            <v>10060087</v>
          </cell>
          <cell r="G308">
            <v>10019066</v>
          </cell>
        </row>
        <row r="309">
          <cell r="E309" t="str">
            <v>HP1630</v>
          </cell>
          <cell r="F309">
            <v>10000185</v>
          </cell>
          <cell r="G309">
            <v>10013669</v>
          </cell>
        </row>
        <row r="310">
          <cell r="E310" t="str">
            <v>HP2030</v>
          </cell>
          <cell r="F310">
            <v>10000173</v>
          </cell>
          <cell r="G310">
            <v>10013658</v>
          </cell>
        </row>
        <row r="311">
          <cell r="E311" t="str">
            <v>HP2050</v>
          </cell>
          <cell r="F311">
            <v>10000194</v>
          </cell>
          <cell r="G311">
            <v>10013672</v>
          </cell>
        </row>
        <row r="312">
          <cell r="E312" t="str">
            <v>HP2070</v>
          </cell>
          <cell r="F312">
            <v>10000195</v>
          </cell>
          <cell r="G312">
            <v>10013673</v>
          </cell>
        </row>
        <row r="313">
          <cell r="E313" t="str">
            <v>NHP1300S</v>
          </cell>
          <cell r="F313">
            <v>10000172</v>
          </cell>
          <cell r="G313">
            <v>10013657</v>
          </cell>
        </row>
        <row r="314">
          <cell r="E314" t="str">
            <v>HG5030</v>
          </cell>
          <cell r="F314">
            <v>10084721</v>
          </cell>
          <cell r="G314">
            <v>10018661</v>
          </cell>
        </row>
        <row r="315">
          <cell r="E315" t="str">
            <v>DUH523SF</v>
          </cell>
          <cell r="F315">
            <v>10101536</v>
          </cell>
          <cell r="G315">
            <v>10018718</v>
          </cell>
        </row>
        <row r="316">
          <cell r="E316" t="str">
            <v>DUH523RF</v>
          </cell>
          <cell r="F316">
            <v>10080384</v>
          </cell>
          <cell r="G316">
            <v>10018624</v>
          </cell>
        </row>
        <row r="317">
          <cell r="E317" t="str">
            <v>EH5000W</v>
          </cell>
          <cell r="F317">
            <v>10094358</v>
          </cell>
          <cell r="G317">
            <v>10018860</v>
          </cell>
        </row>
        <row r="318">
          <cell r="E318" t="str">
            <v>HW102</v>
          </cell>
          <cell r="F318">
            <v>10030147</v>
          </cell>
          <cell r="G318">
            <v>10019535</v>
          </cell>
        </row>
        <row r="319">
          <cell r="E319" t="str">
            <v>HW121</v>
          </cell>
          <cell r="F319">
            <v>10036020</v>
          </cell>
          <cell r="G319">
            <v>10019341</v>
          </cell>
        </row>
        <row r="320">
          <cell r="E320" t="str">
            <v>HW151</v>
          </cell>
          <cell r="F320">
            <v>10036021</v>
          </cell>
          <cell r="G320">
            <v>10019342</v>
          </cell>
        </row>
        <row r="321">
          <cell r="E321" t="str">
            <v>D-06579</v>
          </cell>
          <cell r="F321">
            <v>10090095</v>
          </cell>
          <cell r="G321">
            <v>10018986</v>
          </cell>
        </row>
        <row r="322">
          <cell r="E322" t="str">
            <v>DTD153RTE</v>
          </cell>
          <cell r="F322">
            <v>10103794</v>
          </cell>
          <cell r="G322">
            <v>10018428</v>
          </cell>
        </row>
        <row r="323">
          <cell r="E323" t="str">
            <v>DTD155ZB</v>
          </cell>
          <cell r="F323">
            <v>10095568</v>
          </cell>
          <cell r="G323">
            <v>10018869</v>
          </cell>
        </row>
        <row r="324">
          <cell r="E324" t="str">
            <v>DTD172RFJ</v>
          </cell>
          <cell r="F324">
            <v>10103801</v>
          </cell>
          <cell r="G324">
            <v>10018442</v>
          </cell>
        </row>
        <row r="325">
          <cell r="E325" t="str">
            <v>DTD172RTE</v>
          </cell>
          <cell r="F325">
            <v>10103792</v>
          </cell>
          <cell r="G325">
            <v>10018800</v>
          </cell>
        </row>
        <row r="326">
          <cell r="E326" t="str">
            <v>TD001GM201</v>
          </cell>
          <cell r="F326">
            <v>10103795</v>
          </cell>
          <cell r="G326">
            <v>10018430</v>
          </cell>
        </row>
        <row r="327">
          <cell r="E327" t="str">
            <v>TD0101F</v>
          </cell>
          <cell r="F327">
            <v>10000217</v>
          </cell>
          <cell r="G327">
            <v>10013692</v>
          </cell>
        </row>
        <row r="328">
          <cell r="E328" t="str">
            <v>DTW300RTJ</v>
          </cell>
          <cell r="F328">
            <v>10103796</v>
          </cell>
          <cell r="G328">
            <v>10018432</v>
          </cell>
        </row>
        <row r="329">
          <cell r="E329" t="str">
            <v>TW004GD201</v>
          </cell>
          <cell r="F329">
            <v>10098938</v>
          </cell>
          <cell r="G329">
            <v>10018971</v>
          </cell>
        </row>
        <row r="330">
          <cell r="E330" t="str">
            <v>6904VH</v>
          </cell>
          <cell r="F330">
            <v>10000216</v>
          </cell>
          <cell r="G330">
            <v>10013691</v>
          </cell>
        </row>
        <row r="331">
          <cell r="E331" t="str">
            <v>6905B</v>
          </cell>
          <cell r="F331">
            <v>10067146</v>
          </cell>
          <cell r="G331">
            <v>10018186</v>
          </cell>
        </row>
        <row r="332">
          <cell r="E332" t="str">
            <v>JV101DSAE</v>
          </cell>
          <cell r="F332">
            <v>10070758</v>
          </cell>
          <cell r="G332">
            <v>10018560</v>
          </cell>
        </row>
        <row r="333">
          <cell r="E333">
            <v>4304</v>
          </cell>
          <cell r="F333">
            <v>10042350</v>
          </cell>
          <cell r="G333">
            <v>10019309</v>
          </cell>
        </row>
        <row r="334">
          <cell r="E334" t="str">
            <v>JV0600K</v>
          </cell>
          <cell r="F334">
            <v>10037109</v>
          </cell>
          <cell r="G334">
            <v>10019356</v>
          </cell>
        </row>
        <row r="335">
          <cell r="E335" t="str">
            <v>M4301G</v>
          </cell>
          <cell r="F335">
            <v>10060093</v>
          </cell>
          <cell r="G335">
            <v>10019072</v>
          </cell>
        </row>
        <row r="336">
          <cell r="E336" t="str">
            <v>4300BV</v>
          </cell>
          <cell r="F336">
            <v>10000251</v>
          </cell>
          <cell r="G336">
            <v>10013725</v>
          </cell>
        </row>
        <row r="337">
          <cell r="E337" t="str">
            <v>4327M</v>
          </cell>
          <cell r="F337">
            <v>10000253</v>
          </cell>
          <cell r="G337">
            <v>10013727</v>
          </cell>
        </row>
        <row r="338">
          <cell r="E338" t="str">
            <v>4350CT</v>
          </cell>
          <cell r="F338">
            <v>10000254</v>
          </cell>
          <cell r="G338">
            <v>10013729</v>
          </cell>
        </row>
        <row r="339">
          <cell r="E339">
            <v>6413</v>
          </cell>
          <cell r="F339">
            <v>10002634</v>
          </cell>
          <cell r="G339">
            <v>10019931</v>
          </cell>
        </row>
        <row r="340">
          <cell r="E340" t="str">
            <v>6510LVR</v>
          </cell>
          <cell r="F340">
            <v>10000171</v>
          </cell>
          <cell r="G340">
            <v>10013656</v>
          </cell>
        </row>
        <row r="341">
          <cell r="E341" t="str">
            <v>LD030P</v>
          </cell>
          <cell r="F341">
            <v>10062901</v>
          </cell>
          <cell r="G341">
            <v>10018142</v>
          </cell>
        </row>
        <row r="342">
          <cell r="E342" t="str">
            <v>LD080P</v>
          </cell>
          <cell r="F342">
            <v>10062900</v>
          </cell>
          <cell r="G342">
            <v>10018140</v>
          </cell>
        </row>
        <row r="343">
          <cell r="E343" t="str">
            <v>CL106FDSA</v>
          </cell>
          <cell r="F343">
            <v>10062517</v>
          </cell>
          <cell r="G343">
            <v>10018109</v>
          </cell>
        </row>
        <row r="344">
          <cell r="E344" t="str">
            <v>DCL180FZW1</v>
          </cell>
          <cell r="F344">
            <v>10105236</v>
          </cell>
          <cell r="G344">
            <v>10018488</v>
          </cell>
        </row>
        <row r="345">
          <cell r="E345" t="str">
            <v>CL003GZ09</v>
          </cell>
          <cell r="F345">
            <v>10105241</v>
          </cell>
          <cell r="G345">
            <v>10018493</v>
          </cell>
        </row>
        <row r="346">
          <cell r="E346" t="str">
            <v>LC1230</v>
          </cell>
          <cell r="F346">
            <v>10002813</v>
          </cell>
          <cell r="G346">
            <v>10019843</v>
          </cell>
        </row>
        <row r="347">
          <cell r="E347" t="str">
            <v>DTM51Z</v>
          </cell>
          <cell r="F347">
            <v>10103798</v>
          </cell>
          <cell r="G347">
            <v>10018436</v>
          </cell>
        </row>
        <row r="348">
          <cell r="E348" t="str">
            <v>JN1601</v>
          </cell>
          <cell r="F348">
            <v>10000312</v>
          </cell>
          <cell r="G348">
            <v>10019991</v>
          </cell>
        </row>
        <row r="349">
          <cell r="E349" t="str">
            <v>BO5031</v>
          </cell>
          <cell r="F349">
            <v>10012908</v>
          </cell>
          <cell r="G349">
            <v>10019588</v>
          </cell>
        </row>
        <row r="350">
          <cell r="E350" t="str">
            <v>DBO180Z</v>
          </cell>
          <cell r="F350">
            <v>10084316</v>
          </cell>
          <cell r="G350">
            <v>10018646</v>
          </cell>
        </row>
        <row r="351">
          <cell r="E351" t="str">
            <v>M9204G</v>
          </cell>
          <cell r="F351">
            <v>10060092</v>
          </cell>
          <cell r="G351">
            <v>10019071</v>
          </cell>
        </row>
        <row r="352">
          <cell r="E352" t="str">
            <v>BBX7600</v>
          </cell>
          <cell r="F352">
            <v>10000309</v>
          </cell>
          <cell r="G352">
            <v>10019986</v>
          </cell>
        </row>
        <row r="353">
          <cell r="E353" t="str">
            <v>EA4301F45B</v>
          </cell>
          <cell r="F353">
            <v>10061272</v>
          </cell>
          <cell r="G353">
            <v>10018056</v>
          </cell>
        </row>
        <row r="354">
          <cell r="E354" t="str">
            <v>DCS231T</v>
          </cell>
          <cell r="F354">
            <v>10000261</v>
          </cell>
          <cell r="G354">
            <v>10013743</v>
          </cell>
        </row>
        <row r="355">
          <cell r="E355" t="str">
            <v>DCS341</v>
          </cell>
          <cell r="F355">
            <v>10000257</v>
          </cell>
          <cell r="G355">
            <v>10013735</v>
          </cell>
        </row>
        <row r="356">
          <cell r="E356" t="str">
            <v>DCS400</v>
          </cell>
          <cell r="F356">
            <v>10000262</v>
          </cell>
          <cell r="G356">
            <v>10013745</v>
          </cell>
        </row>
        <row r="357">
          <cell r="E357" t="str">
            <v>DCS430</v>
          </cell>
          <cell r="F357">
            <v>10000258</v>
          </cell>
          <cell r="G357">
            <v>10013737</v>
          </cell>
        </row>
        <row r="358">
          <cell r="E358" t="str">
            <v>DCS4610</v>
          </cell>
          <cell r="F358">
            <v>10000259</v>
          </cell>
          <cell r="G358">
            <v>10013739</v>
          </cell>
        </row>
        <row r="359">
          <cell r="E359" t="str">
            <v>DCS6400</v>
          </cell>
          <cell r="F359">
            <v>10000263</v>
          </cell>
          <cell r="G359">
            <v>10013747</v>
          </cell>
        </row>
        <row r="360">
          <cell r="E360" t="str">
            <v>DCS7300</v>
          </cell>
          <cell r="F360">
            <v>10000264</v>
          </cell>
          <cell r="G360">
            <v>10013749</v>
          </cell>
        </row>
        <row r="361">
          <cell r="E361" t="str">
            <v>DCS7900</v>
          </cell>
          <cell r="F361">
            <v>10000260</v>
          </cell>
          <cell r="G361">
            <v>10013741</v>
          </cell>
        </row>
        <row r="362">
          <cell r="E362" t="str">
            <v>EA7900P70E</v>
          </cell>
          <cell r="F362">
            <v>10061271</v>
          </cell>
          <cell r="G362">
            <v>10018054</v>
          </cell>
        </row>
        <row r="363">
          <cell r="E363" t="str">
            <v>EPH1000X</v>
          </cell>
          <cell r="F363">
            <v>10000311</v>
          </cell>
          <cell r="G363">
            <v>10019989</v>
          </cell>
        </row>
        <row r="364">
          <cell r="E364" t="str">
            <v>EVH2000</v>
          </cell>
          <cell r="F364">
            <v>10000308</v>
          </cell>
          <cell r="G364">
            <v>10019984</v>
          </cell>
        </row>
        <row r="365">
          <cell r="E365" t="str">
            <v>2012NB</v>
          </cell>
          <cell r="F365">
            <v>10000229</v>
          </cell>
          <cell r="G365">
            <v>10013704</v>
          </cell>
        </row>
        <row r="366">
          <cell r="E366" t="str">
            <v>D-16346</v>
          </cell>
          <cell r="F366">
            <v>10088136</v>
          </cell>
          <cell r="G366">
            <v>10018922</v>
          </cell>
        </row>
        <row r="367">
          <cell r="E367" t="str">
            <v>SP6000J</v>
          </cell>
          <cell r="F367">
            <v>10058385</v>
          </cell>
          <cell r="G367">
            <v>10019047</v>
          </cell>
        </row>
        <row r="368">
          <cell r="E368" t="str">
            <v>AF506</v>
          </cell>
          <cell r="F368">
            <v>10097329</v>
          </cell>
          <cell r="G368">
            <v>10018879</v>
          </cell>
        </row>
        <row r="369">
          <cell r="E369" t="str">
            <v>AF635</v>
          </cell>
          <cell r="F369">
            <v>10095565</v>
          </cell>
          <cell r="G369">
            <v>10018866</v>
          </cell>
        </row>
        <row r="370">
          <cell r="E370" t="str">
            <v>AF301</v>
          </cell>
          <cell r="F370">
            <v>10000318</v>
          </cell>
          <cell r="G370">
            <v>10020001</v>
          </cell>
        </row>
        <row r="371">
          <cell r="E371" t="str">
            <v>AF505N</v>
          </cell>
          <cell r="F371">
            <v>10002764</v>
          </cell>
          <cell r="G371">
            <v>10019831</v>
          </cell>
        </row>
        <row r="372">
          <cell r="E372" t="str">
            <v>AT1022AZ</v>
          </cell>
          <cell r="F372">
            <v>10002593</v>
          </cell>
          <cell r="G372">
            <v>10019916</v>
          </cell>
        </row>
        <row r="373">
          <cell r="E373" t="str">
            <v>9237C</v>
          </cell>
          <cell r="F373">
            <v>10055549</v>
          </cell>
          <cell r="G373">
            <v>10019146</v>
          </cell>
        </row>
        <row r="374">
          <cell r="E374" t="str">
            <v>PV7000C</v>
          </cell>
          <cell r="F374">
            <v>10000315</v>
          </cell>
          <cell r="G374">
            <v>10019997</v>
          </cell>
        </row>
        <row r="375">
          <cell r="E375" t="str">
            <v>LW1400</v>
          </cell>
          <cell r="F375">
            <v>10095561</v>
          </cell>
          <cell r="G375">
            <v>10018862</v>
          </cell>
        </row>
        <row r="376">
          <cell r="E376" t="str">
            <v>M2401B</v>
          </cell>
          <cell r="F376">
            <v>10095574</v>
          </cell>
          <cell r="G376">
            <v>10018875</v>
          </cell>
        </row>
        <row r="377">
          <cell r="E377" t="str">
            <v>M6600XG</v>
          </cell>
          <cell r="F377">
            <v>10067145</v>
          </cell>
          <cell r="G377">
            <v>10018185</v>
          </cell>
        </row>
        <row r="378">
          <cell r="E378" t="str">
            <v>UT2204</v>
          </cell>
          <cell r="F378">
            <v>10002759</v>
          </cell>
          <cell r="G378">
            <v>10019820</v>
          </cell>
        </row>
        <row r="379">
          <cell r="E379">
            <v>1902</v>
          </cell>
          <cell r="F379">
            <v>10000228</v>
          </cell>
          <cell r="G379">
            <v>10013703</v>
          </cell>
        </row>
        <row r="380">
          <cell r="E380" t="str">
            <v>1804N</v>
          </cell>
          <cell r="F380">
            <v>10000224</v>
          </cell>
          <cell r="G380">
            <v>10013699</v>
          </cell>
        </row>
        <row r="381">
          <cell r="E381" t="str">
            <v>1805N</v>
          </cell>
          <cell r="F381">
            <v>10000222</v>
          </cell>
          <cell r="G381">
            <v>10013697</v>
          </cell>
        </row>
        <row r="382">
          <cell r="E382" t="str">
            <v>1911B</v>
          </cell>
          <cell r="F382">
            <v>10000223</v>
          </cell>
          <cell r="G382">
            <v>10013698</v>
          </cell>
        </row>
        <row r="383">
          <cell r="E383" t="str">
            <v>N1900BK</v>
          </cell>
          <cell r="F383">
            <v>10095569</v>
          </cell>
          <cell r="G383">
            <v>10018870</v>
          </cell>
        </row>
        <row r="384">
          <cell r="E384" t="str">
            <v>KP0800X</v>
          </cell>
          <cell r="F384">
            <v>10002812</v>
          </cell>
          <cell r="G384">
            <v>10019841</v>
          </cell>
        </row>
        <row r="385">
          <cell r="E385" t="str">
            <v>M1902G</v>
          </cell>
          <cell r="F385">
            <v>10063214</v>
          </cell>
          <cell r="G385">
            <v>10018152</v>
          </cell>
        </row>
        <row r="386">
          <cell r="E386" t="str">
            <v>N1900B</v>
          </cell>
          <cell r="F386">
            <v>10000225</v>
          </cell>
          <cell r="G386">
            <v>10013700</v>
          </cell>
        </row>
        <row r="387">
          <cell r="E387" t="str">
            <v>N1923B</v>
          </cell>
          <cell r="F387">
            <v>10000226</v>
          </cell>
          <cell r="G387">
            <v>10013701</v>
          </cell>
        </row>
        <row r="388">
          <cell r="E388" t="str">
            <v>HK1820</v>
          </cell>
          <cell r="F388">
            <v>10000320</v>
          </cell>
          <cell r="G388">
            <v>10020003</v>
          </cell>
        </row>
        <row r="389">
          <cell r="E389" t="str">
            <v>VP180DZ</v>
          </cell>
          <cell r="F389">
            <v>10061459</v>
          </cell>
          <cell r="G389">
            <v>10018088</v>
          </cell>
        </row>
        <row r="390">
          <cell r="E390" t="str">
            <v>HR166DSAE1</v>
          </cell>
          <cell r="F390">
            <v>10101534</v>
          </cell>
          <cell r="G390">
            <v>10018716</v>
          </cell>
        </row>
        <row r="391">
          <cell r="E391" t="str">
            <v>HR166DSME1</v>
          </cell>
          <cell r="F391">
            <v>10080389</v>
          </cell>
          <cell r="G391">
            <v>10018629</v>
          </cell>
        </row>
        <row r="392">
          <cell r="E392" t="str">
            <v>HR1830</v>
          </cell>
          <cell r="F392">
            <v>10000204</v>
          </cell>
          <cell r="G392">
            <v>10013679</v>
          </cell>
        </row>
        <row r="393">
          <cell r="E393" t="str">
            <v>HR2460</v>
          </cell>
          <cell r="F393">
            <v>10000211</v>
          </cell>
          <cell r="G393">
            <v>10013686</v>
          </cell>
        </row>
        <row r="394">
          <cell r="E394" t="str">
            <v>HR2470</v>
          </cell>
          <cell r="F394">
            <v>10000210</v>
          </cell>
          <cell r="G394">
            <v>10013685</v>
          </cell>
        </row>
        <row r="395">
          <cell r="E395" t="str">
            <v>HR2470X5</v>
          </cell>
          <cell r="F395">
            <v>10060105</v>
          </cell>
          <cell r="G395">
            <v>10019084</v>
          </cell>
        </row>
        <row r="396">
          <cell r="E396" t="str">
            <v>HR2601</v>
          </cell>
          <cell r="F396">
            <v>10035015</v>
          </cell>
          <cell r="G396">
            <v>10019431</v>
          </cell>
        </row>
        <row r="397">
          <cell r="E397" t="str">
            <v>HR2650X3</v>
          </cell>
          <cell r="F397">
            <v>10084315</v>
          </cell>
          <cell r="G397">
            <v>10018645</v>
          </cell>
        </row>
        <row r="398">
          <cell r="E398" t="str">
            <v>HR2800</v>
          </cell>
          <cell r="F398">
            <v>10000207</v>
          </cell>
          <cell r="G398">
            <v>10013682</v>
          </cell>
        </row>
        <row r="399">
          <cell r="E399" t="str">
            <v>HR2810</v>
          </cell>
          <cell r="F399">
            <v>10000209</v>
          </cell>
          <cell r="G399">
            <v>10013684</v>
          </cell>
        </row>
        <row r="400">
          <cell r="E400" t="str">
            <v>HR3200C</v>
          </cell>
          <cell r="F400">
            <v>10000205</v>
          </cell>
          <cell r="G400">
            <v>10013680</v>
          </cell>
        </row>
        <row r="401">
          <cell r="E401" t="str">
            <v>HR4002</v>
          </cell>
          <cell r="F401">
            <v>10000206</v>
          </cell>
          <cell r="G401">
            <v>10013681</v>
          </cell>
        </row>
        <row r="402">
          <cell r="E402" t="str">
            <v>HR4003C</v>
          </cell>
          <cell r="F402">
            <v>10050936</v>
          </cell>
          <cell r="G402">
            <v>10019112</v>
          </cell>
        </row>
        <row r="403">
          <cell r="E403" t="str">
            <v>3600H</v>
          </cell>
          <cell r="F403">
            <v>10000232</v>
          </cell>
          <cell r="G403">
            <v>10013705</v>
          </cell>
        </row>
        <row r="404">
          <cell r="E404" t="str">
            <v>3601B</v>
          </cell>
          <cell r="F404">
            <v>10000235</v>
          </cell>
          <cell r="G404">
            <v>10013708</v>
          </cell>
        </row>
        <row r="405">
          <cell r="E405" t="str">
            <v>3612BR</v>
          </cell>
          <cell r="F405">
            <v>10000234</v>
          </cell>
          <cell r="G405">
            <v>10013707</v>
          </cell>
        </row>
        <row r="406">
          <cell r="E406" t="str">
            <v>3612C</v>
          </cell>
          <cell r="F406">
            <v>10000236</v>
          </cell>
          <cell r="G406">
            <v>10013709</v>
          </cell>
        </row>
        <row r="407">
          <cell r="E407" t="str">
            <v>RP0900</v>
          </cell>
          <cell r="F407">
            <v>10002048</v>
          </cell>
          <cell r="G407">
            <v>10019813</v>
          </cell>
        </row>
        <row r="408">
          <cell r="E408" t="str">
            <v>9227C</v>
          </cell>
          <cell r="F408">
            <v>10000283</v>
          </cell>
          <cell r="G408">
            <v>10020119</v>
          </cell>
        </row>
        <row r="409">
          <cell r="E409">
            <v>4403</v>
          </cell>
          <cell r="F409">
            <v>10000221</v>
          </cell>
          <cell r="G409">
            <v>10013696</v>
          </cell>
        </row>
        <row r="410">
          <cell r="E410" t="str">
            <v>DFS251Z</v>
          </cell>
          <cell r="F410">
            <v>10095566</v>
          </cell>
          <cell r="G410">
            <v>10018867</v>
          </cell>
        </row>
        <row r="411">
          <cell r="E411">
            <v>6827</v>
          </cell>
          <cell r="F411">
            <v>10000220</v>
          </cell>
          <cell r="G411">
            <v>10013695</v>
          </cell>
        </row>
        <row r="412">
          <cell r="E412" t="str">
            <v>SJ401</v>
          </cell>
          <cell r="F412">
            <v>10047016</v>
          </cell>
          <cell r="G412">
            <v>10019219</v>
          </cell>
        </row>
        <row r="413">
          <cell r="E413" t="str">
            <v>JS1600</v>
          </cell>
          <cell r="F413">
            <v>10000321</v>
          </cell>
          <cell r="G413">
            <v>10020004</v>
          </cell>
        </row>
        <row r="414">
          <cell r="E414" t="str">
            <v>JS1602</v>
          </cell>
          <cell r="F414">
            <v>10037188</v>
          </cell>
          <cell r="G414">
            <v>10019460</v>
          </cell>
        </row>
        <row r="415">
          <cell r="E415" t="str">
            <v>JS3200</v>
          </cell>
          <cell r="F415">
            <v>10000313</v>
          </cell>
          <cell r="G415">
            <v>10019993</v>
          </cell>
        </row>
        <row r="416">
          <cell r="E416" t="str">
            <v>6924N</v>
          </cell>
          <cell r="F416">
            <v>10063357</v>
          </cell>
          <cell r="G416">
            <v>10018159</v>
          </cell>
        </row>
        <row r="417">
          <cell r="E417" t="str">
            <v>DJS161Z</v>
          </cell>
          <cell r="F417">
            <v>10105243</v>
          </cell>
          <cell r="G417">
            <v>10018495</v>
          </cell>
        </row>
        <row r="418">
          <cell r="E418" t="str">
            <v>LS1214</v>
          </cell>
          <cell r="F418">
            <v>10000256</v>
          </cell>
          <cell r="G418">
            <v>10013733</v>
          </cell>
        </row>
        <row r="419">
          <cell r="E419" t="str">
            <v>DLS714PT2</v>
          </cell>
          <cell r="F419">
            <v>10080385</v>
          </cell>
          <cell r="G419">
            <v>10018625</v>
          </cell>
        </row>
        <row r="420">
          <cell r="E420" t="str">
            <v>LS1018L</v>
          </cell>
          <cell r="F420">
            <v>10002838</v>
          </cell>
          <cell r="G420">
            <v>10019684</v>
          </cell>
        </row>
        <row r="421">
          <cell r="E421" t="str">
            <v>LS1219L</v>
          </cell>
          <cell r="F421">
            <v>10080390</v>
          </cell>
          <cell r="G421">
            <v>10018630</v>
          </cell>
        </row>
        <row r="422">
          <cell r="E422" t="str">
            <v>LS0714</v>
          </cell>
          <cell r="F422">
            <v>10000270</v>
          </cell>
          <cell r="G422">
            <v>10020106</v>
          </cell>
        </row>
        <row r="423">
          <cell r="E423" t="str">
            <v>LS1019L</v>
          </cell>
          <cell r="F423">
            <v>10076826</v>
          </cell>
          <cell r="G423">
            <v>10018593</v>
          </cell>
        </row>
        <row r="424">
          <cell r="E424" t="str">
            <v>CA5000X</v>
          </cell>
          <cell r="F424">
            <v>10067148</v>
          </cell>
          <cell r="G424">
            <v>10018188</v>
          </cell>
        </row>
        <row r="425">
          <cell r="E425" t="str">
            <v>MLT100</v>
          </cell>
          <cell r="F425">
            <v>10000269</v>
          </cell>
          <cell r="G425">
            <v>10020105</v>
          </cell>
        </row>
        <row r="426">
          <cell r="E426">
            <v>2702</v>
          </cell>
          <cell r="F426">
            <v>10000268</v>
          </cell>
          <cell r="G426">
            <v>10020104</v>
          </cell>
        </row>
        <row r="427">
          <cell r="E427">
            <v>2712</v>
          </cell>
          <cell r="F427">
            <v>10060094</v>
          </cell>
          <cell r="G427">
            <v>10019073</v>
          </cell>
        </row>
        <row r="428">
          <cell r="E428" t="str">
            <v>LH1201FL</v>
          </cell>
          <cell r="F428">
            <v>10060107</v>
          </cell>
          <cell r="G428">
            <v>10019087</v>
          </cell>
        </row>
        <row r="429">
          <cell r="E429" t="str">
            <v>3700B</v>
          </cell>
          <cell r="F429">
            <v>10000306</v>
          </cell>
          <cell r="G429">
            <v>10019979</v>
          </cell>
        </row>
        <row r="430">
          <cell r="E430">
            <v>3709</v>
          </cell>
          <cell r="F430">
            <v>10056676</v>
          </cell>
          <cell r="G430">
            <v>10019012</v>
          </cell>
        </row>
        <row r="431">
          <cell r="E431" t="str">
            <v>M3700B</v>
          </cell>
          <cell r="F431">
            <v>10095573</v>
          </cell>
          <cell r="G431">
            <v>10018874</v>
          </cell>
        </row>
        <row r="432">
          <cell r="E432" t="str">
            <v>M3700G</v>
          </cell>
          <cell r="F432">
            <v>10060090</v>
          </cell>
          <cell r="G432">
            <v>10019069</v>
          </cell>
        </row>
        <row r="433">
          <cell r="E433" t="str">
            <v>RT0700CX2</v>
          </cell>
          <cell r="F433">
            <v>10037191</v>
          </cell>
          <cell r="G433">
            <v>10019471</v>
          </cell>
        </row>
        <row r="434">
          <cell r="E434" t="str">
            <v>VC2510L</v>
          </cell>
          <cell r="F434">
            <v>10030145</v>
          </cell>
          <cell r="G434">
            <v>10019533</v>
          </cell>
        </row>
        <row r="435">
          <cell r="E435" t="str">
            <v>VC3210L</v>
          </cell>
          <cell r="F435">
            <v>10062902</v>
          </cell>
          <cell r="G435">
            <v>10018144</v>
          </cell>
        </row>
        <row r="436">
          <cell r="E436" t="str">
            <v>SG1251J</v>
          </cell>
          <cell r="F436">
            <v>10068016</v>
          </cell>
          <cell r="G436">
            <v>10018518</v>
          </cell>
        </row>
        <row r="437">
          <cell r="E437">
            <v>41154</v>
          </cell>
          <cell r="F437">
            <v>10058387</v>
          </cell>
          <cell r="G437">
            <v>10019049</v>
          </cell>
        </row>
        <row r="438">
          <cell r="E438" t="str">
            <v>MT952</v>
          </cell>
          <cell r="F438">
            <v>10000287</v>
          </cell>
          <cell r="G438">
            <v>10020123</v>
          </cell>
        </row>
        <row r="439">
          <cell r="E439" t="str">
            <v>MT953</v>
          </cell>
          <cell r="F439">
            <v>10000293</v>
          </cell>
          <cell r="G439">
            <v>10020129</v>
          </cell>
        </row>
        <row r="440">
          <cell r="E440" t="str">
            <v>MT954</v>
          </cell>
          <cell r="F440">
            <v>10000294</v>
          </cell>
          <cell r="G440">
            <v>10020130</v>
          </cell>
        </row>
        <row r="441">
          <cell r="E441" t="str">
            <v>MT940</v>
          </cell>
          <cell r="F441">
            <v>10000276</v>
          </cell>
          <cell r="G441">
            <v>10020112</v>
          </cell>
        </row>
        <row r="442">
          <cell r="E442" t="str">
            <v>MT400</v>
          </cell>
          <cell r="F442">
            <v>10000286</v>
          </cell>
          <cell r="G442">
            <v>10020122</v>
          </cell>
        </row>
        <row r="443">
          <cell r="E443" t="str">
            <v>M5801G</v>
          </cell>
          <cell r="F443">
            <v>10059574</v>
          </cell>
          <cell r="G443">
            <v>10019062</v>
          </cell>
        </row>
        <row r="444">
          <cell r="E444" t="str">
            <v>MT560</v>
          </cell>
          <cell r="F444">
            <v>10000247</v>
          </cell>
          <cell r="G444">
            <v>10020100</v>
          </cell>
        </row>
        <row r="445">
          <cell r="E445" t="str">
            <v>MT580</v>
          </cell>
          <cell r="F445">
            <v>10000246</v>
          </cell>
          <cell r="G445">
            <v>10020099</v>
          </cell>
        </row>
        <row r="446">
          <cell r="E446" t="str">
            <v>HS003GM201</v>
          </cell>
          <cell r="F446">
            <v>10105248</v>
          </cell>
          <cell r="G446">
            <v>10018500</v>
          </cell>
        </row>
        <row r="447">
          <cell r="E447" t="str">
            <v>M2300G</v>
          </cell>
          <cell r="F447">
            <v>10059573</v>
          </cell>
          <cell r="G447">
            <v>10019061</v>
          </cell>
        </row>
        <row r="448">
          <cell r="E448" t="str">
            <v>MT230</v>
          </cell>
          <cell r="F448">
            <v>10000248</v>
          </cell>
          <cell r="G448">
            <v>10020101</v>
          </cell>
        </row>
        <row r="449">
          <cell r="E449" t="str">
            <v>MT240</v>
          </cell>
          <cell r="F449">
            <v>10000304</v>
          </cell>
          <cell r="G449">
            <v>10020140</v>
          </cell>
        </row>
        <row r="450">
          <cell r="E450" t="str">
            <v>MT911</v>
          </cell>
          <cell r="F450">
            <v>10000303</v>
          </cell>
          <cell r="G450">
            <v>10020139</v>
          </cell>
        </row>
        <row r="451">
          <cell r="E451" t="str">
            <v>MT603</v>
          </cell>
          <cell r="F451">
            <v>10000188</v>
          </cell>
          <cell r="G451">
            <v>10020087</v>
          </cell>
        </row>
        <row r="452">
          <cell r="E452" t="str">
            <v>MT602</v>
          </cell>
          <cell r="F452">
            <v>10000197</v>
          </cell>
          <cell r="G452">
            <v>10020094</v>
          </cell>
        </row>
        <row r="453">
          <cell r="E453" t="str">
            <v>MT650</v>
          </cell>
          <cell r="F453">
            <v>10000189</v>
          </cell>
          <cell r="G453">
            <v>10020088</v>
          </cell>
        </row>
        <row r="454">
          <cell r="E454" t="str">
            <v>M9203G</v>
          </cell>
          <cell r="F454">
            <v>10059572</v>
          </cell>
          <cell r="G454">
            <v>10019060</v>
          </cell>
        </row>
        <row r="455">
          <cell r="E455" t="str">
            <v>MT920</v>
          </cell>
          <cell r="F455">
            <v>10000275</v>
          </cell>
          <cell r="G455">
            <v>10020111</v>
          </cell>
        </row>
        <row r="456">
          <cell r="E456" t="str">
            <v>MT921</v>
          </cell>
          <cell r="F456">
            <v>10000279</v>
          </cell>
          <cell r="G456">
            <v>10020115</v>
          </cell>
        </row>
        <row r="457">
          <cell r="E457" t="str">
            <v>M0801G</v>
          </cell>
          <cell r="F457">
            <v>10059569</v>
          </cell>
          <cell r="G457">
            <v>10019057</v>
          </cell>
        </row>
        <row r="458">
          <cell r="E458" t="str">
            <v>MT810</v>
          </cell>
          <cell r="F458">
            <v>10000193</v>
          </cell>
          <cell r="G458">
            <v>10020092</v>
          </cell>
        </row>
        <row r="459">
          <cell r="E459" t="str">
            <v>MT811</v>
          </cell>
          <cell r="F459">
            <v>10000192</v>
          </cell>
          <cell r="G459">
            <v>10020091</v>
          </cell>
        </row>
        <row r="460">
          <cell r="E460" t="str">
            <v>MT813</v>
          </cell>
          <cell r="F460">
            <v>10000198</v>
          </cell>
          <cell r="G460">
            <v>10020095</v>
          </cell>
        </row>
        <row r="461">
          <cell r="E461" t="str">
            <v>MT430</v>
          </cell>
          <cell r="F461">
            <v>10000252</v>
          </cell>
          <cell r="G461">
            <v>10020102</v>
          </cell>
        </row>
        <row r="462">
          <cell r="E462" t="str">
            <v>MT922</v>
          </cell>
          <cell r="F462">
            <v>10000272</v>
          </cell>
          <cell r="G462">
            <v>10020108</v>
          </cell>
        </row>
        <row r="463">
          <cell r="E463" t="str">
            <v>MT110</v>
          </cell>
          <cell r="F463">
            <v>10000231</v>
          </cell>
          <cell r="G463">
            <v>10020097</v>
          </cell>
        </row>
        <row r="464">
          <cell r="E464" t="str">
            <v>MT190</v>
          </cell>
          <cell r="F464">
            <v>10000230</v>
          </cell>
          <cell r="G464">
            <v>10020096</v>
          </cell>
        </row>
        <row r="465">
          <cell r="E465" t="str">
            <v>M8103KSPG</v>
          </cell>
          <cell r="F465">
            <v>10059570</v>
          </cell>
          <cell r="G465">
            <v>10019058</v>
          </cell>
        </row>
        <row r="466">
          <cell r="E466" t="str">
            <v>MT811KSP</v>
          </cell>
          <cell r="F466">
            <v>10000184</v>
          </cell>
          <cell r="G466">
            <v>10020083</v>
          </cell>
        </row>
        <row r="467">
          <cell r="E467" t="str">
            <v>M3600G</v>
          </cell>
          <cell r="F467">
            <v>10060106</v>
          </cell>
          <cell r="G467">
            <v>10019085</v>
          </cell>
        </row>
        <row r="468">
          <cell r="E468" t="str">
            <v>MT360</v>
          </cell>
          <cell r="F468">
            <v>10000237</v>
          </cell>
          <cell r="G468">
            <v>10020098</v>
          </cell>
        </row>
        <row r="469">
          <cell r="E469" t="str">
            <v>MT410</v>
          </cell>
          <cell r="F469">
            <v>10000316</v>
          </cell>
          <cell r="G469">
            <v>10019999</v>
          </cell>
        </row>
        <row r="470">
          <cell r="E470" t="str">
            <v>MT370</v>
          </cell>
          <cell r="F470">
            <v>10000317</v>
          </cell>
          <cell r="G470">
            <v>10020000</v>
          </cell>
        </row>
        <row r="471">
          <cell r="E471" t="str">
            <v>CW003GZ</v>
          </cell>
          <cell r="F471">
            <v>10105252</v>
          </cell>
          <cell r="G471">
            <v>10018504</v>
          </cell>
        </row>
        <row r="472">
          <cell r="E472" t="str">
            <v>DGP180Z</v>
          </cell>
          <cell r="F472">
            <v>10105242</v>
          </cell>
          <cell r="G472">
            <v>10018494</v>
          </cell>
        </row>
        <row r="473">
          <cell r="E473" t="str">
            <v>DTD156SYE</v>
          </cell>
          <cell r="F473">
            <v>10105238</v>
          </cell>
          <cell r="G473">
            <v>10018490</v>
          </cell>
        </row>
        <row r="474">
          <cell r="E474" t="str">
            <v>DMR114</v>
          </cell>
          <cell r="F474">
            <v>10105256</v>
          </cell>
          <cell r="G474">
            <v>10018508</v>
          </cell>
        </row>
        <row r="475">
          <cell r="E475" t="str">
            <v>DKT360Z</v>
          </cell>
          <cell r="F475">
            <v>10105251</v>
          </cell>
          <cell r="G475">
            <v>10018503</v>
          </cell>
        </row>
        <row r="476">
          <cell r="E476" t="str">
            <v>DUX60Z</v>
          </cell>
          <cell r="F476">
            <v>10105245</v>
          </cell>
          <cell r="G476">
            <v>10018497</v>
          </cell>
        </row>
        <row r="477">
          <cell r="E477" t="str">
            <v>UX01GZ</v>
          </cell>
          <cell r="F477">
            <v>10105250</v>
          </cell>
          <cell r="G477">
            <v>10018502</v>
          </cell>
        </row>
        <row r="478">
          <cell r="E478" t="str">
            <v>DTS141Z</v>
          </cell>
          <cell r="F478">
            <v>10105244</v>
          </cell>
          <cell r="G478">
            <v>10018496</v>
          </cell>
        </row>
        <row r="479">
          <cell r="E479" t="str">
            <v>D-07967</v>
          </cell>
          <cell r="F479">
            <v>10034281</v>
          </cell>
          <cell r="G479">
            <v>10019403</v>
          </cell>
        </row>
        <row r="480">
          <cell r="E480" t="str">
            <v>DC10WD</v>
          </cell>
          <cell r="F480">
            <v>10055558</v>
          </cell>
          <cell r="G480">
            <v>10019150</v>
          </cell>
        </row>
        <row r="481">
          <cell r="E481" t="str">
            <v>D-07222</v>
          </cell>
          <cell r="F481">
            <v>10060432</v>
          </cell>
          <cell r="G481">
            <v>10019095</v>
          </cell>
        </row>
        <row r="482">
          <cell r="E482" t="str">
            <v>D-33679</v>
          </cell>
          <cell r="F482">
            <v>10036921</v>
          </cell>
          <cell r="G482">
            <v>10019352</v>
          </cell>
        </row>
        <row r="483">
          <cell r="E483" t="str">
            <v>D-16988</v>
          </cell>
          <cell r="F483">
            <v>10032042</v>
          </cell>
          <cell r="G483">
            <v>10019552</v>
          </cell>
        </row>
        <row r="484">
          <cell r="E484" t="str">
            <v>D-37150</v>
          </cell>
          <cell r="F484">
            <v>10103811</v>
          </cell>
          <cell r="G484">
            <v>10018461</v>
          </cell>
        </row>
        <row r="485">
          <cell r="E485" t="str">
            <v>B-28597</v>
          </cell>
          <cell r="F485">
            <v>10056249</v>
          </cell>
          <cell r="G485">
            <v>10019006</v>
          </cell>
        </row>
        <row r="486">
          <cell r="E486" t="str">
            <v>B-54081</v>
          </cell>
          <cell r="F486">
            <v>10043626</v>
          </cell>
          <cell r="G486">
            <v>10019321</v>
          </cell>
        </row>
        <row r="487">
          <cell r="E487" t="str">
            <v>B-65838</v>
          </cell>
          <cell r="F487">
            <v>10103815</v>
          </cell>
          <cell r="G487">
            <v>10018469</v>
          </cell>
        </row>
        <row r="488">
          <cell r="E488" t="str">
            <v>D-30106</v>
          </cell>
          <cell r="F488">
            <v>10002045</v>
          </cell>
          <cell r="G488">
            <v>10019807</v>
          </cell>
        </row>
        <row r="489">
          <cell r="E489" t="str">
            <v>D-33691</v>
          </cell>
          <cell r="F489">
            <v>10103813</v>
          </cell>
          <cell r="G489">
            <v>10018465</v>
          </cell>
        </row>
        <row r="490">
          <cell r="E490" t="str">
            <v>794239-2</v>
          </cell>
          <cell r="F490">
            <v>10000661</v>
          </cell>
          <cell r="G490">
            <v>10019891</v>
          </cell>
        </row>
        <row r="491">
          <cell r="E491" t="str">
            <v>794240-7</v>
          </cell>
          <cell r="F491">
            <v>10000662</v>
          </cell>
          <cell r="G491">
            <v>10019893</v>
          </cell>
        </row>
        <row r="492">
          <cell r="E492" t="str">
            <v>794137-0</v>
          </cell>
          <cell r="F492">
            <v>10000698</v>
          </cell>
          <cell r="G492">
            <v>10019948</v>
          </cell>
        </row>
        <row r="493">
          <cell r="E493" t="str">
            <v>794138-8</v>
          </cell>
          <cell r="F493">
            <v>10000697</v>
          </cell>
          <cell r="G493">
            <v>10019947</v>
          </cell>
        </row>
        <row r="494">
          <cell r="E494" t="str">
            <v>794134-6</v>
          </cell>
          <cell r="F494">
            <v>10003888</v>
          </cell>
          <cell r="G494">
            <v>10019707</v>
          </cell>
        </row>
        <row r="495">
          <cell r="E495" t="str">
            <v>794135-4</v>
          </cell>
          <cell r="F495">
            <v>10000663</v>
          </cell>
          <cell r="G495">
            <v>10019895</v>
          </cell>
        </row>
        <row r="496">
          <cell r="E496" t="str">
            <v>P-33358</v>
          </cell>
          <cell r="F496">
            <v>10038922</v>
          </cell>
          <cell r="G496">
            <v>10019235</v>
          </cell>
        </row>
        <row r="497">
          <cell r="E497" t="str">
            <v>P-33364</v>
          </cell>
          <cell r="F497">
            <v>10038923</v>
          </cell>
          <cell r="G497">
            <v>10019237</v>
          </cell>
        </row>
        <row r="498">
          <cell r="E498" t="str">
            <v>P-33370</v>
          </cell>
          <cell r="F498">
            <v>10038924</v>
          </cell>
          <cell r="G498">
            <v>10019238</v>
          </cell>
        </row>
        <row r="499">
          <cell r="E499" t="str">
            <v>P-33386</v>
          </cell>
          <cell r="F499">
            <v>10038925</v>
          </cell>
          <cell r="G499">
            <v>10019240</v>
          </cell>
        </row>
        <row r="500">
          <cell r="E500" t="str">
            <v>P-33392</v>
          </cell>
          <cell r="F500">
            <v>10038926</v>
          </cell>
          <cell r="G500">
            <v>10019242</v>
          </cell>
        </row>
        <row r="501">
          <cell r="E501" t="str">
            <v>P-33401</v>
          </cell>
          <cell r="F501">
            <v>10038927</v>
          </cell>
          <cell r="G501">
            <v>10019244</v>
          </cell>
        </row>
        <row r="502">
          <cell r="E502" t="str">
            <v>P-43533</v>
          </cell>
          <cell r="F502">
            <v>10021307</v>
          </cell>
          <cell r="G502">
            <v>10019642</v>
          </cell>
        </row>
        <row r="503">
          <cell r="E503" t="str">
            <v>P-43549</v>
          </cell>
          <cell r="F503">
            <v>10036004</v>
          </cell>
          <cell r="G503">
            <v>10019503</v>
          </cell>
        </row>
        <row r="504">
          <cell r="E504" t="str">
            <v>P-43555</v>
          </cell>
          <cell r="F504">
            <v>10036005</v>
          </cell>
          <cell r="G504">
            <v>10019506</v>
          </cell>
        </row>
        <row r="505">
          <cell r="E505" t="str">
            <v>P-43561</v>
          </cell>
          <cell r="F505">
            <v>10036006</v>
          </cell>
          <cell r="G505">
            <v>10019508</v>
          </cell>
        </row>
        <row r="506">
          <cell r="E506" t="str">
            <v>P-43577</v>
          </cell>
          <cell r="F506">
            <v>10036007</v>
          </cell>
          <cell r="G506">
            <v>10019510</v>
          </cell>
        </row>
        <row r="507">
          <cell r="E507" t="str">
            <v>P-43583</v>
          </cell>
          <cell r="F507">
            <v>10036008</v>
          </cell>
          <cell r="G507">
            <v>10019512</v>
          </cell>
        </row>
        <row r="508">
          <cell r="E508" t="str">
            <v>P-43599</v>
          </cell>
          <cell r="F508">
            <v>10036009</v>
          </cell>
          <cell r="G508">
            <v>10019514</v>
          </cell>
        </row>
        <row r="509">
          <cell r="E509" t="str">
            <v>794136-2</v>
          </cell>
          <cell r="F509">
            <v>10002074</v>
          </cell>
          <cell r="G509">
            <v>10019850</v>
          </cell>
        </row>
        <row r="510">
          <cell r="E510" t="str">
            <v>794608-7</v>
          </cell>
          <cell r="F510">
            <v>10043622</v>
          </cell>
          <cell r="G510">
            <v>10019318</v>
          </cell>
        </row>
        <row r="511">
          <cell r="E511" t="str">
            <v>B-21571</v>
          </cell>
          <cell r="F511">
            <v>10056717</v>
          </cell>
          <cell r="G511">
            <v>10019034</v>
          </cell>
        </row>
        <row r="512">
          <cell r="E512" t="str">
            <v>B-21593</v>
          </cell>
          <cell r="F512">
            <v>10056718</v>
          </cell>
          <cell r="G512">
            <v>10019036</v>
          </cell>
        </row>
        <row r="513">
          <cell r="E513" t="str">
            <v>B-22931</v>
          </cell>
          <cell r="F513">
            <v>10056719</v>
          </cell>
          <cell r="G513">
            <v>10019038</v>
          </cell>
        </row>
        <row r="514">
          <cell r="E514" t="str">
            <v>D-65850</v>
          </cell>
          <cell r="F514">
            <v>10101556</v>
          </cell>
          <cell r="G514">
            <v>10018738</v>
          </cell>
        </row>
        <row r="515">
          <cell r="E515" t="str">
            <v>D-65888</v>
          </cell>
          <cell r="F515">
            <v>10100498</v>
          </cell>
          <cell r="G515">
            <v>10018685</v>
          </cell>
        </row>
        <row r="516">
          <cell r="E516" t="str">
            <v>D-65822</v>
          </cell>
          <cell r="F516">
            <v>10102712</v>
          </cell>
          <cell r="G516">
            <v>10018780</v>
          </cell>
        </row>
        <row r="517">
          <cell r="E517" t="str">
            <v>D-54134</v>
          </cell>
          <cell r="F517">
            <v>10103803</v>
          </cell>
          <cell r="G517">
            <v>10018445</v>
          </cell>
        </row>
        <row r="518">
          <cell r="E518" t="str">
            <v>D-54178</v>
          </cell>
          <cell r="F518">
            <v>10102705</v>
          </cell>
          <cell r="G518">
            <v>10018767</v>
          </cell>
        </row>
        <row r="519">
          <cell r="E519" t="str">
            <v>D-54209</v>
          </cell>
          <cell r="F519">
            <v>10102711</v>
          </cell>
          <cell r="G519">
            <v>10018778</v>
          </cell>
        </row>
        <row r="520">
          <cell r="E520" t="str">
            <v>D-54190</v>
          </cell>
          <cell r="F520">
            <v>10102715</v>
          </cell>
          <cell r="G520">
            <v>10018786</v>
          </cell>
        </row>
        <row r="521">
          <cell r="E521" t="str">
            <v>794072-2</v>
          </cell>
          <cell r="F521">
            <v>10000643</v>
          </cell>
          <cell r="G521">
            <v>10020055</v>
          </cell>
        </row>
        <row r="522">
          <cell r="E522" t="str">
            <v>794094-2</v>
          </cell>
          <cell r="F522">
            <v>10003904</v>
          </cell>
          <cell r="G522">
            <v>10019726</v>
          </cell>
        </row>
        <row r="523">
          <cell r="E523" t="str">
            <v>794086-1</v>
          </cell>
          <cell r="F523">
            <v>10035994</v>
          </cell>
          <cell r="G523">
            <v>10019472</v>
          </cell>
        </row>
        <row r="524">
          <cell r="E524" t="str">
            <v>794090-0</v>
          </cell>
          <cell r="F524">
            <v>10035996</v>
          </cell>
          <cell r="G524">
            <v>10019478</v>
          </cell>
        </row>
        <row r="525">
          <cell r="E525" t="str">
            <v>794091-8</v>
          </cell>
          <cell r="F525">
            <v>10035997</v>
          </cell>
          <cell r="G525">
            <v>10019481</v>
          </cell>
        </row>
        <row r="526">
          <cell r="E526" t="str">
            <v>794092-6</v>
          </cell>
          <cell r="F526">
            <v>10035998</v>
          </cell>
          <cell r="G526">
            <v>10019485</v>
          </cell>
        </row>
        <row r="527">
          <cell r="E527" t="str">
            <v>794093-4</v>
          </cell>
          <cell r="F527">
            <v>10035999</v>
          </cell>
          <cell r="G527">
            <v>10019488</v>
          </cell>
        </row>
        <row r="528">
          <cell r="E528" t="str">
            <v>794218-0</v>
          </cell>
          <cell r="F528">
            <v>10036000</v>
          </cell>
          <cell r="G528">
            <v>10019491</v>
          </cell>
        </row>
        <row r="529">
          <cell r="E529" t="str">
            <v>794221-1</v>
          </cell>
          <cell r="F529">
            <v>10036003</v>
          </cell>
          <cell r="G529">
            <v>10019500</v>
          </cell>
        </row>
        <row r="530">
          <cell r="E530" t="str">
            <v>794609-5</v>
          </cell>
          <cell r="F530">
            <v>10049608</v>
          </cell>
          <cell r="G530">
            <v>10019243</v>
          </cell>
        </row>
        <row r="531">
          <cell r="E531" t="str">
            <v>794610-0</v>
          </cell>
          <cell r="F531">
            <v>10049609</v>
          </cell>
          <cell r="G531">
            <v>10019245</v>
          </cell>
        </row>
        <row r="532">
          <cell r="E532" t="str">
            <v>794611-8</v>
          </cell>
          <cell r="F532">
            <v>10049610</v>
          </cell>
          <cell r="G532">
            <v>10019247</v>
          </cell>
        </row>
        <row r="533">
          <cell r="E533" t="str">
            <v>794612-6</v>
          </cell>
          <cell r="F533">
            <v>10049611</v>
          </cell>
          <cell r="G533">
            <v>10019249</v>
          </cell>
        </row>
        <row r="534">
          <cell r="E534" t="str">
            <v>794613-4</v>
          </cell>
          <cell r="F534">
            <v>10049612</v>
          </cell>
          <cell r="G534">
            <v>10019250</v>
          </cell>
        </row>
        <row r="535">
          <cell r="E535" t="str">
            <v>794227-9</v>
          </cell>
          <cell r="F535">
            <v>10060450</v>
          </cell>
          <cell r="G535">
            <v>10018042</v>
          </cell>
        </row>
        <row r="536">
          <cell r="E536" t="str">
            <v>794069-1</v>
          </cell>
          <cell r="F536">
            <v>10060449</v>
          </cell>
          <cell r="G536">
            <v>10018040</v>
          </cell>
        </row>
        <row r="537">
          <cell r="E537" t="str">
            <v>D-65872</v>
          </cell>
          <cell r="F537">
            <v>10097853</v>
          </cell>
          <cell r="G537">
            <v>10018935</v>
          </cell>
        </row>
        <row r="538">
          <cell r="E538" t="str">
            <v>D-65838</v>
          </cell>
          <cell r="F538">
            <v>10098947</v>
          </cell>
          <cell r="G538">
            <v>10018989</v>
          </cell>
        </row>
        <row r="539">
          <cell r="E539" t="str">
            <v>D-65844</v>
          </cell>
          <cell r="F539">
            <v>10103802</v>
          </cell>
          <cell r="G539">
            <v>10018443</v>
          </cell>
        </row>
        <row r="540">
          <cell r="E540" t="str">
            <v>P-33342</v>
          </cell>
          <cell r="F540">
            <v>10038910</v>
          </cell>
          <cell r="G540">
            <v>10019232</v>
          </cell>
        </row>
        <row r="541">
          <cell r="E541" t="str">
            <v>D-65894</v>
          </cell>
          <cell r="F541">
            <v>10105293</v>
          </cell>
          <cell r="G541">
            <v>10018537</v>
          </cell>
        </row>
        <row r="542">
          <cell r="E542" t="str">
            <v>B-51443</v>
          </cell>
          <cell r="F542">
            <v>10105633</v>
          </cell>
          <cell r="G542">
            <v>10018231</v>
          </cell>
        </row>
        <row r="543">
          <cell r="E543" t="str">
            <v>B-51459</v>
          </cell>
          <cell r="F543">
            <v>10105634</v>
          </cell>
          <cell r="G543">
            <v>10018232</v>
          </cell>
        </row>
        <row r="544">
          <cell r="E544" t="str">
            <v>B-51465</v>
          </cell>
          <cell r="F544">
            <v>10105635</v>
          </cell>
          <cell r="G544">
            <v>10018233</v>
          </cell>
        </row>
        <row r="545">
          <cell r="E545" t="str">
            <v>B-51471</v>
          </cell>
          <cell r="F545">
            <v>10105636</v>
          </cell>
          <cell r="G545">
            <v>10018234</v>
          </cell>
        </row>
        <row r="546">
          <cell r="E546" t="str">
            <v>B-51487</v>
          </cell>
          <cell r="F546">
            <v>10105637</v>
          </cell>
          <cell r="G546">
            <v>10018235</v>
          </cell>
        </row>
        <row r="547">
          <cell r="E547" t="str">
            <v>B-51437</v>
          </cell>
          <cell r="F547">
            <v>10105632</v>
          </cell>
          <cell r="G547">
            <v>10018230</v>
          </cell>
        </row>
        <row r="548">
          <cell r="E548" t="str">
            <v>794133-8</v>
          </cell>
          <cell r="F548">
            <v>10003908</v>
          </cell>
          <cell r="G548">
            <v>10019733</v>
          </cell>
        </row>
        <row r="549">
          <cell r="E549" t="str">
            <v>794067-5</v>
          </cell>
          <cell r="F549">
            <v>10002587</v>
          </cell>
          <cell r="G549">
            <v>10019909</v>
          </cell>
        </row>
        <row r="550">
          <cell r="E550" t="str">
            <v>HW1300</v>
          </cell>
          <cell r="F550">
            <v>10088820</v>
          </cell>
          <cell r="G550">
            <v>10018924</v>
          </cell>
        </row>
        <row r="551">
          <cell r="E551" t="str">
            <v>B-65458</v>
          </cell>
          <cell r="F551">
            <v>10103819</v>
          </cell>
          <cell r="G551">
            <v>10018477</v>
          </cell>
        </row>
        <row r="552">
          <cell r="E552" t="str">
            <v>443141-3</v>
          </cell>
          <cell r="F552">
            <v>10097857</v>
          </cell>
          <cell r="G552">
            <v>10018944</v>
          </cell>
        </row>
        <row r="553">
          <cell r="E553" t="str">
            <v>9556NBG</v>
          </cell>
          <cell r="F553">
            <v>10039023</v>
          </cell>
          <cell r="G553">
            <v>10019279</v>
          </cell>
        </row>
        <row r="554">
          <cell r="E554" t="str">
            <v>513633-7</v>
          </cell>
          <cell r="F554">
            <v>10039923</v>
          </cell>
          <cell r="G554">
            <v>10019292</v>
          </cell>
        </row>
        <row r="555">
          <cell r="E555" t="str">
            <v>515208-8</v>
          </cell>
          <cell r="F555">
            <v>10068021</v>
          </cell>
          <cell r="G555">
            <v>10018528</v>
          </cell>
        </row>
        <row r="556">
          <cell r="E556" t="str">
            <v>D-07353</v>
          </cell>
          <cell r="F556">
            <v>10087907</v>
          </cell>
          <cell r="G556">
            <v>10018912</v>
          </cell>
        </row>
        <row r="557">
          <cell r="E557" t="str">
            <v>D-07381</v>
          </cell>
          <cell r="F557">
            <v>10076847</v>
          </cell>
          <cell r="G557">
            <v>10018610</v>
          </cell>
        </row>
        <row r="558">
          <cell r="E558" t="str">
            <v>D-07397</v>
          </cell>
          <cell r="F558">
            <v>10076851</v>
          </cell>
          <cell r="G558">
            <v>10018616</v>
          </cell>
        </row>
        <row r="559">
          <cell r="E559" t="str">
            <v>D-07428</v>
          </cell>
          <cell r="F559">
            <v>10076850</v>
          </cell>
          <cell r="G559">
            <v>10018614</v>
          </cell>
        </row>
        <row r="560">
          <cell r="E560" t="str">
            <v>D-07238</v>
          </cell>
          <cell r="F560">
            <v>10042351</v>
          </cell>
          <cell r="G560">
            <v>10019310</v>
          </cell>
        </row>
        <row r="561">
          <cell r="E561" t="str">
            <v>D-07244</v>
          </cell>
          <cell r="F561">
            <v>10042352</v>
          </cell>
          <cell r="G561">
            <v>10019311</v>
          </cell>
        </row>
        <row r="562">
          <cell r="E562" t="str">
            <v>D-07250</v>
          </cell>
          <cell r="F562">
            <v>10035981</v>
          </cell>
          <cell r="G562">
            <v>10019442</v>
          </cell>
        </row>
        <row r="563">
          <cell r="E563" t="str">
            <v>D-07294</v>
          </cell>
          <cell r="F563">
            <v>10050061</v>
          </cell>
          <cell r="G563">
            <v>10019090</v>
          </cell>
        </row>
        <row r="564">
          <cell r="E564" t="str">
            <v>D-07325</v>
          </cell>
          <cell r="F564">
            <v>10035980</v>
          </cell>
          <cell r="G564">
            <v>10019441</v>
          </cell>
        </row>
        <row r="565">
          <cell r="E565" t="str">
            <v>D-31354</v>
          </cell>
          <cell r="F565">
            <v>10086118</v>
          </cell>
          <cell r="G565">
            <v>10018666</v>
          </cell>
        </row>
        <row r="566">
          <cell r="E566" t="str">
            <v>B-16667</v>
          </cell>
          <cell r="F566">
            <v>10046379</v>
          </cell>
          <cell r="G566">
            <v>10019207</v>
          </cell>
        </row>
        <row r="567">
          <cell r="E567" t="str">
            <v>B-16673</v>
          </cell>
          <cell r="F567">
            <v>10046380</v>
          </cell>
          <cell r="G567">
            <v>10019208</v>
          </cell>
        </row>
        <row r="568">
          <cell r="E568" t="str">
            <v>B-16689</v>
          </cell>
          <cell r="F568">
            <v>10054027</v>
          </cell>
          <cell r="G568">
            <v>10019136</v>
          </cell>
        </row>
        <row r="569">
          <cell r="E569" t="str">
            <v>B-16695</v>
          </cell>
          <cell r="F569">
            <v>10046381</v>
          </cell>
          <cell r="G569">
            <v>10019209</v>
          </cell>
        </row>
        <row r="570">
          <cell r="E570" t="str">
            <v>B-40559</v>
          </cell>
          <cell r="F570">
            <v>10062510</v>
          </cell>
          <cell r="G570">
            <v>10018100</v>
          </cell>
        </row>
        <row r="571">
          <cell r="E571" t="str">
            <v>319314-9</v>
          </cell>
          <cell r="F571">
            <v>10102717</v>
          </cell>
          <cell r="G571">
            <v>10018790</v>
          </cell>
        </row>
        <row r="572">
          <cell r="E572">
            <v>1235</v>
          </cell>
          <cell r="F572">
            <v>10089593</v>
          </cell>
          <cell r="G572">
            <v>10018974</v>
          </cell>
        </row>
        <row r="573">
          <cell r="E573" t="str">
            <v>BL1430</v>
          </cell>
          <cell r="F573">
            <v>10038646</v>
          </cell>
          <cell r="G573">
            <v>10019504</v>
          </cell>
        </row>
        <row r="574">
          <cell r="E574" t="str">
            <v>193062-6</v>
          </cell>
          <cell r="F574">
            <v>10001255</v>
          </cell>
        </row>
        <row r="575">
          <cell r="E575" t="str">
            <v>192597-4</v>
          </cell>
          <cell r="F575">
            <v>10000669</v>
          </cell>
          <cell r="G575">
            <v>10019906</v>
          </cell>
        </row>
        <row r="576">
          <cell r="E576" t="str">
            <v>192595-8</v>
          </cell>
          <cell r="F576">
            <v>10089597</v>
          </cell>
          <cell r="G576">
            <v>10018982</v>
          </cell>
        </row>
        <row r="577">
          <cell r="E577">
            <v>9135</v>
          </cell>
          <cell r="F577">
            <v>10097860</v>
          </cell>
          <cell r="G577">
            <v>10018950</v>
          </cell>
        </row>
        <row r="578">
          <cell r="E578">
            <v>7034</v>
          </cell>
          <cell r="F578">
            <v>10086123</v>
          </cell>
          <cell r="G578">
            <v>10018670</v>
          </cell>
        </row>
        <row r="579">
          <cell r="E579" t="str">
            <v>198000-3</v>
          </cell>
          <cell r="F579">
            <v>10103832</v>
          </cell>
          <cell r="G579">
            <v>10018485</v>
          </cell>
        </row>
        <row r="580">
          <cell r="E580" t="str">
            <v>BL1013</v>
          </cell>
          <cell r="F580">
            <v>10088822</v>
          </cell>
          <cell r="G580">
            <v>10018928</v>
          </cell>
        </row>
        <row r="581">
          <cell r="E581" t="str">
            <v>BL1016</v>
          </cell>
          <cell r="F581">
            <v>10057280</v>
          </cell>
          <cell r="G581">
            <v>10019044</v>
          </cell>
        </row>
        <row r="582">
          <cell r="E582" t="str">
            <v>198192-8</v>
          </cell>
          <cell r="F582">
            <v>10097865</v>
          </cell>
          <cell r="G582">
            <v>10018960</v>
          </cell>
        </row>
        <row r="583">
          <cell r="E583" t="str">
            <v>194513-2</v>
          </cell>
          <cell r="F583">
            <v>10002080</v>
          </cell>
          <cell r="G583">
            <v>10019855</v>
          </cell>
        </row>
        <row r="584">
          <cell r="E584" t="str">
            <v>BL1830B</v>
          </cell>
          <cell r="F584">
            <v>10063522</v>
          </cell>
          <cell r="G584">
            <v>10018160</v>
          </cell>
        </row>
        <row r="585">
          <cell r="E585" t="str">
            <v>BL1850B</v>
          </cell>
          <cell r="F585">
            <v>10063337</v>
          </cell>
          <cell r="G585">
            <v>10018157</v>
          </cell>
        </row>
        <row r="586">
          <cell r="E586" t="str">
            <v>BL1860B</v>
          </cell>
          <cell r="F586">
            <v>10080872</v>
          </cell>
          <cell r="G586">
            <v>10018638</v>
          </cell>
        </row>
        <row r="587">
          <cell r="E587" t="str">
            <v>BL4025</v>
          </cell>
          <cell r="F587">
            <v>10097344</v>
          </cell>
          <cell r="G587">
            <v>10018907</v>
          </cell>
        </row>
        <row r="588">
          <cell r="E588" t="str">
            <v>BL4040</v>
          </cell>
          <cell r="F588">
            <v>10097343</v>
          </cell>
          <cell r="G588">
            <v>10018905</v>
          </cell>
        </row>
        <row r="589">
          <cell r="E589" t="str">
            <v>DC36RA</v>
          </cell>
          <cell r="F589">
            <v>10025398</v>
          </cell>
          <cell r="G589">
            <v>10019470</v>
          </cell>
        </row>
        <row r="590">
          <cell r="E590" t="str">
            <v>DC10SB</v>
          </cell>
          <cell r="F590">
            <v>10055553</v>
          </cell>
          <cell r="G590">
            <v>10019148</v>
          </cell>
        </row>
        <row r="591">
          <cell r="E591" t="str">
            <v>DC10WA</v>
          </cell>
          <cell r="F591">
            <v>10002081</v>
          </cell>
          <cell r="G591">
            <v>10019856</v>
          </cell>
        </row>
        <row r="592">
          <cell r="E592" t="str">
            <v>DC1851</v>
          </cell>
          <cell r="F592">
            <v>10046602</v>
          </cell>
          <cell r="G592">
            <v>10019213</v>
          </cell>
        </row>
        <row r="593">
          <cell r="E593" t="str">
            <v>198186-3</v>
          </cell>
          <cell r="F593">
            <v>10086124</v>
          </cell>
          <cell r="G593">
            <v>10018671</v>
          </cell>
        </row>
        <row r="594">
          <cell r="E594" t="str">
            <v>BL4050F</v>
          </cell>
          <cell r="F594">
            <v>10102710</v>
          </cell>
          <cell r="G594">
            <v>10018776</v>
          </cell>
        </row>
        <row r="595">
          <cell r="E595" t="str">
            <v>D-09547</v>
          </cell>
          <cell r="F595">
            <v>10014354</v>
          </cell>
          <cell r="G595">
            <v>10019621</v>
          </cell>
        </row>
        <row r="596">
          <cell r="E596" t="str">
            <v>B-11477</v>
          </cell>
          <cell r="F596">
            <v>10076852</v>
          </cell>
          <cell r="G596">
            <v>10018618</v>
          </cell>
        </row>
        <row r="597">
          <cell r="E597" t="str">
            <v>D-17186</v>
          </cell>
          <cell r="F597">
            <v>10034266</v>
          </cell>
          <cell r="G597">
            <v>10019376</v>
          </cell>
        </row>
        <row r="598">
          <cell r="E598" t="str">
            <v>D-47123</v>
          </cell>
          <cell r="F598">
            <v>10060433</v>
          </cell>
          <cell r="G598">
            <v>10019097</v>
          </cell>
        </row>
        <row r="599">
          <cell r="E599" t="str">
            <v>D-17114</v>
          </cell>
          <cell r="F599">
            <v>10034264</v>
          </cell>
          <cell r="G599">
            <v>10019372</v>
          </cell>
        </row>
        <row r="600">
          <cell r="E600" t="str">
            <v>D-24876</v>
          </cell>
          <cell r="F600">
            <v>10062914</v>
          </cell>
          <cell r="G600">
            <v>10018124</v>
          </cell>
        </row>
        <row r="601">
          <cell r="E601" t="str">
            <v>D-31310</v>
          </cell>
          <cell r="F601">
            <v>10063767</v>
          </cell>
          <cell r="G601">
            <v>10018162</v>
          </cell>
        </row>
        <row r="602">
          <cell r="E602" t="str">
            <v>194731-2</v>
          </cell>
          <cell r="F602">
            <v>10034244</v>
          </cell>
          <cell r="G602">
            <v>10019570</v>
          </cell>
        </row>
        <row r="603">
          <cell r="E603" t="str">
            <v>D-53017</v>
          </cell>
          <cell r="F603">
            <v>10056241</v>
          </cell>
          <cell r="G603">
            <v>10019193</v>
          </cell>
        </row>
        <row r="604">
          <cell r="E604" t="str">
            <v>D-53001</v>
          </cell>
          <cell r="F604">
            <v>10056242</v>
          </cell>
          <cell r="G604">
            <v>10019195</v>
          </cell>
        </row>
        <row r="605">
          <cell r="E605" t="str">
            <v>D-53687</v>
          </cell>
          <cell r="F605">
            <v>10103812</v>
          </cell>
          <cell r="G605">
            <v>10018463</v>
          </cell>
        </row>
        <row r="606">
          <cell r="E606" t="str">
            <v>123062-2</v>
          </cell>
          <cell r="F606">
            <v>10002072</v>
          </cell>
          <cell r="G606">
            <v>10019846</v>
          </cell>
        </row>
        <row r="607">
          <cell r="E607" t="str">
            <v>344979-8</v>
          </cell>
          <cell r="F607">
            <v>10000666</v>
          </cell>
          <cell r="G607">
            <v>10019900</v>
          </cell>
        </row>
        <row r="608">
          <cell r="E608" t="str">
            <v>D-12027</v>
          </cell>
          <cell r="F608">
            <v>10076830</v>
          </cell>
          <cell r="G608">
            <v>10018597</v>
          </cell>
        </row>
        <row r="609">
          <cell r="E609" t="str">
            <v>B-04329</v>
          </cell>
          <cell r="F609">
            <v>10102713</v>
          </cell>
          <cell r="G609">
            <v>10018782</v>
          </cell>
        </row>
        <row r="610">
          <cell r="E610" t="str">
            <v>B-04391</v>
          </cell>
          <cell r="F610">
            <v>10086125</v>
          </cell>
          <cell r="G610">
            <v>10018673</v>
          </cell>
        </row>
        <row r="611">
          <cell r="E611" t="str">
            <v>D-31295</v>
          </cell>
          <cell r="F611">
            <v>10004558</v>
          </cell>
          <cell r="G611">
            <v>10019750</v>
          </cell>
        </row>
        <row r="612">
          <cell r="E612" t="str">
            <v>D-31251</v>
          </cell>
          <cell r="F612">
            <v>10004556</v>
          </cell>
          <cell r="G612">
            <v>10019746</v>
          </cell>
        </row>
        <row r="613">
          <cell r="E613" t="str">
            <v>D-31289</v>
          </cell>
          <cell r="F613">
            <v>10004557</v>
          </cell>
          <cell r="G613">
            <v>10019748</v>
          </cell>
        </row>
        <row r="614">
          <cell r="E614" t="str">
            <v>D-31245</v>
          </cell>
          <cell r="F614">
            <v>10044453</v>
          </cell>
          <cell r="G614">
            <v>10019338</v>
          </cell>
        </row>
        <row r="615">
          <cell r="E615" t="str">
            <v>D-31273</v>
          </cell>
          <cell r="F615">
            <v>10002586</v>
          </cell>
          <cell r="G615">
            <v>10019907</v>
          </cell>
        </row>
        <row r="616">
          <cell r="E616" t="str">
            <v>T00011</v>
          </cell>
          <cell r="F616">
            <v>10000714</v>
          </cell>
          <cell r="G616">
            <v>10019964</v>
          </cell>
        </row>
        <row r="617">
          <cell r="E617" t="str">
            <v>T-00012</v>
          </cell>
          <cell r="F617">
            <v>10000715</v>
          </cell>
          <cell r="G617">
            <v>10019965</v>
          </cell>
        </row>
        <row r="618">
          <cell r="E618" t="str">
            <v>EBH340U</v>
          </cell>
          <cell r="F618">
            <v>10036022</v>
          </cell>
          <cell r="G618">
            <v>10019343</v>
          </cell>
        </row>
        <row r="619">
          <cell r="E619">
            <v>3641000</v>
          </cell>
          <cell r="F619">
            <v>10012879</v>
          </cell>
          <cell r="G619">
            <v>10019768</v>
          </cell>
        </row>
        <row r="620">
          <cell r="E620" t="str">
            <v>BTC04</v>
          </cell>
          <cell r="F620">
            <v>10063270</v>
          </cell>
          <cell r="G620">
            <v>10018154</v>
          </cell>
        </row>
        <row r="621">
          <cell r="E621" t="str">
            <v>192536-4</v>
          </cell>
          <cell r="F621">
            <v>10000691</v>
          </cell>
          <cell r="G621">
            <v>10019941</v>
          </cell>
        </row>
        <row r="622">
          <cell r="E622" t="str">
            <v>191679-9</v>
          </cell>
          <cell r="F622">
            <v>10000658</v>
          </cell>
          <cell r="G622">
            <v>10019885</v>
          </cell>
        </row>
        <row r="623">
          <cell r="E623">
            <v>9000</v>
          </cell>
          <cell r="F623">
            <v>10000670</v>
          </cell>
          <cell r="G623">
            <v>10019908</v>
          </cell>
        </row>
        <row r="624">
          <cell r="E624">
            <v>9100</v>
          </cell>
          <cell r="F624">
            <v>10000659</v>
          </cell>
          <cell r="G624">
            <v>10019887</v>
          </cell>
        </row>
        <row r="625">
          <cell r="E625" t="str">
            <v>BL1021B</v>
          </cell>
          <cell r="F625">
            <v>10061277</v>
          </cell>
          <cell r="G625">
            <v>10018065</v>
          </cell>
        </row>
        <row r="626">
          <cell r="E626" t="str">
            <v>BL1041B</v>
          </cell>
          <cell r="F626">
            <v>10065726</v>
          </cell>
          <cell r="G626">
            <v>10018166</v>
          </cell>
        </row>
        <row r="627">
          <cell r="E627" t="str">
            <v>195421-0</v>
          </cell>
          <cell r="F627">
            <v>10045803</v>
          </cell>
          <cell r="G627">
            <v>10019176</v>
          </cell>
        </row>
        <row r="628">
          <cell r="E628" t="str">
            <v>D-08034</v>
          </cell>
          <cell r="F628">
            <v>10046373</v>
          </cell>
          <cell r="G628">
            <v>10019201</v>
          </cell>
        </row>
        <row r="629">
          <cell r="E629" t="str">
            <v>A-80787</v>
          </cell>
          <cell r="F629">
            <v>10067158</v>
          </cell>
          <cell r="G629">
            <v>10018205</v>
          </cell>
        </row>
        <row r="630">
          <cell r="E630" t="str">
            <v>D-16499</v>
          </cell>
          <cell r="F630">
            <v>10002419</v>
          </cell>
          <cell r="G630">
            <v>10019875</v>
          </cell>
        </row>
        <row r="631">
          <cell r="E631" t="str">
            <v>D-08735</v>
          </cell>
          <cell r="F631">
            <v>10012873</v>
          </cell>
          <cell r="G631">
            <v>10019756</v>
          </cell>
        </row>
        <row r="632">
          <cell r="E632" t="str">
            <v>D-26303</v>
          </cell>
          <cell r="F632">
            <v>10042354</v>
          </cell>
          <cell r="G632">
            <v>10019313</v>
          </cell>
        </row>
        <row r="633">
          <cell r="E633" t="str">
            <v>D-29860</v>
          </cell>
          <cell r="F633">
            <v>10042353</v>
          </cell>
          <cell r="G633">
            <v>10019312</v>
          </cell>
        </row>
        <row r="634">
          <cell r="E634" t="str">
            <v>D-34182</v>
          </cell>
          <cell r="F634">
            <v>10060438</v>
          </cell>
          <cell r="G634">
            <v>10019107</v>
          </cell>
        </row>
        <row r="635">
          <cell r="E635" t="str">
            <v>D-16863</v>
          </cell>
          <cell r="F635">
            <v>10000675</v>
          </cell>
          <cell r="G635">
            <v>10019917</v>
          </cell>
        </row>
        <row r="636">
          <cell r="E636" t="str">
            <v>D-34176</v>
          </cell>
          <cell r="F636">
            <v>10053360</v>
          </cell>
          <cell r="G636">
            <v>10019125</v>
          </cell>
        </row>
        <row r="637">
          <cell r="E637" t="str">
            <v>D-08713</v>
          </cell>
          <cell r="F637">
            <v>10000689</v>
          </cell>
          <cell r="G637">
            <v>10019939</v>
          </cell>
        </row>
        <row r="638">
          <cell r="E638" t="str">
            <v>D-08682</v>
          </cell>
          <cell r="F638">
            <v>10012932</v>
          </cell>
          <cell r="G638">
            <v>10019590</v>
          </cell>
        </row>
        <row r="639">
          <cell r="E639" t="str">
            <v>763803-0</v>
          </cell>
          <cell r="F639">
            <v>10002088</v>
          </cell>
          <cell r="G639">
            <v>10019860</v>
          </cell>
        </row>
        <row r="640">
          <cell r="E640" t="str">
            <v>763441-8</v>
          </cell>
          <cell r="F640">
            <v>10000702</v>
          </cell>
          <cell r="G640">
            <v>10019952</v>
          </cell>
        </row>
        <row r="641">
          <cell r="E641" t="str">
            <v>763447-6</v>
          </cell>
          <cell r="F641">
            <v>10040935</v>
          </cell>
          <cell r="G641">
            <v>10019303</v>
          </cell>
        </row>
        <row r="642">
          <cell r="E642" t="str">
            <v>763418-3</v>
          </cell>
          <cell r="F642">
            <v>10000682</v>
          </cell>
          <cell r="G642">
            <v>10019932</v>
          </cell>
        </row>
        <row r="643">
          <cell r="E643">
            <v>528086772</v>
          </cell>
          <cell r="F643">
            <v>10047009</v>
          </cell>
          <cell r="G643">
            <v>10019214</v>
          </cell>
        </row>
        <row r="644">
          <cell r="E644" t="str">
            <v>196521-9</v>
          </cell>
          <cell r="F644">
            <v>10045247</v>
          </cell>
          <cell r="G644">
            <v>10019166</v>
          </cell>
        </row>
        <row r="645">
          <cell r="E645">
            <v>528092646</v>
          </cell>
          <cell r="F645">
            <v>10033965</v>
          </cell>
          <cell r="G645">
            <v>10019558</v>
          </cell>
        </row>
        <row r="646">
          <cell r="E646" t="str">
            <v>196205-9</v>
          </cell>
          <cell r="F646">
            <v>10038974</v>
          </cell>
          <cell r="G646">
            <v>10019257</v>
          </cell>
        </row>
        <row r="647">
          <cell r="E647" t="str">
            <v>791172-9</v>
          </cell>
          <cell r="F647">
            <v>10000591</v>
          </cell>
          <cell r="G647">
            <v>10020006</v>
          </cell>
        </row>
        <row r="648">
          <cell r="E648" t="str">
            <v>791091-9</v>
          </cell>
          <cell r="F648">
            <v>10000590</v>
          </cell>
          <cell r="G648">
            <v>10020005</v>
          </cell>
        </row>
        <row r="649">
          <cell r="E649">
            <v>528092652</v>
          </cell>
          <cell r="F649">
            <v>10000623</v>
          </cell>
          <cell r="G649">
            <v>10020036</v>
          </cell>
        </row>
        <row r="650">
          <cell r="E650">
            <v>528092656</v>
          </cell>
          <cell r="F650">
            <v>10000598</v>
          </cell>
          <cell r="G650">
            <v>10020013</v>
          </cell>
        </row>
        <row r="651">
          <cell r="E651">
            <v>531492656</v>
          </cell>
          <cell r="F651">
            <v>10038463</v>
          </cell>
          <cell r="G651">
            <v>10019498</v>
          </cell>
        </row>
        <row r="652">
          <cell r="E652" t="str">
            <v>791173-7</v>
          </cell>
          <cell r="F652">
            <v>10000592</v>
          </cell>
          <cell r="G652">
            <v>10020007</v>
          </cell>
        </row>
        <row r="653">
          <cell r="E653">
            <v>523093664</v>
          </cell>
          <cell r="F653">
            <v>10000593</v>
          </cell>
          <cell r="G653">
            <v>10020008</v>
          </cell>
        </row>
        <row r="654">
          <cell r="E654">
            <v>531492662</v>
          </cell>
          <cell r="F654">
            <v>10051506</v>
          </cell>
          <cell r="G654">
            <v>10019119</v>
          </cell>
        </row>
        <row r="655">
          <cell r="E655">
            <v>528099672</v>
          </cell>
          <cell r="F655">
            <v>10000597</v>
          </cell>
          <cell r="G655">
            <v>10020012</v>
          </cell>
        </row>
        <row r="656">
          <cell r="E656">
            <v>528099680</v>
          </cell>
          <cell r="F656">
            <v>10000594</v>
          </cell>
          <cell r="G656">
            <v>10020009</v>
          </cell>
        </row>
        <row r="657">
          <cell r="E657">
            <v>528099684</v>
          </cell>
          <cell r="F657">
            <v>10000756</v>
          </cell>
          <cell r="G657">
            <v>10019967</v>
          </cell>
        </row>
        <row r="658">
          <cell r="E658">
            <v>528099694</v>
          </cell>
          <cell r="F658">
            <v>10030149</v>
          </cell>
          <cell r="G658">
            <v>10019536</v>
          </cell>
        </row>
        <row r="659">
          <cell r="E659">
            <v>522103092</v>
          </cell>
          <cell r="F659">
            <v>10000595</v>
          </cell>
          <cell r="G659">
            <v>10020010</v>
          </cell>
        </row>
        <row r="660">
          <cell r="E660">
            <v>512484072</v>
          </cell>
          <cell r="F660">
            <v>10000596</v>
          </cell>
          <cell r="G660">
            <v>10020011</v>
          </cell>
        </row>
        <row r="661">
          <cell r="E661">
            <v>512484772</v>
          </cell>
          <cell r="F661">
            <v>10056250</v>
          </cell>
          <cell r="G661">
            <v>10019008</v>
          </cell>
        </row>
        <row r="662">
          <cell r="E662">
            <v>528099683</v>
          </cell>
          <cell r="F662">
            <v>10002090</v>
          </cell>
          <cell r="G662">
            <v>10019862</v>
          </cell>
        </row>
        <row r="663">
          <cell r="E663" t="str">
            <v>343411-9</v>
          </cell>
          <cell r="F663">
            <v>10012882</v>
          </cell>
          <cell r="G663">
            <v>10019583</v>
          </cell>
        </row>
        <row r="664">
          <cell r="E664" t="str">
            <v>D-25616</v>
          </cell>
          <cell r="F664">
            <v>10012874</v>
          </cell>
          <cell r="G664">
            <v>10019758</v>
          </cell>
        </row>
        <row r="665">
          <cell r="E665" t="str">
            <v>A-80824</v>
          </cell>
          <cell r="F665">
            <v>10056681</v>
          </cell>
          <cell r="G665">
            <v>10019021</v>
          </cell>
        </row>
        <row r="666">
          <cell r="E666" t="str">
            <v>D-05181</v>
          </cell>
          <cell r="F666">
            <v>10035989</v>
          </cell>
          <cell r="G666">
            <v>10019458</v>
          </cell>
        </row>
        <row r="667">
          <cell r="E667" t="str">
            <v>D-08757</v>
          </cell>
          <cell r="F667">
            <v>10043632</v>
          </cell>
          <cell r="G667">
            <v>10019327</v>
          </cell>
        </row>
        <row r="668">
          <cell r="E668" t="str">
            <v>D-16368</v>
          </cell>
          <cell r="F668">
            <v>10035990</v>
          </cell>
          <cell r="G668">
            <v>10019461</v>
          </cell>
        </row>
        <row r="669">
          <cell r="E669" t="str">
            <v>193067-6</v>
          </cell>
          <cell r="F669">
            <v>10002422</v>
          </cell>
          <cell r="G669">
            <v>10019877</v>
          </cell>
        </row>
        <row r="670">
          <cell r="E670" t="str">
            <v>763175-3</v>
          </cell>
          <cell r="F670">
            <v>10036016</v>
          </cell>
          <cell r="G670">
            <v>10019528</v>
          </cell>
        </row>
        <row r="671">
          <cell r="E671" t="str">
            <v>763187-6</v>
          </cell>
          <cell r="F671">
            <v>10038929</v>
          </cell>
          <cell r="G671">
            <v>10019248</v>
          </cell>
        </row>
        <row r="672">
          <cell r="E672" t="str">
            <v>763199-9</v>
          </cell>
          <cell r="F672">
            <v>10000758</v>
          </cell>
          <cell r="G672">
            <v>10019969</v>
          </cell>
        </row>
        <row r="673">
          <cell r="E673" t="str">
            <v>763196-5</v>
          </cell>
          <cell r="F673">
            <v>10036017</v>
          </cell>
          <cell r="G673">
            <v>10019530</v>
          </cell>
        </row>
        <row r="674">
          <cell r="E674" t="str">
            <v>D-14093</v>
          </cell>
          <cell r="F674">
            <v>10023146</v>
          </cell>
          <cell r="G674">
            <v>10019669</v>
          </cell>
        </row>
        <row r="675">
          <cell r="E675" t="str">
            <v>763432-9</v>
          </cell>
          <cell r="F675">
            <v>10000681</v>
          </cell>
          <cell r="G675">
            <v>10019930</v>
          </cell>
        </row>
        <row r="676">
          <cell r="E676" t="str">
            <v>194385-5</v>
          </cell>
          <cell r="F676">
            <v>10075224</v>
          </cell>
          <cell r="G676">
            <v>10018584</v>
          </cell>
        </row>
        <row r="677">
          <cell r="E677" t="str">
            <v>195439-1</v>
          </cell>
          <cell r="F677">
            <v>10076828</v>
          </cell>
          <cell r="G677">
            <v>10018595</v>
          </cell>
        </row>
        <row r="678">
          <cell r="E678" t="str">
            <v>DCG180ZB</v>
          </cell>
          <cell r="F678">
            <v>10076821</v>
          </cell>
          <cell r="G678">
            <v>10018588</v>
          </cell>
        </row>
        <row r="679">
          <cell r="E679" t="str">
            <v>DLX2181TJ</v>
          </cell>
          <cell r="F679">
            <v>10076825</v>
          </cell>
          <cell r="G679">
            <v>10018592</v>
          </cell>
        </row>
        <row r="680">
          <cell r="E680" t="str">
            <v>HP331DSAE</v>
          </cell>
          <cell r="F680">
            <v>10062906</v>
          </cell>
          <cell r="G680">
            <v>10018108</v>
          </cell>
        </row>
        <row r="681">
          <cell r="E681" t="str">
            <v>DTD170RTE</v>
          </cell>
          <cell r="F681">
            <v>10072753</v>
          </cell>
          <cell r="G681">
            <v>10018570</v>
          </cell>
        </row>
        <row r="682">
          <cell r="E682">
            <v>957180030</v>
          </cell>
          <cell r="F682">
            <v>10014218</v>
          </cell>
          <cell r="G682">
            <v>10019608</v>
          </cell>
        </row>
        <row r="683">
          <cell r="E683" t="str">
            <v>D-08707</v>
          </cell>
          <cell r="F683">
            <v>10002054</v>
          </cell>
          <cell r="G683">
            <v>10019819</v>
          </cell>
        </row>
        <row r="684">
          <cell r="E684" t="str">
            <v>D-16879</v>
          </cell>
          <cell r="F684">
            <v>10002643</v>
          </cell>
          <cell r="G684">
            <v>10019736</v>
          </cell>
        </row>
        <row r="685">
          <cell r="E685" t="str">
            <v>D-19021</v>
          </cell>
          <cell r="F685">
            <v>10044157</v>
          </cell>
          <cell r="G685">
            <v>10019333</v>
          </cell>
        </row>
        <row r="686">
          <cell r="E686" t="str">
            <v>D-34213</v>
          </cell>
          <cell r="F686">
            <v>10056251</v>
          </cell>
          <cell r="G686">
            <v>10019010</v>
          </cell>
        </row>
        <row r="687">
          <cell r="E687" t="str">
            <v>D-15300</v>
          </cell>
          <cell r="F687">
            <v>10000686</v>
          </cell>
          <cell r="G687">
            <v>10019936</v>
          </cell>
        </row>
        <row r="688">
          <cell r="E688" t="str">
            <v>D-08729</v>
          </cell>
          <cell r="F688">
            <v>10001278</v>
          </cell>
          <cell r="G688">
            <v>40007068</v>
          </cell>
        </row>
        <row r="689">
          <cell r="E689" t="str">
            <v>A-80802</v>
          </cell>
          <cell r="F689">
            <v>10002649</v>
          </cell>
          <cell r="G689">
            <v>10019742</v>
          </cell>
        </row>
        <row r="690">
          <cell r="E690" t="str">
            <v>A-80818</v>
          </cell>
          <cell r="F690">
            <v>10026418</v>
          </cell>
          <cell r="G690">
            <v>10019479</v>
          </cell>
        </row>
        <row r="691">
          <cell r="E691" t="str">
            <v>B-64244</v>
          </cell>
          <cell r="F691">
            <v>10105642</v>
          </cell>
          <cell r="G691">
            <v>10018240</v>
          </cell>
        </row>
        <row r="692">
          <cell r="E692" t="str">
            <v>D-34207</v>
          </cell>
          <cell r="F692">
            <v>10060429</v>
          </cell>
          <cell r="G692">
            <v>10019089</v>
          </cell>
        </row>
        <row r="693">
          <cell r="E693" t="str">
            <v>B-64272</v>
          </cell>
          <cell r="F693">
            <v>10105644</v>
          </cell>
          <cell r="G693">
            <v>10018242</v>
          </cell>
        </row>
        <row r="694">
          <cell r="E694" t="str">
            <v>B-64250</v>
          </cell>
          <cell r="F694">
            <v>10105643</v>
          </cell>
          <cell r="G694">
            <v>10018241</v>
          </cell>
        </row>
        <row r="695">
          <cell r="E695" t="str">
            <v>B-64288</v>
          </cell>
          <cell r="F695">
            <v>10105645</v>
          </cell>
          <cell r="G695">
            <v>10018243</v>
          </cell>
        </row>
        <row r="696">
          <cell r="E696" t="str">
            <v>D-34235</v>
          </cell>
          <cell r="F696">
            <v>10105650</v>
          </cell>
          <cell r="G696">
            <v>10018248</v>
          </cell>
        </row>
        <row r="697">
          <cell r="E697" t="str">
            <v>D-71249</v>
          </cell>
          <cell r="F697">
            <v>10105652</v>
          </cell>
          <cell r="G697">
            <v>10018250</v>
          </cell>
        </row>
        <row r="698">
          <cell r="E698" t="str">
            <v>763663-0</v>
          </cell>
          <cell r="F698">
            <v>10000688</v>
          </cell>
          <cell r="G698">
            <v>10019938</v>
          </cell>
        </row>
        <row r="699">
          <cell r="E699" t="str">
            <v>763601-2</v>
          </cell>
          <cell r="F699">
            <v>10039534</v>
          </cell>
          <cell r="G699">
            <v>10019286</v>
          </cell>
        </row>
        <row r="700">
          <cell r="E700" t="str">
            <v>763636-3</v>
          </cell>
          <cell r="F700">
            <v>10053359</v>
          </cell>
          <cell r="G700">
            <v>10019124</v>
          </cell>
        </row>
        <row r="701">
          <cell r="E701" t="str">
            <v>763608-8</v>
          </cell>
          <cell r="F701">
            <v>10002047</v>
          </cell>
          <cell r="G701">
            <v>10019811</v>
          </cell>
        </row>
        <row r="702">
          <cell r="E702" t="str">
            <v>763607-0</v>
          </cell>
          <cell r="F702">
            <v>10039536</v>
          </cell>
          <cell r="G702">
            <v>10019287</v>
          </cell>
        </row>
        <row r="703">
          <cell r="E703" t="str">
            <v>763618-5</v>
          </cell>
          <cell r="F703">
            <v>10003907</v>
          </cell>
          <cell r="G703">
            <v>10019731</v>
          </cell>
        </row>
        <row r="704">
          <cell r="E704" t="str">
            <v>763623-2</v>
          </cell>
          <cell r="F704">
            <v>10021305</v>
          </cell>
          <cell r="G704">
            <v>10019640</v>
          </cell>
        </row>
        <row r="705">
          <cell r="E705" t="str">
            <v>763801-4</v>
          </cell>
          <cell r="F705">
            <v>10041668</v>
          </cell>
          <cell r="G705">
            <v>10019306</v>
          </cell>
        </row>
        <row r="706">
          <cell r="E706" t="str">
            <v>763810-3</v>
          </cell>
          <cell r="F706">
            <v>10034286</v>
          </cell>
          <cell r="G706">
            <v>10019412</v>
          </cell>
        </row>
        <row r="707">
          <cell r="E707" t="str">
            <v>763804-8</v>
          </cell>
          <cell r="F707">
            <v>10002039</v>
          </cell>
          <cell r="G707">
            <v>10019998</v>
          </cell>
        </row>
        <row r="708">
          <cell r="E708" t="str">
            <v>763805-6</v>
          </cell>
          <cell r="F708">
            <v>10002092</v>
          </cell>
          <cell r="G708">
            <v>10019864</v>
          </cell>
        </row>
        <row r="709">
          <cell r="E709" t="str">
            <v>D-53702</v>
          </cell>
          <cell r="F709">
            <v>10062506</v>
          </cell>
          <cell r="G709">
            <v>10018096</v>
          </cell>
        </row>
        <row r="710">
          <cell r="E710" t="str">
            <v>D-53693</v>
          </cell>
          <cell r="F710">
            <v>10062507</v>
          </cell>
          <cell r="G710">
            <v>10018097</v>
          </cell>
        </row>
        <row r="711">
          <cell r="E711" t="str">
            <v>B-65539</v>
          </cell>
          <cell r="F711">
            <v>10103820</v>
          </cell>
          <cell r="G711">
            <v>10018478</v>
          </cell>
        </row>
        <row r="712">
          <cell r="E712" t="str">
            <v>CLX201SAX1</v>
          </cell>
          <cell r="F712">
            <v>10062615</v>
          </cell>
          <cell r="G712">
            <v>10018121</v>
          </cell>
        </row>
        <row r="713">
          <cell r="E713" t="str">
            <v>CLX201SAX6</v>
          </cell>
          <cell r="F713">
            <v>10086116</v>
          </cell>
          <cell r="G713">
            <v>10018664</v>
          </cell>
        </row>
        <row r="714">
          <cell r="E714" t="str">
            <v>233005-7</v>
          </cell>
          <cell r="F714">
            <v>10038959</v>
          </cell>
          <cell r="G714">
            <v>40008042</v>
          </cell>
        </row>
        <row r="715">
          <cell r="E715" t="str">
            <v>234098-7</v>
          </cell>
          <cell r="F715">
            <v>10097864</v>
          </cell>
          <cell r="G715">
            <v>10018958</v>
          </cell>
        </row>
        <row r="716">
          <cell r="E716" t="str">
            <v>784634-4</v>
          </cell>
          <cell r="F716">
            <v>10034242</v>
          </cell>
          <cell r="G716">
            <v>10019568</v>
          </cell>
        </row>
        <row r="717">
          <cell r="E717" t="str">
            <v>620487-6</v>
          </cell>
          <cell r="F717">
            <v>10097854</v>
          </cell>
          <cell r="G717">
            <v>10018937</v>
          </cell>
        </row>
        <row r="718">
          <cell r="E718" t="str">
            <v>620B33-7</v>
          </cell>
          <cell r="F718">
            <v>10103831</v>
          </cell>
          <cell r="G718">
            <v>10018484</v>
          </cell>
        </row>
        <row r="719">
          <cell r="E719" t="str">
            <v>793104-2</v>
          </cell>
          <cell r="F719">
            <v>10027911</v>
          </cell>
          <cell r="G719">
            <v>10019505</v>
          </cell>
        </row>
        <row r="720">
          <cell r="E720" t="str">
            <v>D-37378</v>
          </cell>
          <cell r="F720">
            <v>10038629</v>
          </cell>
          <cell r="G720">
            <v>10019501</v>
          </cell>
        </row>
        <row r="721">
          <cell r="E721" t="str">
            <v>D-41464</v>
          </cell>
          <cell r="F721">
            <v>10070222</v>
          </cell>
          <cell r="G721">
            <v>10018555</v>
          </cell>
        </row>
        <row r="722">
          <cell r="E722" t="str">
            <v>A-88456</v>
          </cell>
          <cell r="F722">
            <v>10000699</v>
          </cell>
          <cell r="G722">
            <v>10019949</v>
          </cell>
        </row>
        <row r="723">
          <cell r="E723" t="str">
            <v>A-88478</v>
          </cell>
          <cell r="F723">
            <v>10000700</v>
          </cell>
          <cell r="G723">
            <v>10019950</v>
          </cell>
        </row>
        <row r="724">
          <cell r="E724" t="str">
            <v>A-87460</v>
          </cell>
          <cell r="F724">
            <v>10000647</v>
          </cell>
          <cell r="G724">
            <v>10020059</v>
          </cell>
        </row>
        <row r="725">
          <cell r="E725" t="str">
            <v>D-18758</v>
          </cell>
          <cell r="F725">
            <v>10093085</v>
          </cell>
          <cell r="G725">
            <v>10019020</v>
          </cell>
        </row>
        <row r="726">
          <cell r="E726" t="str">
            <v>E-10540</v>
          </cell>
          <cell r="F726">
            <v>10102708</v>
          </cell>
          <cell r="G726">
            <v>10018771</v>
          </cell>
        </row>
        <row r="727">
          <cell r="E727" t="str">
            <v>B-49448</v>
          </cell>
          <cell r="F727">
            <v>10076833</v>
          </cell>
          <cell r="G727">
            <v>10018600</v>
          </cell>
        </row>
        <row r="728">
          <cell r="E728" t="str">
            <v>191D71-3</v>
          </cell>
          <cell r="F728">
            <v>10089591</v>
          </cell>
          <cell r="G728">
            <v>10018970</v>
          </cell>
        </row>
        <row r="729">
          <cell r="E729" t="str">
            <v>191D73-9</v>
          </cell>
          <cell r="F729">
            <v>10089592</v>
          </cell>
          <cell r="G729">
            <v>10018972</v>
          </cell>
        </row>
        <row r="730">
          <cell r="E730" t="str">
            <v>319612-1</v>
          </cell>
          <cell r="F730">
            <v>10093966</v>
          </cell>
          <cell r="G730">
            <v>10018854</v>
          </cell>
        </row>
        <row r="731">
          <cell r="E731" t="str">
            <v>D-15609</v>
          </cell>
          <cell r="F731">
            <v>10072746</v>
          </cell>
          <cell r="G731">
            <v>10018566</v>
          </cell>
        </row>
        <row r="732">
          <cell r="E732" t="str">
            <v>DA333DSAE</v>
          </cell>
          <cell r="F732">
            <v>10086115</v>
          </cell>
          <cell r="G732">
            <v>10018663</v>
          </cell>
        </row>
        <row r="733">
          <cell r="E733" t="str">
            <v>HS301DWAE</v>
          </cell>
          <cell r="F733">
            <v>10070209</v>
          </cell>
          <cell r="G733">
            <v>10018536</v>
          </cell>
        </row>
        <row r="734">
          <cell r="E734" t="str">
            <v>DSS501RTE</v>
          </cell>
          <cell r="F734">
            <v>10070755</v>
          </cell>
          <cell r="G734">
            <v>10018558</v>
          </cell>
        </row>
        <row r="735">
          <cell r="E735" t="str">
            <v>DHS782Z</v>
          </cell>
          <cell r="F735">
            <v>10086773</v>
          </cell>
          <cell r="G735">
            <v>10018690</v>
          </cell>
        </row>
        <row r="736">
          <cell r="E736" t="str">
            <v>DUR184LRTE</v>
          </cell>
          <cell r="F736">
            <v>10070213</v>
          </cell>
          <cell r="G736">
            <v>10018544</v>
          </cell>
        </row>
        <row r="737">
          <cell r="E737" t="str">
            <v>HP333DZ</v>
          </cell>
          <cell r="F737">
            <v>10086772</v>
          </cell>
          <cell r="G737">
            <v>10018688</v>
          </cell>
        </row>
        <row r="738">
          <cell r="E738" t="str">
            <v>DTD171RFJ</v>
          </cell>
          <cell r="F738">
            <v>10086765</v>
          </cell>
          <cell r="G738">
            <v>10018675</v>
          </cell>
        </row>
        <row r="739">
          <cell r="E739" t="str">
            <v>DTW181Z</v>
          </cell>
          <cell r="F739">
            <v>10089577</v>
          </cell>
          <cell r="G739">
            <v>10018943</v>
          </cell>
        </row>
        <row r="740">
          <cell r="E740" t="str">
            <v>TM30DWAEX1</v>
          </cell>
          <cell r="F740">
            <v>10013145</v>
          </cell>
          <cell r="G740">
            <v>10019602</v>
          </cell>
        </row>
        <row r="741">
          <cell r="E741" t="str">
            <v>DKP180RME</v>
          </cell>
          <cell r="F741">
            <v>10086117</v>
          </cell>
          <cell r="G741">
            <v>10018665</v>
          </cell>
        </row>
        <row r="742">
          <cell r="E742" t="str">
            <v>DHW080ZK</v>
          </cell>
          <cell r="F742">
            <v>10089582</v>
          </cell>
          <cell r="G742">
            <v>10018953</v>
          </cell>
        </row>
        <row r="743">
          <cell r="E743" t="str">
            <v>DVC750LZ</v>
          </cell>
          <cell r="F743">
            <v>10086778</v>
          </cell>
          <cell r="G743">
            <v>10018700</v>
          </cell>
        </row>
        <row r="744">
          <cell r="E744" t="str">
            <v>630719-3</v>
          </cell>
          <cell r="F744">
            <v>10101551</v>
          </cell>
          <cell r="G744">
            <v>10018733</v>
          </cell>
        </row>
        <row r="745">
          <cell r="E745" t="str">
            <v>195424-4</v>
          </cell>
          <cell r="F745">
            <v>10097346</v>
          </cell>
          <cell r="G745">
            <v>10018911</v>
          </cell>
        </row>
        <row r="746">
          <cell r="E746" t="str">
            <v>DC40RA</v>
          </cell>
          <cell r="F746">
            <v>10097345</v>
          </cell>
          <cell r="G746">
            <v>10018909</v>
          </cell>
        </row>
        <row r="747">
          <cell r="E747" t="str">
            <v>E-12354</v>
          </cell>
          <cell r="F747">
            <v>10100500</v>
          </cell>
          <cell r="G747">
            <v>10018689</v>
          </cell>
        </row>
        <row r="748">
          <cell r="E748" t="str">
            <v>A-87563</v>
          </cell>
          <cell r="F748">
            <v>10023585</v>
          </cell>
          <cell r="G748">
            <v>10019671</v>
          </cell>
        </row>
        <row r="749">
          <cell r="E749" t="str">
            <v>B-46056</v>
          </cell>
          <cell r="F749">
            <v>10062920</v>
          </cell>
          <cell r="G749">
            <v>10018135</v>
          </cell>
        </row>
        <row r="750">
          <cell r="E750" t="str">
            <v>B-46062</v>
          </cell>
          <cell r="F750">
            <v>10062921</v>
          </cell>
          <cell r="G750">
            <v>10018137</v>
          </cell>
        </row>
        <row r="751">
          <cell r="E751" t="str">
            <v>B-46078</v>
          </cell>
          <cell r="F751">
            <v>10062922</v>
          </cell>
          <cell r="G751">
            <v>10018139</v>
          </cell>
        </row>
        <row r="752">
          <cell r="E752" t="str">
            <v>B-46090</v>
          </cell>
          <cell r="F752">
            <v>10062923</v>
          </cell>
          <cell r="G752">
            <v>10018141</v>
          </cell>
        </row>
        <row r="753">
          <cell r="E753" t="str">
            <v>D-15584</v>
          </cell>
          <cell r="F753">
            <v>10070218</v>
          </cell>
          <cell r="G753">
            <v>10018551</v>
          </cell>
        </row>
        <row r="754">
          <cell r="E754" t="str">
            <v>D-15637</v>
          </cell>
          <cell r="F754">
            <v>10070219</v>
          </cell>
          <cell r="G754">
            <v>10018552</v>
          </cell>
        </row>
        <row r="755">
          <cell r="E755" t="str">
            <v>A-83646</v>
          </cell>
          <cell r="F755">
            <v>10002067</v>
          </cell>
          <cell r="G755">
            <v>10019842</v>
          </cell>
        </row>
        <row r="756">
          <cell r="E756" t="str">
            <v>D-05197</v>
          </cell>
          <cell r="F756">
            <v>10006474</v>
          </cell>
          <cell r="G756">
            <v>10019754</v>
          </cell>
        </row>
        <row r="757">
          <cell r="E757" t="str">
            <v>D-42531</v>
          </cell>
          <cell r="F757">
            <v>10067155</v>
          </cell>
          <cell r="G757">
            <v>10018199</v>
          </cell>
        </row>
        <row r="758">
          <cell r="E758" t="str">
            <v>D-05212</v>
          </cell>
          <cell r="F758">
            <v>10036014</v>
          </cell>
          <cell r="G758">
            <v>10019524</v>
          </cell>
        </row>
        <row r="759">
          <cell r="E759" t="str">
            <v>D-44426</v>
          </cell>
          <cell r="F759">
            <v>10056682</v>
          </cell>
          <cell r="G759">
            <v>10019023</v>
          </cell>
        </row>
        <row r="760">
          <cell r="E760" t="str">
            <v>B-02060</v>
          </cell>
          <cell r="F760">
            <v>10036015</v>
          </cell>
          <cell r="G760">
            <v>10019526</v>
          </cell>
        </row>
        <row r="761">
          <cell r="E761" t="str">
            <v>D-44292</v>
          </cell>
          <cell r="F761">
            <v>10102714</v>
          </cell>
          <cell r="G761">
            <v>10018784</v>
          </cell>
        </row>
        <row r="762">
          <cell r="E762" t="str">
            <v>D-58899</v>
          </cell>
          <cell r="F762">
            <v>10062508</v>
          </cell>
          <cell r="G762">
            <v>10018098</v>
          </cell>
        </row>
        <row r="763">
          <cell r="E763" t="str">
            <v>792296-4</v>
          </cell>
          <cell r="F763">
            <v>10037117</v>
          </cell>
          <cell r="G763">
            <v>10019365</v>
          </cell>
        </row>
        <row r="764">
          <cell r="E764" t="str">
            <v>A-02478</v>
          </cell>
          <cell r="F764">
            <v>10038231</v>
          </cell>
          <cell r="G764">
            <v>10019477</v>
          </cell>
        </row>
        <row r="765">
          <cell r="E765" t="str">
            <v>A-80438</v>
          </cell>
          <cell r="F765">
            <v>10042355</v>
          </cell>
          <cell r="G765">
            <v>10019314</v>
          </cell>
        </row>
        <row r="766">
          <cell r="E766" t="str">
            <v>A-84040</v>
          </cell>
          <cell r="F766">
            <v>10060096</v>
          </cell>
          <cell r="G766">
            <v>10019075</v>
          </cell>
        </row>
        <row r="767">
          <cell r="E767" t="str">
            <v>B-13471</v>
          </cell>
          <cell r="F767">
            <v>10062509</v>
          </cell>
          <cell r="G767">
            <v>10018099</v>
          </cell>
        </row>
        <row r="768">
          <cell r="E768" t="str">
            <v>D-41414</v>
          </cell>
          <cell r="F768">
            <v>10046376</v>
          </cell>
          <cell r="G768">
            <v>10019204</v>
          </cell>
        </row>
        <row r="769">
          <cell r="E769" t="str">
            <v>D-44345</v>
          </cell>
          <cell r="F769">
            <v>10056248</v>
          </cell>
          <cell r="G769">
            <v>10019004</v>
          </cell>
        </row>
        <row r="770">
          <cell r="E770" t="str">
            <v>D-44339</v>
          </cell>
          <cell r="F770">
            <v>10056247</v>
          </cell>
          <cell r="G770">
            <v>10019002</v>
          </cell>
        </row>
        <row r="771">
          <cell r="E771" t="str">
            <v>D-05206</v>
          </cell>
          <cell r="F771">
            <v>10025401</v>
          </cell>
          <cell r="G771">
            <v>10019476</v>
          </cell>
        </row>
        <row r="772">
          <cell r="E772" t="str">
            <v>B-00795</v>
          </cell>
          <cell r="F772">
            <v>10036012</v>
          </cell>
          <cell r="G772">
            <v>10019520</v>
          </cell>
        </row>
        <row r="773">
          <cell r="E773" t="str">
            <v>D-41408</v>
          </cell>
          <cell r="F773">
            <v>10105294</v>
          </cell>
          <cell r="G773">
            <v>10018539</v>
          </cell>
        </row>
        <row r="774">
          <cell r="E774" t="str">
            <v>A-84121</v>
          </cell>
          <cell r="F774">
            <v>10105657</v>
          </cell>
          <cell r="G774">
            <v>10018255</v>
          </cell>
        </row>
        <row r="775">
          <cell r="E775" t="str">
            <v>D-74790</v>
          </cell>
          <cell r="F775">
            <v>10105653</v>
          </cell>
          <cell r="G775">
            <v>10018251</v>
          </cell>
        </row>
        <row r="776">
          <cell r="E776" t="str">
            <v>A-84090</v>
          </cell>
          <cell r="F776">
            <v>10062925</v>
          </cell>
          <cell r="G776">
            <v>10018145</v>
          </cell>
        </row>
        <row r="777">
          <cell r="E777" t="str">
            <v>A-83836</v>
          </cell>
          <cell r="F777">
            <v>10000605</v>
          </cell>
          <cell r="G777">
            <v>10020019</v>
          </cell>
        </row>
        <row r="778">
          <cell r="E778" t="str">
            <v>T-01210</v>
          </cell>
          <cell r="F778">
            <v>10000600</v>
          </cell>
          <cell r="G778">
            <v>10020015</v>
          </cell>
        </row>
        <row r="779">
          <cell r="E779" t="str">
            <v>A-07185</v>
          </cell>
          <cell r="F779">
            <v>10000604</v>
          </cell>
          <cell r="G779">
            <v>10020018</v>
          </cell>
        </row>
        <row r="780">
          <cell r="E780" t="str">
            <v>A-81131</v>
          </cell>
          <cell r="F780">
            <v>10038975</v>
          </cell>
          <cell r="G780">
            <v>10019259</v>
          </cell>
        </row>
        <row r="781">
          <cell r="E781" t="str">
            <v>A-82937</v>
          </cell>
          <cell r="F781">
            <v>10000599</v>
          </cell>
          <cell r="G781">
            <v>10020014</v>
          </cell>
        </row>
        <row r="782">
          <cell r="E782" t="str">
            <v>A-02814</v>
          </cell>
          <cell r="F782">
            <v>10000601</v>
          </cell>
          <cell r="G782">
            <v>10020016</v>
          </cell>
        </row>
        <row r="783">
          <cell r="E783" t="str">
            <v>B-65551</v>
          </cell>
          <cell r="F783">
            <v>10103821</v>
          </cell>
          <cell r="G783">
            <v>10018479</v>
          </cell>
        </row>
        <row r="784">
          <cell r="E784" t="str">
            <v>794060-9</v>
          </cell>
          <cell r="F784">
            <v>10002590</v>
          </cell>
          <cell r="G784">
            <v>10019911</v>
          </cell>
        </row>
        <row r="785">
          <cell r="E785" t="str">
            <v>D-71962</v>
          </cell>
          <cell r="F785">
            <v>10093969</v>
          </cell>
          <cell r="G785">
            <v>10018857</v>
          </cell>
        </row>
        <row r="786">
          <cell r="E786" t="str">
            <v>D-17273</v>
          </cell>
          <cell r="F786">
            <v>10063766</v>
          </cell>
          <cell r="G786">
            <v>10018161</v>
          </cell>
        </row>
        <row r="787">
          <cell r="E787" t="str">
            <v>D-08660</v>
          </cell>
          <cell r="F787">
            <v>10034263</v>
          </cell>
          <cell r="G787">
            <v>10019370</v>
          </cell>
        </row>
        <row r="788">
          <cell r="E788" t="str">
            <v>D-07163</v>
          </cell>
          <cell r="F788">
            <v>10049622</v>
          </cell>
          <cell r="G788">
            <v>10019270</v>
          </cell>
        </row>
        <row r="789">
          <cell r="E789" t="str">
            <v>D-07179</v>
          </cell>
          <cell r="F789">
            <v>10049623</v>
          </cell>
          <cell r="G789">
            <v>10019272</v>
          </cell>
        </row>
        <row r="790">
          <cell r="E790" t="str">
            <v>D-07185</v>
          </cell>
          <cell r="F790">
            <v>10049624</v>
          </cell>
          <cell r="G790">
            <v>10019274</v>
          </cell>
        </row>
        <row r="791">
          <cell r="E791" t="str">
            <v>D-31516</v>
          </cell>
          <cell r="F791">
            <v>10002566</v>
          </cell>
          <cell r="G791">
            <v>10019905</v>
          </cell>
        </row>
        <row r="792">
          <cell r="E792" t="str">
            <v>763077-3</v>
          </cell>
          <cell r="F792">
            <v>10000693</v>
          </cell>
          <cell r="G792">
            <v>10019943</v>
          </cell>
        </row>
        <row r="793">
          <cell r="E793" t="str">
            <v>192877-8</v>
          </cell>
          <cell r="F793">
            <v>10000692</v>
          </cell>
          <cell r="G793">
            <v>10019942</v>
          </cell>
        </row>
        <row r="794">
          <cell r="E794" t="str">
            <v>763142-8</v>
          </cell>
          <cell r="F794">
            <v>10002076</v>
          </cell>
          <cell r="G794">
            <v>10019852</v>
          </cell>
        </row>
        <row r="795">
          <cell r="E795" t="str">
            <v>193318-7</v>
          </cell>
          <cell r="F795">
            <v>10030150</v>
          </cell>
          <cell r="G795">
            <v>10019537</v>
          </cell>
        </row>
        <row r="796">
          <cell r="E796" t="str">
            <v>192121-3</v>
          </cell>
          <cell r="F796">
            <v>10048330</v>
          </cell>
          <cell r="G796">
            <v>10019230</v>
          </cell>
        </row>
        <row r="797">
          <cell r="E797" t="str">
            <v>194041-7</v>
          </cell>
          <cell r="F797">
            <v>10034271</v>
          </cell>
          <cell r="G797">
            <v>10019385</v>
          </cell>
        </row>
        <row r="798">
          <cell r="E798" t="str">
            <v>766016-2</v>
          </cell>
          <cell r="F798">
            <v>10103804</v>
          </cell>
          <cell r="G798">
            <v>10018447</v>
          </cell>
        </row>
        <row r="799">
          <cell r="E799" t="str">
            <v>198911-2</v>
          </cell>
          <cell r="F799">
            <v>10087900</v>
          </cell>
          <cell r="G799">
            <v>10018899</v>
          </cell>
        </row>
        <row r="800">
          <cell r="E800" t="str">
            <v>A-36712</v>
          </cell>
          <cell r="F800">
            <v>10040472</v>
          </cell>
          <cell r="G800">
            <v>10019302</v>
          </cell>
        </row>
        <row r="801">
          <cell r="E801" t="str">
            <v>766027-7</v>
          </cell>
          <cell r="F801">
            <v>10086769</v>
          </cell>
          <cell r="G801">
            <v>10018683</v>
          </cell>
        </row>
        <row r="802">
          <cell r="E802" t="str">
            <v>F-30913</v>
          </cell>
          <cell r="F802">
            <v>10032036</v>
          </cell>
          <cell r="G802">
            <v>10019546</v>
          </cell>
        </row>
        <row r="803">
          <cell r="E803" t="str">
            <v>F-30942</v>
          </cell>
          <cell r="F803">
            <v>10032039</v>
          </cell>
          <cell r="G803">
            <v>10019549</v>
          </cell>
        </row>
        <row r="804">
          <cell r="E804" t="str">
            <v>F-31153</v>
          </cell>
          <cell r="F804">
            <v>10032037</v>
          </cell>
          <cell r="G804">
            <v>10019547</v>
          </cell>
        </row>
        <row r="805">
          <cell r="E805" t="str">
            <v>F-32216</v>
          </cell>
          <cell r="F805">
            <v>10032038</v>
          </cell>
          <cell r="G805">
            <v>10019548</v>
          </cell>
        </row>
        <row r="806">
          <cell r="E806" t="str">
            <v>F-33250</v>
          </cell>
          <cell r="F806">
            <v>10032040</v>
          </cell>
          <cell r="G806">
            <v>10019550</v>
          </cell>
        </row>
        <row r="807">
          <cell r="E807" t="str">
            <v>FS4300</v>
          </cell>
          <cell r="F807">
            <v>10062519</v>
          </cell>
          <cell r="G807">
            <v>10018113</v>
          </cell>
        </row>
        <row r="808">
          <cell r="E808" t="str">
            <v>195896-3</v>
          </cell>
          <cell r="F808">
            <v>10037185</v>
          </cell>
          <cell r="G808">
            <v>10019452</v>
          </cell>
        </row>
        <row r="809">
          <cell r="E809" t="str">
            <v>PLM5120N2</v>
          </cell>
          <cell r="F809">
            <v>10075213</v>
          </cell>
          <cell r="G809">
            <v>10018573</v>
          </cell>
        </row>
        <row r="810">
          <cell r="E810">
            <v>980508620</v>
          </cell>
          <cell r="F810">
            <v>10036018</v>
          </cell>
          <cell r="G810">
            <v>10019532</v>
          </cell>
        </row>
        <row r="811">
          <cell r="E811" t="str">
            <v>DC18RC</v>
          </cell>
          <cell r="F811">
            <v>10039922</v>
          </cell>
          <cell r="G811">
            <v>10019291</v>
          </cell>
        </row>
        <row r="812">
          <cell r="E812" t="str">
            <v>B-40711</v>
          </cell>
          <cell r="F812">
            <v>10056686</v>
          </cell>
          <cell r="G812">
            <v>10019031</v>
          </cell>
        </row>
        <row r="813">
          <cell r="E813" t="str">
            <v>B-40727</v>
          </cell>
          <cell r="F813">
            <v>10056685</v>
          </cell>
          <cell r="G813">
            <v>10019029</v>
          </cell>
        </row>
        <row r="814">
          <cell r="E814" t="str">
            <v>B-40733</v>
          </cell>
          <cell r="F814">
            <v>10056684</v>
          </cell>
          <cell r="G814">
            <v>10019027</v>
          </cell>
        </row>
        <row r="815">
          <cell r="E815" t="str">
            <v>B-40749</v>
          </cell>
          <cell r="F815">
            <v>10056683</v>
          </cell>
          <cell r="G815">
            <v>10019025</v>
          </cell>
        </row>
        <row r="816">
          <cell r="E816" t="str">
            <v>D-07711</v>
          </cell>
          <cell r="F816">
            <v>10043628</v>
          </cell>
          <cell r="G816">
            <v>10019323</v>
          </cell>
        </row>
        <row r="817">
          <cell r="E817" t="str">
            <v>D-07733</v>
          </cell>
          <cell r="F817">
            <v>10050062</v>
          </cell>
          <cell r="G817">
            <v>10019092</v>
          </cell>
        </row>
        <row r="818">
          <cell r="E818" t="str">
            <v>D-07761</v>
          </cell>
          <cell r="F818">
            <v>10043629</v>
          </cell>
          <cell r="G818">
            <v>10019324</v>
          </cell>
        </row>
        <row r="819">
          <cell r="E819" t="str">
            <v>D-07777</v>
          </cell>
          <cell r="F819">
            <v>10053356</v>
          </cell>
          <cell r="G819">
            <v>10019122</v>
          </cell>
        </row>
        <row r="820">
          <cell r="E820" t="str">
            <v>D-07783</v>
          </cell>
          <cell r="F820">
            <v>10043630</v>
          </cell>
          <cell r="G820">
            <v>10019325</v>
          </cell>
        </row>
        <row r="821">
          <cell r="E821" t="str">
            <v>D-07808</v>
          </cell>
          <cell r="F821">
            <v>10043631</v>
          </cell>
          <cell r="G821">
            <v>10019326</v>
          </cell>
        </row>
        <row r="822">
          <cell r="E822" t="str">
            <v>D-07814</v>
          </cell>
          <cell r="F822">
            <v>10060441</v>
          </cell>
          <cell r="G822">
            <v>10018023</v>
          </cell>
        </row>
        <row r="823">
          <cell r="E823" t="str">
            <v>267001-3</v>
          </cell>
          <cell r="F823">
            <v>10038932</v>
          </cell>
          <cell r="G823">
            <v>10019255</v>
          </cell>
        </row>
        <row r="824">
          <cell r="E824" t="str">
            <v>B-51851</v>
          </cell>
          <cell r="F824">
            <v>10076840</v>
          </cell>
          <cell r="G824">
            <v>10018608</v>
          </cell>
        </row>
        <row r="825">
          <cell r="E825" t="str">
            <v>B-52392</v>
          </cell>
          <cell r="F825">
            <v>10076834</v>
          </cell>
          <cell r="G825">
            <v>10018601</v>
          </cell>
        </row>
        <row r="826">
          <cell r="E826" t="str">
            <v>D-49264</v>
          </cell>
          <cell r="F826">
            <v>10056238</v>
          </cell>
          <cell r="G826">
            <v>10019187</v>
          </cell>
        </row>
        <row r="827">
          <cell r="E827" t="str">
            <v>D-29773</v>
          </cell>
          <cell r="F827">
            <v>10057279</v>
          </cell>
          <cell r="G827">
            <v>10019043</v>
          </cell>
        </row>
        <row r="828">
          <cell r="E828" t="str">
            <v>D-31413</v>
          </cell>
          <cell r="F828">
            <v>10034238</v>
          </cell>
          <cell r="G828">
            <v>10019564</v>
          </cell>
        </row>
        <row r="829">
          <cell r="E829" t="str">
            <v>D-31435</v>
          </cell>
          <cell r="F829">
            <v>10034239</v>
          </cell>
          <cell r="G829">
            <v>10019565</v>
          </cell>
        </row>
        <row r="830">
          <cell r="E830" t="str">
            <v>D-31441</v>
          </cell>
          <cell r="F830">
            <v>10034240</v>
          </cell>
          <cell r="G830">
            <v>10019566</v>
          </cell>
        </row>
        <row r="831">
          <cell r="E831" t="str">
            <v>D-31457</v>
          </cell>
          <cell r="F831">
            <v>10034241</v>
          </cell>
          <cell r="G831">
            <v>10019567</v>
          </cell>
        </row>
        <row r="832">
          <cell r="E832" t="str">
            <v>B-51926</v>
          </cell>
          <cell r="F832">
            <v>10084326</v>
          </cell>
          <cell r="G832">
            <v>10018656</v>
          </cell>
        </row>
        <row r="833">
          <cell r="E833" t="str">
            <v>A-47173</v>
          </cell>
          <cell r="F833">
            <v>10000641</v>
          </cell>
          <cell r="G833">
            <v>10020053</v>
          </cell>
        </row>
        <row r="834">
          <cell r="E834" t="str">
            <v>741015-5</v>
          </cell>
          <cell r="F834">
            <v>10045804</v>
          </cell>
          <cell r="G834">
            <v>10019178</v>
          </cell>
        </row>
        <row r="835">
          <cell r="E835" t="str">
            <v>741016-3</v>
          </cell>
          <cell r="F835">
            <v>10045805</v>
          </cell>
          <cell r="G835">
            <v>10019180</v>
          </cell>
        </row>
        <row r="836">
          <cell r="E836" t="str">
            <v>A-47204</v>
          </cell>
          <cell r="F836">
            <v>10000642</v>
          </cell>
          <cell r="G836">
            <v>10020054</v>
          </cell>
        </row>
        <row r="837">
          <cell r="E837" t="str">
            <v>A-47260</v>
          </cell>
          <cell r="F837">
            <v>10045806</v>
          </cell>
          <cell r="G837">
            <v>10019182</v>
          </cell>
        </row>
        <row r="838">
          <cell r="E838" t="str">
            <v>B-51976</v>
          </cell>
          <cell r="F838">
            <v>10065753</v>
          </cell>
          <cell r="G838">
            <v>10018175</v>
          </cell>
        </row>
        <row r="839">
          <cell r="E839" t="str">
            <v>B-18247</v>
          </cell>
          <cell r="F839">
            <v>10086121</v>
          </cell>
          <cell r="G839">
            <v>10018668</v>
          </cell>
        </row>
        <row r="840">
          <cell r="E840" t="str">
            <v>A-80911</v>
          </cell>
          <cell r="F840">
            <v>10102719</v>
          </cell>
          <cell r="G840">
            <v>10018794</v>
          </cell>
        </row>
        <row r="841">
          <cell r="E841" t="str">
            <v>B-18231</v>
          </cell>
          <cell r="F841">
            <v>10039537</v>
          </cell>
          <cell r="G841">
            <v>10019288</v>
          </cell>
        </row>
        <row r="842">
          <cell r="E842" t="str">
            <v>A-84981</v>
          </cell>
          <cell r="F842">
            <v>10000648</v>
          </cell>
          <cell r="G842">
            <v>10020060</v>
          </cell>
        </row>
        <row r="843">
          <cell r="E843" t="str">
            <v>A-80852</v>
          </cell>
          <cell r="F843">
            <v>10000646</v>
          </cell>
          <cell r="G843">
            <v>10020058</v>
          </cell>
        </row>
        <row r="844">
          <cell r="E844" t="str">
            <v>A-80933</v>
          </cell>
          <cell r="F844">
            <v>10000645</v>
          </cell>
          <cell r="G844">
            <v>10020057</v>
          </cell>
        </row>
        <row r="845">
          <cell r="E845" t="str">
            <v>A-80880</v>
          </cell>
          <cell r="F845">
            <v>10000644</v>
          </cell>
          <cell r="G845">
            <v>10020056</v>
          </cell>
        </row>
        <row r="846">
          <cell r="E846" t="str">
            <v>A-80955</v>
          </cell>
          <cell r="F846">
            <v>10084712</v>
          </cell>
          <cell r="G846">
            <v>10018658</v>
          </cell>
        </row>
        <row r="847">
          <cell r="E847" t="str">
            <v>B-51904</v>
          </cell>
          <cell r="F847">
            <v>10067244</v>
          </cell>
          <cell r="G847">
            <v>10018209</v>
          </cell>
        </row>
        <row r="848">
          <cell r="E848" t="str">
            <v>B-51960</v>
          </cell>
          <cell r="F848">
            <v>10087899</v>
          </cell>
          <cell r="G848">
            <v>10018897</v>
          </cell>
        </row>
        <row r="849">
          <cell r="E849" t="str">
            <v>B-51932</v>
          </cell>
          <cell r="F849">
            <v>10080391</v>
          </cell>
          <cell r="G849">
            <v>10018631</v>
          </cell>
        </row>
        <row r="850">
          <cell r="E850" t="str">
            <v>273495-2</v>
          </cell>
          <cell r="F850">
            <v>10002431</v>
          </cell>
          <cell r="G850">
            <v>10019890</v>
          </cell>
        </row>
        <row r="851">
          <cell r="E851" t="str">
            <v>273444-9</v>
          </cell>
          <cell r="F851">
            <v>10002430</v>
          </cell>
          <cell r="G851">
            <v>10019888</v>
          </cell>
        </row>
        <row r="852">
          <cell r="E852" t="str">
            <v>152492-0</v>
          </cell>
          <cell r="F852">
            <v>10002017</v>
          </cell>
          <cell r="G852">
            <v>10019972</v>
          </cell>
        </row>
        <row r="853">
          <cell r="E853" t="str">
            <v>B-48832</v>
          </cell>
          <cell r="F853">
            <v>10067159</v>
          </cell>
          <cell r="G853">
            <v>10018207</v>
          </cell>
        </row>
        <row r="854">
          <cell r="E854" t="str">
            <v>168408-5</v>
          </cell>
          <cell r="F854">
            <v>10026422</v>
          </cell>
          <cell r="G854">
            <v>10019490</v>
          </cell>
        </row>
        <row r="855">
          <cell r="E855" t="str">
            <v>341650-5</v>
          </cell>
          <cell r="F855">
            <v>10003910</v>
          </cell>
          <cell r="G855">
            <v>10019735</v>
          </cell>
        </row>
        <row r="856">
          <cell r="E856" t="str">
            <v>191G25-8</v>
          </cell>
          <cell r="F856">
            <v>10103808</v>
          </cell>
          <cell r="G856">
            <v>10018455</v>
          </cell>
        </row>
        <row r="857">
          <cell r="E857">
            <v>445060451</v>
          </cell>
          <cell r="F857">
            <v>10102720</v>
          </cell>
          <cell r="G857">
            <v>10018796</v>
          </cell>
        </row>
        <row r="858">
          <cell r="E858" t="str">
            <v>194367-7</v>
          </cell>
          <cell r="F858">
            <v>10061280</v>
          </cell>
          <cell r="G858">
            <v>10018070</v>
          </cell>
        </row>
        <row r="859">
          <cell r="E859" t="str">
            <v>194368-5</v>
          </cell>
          <cell r="F859">
            <v>10016400</v>
          </cell>
          <cell r="G859">
            <v>10019624</v>
          </cell>
        </row>
        <row r="860">
          <cell r="E860" t="str">
            <v>164367-1</v>
          </cell>
          <cell r="F860">
            <v>10034277</v>
          </cell>
          <cell r="G860">
            <v>10019396</v>
          </cell>
        </row>
        <row r="861">
          <cell r="E861" t="str">
            <v>191455-1</v>
          </cell>
          <cell r="F861">
            <v>10003912</v>
          </cell>
          <cell r="G861">
            <v>10019739</v>
          </cell>
        </row>
        <row r="862">
          <cell r="E862" t="str">
            <v>192732-4</v>
          </cell>
          <cell r="F862">
            <v>10049630</v>
          </cell>
          <cell r="G862">
            <v>10019282</v>
          </cell>
        </row>
        <row r="863">
          <cell r="E863" t="str">
            <v>JM23000023</v>
          </cell>
          <cell r="F863">
            <v>10002436</v>
          </cell>
          <cell r="G863">
            <v>10019901</v>
          </cell>
        </row>
        <row r="864">
          <cell r="E864" t="str">
            <v>194579-2</v>
          </cell>
          <cell r="F864">
            <v>10102716</v>
          </cell>
          <cell r="G864">
            <v>10018788</v>
          </cell>
        </row>
        <row r="865">
          <cell r="E865">
            <v>445050655</v>
          </cell>
          <cell r="F865">
            <v>10105627</v>
          </cell>
          <cell r="G865">
            <v>10018223</v>
          </cell>
        </row>
        <row r="866">
          <cell r="E866" t="str">
            <v>199232-5</v>
          </cell>
          <cell r="F866">
            <v>10105266</v>
          </cell>
          <cell r="G866">
            <v>10018521</v>
          </cell>
        </row>
        <row r="867">
          <cell r="E867" t="str">
            <v>HG6031VK</v>
          </cell>
          <cell r="F867">
            <v>10076819</v>
          </cell>
          <cell r="G867">
            <v>10018586</v>
          </cell>
        </row>
        <row r="868">
          <cell r="E868" t="str">
            <v>HG651C</v>
          </cell>
          <cell r="F868">
            <v>10002605</v>
          </cell>
          <cell r="G868">
            <v>10019919</v>
          </cell>
        </row>
        <row r="869">
          <cell r="E869">
            <v>134.41399999999999</v>
          </cell>
          <cell r="F869">
            <v>10044927</v>
          </cell>
          <cell r="G869">
            <v>10019162</v>
          </cell>
        </row>
        <row r="870">
          <cell r="E870">
            <v>122.248</v>
          </cell>
          <cell r="F870">
            <v>10044926</v>
          </cell>
          <cell r="G870">
            <v>10019160</v>
          </cell>
        </row>
        <row r="871">
          <cell r="E871">
            <v>134.41499999999999</v>
          </cell>
          <cell r="F871">
            <v>10044928</v>
          </cell>
          <cell r="G871">
            <v>10019164</v>
          </cell>
        </row>
        <row r="872">
          <cell r="E872">
            <v>134.41200000000001</v>
          </cell>
          <cell r="F872">
            <v>10044925</v>
          </cell>
          <cell r="G872">
            <v>10019156</v>
          </cell>
        </row>
        <row r="873">
          <cell r="E873" t="str">
            <v>191X15-3</v>
          </cell>
          <cell r="F873">
            <v>10105365</v>
          </cell>
          <cell r="G873">
            <v>10018198</v>
          </cell>
        </row>
        <row r="874">
          <cell r="E874" t="str">
            <v>191X11-1</v>
          </cell>
          <cell r="F874">
            <v>10105363</v>
          </cell>
          <cell r="G874">
            <v>10018194</v>
          </cell>
        </row>
        <row r="875">
          <cell r="E875" t="str">
            <v>191X13-7</v>
          </cell>
          <cell r="F875">
            <v>10105364</v>
          </cell>
          <cell r="G875">
            <v>10018196</v>
          </cell>
        </row>
        <row r="876">
          <cell r="E876" t="str">
            <v>123245-4</v>
          </cell>
          <cell r="F876">
            <v>10105269</v>
          </cell>
          <cell r="G876">
            <v>10018525</v>
          </cell>
        </row>
        <row r="877">
          <cell r="E877" t="str">
            <v>127828-2</v>
          </cell>
          <cell r="F877">
            <v>10105303</v>
          </cell>
          <cell r="G877">
            <v>10018189</v>
          </cell>
        </row>
        <row r="878">
          <cell r="E878" t="str">
            <v>191X21-8</v>
          </cell>
          <cell r="F878">
            <v>10105368</v>
          </cell>
          <cell r="G878">
            <v>10018204</v>
          </cell>
        </row>
        <row r="879">
          <cell r="E879" t="str">
            <v>191X17-9</v>
          </cell>
          <cell r="F879">
            <v>10105366</v>
          </cell>
          <cell r="G879">
            <v>10018200</v>
          </cell>
        </row>
        <row r="880">
          <cell r="E880" t="str">
            <v>191X19-5</v>
          </cell>
          <cell r="F880">
            <v>10105367</v>
          </cell>
          <cell r="G880">
            <v>10018202</v>
          </cell>
        </row>
        <row r="881">
          <cell r="E881" t="str">
            <v>B-01046</v>
          </cell>
          <cell r="F881">
            <v>10075220</v>
          </cell>
          <cell r="G881">
            <v>10018580</v>
          </cell>
        </row>
        <row r="882">
          <cell r="E882" t="str">
            <v>D-47139</v>
          </cell>
          <cell r="F882">
            <v>10043625</v>
          </cell>
          <cell r="G882">
            <v>10019320</v>
          </cell>
        </row>
        <row r="883">
          <cell r="E883" t="str">
            <v>193036-7</v>
          </cell>
          <cell r="F883">
            <v>10093971</v>
          </cell>
          <cell r="G883">
            <v>10018859</v>
          </cell>
        </row>
        <row r="884">
          <cell r="E884" t="str">
            <v>343693-3</v>
          </cell>
          <cell r="F884">
            <v>10060448</v>
          </cell>
          <cell r="G884">
            <v>10018038</v>
          </cell>
        </row>
        <row r="885">
          <cell r="E885" t="str">
            <v>D-64325</v>
          </cell>
          <cell r="F885">
            <v>10093963</v>
          </cell>
          <cell r="G885">
            <v>10019032</v>
          </cell>
        </row>
        <row r="886">
          <cell r="E886" t="str">
            <v>D-64397</v>
          </cell>
          <cell r="F886">
            <v>10098945</v>
          </cell>
          <cell r="G886">
            <v>10018985</v>
          </cell>
        </row>
        <row r="887">
          <cell r="E887" t="str">
            <v>D-29941</v>
          </cell>
          <cell r="F887">
            <v>10025400</v>
          </cell>
          <cell r="G887">
            <v>10019473</v>
          </cell>
        </row>
        <row r="888">
          <cell r="E888" t="str">
            <v>D-29614</v>
          </cell>
          <cell r="F888">
            <v>10049621</v>
          </cell>
          <cell r="G888">
            <v>10019268</v>
          </cell>
        </row>
        <row r="889">
          <cell r="E889" t="str">
            <v>D-29670</v>
          </cell>
          <cell r="F889">
            <v>10072748</v>
          </cell>
          <cell r="G889">
            <v>10018568</v>
          </cell>
        </row>
        <row r="890">
          <cell r="E890" t="str">
            <v>D-29810</v>
          </cell>
          <cell r="F890">
            <v>10040467</v>
          </cell>
          <cell r="G890">
            <v>10019298</v>
          </cell>
        </row>
        <row r="891">
          <cell r="E891" t="str">
            <v>D-64294</v>
          </cell>
          <cell r="F891">
            <v>10093970</v>
          </cell>
          <cell r="G891">
            <v>10018858</v>
          </cell>
        </row>
        <row r="892">
          <cell r="E892" t="str">
            <v>D-09709</v>
          </cell>
          <cell r="F892">
            <v>10034255</v>
          </cell>
          <cell r="G892">
            <v>10019580</v>
          </cell>
        </row>
        <row r="893">
          <cell r="E893" t="str">
            <v>D-71227</v>
          </cell>
          <cell r="F893">
            <v>10093968</v>
          </cell>
          <cell r="G893">
            <v>10018856</v>
          </cell>
        </row>
        <row r="894">
          <cell r="E894" t="str">
            <v>D-06339</v>
          </cell>
          <cell r="F894">
            <v>10050412</v>
          </cell>
          <cell r="G894">
            <v>10019104</v>
          </cell>
        </row>
        <row r="895">
          <cell r="E895" t="str">
            <v>D-06236</v>
          </cell>
          <cell r="F895">
            <v>10065751</v>
          </cell>
          <cell r="G895">
            <v>10018173</v>
          </cell>
        </row>
        <row r="896">
          <cell r="E896" t="str">
            <v>D-06638</v>
          </cell>
          <cell r="F896">
            <v>10013138</v>
          </cell>
          <cell r="G896">
            <v>10019598</v>
          </cell>
        </row>
        <row r="897">
          <cell r="E897" t="str">
            <v>D-06270</v>
          </cell>
          <cell r="F897">
            <v>10049614</v>
          </cell>
          <cell r="G897">
            <v>10019254</v>
          </cell>
        </row>
        <row r="898">
          <cell r="E898" t="str">
            <v>D-06258</v>
          </cell>
          <cell r="F898">
            <v>10049613</v>
          </cell>
          <cell r="G898">
            <v>10019252</v>
          </cell>
        </row>
        <row r="899">
          <cell r="E899" t="str">
            <v>D-06317</v>
          </cell>
          <cell r="F899">
            <v>10012909</v>
          </cell>
          <cell r="G899">
            <v>10019589</v>
          </cell>
        </row>
        <row r="900">
          <cell r="E900" t="str">
            <v>D-06292</v>
          </cell>
          <cell r="F900">
            <v>10049615</v>
          </cell>
          <cell r="G900">
            <v>10019256</v>
          </cell>
        </row>
        <row r="901">
          <cell r="E901" t="str">
            <v>D-06351</v>
          </cell>
          <cell r="F901">
            <v>10061276</v>
          </cell>
          <cell r="G901">
            <v>10018063</v>
          </cell>
        </row>
        <row r="902">
          <cell r="E902" t="str">
            <v>D-06373</v>
          </cell>
          <cell r="F902">
            <v>10072747</v>
          </cell>
          <cell r="G902">
            <v>10018567</v>
          </cell>
        </row>
        <row r="903">
          <cell r="E903" t="str">
            <v>D-06410</v>
          </cell>
          <cell r="F903">
            <v>10002027</v>
          </cell>
          <cell r="G903">
            <v>10019980</v>
          </cell>
        </row>
        <row r="904">
          <cell r="E904" t="str">
            <v>D-06498</v>
          </cell>
          <cell r="F904">
            <v>10002035</v>
          </cell>
          <cell r="G904">
            <v>10019990</v>
          </cell>
        </row>
        <row r="905">
          <cell r="E905" t="str">
            <v>D-57168</v>
          </cell>
          <cell r="F905">
            <v>10056240</v>
          </cell>
          <cell r="G905">
            <v>10019191</v>
          </cell>
        </row>
        <row r="906">
          <cell r="E906" t="str">
            <v>D-30514</v>
          </cell>
          <cell r="F906">
            <v>10062913</v>
          </cell>
          <cell r="G906">
            <v>10018122</v>
          </cell>
        </row>
        <row r="907">
          <cell r="E907" t="str">
            <v>D-72235</v>
          </cell>
          <cell r="F907">
            <v>10103822</v>
          </cell>
          <cell r="G907">
            <v>10018480</v>
          </cell>
        </row>
        <row r="908">
          <cell r="E908" t="str">
            <v>D-64319</v>
          </cell>
          <cell r="F908">
            <v>10103805</v>
          </cell>
          <cell r="G908">
            <v>10018449</v>
          </cell>
        </row>
        <row r="909">
          <cell r="E909" t="str">
            <v>D-64331</v>
          </cell>
          <cell r="F909">
            <v>10103806</v>
          </cell>
          <cell r="G909">
            <v>10018451</v>
          </cell>
        </row>
        <row r="910">
          <cell r="E910" t="str">
            <v>D-31217</v>
          </cell>
          <cell r="F910">
            <v>10002057</v>
          </cell>
          <cell r="G910">
            <v>10019825</v>
          </cell>
        </row>
        <row r="911">
          <cell r="E911" t="str">
            <v>D-64303</v>
          </cell>
          <cell r="F911">
            <v>10101555</v>
          </cell>
          <cell r="G911">
            <v>10018737</v>
          </cell>
        </row>
        <row r="912">
          <cell r="E912" t="str">
            <v>B-01155</v>
          </cell>
          <cell r="F912">
            <v>10075221</v>
          </cell>
          <cell r="G912">
            <v>10018581</v>
          </cell>
        </row>
        <row r="913">
          <cell r="E913" t="str">
            <v>TW0200</v>
          </cell>
          <cell r="F913">
            <v>10002823</v>
          </cell>
          <cell r="G913">
            <v>10019658</v>
          </cell>
        </row>
        <row r="914">
          <cell r="E914" t="str">
            <v>TW0350</v>
          </cell>
          <cell r="F914">
            <v>10048333</v>
          </cell>
          <cell r="G914">
            <v>10019233</v>
          </cell>
        </row>
        <row r="915">
          <cell r="E915" t="str">
            <v>224343-8</v>
          </cell>
          <cell r="F915">
            <v>10002098</v>
          </cell>
          <cell r="G915">
            <v>10019869</v>
          </cell>
        </row>
        <row r="916">
          <cell r="E916" t="str">
            <v>224406-0</v>
          </cell>
          <cell r="F916">
            <v>10102718</v>
          </cell>
          <cell r="G916">
            <v>10018792</v>
          </cell>
        </row>
        <row r="917">
          <cell r="E917" t="str">
            <v>224386-0</v>
          </cell>
          <cell r="F917">
            <v>10002425</v>
          </cell>
          <cell r="G917">
            <v>10019880</v>
          </cell>
        </row>
        <row r="918">
          <cell r="E918" t="str">
            <v>224415-9</v>
          </cell>
          <cell r="F918">
            <v>10002426</v>
          </cell>
          <cell r="G918">
            <v>10019881</v>
          </cell>
        </row>
        <row r="919">
          <cell r="E919" t="str">
            <v>A-86882</v>
          </cell>
          <cell r="F919">
            <v>10034278</v>
          </cell>
          <cell r="G919">
            <v>10019397</v>
          </cell>
        </row>
        <row r="920">
          <cell r="E920" t="str">
            <v>A-85684</v>
          </cell>
          <cell r="F920">
            <v>10102706</v>
          </cell>
          <cell r="G920">
            <v>10018768</v>
          </cell>
        </row>
        <row r="921">
          <cell r="E921" t="str">
            <v>A-85765</v>
          </cell>
          <cell r="F921">
            <v>10075222</v>
          </cell>
          <cell r="G921">
            <v>10018582</v>
          </cell>
        </row>
        <row r="922">
          <cell r="E922" t="str">
            <v>A-85771</v>
          </cell>
          <cell r="F922">
            <v>10021591</v>
          </cell>
          <cell r="G922">
            <v>10019650</v>
          </cell>
        </row>
        <row r="923">
          <cell r="E923" t="str">
            <v>A-86561</v>
          </cell>
          <cell r="F923">
            <v>10068020</v>
          </cell>
          <cell r="G923">
            <v>10018526</v>
          </cell>
        </row>
        <row r="924">
          <cell r="E924" t="str">
            <v>B-10469</v>
          </cell>
          <cell r="F924">
            <v>10080873</v>
          </cell>
          <cell r="G924">
            <v>10018639</v>
          </cell>
        </row>
        <row r="925">
          <cell r="E925" t="str">
            <v>B-06476</v>
          </cell>
          <cell r="F925">
            <v>10055560</v>
          </cell>
          <cell r="G925">
            <v>10019152</v>
          </cell>
        </row>
        <row r="926">
          <cell r="E926" t="str">
            <v>A-85628</v>
          </cell>
          <cell r="F926">
            <v>10002025</v>
          </cell>
          <cell r="G926">
            <v>10019977</v>
          </cell>
        </row>
        <row r="927">
          <cell r="E927" t="str">
            <v>A-85737</v>
          </cell>
          <cell r="F927">
            <v>10002086</v>
          </cell>
          <cell r="G927">
            <v>10019858</v>
          </cell>
        </row>
        <row r="928">
          <cell r="E928" t="str">
            <v>A-85743</v>
          </cell>
          <cell r="F928">
            <v>10000649</v>
          </cell>
          <cell r="G928">
            <v>10020061</v>
          </cell>
        </row>
        <row r="929">
          <cell r="E929" t="str">
            <v>B-06890</v>
          </cell>
          <cell r="F929">
            <v>10047010</v>
          </cell>
          <cell r="G929">
            <v>10019215</v>
          </cell>
        </row>
        <row r="930">
          <cell r="E930" t="str">
            <v>B-06909</v>
          </cell>
          <cell r="F930">
            <v>10047011</v>
          </cell>
          <cell r="G930">
            <v>10019216</v>
          </cell>
        </row>
        <row r="931">
          <cell r="E931" t="str">
            <v>A-85802</v>
          </cell>
          <cell r="F931">
            <v>10002096</v>
          </cell>
          <cell r="G931">
            <v>10019867</v>
          </cell>
        </row>
        <row r="932">
          <cell r="E932" t="str">
            <v>A-85818</v>
          </cell>
          <cell r="F932">
            <v>10000651</v>
          </cell>
          <cell r="G932">
            <v>10020063</v>
          </cell>
        </row>
        <row r="933">
          <cell r="E933" t="str">
            <v>A-85868</v>
          </cell>
          <cell r="F933">
            <v>10002640</v>
          </cell>
          <cell r="G933">
            <v>10019730</v>
          </cell>
        </row>
        <row r="934">
          <cell r="E934" t="str">
            <v>A-86577</v>
          </cell>
          <cell r="F934">
            <v>10002024</v>
          </cell>
          <cell r="G934">
            <v>10019976</v>
          </cell>
        </row>
        <row r="935">
          <cell r="E935" t="str">
            <v>A-86583</v>
          </cell>
          <cell r="F935">
            <v>10000650</v>
          </cell>
          <cell r="G935">
            <v>10020062</v>
          </cell>
        </row>
        <row r="936">
          <cell r="E936" t="str">
            <v>A-85852</v>
          </cell>
          <cell r="F936">
            <v>10000695</v>
          </cell>
          <cell r="G936">
            <v>10019945</v>
          </cell>
        </row>
        <row r="937">
          <cell r="E937" t="str">
            <v>A-85874</v>
          </cell>
          <cell r="F937">
            <v>10000653</v>
          </cell>
          <cell r="G937">
            <v>10020065</v>
          </cell>
        </row>
        <row r="938">
          <cell r="E938" t="str">
            <v>A-02288</v>
          </cell>
          <cell r="F938">
            <v>10000652</v>
          </cell>
          <cell r="G938">
            <v>10020064</v>
          </cell>
        </row>
        <row r="939">
          <cell r="E939" t="str">
            <v>763132-1</v>
          </cell>
          <cell r="F939">
            <v>10002075</v>
          </cell>
          <cell r="G939">
            <v>10019851</v>
          </cell>
        </row>
        <row r="940">
          <cell r="E940" t="str">
            <v>766008-1</v>
          </cell>
          <cell r="F940">
            <v>10062616</v>
          </cell>
          <cell r="G940">
            <v>10018123</v>
          </cell>
        </row>
        <row r="941">
          <cell r="E941" t="str">
            <v>763229-6</v>
          </cell>
          <cell r="F941">
            <v>10070176</v>
          </cell>
          <cell r="G941">
            <v>10018530</v>
          </cell>
        </row>
        <row r="942">
          <cell r="E942" t="str">
            <v>763241-6</v>
          </cell>
          <cell r="F942">
            <v>10084277</v>
          </cell>
          <cell r="G942">
            <v>10018644</v>
          </cell>
        </row>
        <row r="943">
          <cell r="E943" t="str">
            <v>D-58752</v>
          </cell>
          <cell r="F943">
            <v>10070763</v>
          </cell>
          <cell r="G943">
            <v>10018565</v>
          </cell>
        </row>
        <row r="944">
          <cell r="E944" t="str">
            <v>162279-2</v>
          </cell>
          <cell r="F944">
            <v>10030106</v>
          </cell>
          <cell r="G944">
            <v>10019529</v>
          </cell>
        </row>
        <row r="945">
          <cell r="E945" t="str">
            <v>224578-1</v>
          </cell>
          <cell r="F945">
            <v>10054706</v>
          </cell>
          <cell r="G945">
            <v>10019140</v>
          </cell>
        </row>
        <row r="946">
          <cell r="E946" t="str">
            <v>224554-5</v>
          </cell>
          <cell r="F946">
            <v>10002432</v>
          </cell>
          <cell r="G946">
            <v>10019892</v>
          </cell>
        </row>
        <row r="947">
          <cell r="E947" t="str">
            <v>224559-5</v>
          </cell>
          <cell r="F947">
            <v>10026420</v>
          </cell>
          <cell r="G947">
            <v>10019484</v>
          </cell>
        </row>
        <row r="948">
          <cell r="E948" t="str">
            <v>782401-1</v>
          </cell>
          <cell r="F948">
            <v>10002019</v>
          </cell>
          <cell r="G948">
            <v>10019974</v>
          </cell>
        </row>
        <row r="949">
          <cell r="E949" t="str">
            <v>782407-9</v>
          </cell>
          <cell r="F949">
            <v>10022572</v>
          </cell>
          <cell r="G949">
            <v>10019659</v>
          </cell>
        </row>
        <row r="950">
          <cell r="E950" t="str">
            <v>782420-7</v>
          </cell>
          <cell r="F950">
            <v>10034080</v>
          </cell>
          <cell r="G950">
            <v>10019559</v>
          </cell>
        </row>
        <row r="951">
          <cell r="E951" t="str">
            <v>782423-1</v>
          </cell>
          <cell r="F951">
            <v>10105616</v>
          </cell>
          <cell r="G951">
            <v>10018218</v>
          </cell>
        </row>
        <row r="952">
          <cell r="E952" t="str">
            <v>198991-8</v>
          </cell>
          <cell r="F952">
            <v>10080871</v>
          </cell>
          <cell r="G952">
            <v>10018637</v>
          </cell>
        </row>
        <row r="953">
          <cell r="E953" t="str">
            <v>D-29876</v>
          </cell>
          <cell r="F953">
            <v>10035978</v>
          </cell>
          <cell r="G953">
            <v>10019437</v>
          </cell>
        </row>
        <row r="954">
          <cell r="E954" t="str">
            <v>D-29636</v>
          </cell>
          <cell r="F954">
            <v>10034246</v>
          </cell>
          <cell r="G954">
            <v>10019572</v>
          </cell>
        </row>
        <row r="955">
          <cell r="E955" t="str">
            <v>D-29658</v>
          </cell>
          <cell r="F955">
            <v>10034247</v>
          </cell>
          <cell r="G955">
            <v>10019573</v>
          </cell>
        </row>
        <row r="956">
          <cell r="E956" t="str">
            <v>D-29692</v>
          </cell>
          <cell r="F956">
            <v>10034248</v>
          </cell>
          <cell r="G956">
            <v>10019574</v>
          </cell>
        </row>
        <row r="957">
          <cell r="E957" t="str">
            <v>D-29739</v>
          </cell>
          <cell r="F957">
            <v>10034249</v>
          </cell>
          <cell r="G957">
            <v>10019575</v>
          </cell>
        </row>
        <row r="958">
          <cell r="E958" t="str">
            <v>D-29826</v>
          </cell>
          <cell r="F958">
            <v>10037121</v>
          </cell>
          <cell r="G958">
            <v>10019373</v>
          </cell>
        </row>
        <row r="959">
          <cell r="E959" t="str">
            <v>D-31114</v>
          </cell>
          <cell r="F959">
            <v>10038930</v>
          </cell>
          <cell r="G959">
            <v>10019251</v>
          </cell>
        </row>
        <row r="960">
          <cell r="E960" t="str">
            <v>D-31142</v>
          </cell>
          <cell r="F960">
            <v>10034234</v>
          </cell>
          <cell r="G960">
            <v>10019560</v>
          </cell>
        </row>
        <row r="961">
          <cell r="E961" t="str">
            <v>D-31170</v>
          </cell>
          <cell r="F961">
            <v>10034235</v>
          </cell>
          <cell r="G961">
            <v>10019561</v>
          </cell>
        </row>
        <row r="962">
          <cell r="E962" t="str">
            <v>D-31223</v>
          </cell>
          <cell r="F962">
            <v>10034237</v>
          </cell>
          <cell r="G962">
            <v>10019563</v>
          </cell>
        </row>
        <row r="963">
          <cell r="E963" t="str">
            <v>A-49600</v>
          </cell>
          <cell r="F963">
            <v>10035982</v>
          </cell>
          <cell r="G963">
            <v>10019444</v>
          </cell>
        </row>
        <row r="964">
          <cell r="E964" t="str">
            <v>D-34827</v>
          </cell>
          <cell r="F964">
            <v>10060095</v>
          </cell>
          <cell r="G964">
            <v>10019074</v>
          </cell>
        </row>
        <row r="965">
          <cell r="E965" t="str">
            <v>D-34833</v>
          </cell>
          <cell r="F965">
            <v>10037120</v>
          </cell>
          <cell r="G965">
            <v>10019371</v>
          </cell>
        </row>
        <row r="966">
          <cell r="E966" t="str">
            <v>784811-8</v>
          </cell>
          <cell r="F966">
            <v>10049625</v>
          </cell>
          <cell r="G966">
            <v>10019276</v>
          </cell>
        </row>
        <row r="967">
          <cell r="E967" t="str">
            <v>B-69478</v>
          </cell>
          <cell r="F967">
            <v>10103810</v>
          </cell>
          <cell r="G967">
            <v>10018459</v>
          </cell>
        </row>
        <row r="968">
          <cell r="E968" t="str">
            <v>D-31500</v>
          </cell>
          <cell r="F968">
            <v>10002044</v>
          </cell>
          <cell r="G968">
            <v>10019805</v>
          </cell>
        </row>
        <row r="969">
          <cell r="E969" t="str">
            <v>D-05343</v>
          </cell>
          <cell r="F969">
            <v>10046370</v>
          </cell>
          <cell r="G969">
            <v>10019198</v>
          </cell>
        </row>
        <row r="970">
          <cell r="E970" t="str">
            <v>D-31479</v>
          </cell>
          <cell r="F970">
            <v>10002034</v>
          </cell>
          <cell r="G970">
            <v>10019987</v>
          </cell>
        </row>
        <row r="971">
          <cell r="E971" t="str">
            <v>D-05256</v>
          </cell>
          <cell r="F971">
            <v>10054024</v>
          </cell>
          <cell r="G971">
            <v>10019133</v>
          </cell>
        </row>
        <row r="972">
          <cell r="E972" t="str">
            <v>D-05262</v>
          </cell>
          <cell r="F972">
            <v>10049618</v>
          </cell>
          <cell r="G972">
            <v>10019262</v>
          </cell>
        </row>
        <row r="973">
          <cell r="E973" t="str">
            <v>D-05278</v>
          </cell>
          <cell r="F973">
            <v>10054025</v>
          </cell>
          <cell r="G973">
            <v>10019134</v>
          </cell>
        </row>
        <row r="974">
          <cell r="E974" t="str">
            <v>D-05284</v>
          </cell>
          <cell r="F974">
            <v>10049617</v>
          </cell>
          <cell r="G974">
            <v>10019260</v>
          </cell>
        </row>
        <row r="975">
          <cell r="E975" t="str">
            <v>D-05290</v>
          </cell>
          <cell r="F975">
            <v>10054026</v>
          </cell>
          <cell r="G975">
            <v>10019135</v>
          </cell>
        </row>
        <row r="976">
          <cell r="E976" t="str">
            <v>D-05309</v>
          </cell>
          <cell r="F976">
            <v>10049616</v>
          </cell>
          <cell r="G976">
            <v>10019258</v>
          </cell>
        </row>
        <row r="977">
          <cell r="E977" t="str">
            <v>D-20719</v>
          </cell>
          <cell r="F977">
            <v>10102709</v>
          </cell>
          <cell r="G977">
            <v>10018774</v>
          </cell>
        </row>
        <row r="978">
          <cell r="E978" t="str">
            <v>D-05321</v>
          </cell>
          <cell r="F978">
            <v>10101554</v>
          </cell>
          <cell r="G978">
            <v>10018736</v>
          </cell>
        </row>
        <row r="979">
          <cell r="E979" t="str">
            <v>D-31491</v>
          </cell>
          <cell r="F979">
            <v>10002637</v>
          </cell>
          <cell r="G979">
            <v>10019723</v>
          </cell>
        </row>
        <row r="980">
          <cell r="E980" t="str">
            <v>DCS550Z</v>
          </cell>
          <cell r="F980">
            <v>10044452</v>
          </cell>
          <cell r="G980">
            <v>10019337</v>
          </cell>
        </row>
        <row r="981">
          <cell r="E981" t="str">
            <v>D-67583</v>
          </cell>
          <cell r="F981">
            <v>10100496</v>
          </cell>
          <cell r="G981">
            <v>10018680</v>
          </cell>
        </row>
        <row r="982">
          <cell r="E982" t="str">
            <v>A-43686</v>
          </cell>
          <cell r="F982">
            <v>10060099</v>
          </cell>
          <cell r="G982">
            <v>10019078</v>
          </cell>
        </row>
        <row r="983">
          <cell r="E983" t="str">
            <v>A-43692</v>
          </cell>
          <cell r="F983">
            <v>10060447</v>
          </cell>
          <cell r="G983">
            <v>10018036</v>
          </cell>
        </row>
        <row r="984">
          <cell r="E984" t="str">
            <v>A-43751</v>
          </cell>
          <cell r="F984">
            <v>10062929</v>
          </cell>
          <cell r="G984">
            <v>10018151</v>
          </cell>
        </row>
        <row r="985">
          <cell r="E985" t="str">
            <v>A-43670</v>
          </cell>
          <cell r="F985">
            <v>10086122</v>
          </cell>
          <cell r="G985">
            <v>10018669</v>
          </cell>
        </row>
        <row r="986">
          <cell r="E986" t="str">
            <v>197974-5</v>
          </cell>
          <cell r="F986">
            <v>10060103</v>
          </cell>
          <cell r="G986">
            <v>10019081</v>
          </cell>
        </row>
        <row r="987">
          <cell r="E987" t="str">
            <v>198095-6</v>
          </cell>
          <cell r="F987">
            <v>10087898</v>
          </cell>
          <cell r="G987">
            <v>10018895</v>
          </cell>
        </row>
        <row r="988">
          <cell r="E988" t="str">
            <v>198182-1</v>
          </cell>
          <cell r="F988">
            <v>10043623</v>
          </cell>
          <cell r="G988">
            <v>10019319</v>
          </cell>
        </row>
        <row r="989">
          <cell r="E989" t="str">
            <v>198797-4</v>
          </cell>
          <cell r="F989">
            <v>10080386</v>
          </cell>
          <cell r="G989">
            <v>10018626</v>
          </cell>
        </row>
        <row r="990">
          <cell r="E990" t="str">
            <v>B-21294</v>
          </cell>
          <cell r="F990">
            <v>10046377</v>
          </cell>
          <cell r="G990">
            <v>10019205</v>
          </cell>
        </row>
        <row r="991">
          <cell r="E991" t="str">
            <v>B-21303</v>
          </cell>
          <cell r="F991">
            <v>10046378</v>
          </cell>
          <cell r="G991">
            <v>10019206</v>
          </cell>
        </row>
        <row r="992">
          <cell r="E992" t="str">
            <v>B-21319</v>
          </cell>
          <cell r="F992">
            <v>10037123</v>
          </cell>
          <cell r="G992">
            <v>10019377</v>
          </cell>
        </row>
        <row r="993">
          <cell r="E993" t="str">
            <v>B-21369</v>
          </cell>
          <cell r="F993">
            <v>10056720</v>
          </cell>
          <cell r="G993">
            <v>10019039</v>
          </cell>
        </row>
        <row r="994">
          <cell r="E994" t="str">
            <v>B-21412</v>
          </cell>
          <cell r="F994">
            <v>10037125</v>
          </cell>
          <cell r="G994">
            <v>10019381</v>
          </cell>
        </row>
        <row r="995">
          <cell r="E995" t="str">
            <v>B-21440</v>
          </cell>
          <cell r="F995">
            <v>10037126</v>
          </cell>
          <cell r="G995">
            <v>10019384</v>
          </cell>
        </row>
        <row r="996">
          <cell r="E996" t="str">
            <v>B-21478</v>
          </cell>
          <cell r="F996">
            <v>10037127</v>
          </cell>
          <cell r="G996">
            <v>10019386</v>
          </cell>
        </row>
        <row r="997">
          <cell r="E997" t="str">
            <v>B-21484</v>
          </cell>
          <cell r="F997">
            <v>10037128</v>
          </cell>
          <cell r="G997">
            <v>10019388</v>
          </cell>
        </row>
        <row r="998">
          <cell r="E998" t="str">
            <v>B-21490</v>
          </cell>
          <cell r="F998">
            <v>10037129</v>
          </cell>
          <cell r="G998">
            <v>10019390</v>
          </cell>
        </row>
        <row r="999">
          <cell r="E999" t="str">
            <v>B-21521</v>
          </cell>
          <cell r="F999">
            <v>10037130</v>
          </cell>
          <cell r="G999">
            <v>10019393</v>
          </cell>
        </row>
        <row r="1000">
          <cell r="E1000" t="str">
            <v>B-30586</v>
          </cell>
          <cell r="F1000">
            <v>10037131</v>
          </cell>
          <cell r="G1000">
            <v>10019395</v>
          </cell>
        </row>
        <row r="1001">
          <cell r="E1001" t="str">
            <v>B-67496</v>
          </cell>
          <cell r="F1001">
            <v>10103814</v>
          </cell>
          <cell r="G1001">
            <v>10018467</v>
          </cell>
        </row>
        <row r="1002">
          <cell r="E1002" t="str">
            <v>B-11754</v>
          </cell>
          <cell r="F1002">
            <v>10038236</v>
          </cell>
          <cell r="G1002">
            <v>10019492</v>
          </cell>
        </row>
        <row r="1003">
          <cell r="E1003" t="str">
            <v>B-11760</v>
          </cell>
          <cell r="F1003">
            <v>10062915</v>
          </cell>
          <cell r="G1003">
            <v>10018125</v>
          </cell>
        </row>
        <row r="1004">
          <cell r="E1004" t="str">
            <v>B-11950</v>
          </cell>
          <cell r="F1004">
            <v>10056677</v>
          </cell>
          <cell r="G1004">
            <v>10019014</v>
          </cell>
        </row>
        <row r="1005">
          <cell r="E1005" t="str">
            <v>B-13390</v>
          </cell>
          <cell r="F1005">
            <v>10056678</v>
          </cell>
          <cell r="G1005">
            <v>10019016</v>
          </cell>
        </row>
        <row r="1006">
          <cell r="E1006" t="str">
            <v>B-57978</v>
          </cell>
          <cell r="F1006">
            <v>10084711</v>
          </cell>
          <cell r="G1006">
            <v>10018657</v>
          </cell>
        </row>
        <row r="1007">
          <cell r="E1007" t="str">
            <v>B-58207</v>
          </cell>
          <cell r="F1007">
            <v>10086768</v>
          </cell>
          <cell r="G1007">
            <v>10018681</v>
          </cell>
        </row>
        <row r="1008">
          <cell r="E1008" t="str">
            <v>B-58475</v>
          </cell>
          <cell r="F1008">
            <v>10084325</v>
          </cell>
          <cell r="G1008">
            <v>10018655</v>
          </cell>
        </row>
        <row r="1009">
          <cell r="E1009" t="str">
            <v>B-12055</v>
          </cell>
          <cell r="F1009">
            <v>10034270</v>
          </cell>
          <cell r="G1009">
            <v>10019383</v>
          </cell>
        </row>
        <row r="1010">
          <cell r="E1010" t="str">
            <v>B-12083</v>
          </cell>
          <cell r="F1010">
            <v>10035984</v>
          </cell>
          <cell r="G1010">
            <v>10019447</v>
          </cell>
        </row>
        <row r="1011">
          <cell r="E1011" t="str">
            <v>B-12120</v>
          </cell>
          <cell r="F1011">
            <v>10034268</v>
          </cell>
          <cell r="G1011">
            <v>10019380</v>
          </cell>
        </row>
        <row r="1012">
          <cell r="E1012" t="str">
            <v>B-12186</v>
          </cell>
          <cell r="F1012">
            <v>10034269</v>
          </cell>
          <cell r="G1012">
            <v>10019382</v>
          </cell>
        </row>
        <row r="1013">
          <cell r="E1013" t="str">
            <v>B-57962</v>
          </cell>
          <cell r="F1013">
            <v>10076832</v>
          </cell>
          <cell r="G1013">
            <v>10018599</v>
          </cell>
        </row>
        <row r="1014">
          <cell r="E1014" t="str">
            <v>B-57990</v>
          </cell>
          <cell r="F1014">
            <v>10087908</v>
          </cell>
          <cell r="G1014">
            <v>10018914</v>
          </cell>
        </row>
        <row r="1015">
          <cell r="E1015" t="str">
            <v>B-58073</v>
          </cell>
          <cell r="F1015">
            <v>10088821</v>
          </cell>
          <cell r="G1015">
            <v>10018926</v>
          </cell>
        </row>
        <row r="1016">
          <cell r="E1016" t="str">
            <v>B-58104</v>
          </cell>
          <cell r="F1016">
            <v>10080877</v>
          </cell>
          <cell r="G1016">
            <v>10018643</v>
          </cell>
        </row>
        <row r="1017">
          <cell r="E1017" t="str">
            <v>B-58540</v>
          </cell>
          <cell r="F1017">
            <v>10086120</v>
          </cell>
          <cell r="G1017">
            <v>10018667</v>
          </cell>
        </row>
        <row r="1018">
          <cell r="E1018" t="str">
            <v>B-58229</v>
          </cell>
          <cell r="F1018">
            <v>10087901</v>
          </cell>
          <cell r="G1018">
            <v>10018901</v>
          </cell>
        </row>
        <row r="1019">
          <cell r="E1019" t="str">
            <v>B-58322</v>
          </cell>
          <cell r="F1019">
            <v>10087902</v>
          </cell>
          <cell r="G1019">
            <v>10018903</v>
          </cell>
        </row>
        <row r="1020">
          <cell r="E1020" t="str">
            <v>B-58556</v>
          </cell>
          <cell r="F1020">
            <v>10087903</v>
          </cell>
          <cell r="G1020">
            <v>10018904</v>
          </cell>
        </row>
        <row r="1021">
          <cell r="E1021" t="str">
            <v>B-58724</v>
          </cell>
          <cell r="F1021">
            <v>10087904</v>
          </cell>
          <cell r="G1021">
            <v>10018906</v>
          </cell>
        </row>
        <row r="1022">
          <cell r="E1022" t="str">
            <v>B-20024</v>
          </cell>
          <cell r="F1022">
            <v>10105631</v>
          </cell>
          <cell r="G1022">
            <v>10018229</v>
          </cell>
        </row>
        <row r="1023">
          <cell r="E1023" t="str">
            <v>B-20068</v>
          </cell>
          <cell r="F1023">
            <v>10105658</v>
          </cell>
          <cell r="G1023">
            <v>10018256</v>
          </cell>
        </row>
        <row r="1024">
          <cell r="E1024" t="str">
            <v>B-58213</v>
          </cell>
          <cell r="F1024">
            <v>10105638</v>
          </cell>
          <cell r="G1024">
            <v>10018236</v>
          </cell>
        </row>
        <row r="1025">
          <cell r="E1025" t="str">
            <v>B-58338</v>
          </cell>
          <cell r="F1025">
            <v>10105639</v>
          </cell>
          <cell r="G1025">
            <v>10018237</v>
          </cell>
        </row>
        <row r="1026">
          <cell r="E1026" t="str">
            <v>B-58637</v>
          </cell>
          <cell r="F1026">
            <v>10105659</v>
          </cell>
          <cell r="G1026">
            <v>10018257</v>
          </cell>
        </row>
        <row r="1027">
          <cell r="E1027" t="str">
            <v>B-58687</v>
          </cell>
          <cell r="F1027">
            <v>10105660</v>
          </cell>
          <cell r="G1027">
            <v>10018258</v>
          </cell>
        </row>
        <row r="1028">
          <cell r="E1028" t="str">
            <v>B-58702</v>
          </cell>
          <cell r="F1028">
            <v>10105641</v>
          </cell>
          <cell r="G1028">
            <v>10018239</v>
          </cell>
        </row>
        <row r="1029">
          <cell r="E1029" t="str">
            <v>B-58774</v>
          </cell>
          <cell r="F1029">
            <v>10105661</v>
          </cell>
          <cell r="G1029">
            <v>10018259</v>
          </cell>
        </row>
        <row r="1030">
          <cell r="E1030" t="str">
            <v>B-58693</v>
          </cell>
          <cell r="F1030">
            <v>10105640</v>
          </cell>
          <cell r="G1030">
            <v>10018238</v>
          </cell>
        </row>
        <row r="1031">
          <cell r="E1031" t="str">
            <v>B-58659</v>
          </cell>
          <cell r="F1031">
            <v>10080876</v>
          </cell>
          <cell r="G1031">
            <v>10018642</v>
          </cell>
        </row>
        <row r="1032">
          <cell r="E1032" t="str">
            <v>165201C8</v>
          </cell>
          <cell r="F1032">
            <v>10087910</v>
          </cell>
          <cell r="G1032">
            <v>10018918</v>
          </cell>
        </row>
        <row r="1033">
          <cell r="E1033">
            <v>445060455</v>
          </cell>
          <cell r="F1033">
            <v>10066779</v>
          </cell>
          <cell r="G1033">
            <v>10018184</v>
          </cell>
        </row>
        <row r="1034">
          <cell r="E1034">
            <v>442035661</v>
          </cell>
          <cell r="F1034">
            <v>10002071</v>
          </cell>
          <cell r="G1034">
            <v>10019844</v>
          </cell>
        </row>
        <row r="1035">
          <cell r="E1035">
            <v>442045661</v>
          </cell>
          <cell r="F1035">
            <v>10050064</v>
          </cell>
          <cell r="G1035">
            <v>10019096</v>
          </cell>
        </row>
        <row r="1036">
          <cell r="E1036">
            <v>445045655</v>
          </cell>
          <cell r="F1036">
            <v>10051505</v>
          </cell>
          <cell r="G1036">
            <v>10019118</v>
          </cell>
        </row>
        <row r="1037">
          <cell r="E1037">
            <v>442040661</v>
          </cell>
          <cell r="F1037">
            <v>10002091</v>
          </cell>
          <cell r="G1037">
            <v>10019863</v>
          </cell>
        </row>
        <row r="1038">
          <cell r="E1038">
            <v>1213042</v>
          </cell>
          <cell r="F1038">
            <v>10034288</v>
          </cell>
          <cell r="G1038">
            <v>10019416</v>
          </cell>
        </row>
        <row r="1039">
          <cell r="E1039" t="str">
            <v>195562-2</v>
          </cell>
          <cell r="F1039">
            <v>10076838</v>
          </cell>
          <cell r="G1039">
            <v>10018605</v>
          </cell>
        </row>
        <row r="1040">
          <cell r="E1040" t="str">
            <v>B-12289</v>
          </cell>
          <cell r="F1040">
            <v>10070221</v>
          </cell>
          <cell r="G1040">
            <v>10018554</v>
          </cell>
        </row>
        <row r="1041">
          <cell r="E1041" t="str">
            <v>142002-1</v>
          </cell>
          <cell r="F1041">
            <v>10097863</v>
          </cell>
          <cell r="G1041">
            <v>10018956</v>
          </cell>
        </row>
        <row r="1042">
          <cell r="E1042" t="str">
            <v>224387-8</v>
          </cell>
          <cell r="F1042">
            <v>10002424</v>
          </cell>
          <cell r="G1042">
            <v>10019879</v>
          </cell>
        </row>
        <row r="1043">
          <cell r="E1043" t="str">
            <v>224053-7</v>
          </cell>
          <cell r="F1043">
            <v>10002423</v>
          </cell>
          <cell r="G1043">
            <v>10019878</v>
          </cell>
        </row>
        <row r="1044">
          <cell r="E1044" t="str">
            <v>197314-7</v>
          </cell>
          <cell r="F1044">
            <v>10070217</v>
          </cell>
          <cell r="G1044">
            <v>10018550</v>
          </cell>
        </row>
        <row r="1045">
          <cell r="E1045" t="str">
            <v>251451-2</v>
          </cell>
          <cell r="F1045">
            <v>10100497</v>
          </cell>
          <cell r="G1045">
            <v>10018682</v>
          </cell>
        </row>
        <row r="1046">
          <cell r="E1046" t="str">
            <v>265142-9</v>
          </cell>
          <cell r="F1046">
            <v>10002018</v>
          </cell>
          <cell r="G1046">
            <v>10019973</v>
          </cell>
        </row>
        <row r="1047">
          <cell r="E1047" t="str">
            <v>B-65604</v>
          </cell>
          <cell r="F1047">
            <v>10103817</v>
          </cell>
          <cell r="G1047">
            <v>10018473</v>
          </cell>
        </row>
        <row r="1048">
          <cell r="E1048" t="str">
            <v>EA3201S40B</v>
          </cell>
          <cell r="F1048">
            <v>10031405</v>
          </cell>
          <cell r="G1048">
            <v>10019540</v>
          </cell>
        </row>
        <row r="1049">
          <cell r="E1049" t="str">
            <v>DCS6401-50</v>
          </cell>
          <cell r="F1049">
            <v>10040462</v>
          </cell>
          <cell r="G1049">
            <v>10019293</v>
          </cell>
        </row>
        <row r="1050">
          <cell r="E1050" t="str">
            <v>DCS7301-60</v>
          </cell>
          <cell r="F1050">
            <v>10029007</v>
          </cell>
          <cell r="G1050">
            <v>10019517</v>
          </cell>
        </row>
        <row r="1051">
          <cell r="E1051" t="str">
            <v>784614-0</v>
          </cell>
          <cell r="F1051">
            <v>10039538</v>
          </cell>
          <cell r="G1051">
            <v>10019289</v>
          </cell>
        </row>
        <row r="1052">
          <cell r="E1052" t="str">
            <v>A-49563</v>
          </cell>
          <cell r="F1052">
            <v>10060097</v>
          </cell>
          <cell r="G1052">
            <v>10019076</v>
          </cell>
        </row>
        <row r="1053">
          <cell r="E1053" t="str">
            <v>A-49585</v>
          </cell>
          <cell r="F1053">
            <v>10060098</v>
          </cell>
          <cell r="G1053">
            <v>10019077</v>
          </cell>
        </row>
        <row r="1054">
          <cell r="E1054" t="str">
            <v>784203-1</v>
          </cell>
          <cell r="F1054">
            <v>10000674</v>
          </cell>
          <cell r="G1054">
            <v>10019915</v>
          </cell>
        </row>
        <row r="1055">
          <cell r="E1055" t="str">
            <v>A-49579</v>
          </cell>
          <cell r="F1055">
            <v>10012877</v>
          </cell>
          <cell r="G1055">
            <v>10019764</v>
          </cell>
        </row>
        <row r="1056">
          <cell r="E1056" t="str">
            <v>784206-5</v>
          </cell>
          <cell r="F1056">
            <v>10000685</v>
          </cell>
          <cell r="G1056">
            <v>10019935</v>
          </cell>
        </row>
        <row r="1057">
          <cell r="E1057" t="str">
            <v>784202-3</v>
          </cell>
          <cell r="F1057">
            <v>10000684</v>
          </cell>
          <cell r="G1057">
            <v>10019934</v>
          </cell>
        </row>
        <row r="1058">
          <cell r="E1058" t="str">
            <v>784204-9</v>
          </cell>
          <cell r="F1058">
            <v>10002093</v>
          </cell>
          <cell r="G1058">
            <v>10019865</v>
          </cell>
        </row>
        <row r="1059">
          <cell r="E1059" t="str">
            <v>D-17192</v>
          </cell>
          <cell r="F1059">
            <v>10076853</v>
          </cell>
          <cell r="G1059">
            <v>10018619</v>
          </cell>
        </row>
        <row r="1060">
          <cell r="E1060" t="str">
            <v>164405-9</v>
          </cell>
          <cell r="F1060">
            <v>10035993</v>
          </cell>
          <cell r="G1060">
            <v>10019469</v>
          </cell>
        </row>
        <row r="1061">
          <cell r="E1061" t="str">
            <v>D-71211</v>
          </cell>
          <cell r="F1061">
            <v>10097862</v>
          </cell>
          <cell r="G1061">
            <v>10018954</v>
          </cell>
        </row>
        <row r="1062">
          <cell r="E1062" t="str">
            <v>D-63915</v>
          </cell>
          <cell r="F1062">
            <v>10097884</v>
          </cell>
          <cell r="G1062">
            <v>10018962</v>
          </cell>
        </row>
        <row r="1063">
          <cell r="E1063" t="str">
            <v>D-70910</v>
          </cell>
          <cell r="F1063">
            <v>10088823</v>
          </cell>
          <cell r="G1063">
            <v>10018930</v>
          </cell>
        </row>
        <row r="1064">
          <cell r="E1064" t="str">
            <v>793346-8</v>
          </cell>
          <cell r="F1064">
            <v>10013133</v>
          </cell>
          <cell r="G1064">
            <v>10019594</v>
          </cell>
        </row>
        <row r="1065">
          <cell r="E1065" t="str">
            <v>199911-5</v>
          </cell>
          <cell r="F1065">
            <v>10093967</v>
          </cell>
          <cell r="G1065">
            <v>10018855</v>
          </cell>
        </row>
        <row r="1066">
          <cell r="E1066" t="str">
            <v>D-70823</v>
          </cell>
          <cell r="F1066">
            <v>10103823</v>
          </cell>
          <cell r="G1066">
            <v>10018481</v>
          </cell>
        </row>
        <row r="1067">
          <cell r="E1067" t="str">
            <v>D-08822</v>
          </cell>
          <cell r="F1067">
            <v>10034283</v>
          </cell>
          <cell r="G1067">
            <v>10019407</v>
          </cell>
        </row>
        <row r="1068">
          <cell r="E1068" t="str">
            <v>793011-9</v>
          </cell>
          <cell r="F1068">
            <v>10000636</v>
          </cell>
          <cell r="G1068">
            <v>10020048</v>
          </cell>
        </row>
        <row r="1069">
          <cell r="E1069" t="str">
            <v>793186-4</v>
          </cell>
          <cell r="F1069">
            <v>10000635</v>
          </cell>
          <cell r="G1069">
            <v>10020047</v>
          </cell>
        </row>
        <row r="1070">
          <cell r="E1070" t="str">
            <v>A-07412</v>
          </cell>
          <cell r="F1070">
            <v>10000632</v>
          </cell>
          <cell r="G1070">
            <v>10020045</v>
          </cell>
        </row>
        <row r="1071">
          <cell r="E1071" t="str">
            <v>793004-6</v>
          </cell>
          <cell r="F1071">
            <v>10000631</v>
          </cell>
          <cell r="G1071">
            <v>10020044</v>
          </cell>
        </row>
        <row r="1072">
          <cell r="E1072" t="str">
            <v>793013-5</v>
          </cell>
          <cell r="F1072">
            <v>10000637</v>
          </cell>
          <cell r="G1072">
            <v>10020049</v>
          </cell>
        </row>
        <row r="1073">
          <cell r="E1073" t="str">
            <v>793014-3</v>
          </cell>
          <cell r="F1073">
            <v>10000630</v>
          </cell>
          <cell r="G1073">
            <v>10020043</v>
          </cell>
        </row>
        <row r="1074">
          <cell r="E1074" t="str">
            <v>793018-5</v>
          </cell>
          <cell r="F1074">
            <v>10000634</v>
          </cell>
          <cell r="G1074">
            <v>10020046</v>
          </cell>
        </row>
        <row r="1075">
          <cell r="E1075" t="str">
            <v>793350-7</v>
          </cell>
          <cell r="F1075">
            <v>10002641</v>
          </cell>
          <cell r="G1075">
            <v>10019732</v>
          </cell>
        </row>
        <row r="1076">
          <cell r="E1076" t="str">
            <v>MKP1RF182</v>
          </cell>
          <cell r="F1076">
            <v>10075216</v>
          </cell>
          <cell r="G1076">
            <v>10018576</v>
          </cell>
        </row>
        <row r="1077">
          <cell r="E1077" t="str">
            <v>MKP3PT182</v>
          </cell>
          <cell r="F1077">
            <v>10070214</v>
          </cell>
          <cell r="G1077">
            <v>10018546</v>
          </cell>
        </row>
        <row r="1078">
          <cell r="E1078" t="str">
            <v>B-65589</v>
          </cell>
          <cell r="F1078">
            <v>10103816</v>
          </cell>
          <cell r="G1078">
            <v>10018471</v>
          </cell>
        </row>
        <row r="1079">
          <cell r="E1079" t="str">
            <v>B-65523</v>
          </cell>
          <cell r="F1079">
            <v>10103818</v>
          </cell>
          <cell r="G1079">
            <v>10018475</v>
          </cell>
        </row>
        <row r="1080">
          <cell r="E1080" t="str">
            <v>B-55821</v>
          </cell>
          <cell r="F1080">
            <v>10076835</v>
          </cell>
          <cell r="G1080">
            <v>10018602</v>
          </cell>
        </row>
        <row r="1081">
          <cell r="E1081" t="str">
            <v>B-55837</v>
          </cell>
          <cell r="F1081">
            <v>10076836</v>
          </cell>
          <cell r="G1081">
            <v>10018603</v>
          </cell>
        </row>
        <row r="1082">
          <cell r="E1082" t="str">
            <v>B-00804</v>
          </cell>
          <cell r="F1082">
            <v>10002053</v>
          </cell>
          <cell r="G1082">
            <v>10019817</v>
          </cell>
        </row>
        <row r="1083">
          <cell r="E1083" t="str">
            <v>B-00826</v>
          </cell>
          <cell r="F1083">
            <v>10002066</v>
          </cell>
          <cell r="G1083">
            <v>10019840</v>
          </cell>
        </row>
        <row r="1084">
          <cell r="E1084" t="str">
            <v>B-00832</v>
          </cell>
          <cell r="F1084">
            <v>10035992</v>
          </cell>
          <cell r="G1084">
            <v>10019466</v>
          </cell>
        </row>
        <row r="1085">
          <cell r="E1085">
            <v>39130910</v>
          </cell>
          <cell r="F1085">
            <v>10076848</v>
          </cell>
          <cell r="G1085">
            <v>10018612</v>
          </cell>
        </row>
        <row r="1086">
          <cell r="E1086" t="str">
            <v>JM27000163</v>
          </cell>
          <cell r="F1086">
            <v>10097856</v>
          </cell>
          <cell r="G1086">
            <v>10018941</v>
          </cell>
        </row>
        <row r="1087">
          <cell r="E1087" t="str">
            <v>B-21537</v>
          </cell>
          <cell r="F1087">
            <v>10056716</v>
          </cell>
          <cell r="G1087">
            <v>10019033</v>
          </cell>
        </row>
        <row r="1088">
          <cell r="E1088" t="str">
            <v>JM27000165</v>
          </cell>
          <cell r="F1088">
            <v>10097855</v>
          </cell>
          <cell r="G1088">
            <v>10018939</v>
          </cell>
        </row>
        <row r="1089">
          <cell r="E1089" t="str">
            <v>744003-1</v>
          </cell>
          <cell r="F1089">
            <v>10000680</v>
          </cell>
          <cell r="G1089">
            <v>10019928</v>
          </cell>
        </row>
        <row r="1090">
          <cell r="E1090">
            <v>953003090</v>
          </cell>
          <cell r="F1090">
            <v>10000683</v>
          </cell>
          <cell r="G1090">
            <v>10019933</v>
          </cell>
        </row>
        <row r="1091">
          <cell r="E1091">
            <v>953003040</v>
          </cell>
          <cell r="F1091">
            <v>10000679</v>
          </cell>
          <cell r="G1091">
            <v>10019926</v>
          </cell>
        </row>
        <row r="1092">
          <cell r="E1092" t="str">
            <v>D-49345</v>
          </cell>
          <cell r="F1092">
            <v>10056239</v>
          </cell>
          <cell r="G1092">
            <v>10019188</v>
          </cell>
        </row>
        <row r="1093">
          <cell r="E1093" t="str">
            <v>793153-9</v>
          </cell>
          <cell r="F1093">
            <v>10000610</v>
          </cell>
          <cell r="G1093">
            <v>10020024</v>
          </cell>
        </row>
        <row r="1094">
          <cell r="E1094" t="str">
            <v>793172-5</v>
          </cell>
          <cell r="F1094">
            <v>10000607</v>
          </cell>
          <cell r="G1094">
            <v>10020021</v>
          </cell>
        </row>
        <row r="1095">
          <cell r="E1095" t="str">
            <v>793173-3</v>
          </cell>
          <cell r="F1095">
            <v>10000608</v>
          </cell>
          <cell r="G1095">
            <v>10020022</v>
          </cell>
        </row>
        <row r="1096">
          <cell r="E1096" t="str">
            <v>793174-1</v>
          </cell>
          <cell r="F1096">
            <v>10000606</v>
          </cell>
          <cell r="G1096">
            <v>10020020</v>
          </cell>
        </row>
        <row r="1097">
          <cell r="E1097" t="str">
            <v>D-09329</v>
          </cell>
          <cell r="F1097">
            <v>10000609</v>
          </cell>
          <cell r="G1097">
            <v>10020023</v>
          </cell>
        </row>
        <row r="1098">
          <cell r="E1098" t="str">
            <v>D-09363</v>
          </cell>
          <cell r="F1098">
            <v>10054707</v>
          </cell>
          <cell r="G1098">
            <v>10019141</v>
          </cell>
        </row>
        <row r="1099">
          <cell r="E1099" t="str">
            <v>D-09385</v>
          </cell>
          <cell r="F1099">
            <v>10060445</v>
          </cell>
          <cell r="G1099">
            <v>10018032</v>
          </cell>
        </row>
        <row r="1100">
          <cell r="E1100" t="str">
            <v>D-09422</v>
          </cell>
          <cell r="F1100">
            <v>10053357</v>
          </cell>
          <cell r="G1100">
            <v>10019123</v>
          </cell>
        </row>
        <row r="1101">
          <cell r="E1101" t="str">
            <v>D-09444</v>
          </cell>
          <cell r="F1101">
            <v>10055565</v>
          </cell>
          <cell r="G1101">
            <v>10019158</v>
          </cell>
        </row>
        <row r="1102">
          <cell r="E1102" t="str">
            <v>A-91051</v>
          </cell>
          <cell r="F1102">
            <v>10002089</v>
          </cell>
          <cell r="G1102">
            <v>10019861</v>
          </cell>
        </row>
        <row r="1103">
          <cell r="E1103" t="str">
            <v>A-88054</v>
          </cell>
          <cell r="F1103">
            <v>10034284</v>
          </cell>
          <cell r="G1103">
            <v>10019409</v>
          </cell>
        </row>
        <row r="1104">
          <cell r="E1104" t="str">
            <v>D-07901</v>
          </cell>
          <cell r="F1104">
            <v>10000690</v>
          </cell>
          <cell r="G1104">
            <v>10019940</v>
          </cell>
        </row>
        <row r="1105">
          <cell r="E1105">
            <v>965403282</v>
          </cell>
          <cell r="F1105">
            <v>10034287</v>
          </cell>
          <cell r="G1105">
            <v>10019414</v>
          </cell>
        </row>
        <row r="1106">
          <cell r="E1106" t="str">
            <v>122556-4</v>
          </cell>
          <cell r="F1106">
            <v>10002435</v>
          </cell>
          <cell r="G1106">
            <v>10019898</v>
          </cell>
        </row>
        <row r="1107">
          <cell r="E1107" t="str">
            <v>782209-3</v>
          </cell>
          <cell r="F1107">
            <v>10002063</v>
          </cell>
          <cell r="G1107">
            <v>10019836</v>
          </cell>
        </row>
        <row r="1108">
          <cell r="E1108" t="str">
            <v>D-16972</v>
          </cell>
          <cell r="F1108">
            <v>10032043</v>
          </cell>
          <cell r="G1108">
            <v>10019553</v>
          </cell>
        </row>
        <row r="1109">
          <cell r="E1109" t="str">
            <v>B-07434</v>
          </cell>
          <cell r="F1109">
            <v>10076843</v>
          </cell>
          <cell r="G1109">
            <v>10018613</v>
          </cell>
        </row>
        <row r="1110">
          <cell r="E1110" t="str">
            <v>B-10344</v>
          </cell>
          <cell r="F1110">
            <v>10076841</v>
          </cell>
          <cell r="G1110">
            <v>10018609</v>
          </cell>
        </row>
        <row r="1111">
          <cell r="E1111" t="str">
            <v>B-14168</v>
          </cell>
          <cell r="F1111">
            <v>10075217</v>
          </cell>
          <cell r="G1111">
            <v>10018577</v>
          </cell>
        </row>
        <row r="1112">
          <cell r="E1112" t="str">
            <v>A-85488</v>
          </cell>
          <cell r="F1112">
            <v>10075223</v>
          </cell>
          <cell r="G1112">
            <v>10018583</v>
          </cell>
        </row>
        <row r="1113">
          <cell r="E1113" t="str">
            <v>B-07353</v>
          </cell>
          <cell r="F1113">
            <v>10086767</v>
          </cell>
          <cell r="G1113">
            <v>10018679</v>
          </cell>
        </row>
        <row r="1114">
          <cell r="E1114">
            <v>531492652</v>
          </cell>
          <cell r="F1114">
            <v>10045253</v>
          </cell>
          <cell r="G1114">
            <v>10019170</v>
          </cell>
        </row>
        <row r="1115">
          <cell r="E1115" t="str">
            <v>B-07331</v>
          </cell>
          <cell r="F1115">
            <v>10024315</v>
          </cell>
          <cell r="G1115">
            <v>10019675</v>
          </cell>
        </row>
        <row r="1116">
          <cell r="E1116" t="str">
            <v>B-64989</v>
          </cell>
          <cell r="F1116">
            <v>10097859</v>
          </cell>
          <cell r="G1116">
            <v>10018948</v>
          </cell>
        </row>
        <row r="1117">
          <cell r="E1117" t="str">
            <v>D-34936</v>
          </cell>
          <cell r="F1117">
            <v>10039533</v>
          </cell>
          <cell r="G1117">
            <v>10019285</v>
          </cell>
        </row>
        <row r="1118">
          <cell r="E1118" t="str">
            <v>B-55697</v>
          </cell>
          <cell r="F1118">
            <v>10084319</v>
          </cell>
          <cell r="G1118">
            <v>10018649</v>
          </cell>
        </row>
        <row r="1119">
          <cell r="E1119" t="str">
            <v>E-10942</v>
          </cell>
          <cell r="F1119">
            <v>10100499</v>
          </cell>
          <cell r="G1119">
            <v>10018687</v>
          </cell>
        </row>
        <row r="1120">
          <cell r="E1120" t="str">
            <v>A-31099</v>
          </cell>
          <cell r="F1120">
            <v>10050939</v>
          </cell>
          <cell r="G1120">
            <v>10019115</v>
          </cell>
        </row>
        <row r="1121">
          <cell r="E1121" t="str">
            <v>B-57679</v>
          </cell>
          <cell r="F1121">
            <v>10076831</v>
          </cell>
          <cell r="G1121">
            <v>10018598</v>
          </cell>
        </row>
        <row r="1122">
          <cell r="E1122" t="str">
            <v>A-19495</v>
          </cell>
          <cell r="F1122">
            <v>10035462</v>
          </cell>
          <cell r="G1122">
            <v>10019435</v>
          </cell>
        </row>
        <row r="1123">
          <cell r="E1123" t="str">
            <v>A-80793</v>
          </cell>
          <cell r="F1123">
            <v>10029008</v>
          </cell>
          <cell r="G1123">
            <v>10019519</v>
          </cell>
        </row>
        <row r="1124">
          <cell r="E1124" t="str">
            <v>D-00181</v>
          </cell>
          <cell r="F1124">
            <v>10000655</v>
          </cell>
          <cell r="G1124">
            <v>10020068</v>
          </cell>
        </row>
        <row r="1125">
          <cell r="E1125" t="str">
            <v>D-00321</v>
          </cell>
          <cell r="F1125">
            <v>10000656</v>
          </cell>
          <cell r="G1125">
            <v>10020069</v>
          </cell>
        </row>
        <row r="1126">
          <cell r="E1126" t="str">
            <v>D-00066</v>
          </cell>
          <cell r="F1126">
            <v>10002046</v>
          </cell>
          <cell r="G1126">
            <v>10019809</v>
          </cell>
        </row>
        <row r="1127">
          <cell r="E1127" t="str">
            <v>D-00103</v>
          </cell>
          <cell r="F1127">
            <v>10000657</v>
          </cell>
          <cell r="G1127">
            <v>10019882</v>
          </cell>
        </row>
        <row r="1128">
          <cell r="E1128" t="str">
            <v>D-00125</v>
          </cell>
          <cell r="F1128">
            <v>10000677</v>
          </cell>
          <cell r="G1128">
            <v>10019922</v>
          </cell>
        </row>
        <row r="1129">
          <cell r="E1129" t="str">
            <v>D-00795</v>
          </cell>
          <cell r="F1129">
            <v>10060446</v>
          </cell>
          <cell r="G1129">
            <v>10018034</v>
          </cell>
        </row>
        <row r="1130">
          <cell r="E1130" t="str">
            <v>B-58665</v>
          </cell>
          <cell r="F1130">
            <v>10097861</v>
          </cell>
          <cell r="G1130">
            <v>10018952</v>
          </cell>
        </row>
        <row r="1131">
          <cell r="E1131" t="str">
            <v>D-00620</v>
          </cell>
          <cell r="F1131">
            <v>10000709</v>
          </cell>
          <cell r="G1131">
            <v>10019959</v>
          </cell>
        </row>
        <row r="1132">
          <cell r="E1132" t="str">
            <v>B-58562</v>
          </cell>
          <cell r="F1132">
            <v>10098946</v>
          </cell>
          <cell r="G1132">
            <v>10018987</v>
          </cell>
        </row>
        <row r="1133">
          <cell r="E1133" t="str">
            <v>D-33934</v>
          </cell>
          <cell r="F1133">
            <v>10075219</v>
          </cell>
          <cell r="G1133">
            <v>10018579</v>
          </cell>
        </row>
        <row r="1134">
          <cell r="E1134" t="str">
            <v>B-19978</v>
          </cell>
          <cell r="F1134">
            <v>10056679</v>
          </cell>
          <cell r="G1134">
            <v>10019017</v>
          </cell>
        </row>
        <row r="1135">
          <cell r="E1135" t="str">
            <v>B-20111</v>
          </cell>
          <cell r="F1135">
            <v>10056680</v>
          </cell>
          <cell r="G1135">
            <v>10019019</v>
          </cell>
        </row>
        <row r="1136">
          <cell r="E1136" t="str">
            <v>D-33875</v>
          </cell>
          <cell r="F1136">
            <v>10058966</v>
          </cell>
          <cell r="G1136">
            <v>10019053</v>
          </cell>
        </row>
        <row r="1137">
          <cell r="E1137" t="str">
            <v>D-17603</v>
          </cell>
          <cell r="F1137">
            <v>10070216</v>
          </cell>
          <cell r="G1137">
            <v>10018549</v>
          </cell>
        </row>
        <row r="1138">
          <cell r="E1138" t="str">
            <v>D-20703</v>
          </cell>
          <cell r="F1138">
            <v>10067157</v>
          </cell>
          <cell r="G1138">
            <v>10018203</v>
          </cell>
        </row>
        <row r="1139">
          <cell r="E1139" t="str">
            <v>D-00228</v>
          </cell>
          <cell r="F1139">
            <v>10038233</v>
          </cell>
          <cell r="G1139">
            <v>10019483</v>
          </cell>
        </row>
        <row r="1140">
          <cell r="E1140" t="str">
            <v>D-00038</v>
          </cell>
          <cell r="F1140">
            <v>10014355</v>
          </cell>
          <cell r="G1140">
            <v>10019622</v>
          </cell>
        </row>
        <row r="1141">
          <cell r="E1141" t="str">
            <v>A-87557</v>
          </cell>
          <cell r="F1141">
            <v>10021309</v>
          </cell>
          <cell r="G1141">
            <v>10019645</v>
          </cell>
        </row>
        <row r="1142">
          <cell r="E1142" t="str">
            <v>B-58126</v>
          </cell>
          <cell r="F1142">
            <v>10103809</v>
          </cell>
          <cell r="G1142">
            <v>10018457</v>
          </cell>
        </row>
        <row r="1143">
          <cell r="E1143" t="str">
            <v>B-58584</v>
          </cell>
          <cell r="F1143">
            <v>10097885</v>
          </cell>
          <cell r="G1143">
            <v>10018964</v>
          </cell>
        </row>
        <row r="1144">
          <cell r="E1144" t="str">
            <v>B-58718</v>
          </cell>
          <cell r="F1144">
            <v>10093965</v>
          </cell>
          <cell r="G1144">
            <v>10019037</v>
          </cell>
        </row>
        <row r="1145">
          <cell r="E1145" t="str">
            <v>B-58578</v>
          </cell>
          <cell r="F1145">
            <v>10103807</v>
          </cell>
          <cell r="G1145">
            <v>10018453</v>
          </cell>
        </row>
        <row r="1146">
          <cell r="E1146" t="str">
            <v>B-64808</v>
          </cell>
          <cell r="F1146">
            <v>10101553</v>
          </cell>
          <cell r="G1146">
            <v>10018735</v>
          </cell>
        </row>
        <row r="1147">
          <cell r="E1147" t="str">
            <v>B-10621</v>
          </cell>
          <cell r="F1147">
            <v>10035991</v>
          </cell>
          <cell r="G1147">
            <v>10019463</v>
          </cell>
        </row>
        <row r="1148">
          <cell r="E1148" t="str">
            <v>B-46115</v>
          </cell>
          <cell r="F1148">
            <v>10067154</v>
          </cell>
          <cell r="G1148">
            <v>10018197</v>
          </cell>
        </row>
        <row r="1149">
          <cell r="E1149" t="str">
            <v>191383-0</v>
          </cell>
          <cell r="F1149">
            <v>10000664</v>
          </cell>
          <cell r="G1149">
            <v>10019897</v>
          </cell>
        </row>
        <row r="1150">
          <cell r="E1150" t="str">
            <v>792287-5</v>
          </cell>
          <cell r="F1150">
            <v>10000665</v>
          </cell>
          <cell r="G1150">
            <v>10019899</v>
          </cell>
        </row>
        <row r="1151">
          <cell r="E1151" t="str">
            <v>198872-6</v>
          </cell>
          <cell r="F1151">
            <v>10080870</v>
          </cell>
          <cell r="G1151">
            <v>10018636</v>
          </cell>
        </row>
        <row r="1152">
          <cell r="E1152" t="str">
            <v>784009-7</v>
          </cell>
          <cell r="F1152">
            <v>10002052</v>
          </cell>
          <cell r="G1152">
            <v>10019816</v>
          </cell>
        </row>
        <row r="1153">
          <cell r="E1153" t="str">
            <v>784001-3</v>
          </cell>
          <cell r="F1153">
            <v>10002097</v>
          </cell>
          <cell r="G1153">
            <v>10019868</v>
          </cell>
        </row>
        <row r="1154">
          <cell r="E1154" t="str">
            <v>784005-5</v>
          </cell>
          <cell r="F1154">
            <v>10002099</v>
          </cell>
          <cell r="G1154">
            <v>10019870</v>
          </cell>
        </row>
        <row r="1155">
          <cell r="E1155" t="str">
            <v>784006-3</v>
          </cell>
          <cell r="F1155">
            <v>10002065</v>
          </cell>
          <cell r="G1155">
            <v>10019838</v>
          </cell>
        </row>
        <row r="1156">
          <cell r="E1156" t="str">
            <v>D-58855</v>
          </cell>
          <cell r="F1156">
            <v>10070762</v>
          </cell>
          <cell r="G1156">
            <v>10018564</v>
          </cell>
        </row>
        <row r="1157">
          <cell r="E1157" t="str">
            <v>784403-3</v>
          </cell>
          <cell r="F1157">
            <v>10000667</v>
          </cell>
          <cell r="G1157">
            <v>10019902</v>
          </cell>
        </row>
        <row r="1158">
          <cell r="E1158" t="str">
            <v>A-32415</v>
          </cell>
          <cell r="F1158">
            <v>10002639</v>
          </cell>
          <cell r="G1158">
            <v>10019727</v>
          </cell>
        </row>
        <row r="1159">
          <cell r="E1159">
            <v>445050455</v>
          </cell>
          <cell r="F1159">
            <v>10002421</v>
          </cell>
          <cell r="G1159">
            <v>10019627</v>
          </cell>
        </row>
        <row r="1160">
          <cell r="E1160" t="str">
            <v>232257-7</v>
          </cell>
          <cell r="F1160">
            <v>10097858</v>
          </cell>
          <cell r="G1160">
            <v>10018946</v>
          </cell>
        </row>
        <row r="1161">
          <cell r="E1161" t="str">
            <v>193470-1</v>
          </cell>
          <cell r="F1161">
            <v>10062512</v>
          </cell>
          <cell r="G1161">
            <v>10018102</v>
          </cell>
        </row>
        <row r="1162">
          <cell r="E1162">
            <v>443045651</v>
          </cell>
          <cell r="F1162">
            <v>10000676</v>
          </cell>
          <cell r="G1162">
            <v>10019920</v>
          </cell>
        </row>
        <row r="1163">
          <cell r="E1163" t="str">
            <v>JM27000300</v>
          </cell>
          <cell r="F1163">
            <v>10023145</v>
          </cell>
          <cell r="G1163">
            <v>10019667</v>
          </cell>
        </row>
        <row r="1164">
          <cell r="E1164" t="str">
            <v>B-04503</v>
          </cell>
          <cell r="F1164">
            <v>10086126</v>
          </cell>
          <cell r="G1164">
            <v>10018674</v>
          </cell>
        </row>
        <row r="1165">
          <cell r="E1165" t="str">
            <v>B-64858</v>
          </cell>
          <cell r="F1165">
            <v>10087905</v>
          </cell>
          <cell r="G1165">
            <v>10018908</v>
          </cell>
        </row>
        <row r="1166">
          <cell r="E1166" t="str">
            <v>B-64870</v>
          </cell>
          <cell r="F1166">
            <v>10087906</v>
          </cell>
          <cell r="G1166">
            <v>10018910</v>
          </cell>
        </row>
        <row r="1167">
          <cell r="E1167" t="str">
            <v>D-40135</v>
          </cell>
          <cell r="F1167">
            <v>10076829</v>
          </cell>
          <cell r="G1167">
            <v>10018596</v>
          </cell>
        </row>
        <row r="1168">
          <cell r="E1168" t="str">
            <v>D-40191</v>
          </cell>
          <cell r="F1168">
            <v>10072749</v>
          </cell>
          <cell r="G1168">
            <v>10018569</v>
          </cell>
        </row>
        <row r="1169">
          <cell r="E1169" t="str">
            <v>D-15512</v>
          </cell>
          <cell r="F1169">
            <v>10002635</v>
          </cell>
          <cell r="G1169">
            <v>10019718</v>
          </cell>
        </row>
        <row r="1170">
          <cell r="E1170" t="str">
            <v>D-49030</v>
          </cell>
          <cell r="F1170">
            <v>10056235</v>
          </cell>
          <cell r="G1170">
            <v>10019181</v>
          </cell>
        </row>
        <row r="1171">
          <cell r="E1171" t="str">
            <v>D-15388</v>
          </cell>
          <cell r="F1171">
            <v>10036011</v>
          </cell>
          <cell r="G1171">
            <v>10019518</v>
          </cell>
        </row>
        <row r="1172">
          <cell r="E1172" t="str">
            <v>D-09167</v>
          </cell>
          <cell r="F1172">
            <v>10029009</v>
          </cell>
          <cell r="G1172">
            <v>10019521</v>
          </cell>
        </row>
        <row r="1173">
          <cell r="E1173" t="str">
            <v>D-09260</v>
          </cell>
          <cell r="F1173">
            <v>10042424</v>
          </cell>
          <cell r="G1173">
            <v>10019317</v>
          </cell>
        </row>
        <row r="1174">
          <cell r="E1174" t="str">
            <v>D-09313</v>
          </cell>
          <cell r="F1174">
            <v>10036010</v>
          </cell>
          <cell r="G1174">
            <v>10019516</v>
          </cell>
        </row>
        <row r="1175">
          <cell r="E1175" t="str">
            <v>D-18873</v>
          </cell>
          <cell r="F1175">
            <v>10059575</v>
          </cell>
          <cell r="G1175">
            <v>10019063</v>
          </cell>
        </row>
        <row r="1176">
          <cell r="E1176" t="str">
            <v>D-49052</v>
          </cell>
          <cell r="F1176">
            <v>10056237</v>
          </cell>
          <cell r="G1176">
            <v>10019185</v>
          </cell>
        </row>
        <row r="1177">
          <cell r="E1177" t="str">
            <v>164834-6</v>
          </cell>
          <cell r="F1177">
            <v>10049629</v>
          </cell>
          <cell r="G1177">
            <v>10019280</v>
          </cell>
        </row>
        <row r="1178">
          <cell r="E1178" t="str">
            <v>193312-9</v>
          </cell>
          <cell r="F1178">
            <v>10067152</v>
          </cell>
          <cell r="G1178">
            <v>10018193</v>
          </cell>
        </row>
        <row r="1179">
          <cell r="E1179" t="str">
            <v>195136-9</v>
          </cell>
          <cell r="F1179">
            <v>10075218</v>
          </cell>
          <cell r="G1179">
            <v>10018578</v>
          </cell>
        </row>
        <row r="1180">
          <cell r="E1180" t="str">
            <v>B-05131</v>
          </cell>
          <cell r="F1180">
            <v>10050938</v>
          </cell>
          <cell r="G1180">
            <v>10019114</v>
          </cell>
        </row>
        <row r="1181">
          <cell r="E1181" t="str">
            <v>B-28961</v>
          </cell>
          <cell r="F1181">
            <v>10046374</v>
          </cell>
          <cell r="G1181">
            <v>10019202</v>
          </cell>
        </row>
        <row r="1182">
          <cell r="E1182" t="str">
            <v>B-28983</v>
          </cell>
          <cell r="F1182">
            <v>10046375</v>
          </cell>
          <cell r="G1182">
            <v>10019203</v>
          </cell>
        </row>
        <row r="1183">
          <cell r="E1183" t="str">
            <v>B-57364</v>
          </cell>
          <cell r="F1183">
            <v>10076844</v>
          </cell>
          <cell r="G1183">
            <v>10018615</v>
          </cell>
        </row>
        <row r="1184">
          <cell r="E1184" t="str">
            <v>D-03361</v>
          </cell>
          <cell r="F1184">
            <v>10102707</v>
          </cell>
          <cell r="G1184">
            <v>10018770</v>
          </cell>
        </row>
        <row r="1185">
          <cell r="E1185" t="str">
            <v>A-86767</v>
          </cell>
          <cell r="F1185">
            <v>10002642</v>
          </cell>
          <cell r="G1185">
            <v>10019734</v>
          </cell>
        </row>
        <row r="1186">
          <cell r="E1186" t="str">
            <v>B-57168</v>
          </cell>
          <cell r="F1186">
            <v>10087909</v>
          </cell>
          <cell r="G1186">
            <v>10018916</v>
          </cell>
        </row>
        <row r="1187">
          <cell r="E1187" t="str">
            <v>B-55594</v>
          </cell>
          <cell r="F1187">
            <v>10076837</v>
          </cell>
          <cell r="G1187">
            <v>10018604</v>
          </cell>
        </row>
        <row r="1188">
          <cell r="E1188" t="str">
            <v>A-82921</v>
          </cell>
          <cell r="F1188">
            <v>10000639</v>
          </cell>
          <cell r="G1188">
            <v>10020051</v>
          </cell>
        </row>
        <row r="1189">
          <cell r="E1189" t="str">
            <v>B-56530</v>
          </cell>
          <cell r="F1189">
            <v>10076845</v>
          </cell>
          <cell r="G1189">
            <v>10018617</v>
          </cell>
        </row>
        <row r="1190">
          <cell r="E1190" t="str">
            <v>B-56487</v>
          </cell>
          <cell r="F1190">
            <v>10076842</v>
          </cell>
          <cell r="G1190">
            <v>10018611</v>
          </cell>
        </row>
        <row r="1191">
          <cell r="E1191" t="str">
            <v>A-82292</v>
          </cell>
          <cell r="F1191">
            <v>10000629</v>
          </cell>
          <cell r="G1191">
            <v>10020042</v>
          </cell>
        </row>
        <row r="1192">
          <cell r="E1192" t="str">
            <v>B-53285</v>
          </cell>
          <cell r="F1192">
            <v>10076846</v>
          </cell>
          <cell r="G1192">
            <v>10018607</v>
          </cell>
        </row>
        <row r="1193">
          <cell r="E1193" t="str">
            <v>A-81533</v>
          </cell>
          <cell r="F1193">
            <v>10000615</v>
          </cell>
          <cell r="G1193">
            <v>10018044</v>
          </cell>
        </row>
        <row r="1194">
          <cell r="E1194" t="str">
            <v>B-07319</v>
          </cell>
          <cell r="F1194">
            <v>10046382</v>
          </cell>
          <cell r="G1194">
            <v>10019210</v>
          </cell>
        </row>
        <row r="1195">
          <cell r="E1195" t="str">
            <v>B-23117</v>
          </cell>
          <cell r="F1195">
            <v>10044454</v>
          </cell>
          <cell r="G1195">
            <v>10019339</v>
          </cell>
        </row>
        <row r="1196">
          <cell r="E1196" t="str">
            <v>A-89947</v>
          </cell>
          <cell r="F1196">
            <v>10000626</v>
          </cell>
          <cell r="G1196">
            <v>10020039</v>
          </cell>
        </row>
        <row r="1197">
          <cell r="E1197" t="str">
            <v>A-83696</v>
          </cell>
          <cell r="F1197">
            <v>10026419</v>
          </cell>
          <cell r="G1197">
            <v>10019482</v>
          </cell>
        </row>
        <row r="1198">
          <cell r="E1198" t="str">
            <v>D-65442</v>
          </cell>
          <cell r="F1198">
            <v>10084320</v>
          </cell>
          <cell r="G1198">
            <v>10018650</v>
          </cell>
        </row>
        <row r="1199">
          <cell r="E1199" t="str">
            <v>B-09949</v>
          </cell>
          <cell r="F1199">
            <v>10050066</v>
          </cell>
          <cell r="G1199">
            <v>10019100</v>
          </cell>
        </row>
        <row r="1200">
          <cell r="E1200" t="str">
            <v>A-82351</v>
          </cell>
          <cell r="F1200">
            <v>10000621</v>
          </cell>
          <cell r="G1200">
            <v>10020034</v>
          </cell>
        </row>
        <row r="1201">
          <cell r="E1201" t="str">
            <v>P-67929</v>
          </cell>
          <cell r="F1201">
            <v>10000616</v>
          </cell>
          <cell r="G1201">
            <v>10020029</v>
          </cell>
        </row>
        <row r="1202">
          <cell r="E1202" t="str">
            <v>P-67885</v>
          </cell>
          <cell r="F1202">
            <v>10000618</v>
          </cell>
          <cell r="G1202">
            <v>10020031</v>
          </cell>
        </row>
        <row r="1203">
          <cell r="E1203" t="str">
            <v>P-67979</v>
          </cell>
          <cell r="F1203">
            <v>10000617</v>
          </cell>
          <cell r="G1203">
            <v>10020030</v>
          </cell>
        </row>
        <row r="1204">
          <cell r="E1204" t="str">
            <v>P-67991</v>
          </cell>
          <cell r="F1204">
            <v>10000619</v>
          </cell>
          <cell r="G1204">
            <v>10020032</v>
          </cell>
        </row>
        <row r="1205">
          <cell r="E1205" t="str">
            <v>B-54237</v>
          </cell>
          <cell r="F1205">
            <v>10101557</v>
          </cell>
          <cell r="G1205">
            <v>10018739</v>
          </cell>
        </row>
        <row r="1206">
          <cell r="E1206" t="str">
            <v>A-80612</v>
          </cell>
          <cell r="F1206">
            <v>10038981</v>
          </cell>
          <cell r="G1206">
            <v>10019271</v>
          </cell>
        </row>
        <row r="1207">
          <cell r="E1207" t="str">
            <v>B-16994</v>
          </cell>
          <cell r="F1207">
            <v>10054028</v>
          </cell>
          <cell r="G1207">
            <v>10019137</v>
          </cell>
        </row>
        <row r="1208">
          <cell r="E1208" t="str">
            <v>A-81402</v>
          </cell>
          <cell r="F1208">
            <v>10046601</v>
          </cell>
          <cell r="G1208">
            <v>10019212</v>
          </cell>
        </row>
        <row r="1209">
          <cell r="E1209" t="str">
            <v>A-81418</v>
          </cell>
          <cell r="F1209">
            <v>10000628</v>
          </cell>
          <cell r="G1209">
            <v>10020041</v>
          </cell>
        </row>
        <row r="1210">
          <cell r="E1210" t="str">
            <v>A-82476</v>
          </cell>
          <cell r="F1210">
            <v>10029215</v>
          </cell>
          <cell r="G1210">
            <v>10019527</v>
          </cell>
        </row>
        <row r="1211">
          <cell r="E1211" t="str">
            <v>A-83814</v>
          </cell>
          <cell r="F1211">
            <v>10042356</v>
          </cell>
          <cell r="G1211">
            <v>10019315</v>
          </cell>
        </row>
        <row r="1212">
          <cell r="E1212" t="str">
            <v>A-85999</v>
          </cell>
          <cell r="F1212">
            <v>10042357</v>
          </cell>
          <cell r="G1212">
            <v>10019316</v>
          </cell>
        </row>
        <row r="1213">
          <cell r="E1213" t="str">
            <v>792299-8</v>
          </cell>
          <cell r="F1213">
            <v>10040471</v>
          </cell>
          <cell r="G1213">
            <v>10019301</v>
          </cell>
        </row>
        <row r="1214">
          <cell r="E1214" t="str">
            <v>792623-5</v>
          </cell>
          <cell r="F1214">
            <v>10040470</v>
          </cell>
          <cell r="G1214">
            <v>10019300</v>
          </cell>
        </row>
        <row r="1215">
          <cell r="E1215" t="str">
            <v>A-81430</v>
          </cell>
          <cell r="F1215">
            <v>10000612</v>
          </cell>
          <cell r="G1215">
            <v>10020026</v>
          </cell>
        </row>
        <row r="1216">
          <cell r="E1216" t="str">
            <v>A-81767</v>
          </cell>
          <cell r="F1216">
            <v>10000755</v>
          </cell>
          <cell r="G1216">
            <v>10019966</v>
          </cell>
        </row>
        <row r="1217">
          <cell r="E1217" t="str">
            <v>A-81773</v>
          </cell>
          <cell r="F1217">
            <v>10058386</v>
          </cell>
          <cell r="G1217">
            <v>10019048</v>
          </cell>
        </row>
        <row r="1218">
          <cell r="E1218" t="str">
            <v>A-81474</v>
          </cell>
          <cell r="F1218">
            <v>10055554</v>
          </cell>
          <cell r="G1218">
            <v>10019149</v>
          </cell>
        </row>
        <row r="1219">
          <cell r="E1219" t="str">
            <v>A-81474J</v>
          </cell>
          <cell r="F1219">
            <v>10000625</v>
          </cell>
          <cell r="G1219">
            <v>10020038</v>
          </cell>
        </row>
        <row r="1220">
          <cell r="E1220" t="str">
            <v>D-03414</v>
          </cell>
          <cell r="F1220">
            <v>10000640</v>
          </cell>
          <cell r="G1220">
            <v>10020052</v>
          </cell>
        </row>
        <row r="1221">
          <cell r="E1221" t="str">
            <v>A-87242</v>
          </cell>
          <cell r="F1221">
            <v>10061279</v>
          </cell>
          <cell r="G1221">
            <v>10018069</v>
          </cell>
        </row>
        <row r="1222">
          <cell r="E1222" t="str">
            <v>A-87579</v>
          </cell>
          <cell r="F1222">
            <v>10000708</v>
          </cell>
          <cell r="G1222">
            <v>10019958</v>
          </cell>
        </row>
        <row r="1223">
          <cell r="E1223" t="str">
            <v>A-81505</v>
          </cell>
          <cell r="F1223">
            <v>10000611</v>
          </cell>
          <cell r="G1223">
            <v>10020025</v>
          </cell>
        </row>
        <row r="1224">
          <cell r="E1224" t="str">
            <v>A-81614</v>
          </cell>
          <cell r="F1224">
            <v>10000622</v>
          </cell>
          <cell r="G1224">
            <v>10020035</v>
          </cell>
        </row>
        <row r="1225">
          <cell r="E1225" t="str">
            <v>A-82105</v>
          </cell>
          <cell r="F1225">
            <v>10000614</v>
          </cell>
          <cell r="G1225">
            <v>10020028</v>
          </cell>
        </row>
        <row r="1226">
          <cell r="E1226" t="str">
            <v>A-82557</v>
          </cell>
          <cell r="F1226">
            <v>10000620</v>
          </cell>
          <cell r="G1226">
            <v>10020033</v>
          </cell>
        </row>
        <row r="1227">
          <cell r="E1227" t="str">
            <v>A-82323</v>
          </cell>
          <cell r="F1227">
            <v>10000624</v>
          </cell>
          <cell r="G1227">
            <v>10020037</v>
          </cell>
        </row>
        <row r="1228">
          <cell r="E1228" t="str">
            <v>A-81561</v>
          </cell>
          <cell r="F1228">
            <v>10000627</v>
          </cell>
          <cell r="G1228">
            <v>10020040</v>
          </cell>
        </row>
        <row r="1229">
          <cell r="E1229" t="str">
            <v>A-81898</v>
          </cell>
          <cell r="F1229">
            <v>10000613</v>
          </cell>
          <cell r="G1229">
            <v>10020027</v>
          </cell>
        </row>
        <row r="1230">
          <cell r="E1230" t="str">
            <v>D-59156</v>
          </cell>
          <cell r="F1230">
            <v>10105264</v>
          </cell>
          <cell r="G1230">
            <v>10018517</v>
          </cell>
        </row>
        <row r="1231">
          <cell r="E1231" t="str">
            <v>A-86038</v>
          </cell>
          <cell r="F1231">
            <v>10105295</v>
          </cell>
          <cell r="G1231">
            <v>10018541</v>
          </cell>
        </row>
        <row r="1232">
          <cell r="E1232" t="str">
            <v>A-86044</v>
          </cell>
          <cell r="F1232">
            <v>10105298</v>
          </cell>
          <cell r="G1232">
            <v>10018547</v>
          </cell>
        </row>
        <row r="1233">
          <cell r="E1233" t="str">
            <v>B-62022</v>
          </cell>
          <cell r="F1233">
            <v>10105289</v>
          </cell>
          <cell r="G1233">
            <v>10018529</v>
          </cell>
        </row>
        <row r="1234">
          <cell r="E1234" t="str">
            <v>D-03349</v>
          </cell>
          <cell r="F1234">
            <v>10105297</v>
          </cell>
          <cell r="G1234">
            <v>10018545</v>
          </cell>
        </row>
        <row r="1235">
          <cell r="E1235" t="str">
            <v>D-29066</v>
          </cell>
          <cell r="F1235">
            <v>10105291</v>
          </cell>
          <cell r="G1235">
            <v>10018533</v>
          </cell>
        </row>
        <row r="1236">
          <cell r="E1236" t="str">
            <v>D-50538</v>
          </cell>
          <cell r="F1236">
            <v>10105296</v>
          </cell>
          <cell r="G1236">
            <v>10018543</v>
          </cell>
        </row>
        <row r="1237">
          <cell r="E1237" t="str">
            <v>P-67957</v>
          </cell>
          <cell r="F1237">
            <v>10105290</v>
          </cell>
          <cell r="G1237">
            <v>10018531</v>
          </cell>
        </row>
        <row r="1238">
          <cell r="E1238" t="str">
            <v>E-12918</v>
          </cell>
          <cell r="F1238">
            <v>10105265</v>
          </cell>
          <cell r="G1238">
            <v>10018519</v>
          </cell>
        </row>
        <row r="1239">
          <cell r="E1239" t="str">
            <v>B-12201</v>
          </cell>
          <cell r="F1239">
            <v>10093964</v>
          </cell>
          <cell r="G1239">
            <v>10019035</v>
          </cell>
        </row>
        <row r="1240">
          <cell r="E1240" t="str">
            <v>198987-9</v>
          </cell>
          <cell r="F1240">
            <v>10097852</v>
          </cell>
          <cell r="G1240">
            <v>10018933</v>
          </cell>
        </row>
        <row r="1241">
          <cell r="E1241" t="str">
            <v>195561-4</v>
          </cell>
          <cell r="F1241">
            <v>10076839</v>
          </cell>
          <cell r="G1241">
            <v>10018606</v>
          </cell>
        </row>
        <row r="1242">
          <cell r="E1242" t="str">
            <v>D-31201</v>
          </cell>
          <cell r="F1242">
            <v>10002026</v>
          </cell>
          <cell r="G1242">
            <v>10019978</v>
          </cell>
        </row>
        <row r="1243">
          <cell r="E1243" t="str">
            <v>P-72017</v>
          </cell>
          <cell r="F1243">
            <v>10062917</v>
          </cell>
          <cell r="G1243">
            <v>10018129</v>
          </cell>
        </row>
        <row r="1244">
          <cell r="E1244" t="str">
            <v>E-05430</v>
          </cell>
          <cell r="F1244">
            <v>10097886</v>
          </cell>
          <cell r="G1244">
            <v>10018966</v>
          </cell>
        </row>
        <row r="1245">
          <cell r="E1245" t="str">
            <v>P-72001</v>
          </cell>
          <cell r="F1245">
            <v>10043627</v>
          </cell>
          <cell r="G1245">
            <v>10019322</v>
          </cell>
        </row>
        <row r="1246">
          <cell r="E1246">
            <v>122699</v>
          </cell>
          <cell r="F1246">
            <v>10056721</v>
          </cell>
          <cell r="G1246">
            <v>10019040</v>
          </cell>
        </row>
        <row r="1247">
          <cell r="E1247">
            <v>3641950</v>
          </cell>
          <cell r="F1247">
            <v>10012878</v>
          </cell>
          <cell r="G1247">
            <v>10019766</v>
          </cell>
        </row>
        <row r="1248">
          <cell r="E1248">
            <v>941719131</v>
          </cell>
          <cell r="F1248">
            <v>10038983</v>
          </cell>
          <cell r="G1248">
            <v>10019275</v>
          </cell>
        </row>
        <row r="1249">
          <cell r="E1249" t="str">
            <v>ADP05</v>
          </cell>
          <cell r="F1249">
            <v>10067151</v>
          </cell>
          <cell r="G1249">
            <v>10018191</v>
          </cell>
        </row>
        <row r="1250">
          <cell r="E1250" t="str">
            <v>D-49373</v>
          </cell>
          <cell r="F1250">
            <v>10056236</v>
          </cell>
          <cell r="G1250">
            <v>10019183</v>
          </cell>
        </row>
        <row r="1251">
          <cell r="E1251" t="str">
            <v>D-63270</v>
          </cell>
          <cell r="F1251">
            <v>10089596</v>
          </cell>
          <cell r="G1251">
            <v>10018980</v>
          </cell>
        </row>
        <row r="1252">
          <cell r="E1252" t="str">
            <v>D-63286</v>
          </cell>
          <cell r="F1252">
            <v>10089594</v>
          </cell>
          <cell r="G1252">
            <v>10018976</v>
          </cell>
        </row>
        <row r="1253">
          <cell r="E1253" t="str">
            <v>D-63292</v>
          </cell>
          <cell r="F1253">
            <v>10089595</v>
          </cell>
          <cell r="G1253">
            <v>10018978</v>
          </cell>
        </row>
        <row r="1254">
          <cell r="E1254" t="str">
            <v>D-08470</v>
          </cell>
          <cell r="F1254">
            <v>10002809</v>
          </cell>
          <cell r="G1254">
            <v>10019835</v>
          </cell>
        </row>
        <row r="1255">
          <cell r="E1255" t="str">
            <v>267143-3</v>
          </cell>
          <cell r="F1255">
            <v>10038931</v>
          </cell>
          <cell r="G1255">
            <v>10019253</v>
          </cell>
        </row>
        <row r="1256">
          <cell r="E1256" t="str">
            <v>794052-8</v>
          </cell>
          <cell r="F1256">
            <v>10037134</v>
          </cell>
          <cell r="G1256">
            <v>10019402</v>
          </cell>
        </row>
        <row r="1257">
          <cell r="E1257" t="str">
            <v>D-29555</v>
          </cell>
          <cell r="F1257">
            <v>10067153</v>
          </cell>
          <cell r="G1257">
            <v>10018195</v>
          </cell>
        </row>
        <row r="1258">
          <cell r="E1258" t="str">
            <v>D-24066</v>
          </cell>
          <cell r="F1258">
            <v>10076854</v>
          </cell>
          <cell r="G1258">
            <v>10018620</v>
          </cell>
        </row>
        <row r="1259">
          <cell r="E1259" t="str">
            <v>D-24088</v>
          </cell>
          <cell r="F1259">
            <v>10050063</v>
          </cell>
          <cell r="G1259">
            <v>10019094</v>
          </cell>
        </row>
        <row r="1260">
          <cell r="E1260" t="str">
            <v>D-24125</v>
          </cell>
          <cell r="F1260">
            <v>10062919</v>
          </cell>
          <cell r="G1260">
            <v>10018133</v>
          </cell>
        </row>
        <row r="1261">
          <cell r="E1261" t="str">
            <v>D-24131</v>
          </cell>
          <cell r="F1261">
            <v>10060442</v>
          </cell>
          <cell r="G1261">
            <v>10018026</v>
          </cell>
        </row>
        <row r="1262">
          <cell r="E1262" t="str">
            <v>D-07107</v>
          </cell>
          <cell r="F1262">
            <v>10049181</v>
          </cell>
          <cell r="G1262">
            <v>10019239</v>
          </cell>
        </row>
        <row r="1263">
          <cell r="E1263" t="str">
            <v>D-07191</v>
          </cell>
          <cell r="F1263">
            <v>10080392</v>
          </cell>
          <cell r="G1263">
            <v>10018632</v>
          </cell>
        </row>
        <row r="1264">
          <cell r="E1264" t="str">
            <v>D-07200</v>
          </cell>
          <cell r="F1264">
            <v>10080393</v>
          </cell>
          <cell r="G1264">
            <v>10018633</v>
          </cell>
        </row>
        <row r="1265">
          <cell r="E1265" t="str">
            <v>D-07216</v>
          </cell>
          <cell r="F1265">
            <v>10080394</v>
          </cell>
          <cell r="G1265">
            <v>10018634</v>
          </cell>
        </row>
        <row r="1266">
          <cell r="E1266" t="str">
            <v>D-07026</v>
          </cell>
          <cell r="F1266">
            <v>10034250</v>
          </cell>
          <cell r="G1266">
            <v>10019576</v>
          </cell>
        </row>
        <row r="1267">
          <cell r="E1267" t="str">
            <v>D-07032</v>
          </cell>
          <cell r="F1267">
            <v>10034251</v>
          </cell>
          <cell r="G1267">
            <v>10019577</v>
          </cell>
        </row>
        <row r="1268">
          <cell r="E1268" t="str">
            <v>D-07054</v>
          </cell>
          <cell r="F1268">
            <v>10034252</v>
          </cell>
          <cell r="G1268">
            <v>10019578</v>
          </cell>
        </row>
        <row r="1269">
          <cell r="E1269" t="str">
            <v>D-07076</v>
          </cell>
          <cell r="F1269">
            <v>10034253</v>
          </cell>
          <cell r="G1269">
            <v>10019579</v>
          </cell>
        </row>
        <row r="1270">
          <cell r="E1270" t="str">
            <v>794176-0</v>
          </cell>
          <cell r="F1270">
            <v>10000672</v>
          </cell>
          <cell r="G1270">
            <v>10019912</v>
          </cell>
        </row>
        <row r="1271">
          <cell r="E1271" t="str">
            <v>192629-7</v>
          </cell>
          <cell r="F1271">
            <v>10002077</v>
          </cell>
          <cell r="G1271">
            <v>10019853</v>
          </cell>
        </row>
        <row r="1272">
          <cell r="E1272" t="str">
            <v>781029-2</v>
          </cell>
          <cell r="F1272">
            <v>10002437</v>
          </cell>
          <cell r="G1272">
            <v>10019903</v>
          </cell>
        </row>
        <row r="1273">
          <cell r="E1273" t="str">
            <v>B-11841</v>
          </cell>
          <cell r="F1273">
            <v>10068018</v>
          </cell>
          <cell r="G1273">
            <v>10018522</v>
          </cell>
        </row>
        <row r="1274">
          <cell r="E1274" t="str">
            <v>B-11891</v>
          </cell>
          <cell r="F1274">
            <v>10056245</v>
          </cell>
          <cell r="G1274">
            <v>10018998</v>
          </cell>
        </row>
        <row r="1275">
          <cell r="E1275" t="str">
            <v>B-58344</v>
          </cell>
          <cell r="F1275">
            <v>10084324</v>
          </cell>
          <cell r="G1275">
            <v>10018654</v>
          </cell>
        </row>
        <row r="1276">
          <cell r="E1276" t="str">
            <v>B-13384</v>
          </cell>
          <cell r="F1276">
            <v>10068019</v>
          </cell>
          <cell r="G1276">
            <v>10018524</v>
          </cell>
        </row>
        <row r="1277">
          <cell r="E1277" t="str">
            <v>B-13409</v>
          </cell>
          <cell r="F1277">
            <v>10056246</v>
          </cell>
          <cell r="G1277">
            <v>10019000</v>
          </cell>
        </row>
        <row r="1278">
          <cell r="E1278" t="str">
            <v>B-11807</v>
          </cell>
          <cell r="F1278">
            <v>10056244</v>
          </cell>
          <cell r="G1278">
            <v>10018994</v>
          </cell>
        </row>
        <row r="1279">
          <cell r="E1279" t="str">
            <v>632G12-3</v>
          </cell>
          <cell r="F1279">
            <v>10101552</v>
          </cell>
          <cell r="G1279">
            <v>10018734</v>
          </cell>
        </row>
        <row r="1280">
          <cell r="E1280" t="str">
            <v>A-24642</v>
          </cell>
          <cell r="F1280">
            <v>10030829</v>
          </cell>
          <cell r="G1280">
            <v>10019539</v>
          </cell>
        </row>
        <row r="1281">
          <cell r="E1281" t="str">
            <v>763442-6</v>
          </cell>
          <cell r="F1281">
            <v>10000704</v>
          </cell>
          <cell r="G1281">
            <v>10019954</v>
          </cell>
        </row>
        <row r="1282">
          <cell r="E1282" t="str">
            <v>A-89545</v>
          </cell>
          <cell r="F1282">
            <v>10000710</v>
          </cell>
          <cell r="G1282">
            <v>10019960</v>
          </cell>
        </row>
        <row r="1283">
          <cell r="E1283" t="str">
            <v>763161-4</v>
          </cell>
          <cell r="F1283">
            <v>10000705</v>
          </cell>
          <cell r="G1283">
            <v>10019955</v>
          </cell>
        </row>
        <row r="1284">
          <cell r="E1284" t="str">
            <v>763170-3</v>
          </cell>
          <cell r="F1284">
            <v>10000707</v>
          </cell>
          <cell r="G1284">
            <v>10019957</v>
          </cell>
        </row>
        <row r="1285">
          <cell r="E1285" t="str">
            <v>D-17647</v>
          </cell>
          <cell r="F1285">
            <v>10013141</v>
          </cell>
          <cell r="G1285">
            <v>10019601</v>
          </cell>
        </row>
        <row r="1286">
          <cell r="E1286" t="str">
            <v>792534-4</v>
          </cell>
          <cell r="F1286">
            <v>10016343</v>
          </cell>
          <cell r="G1286">
            <v>40007521</v>
          </cell>
        </row>
        <row r="1287">
          <cell r="E1287" t="str">
            <v>792533-6</v>
          </cell>
          <cell r="F1287">
            <v>10016344</v>
          </cell>
        </row>
        <row r="1288">
          <cell r="E1288" t="str">
            <v>BO6050J</v>
          </cell>
          <cell r="F1288">
            <v>10062903</v>
          </cell>
          <cell r="G1288">
            <v>10018146</v>
          </cell>
        </row>
        <row r="1289">
          <cell r="E1289">
            <v>4131</v>
          </cell>
          <cell r="F1289">
            <v>10105234</v>
          </cell>
          <cell r="G1289">
            <v>10018486</v>
          </cell>
        </row>
        <row r="1290">
          <cell r="E1290" t="str">
            <v>D-36712</v>
          </cell>
          <cell r="F1290">
            <v>10105268</v>
          </cell>
          <cell r="G1290">
            <v>10018523</v>
          </cell>
        </row>
        <row r="1291">
          <cell r="E1291" t="str">
            <v>122321-1</v>
          </cell>
          <cell r="F1291">
            <v>10022538</v>
          </cell>
          <cell r="G1291">
            <v>40007567</v>
          </cell>
        </row>
        <row r="1292">
          <cell r="E1292" t="str">
            <v>T-01828</v>
          </cell>
          <cell r="F1292">
            <v>10105259</v>
          </cell>
          <cell r="G1292">
            <v>10018511</v>
          </cell>
        </row>
        <row r="1293">
          <cell r="E1293" t="str">
            <v>DML809</v>
          </cell>
          <cell r="F1293">
            <v>10105654</v>
          </cell>
          <cell r="G1293">
            <v>10018252</v>
          </cell>
        </row>
        <row r="1294">
          <cell r="E1294" t="str">
            <v>B-65436</v>
          </cell>
          <cell r="F1294">
            <v>10105260</v>
          </cell>
          <cell r="G1294">
            <v>10018512</v>
          </cell>
        </row>
        <row r="1295">
          <cell r="E1295" t="str">
            <v>191X23-4</v>
          </cell>
          <cell r="F1295">
            <v>10105369</v>
          </cell>
          <cell r="G1295">
            <v>10018206</v>
          </cell>
        </row>
        <row r="1296">
          <cell r="E1296" t="str">
            <v>B-69917</v>
          </cell>
          <cell r="F1296">
            <v>10105261</v>
          </cell>
          <cell r="G1296">
            <v>10018513</v>
          </cell>
        </row>
        <row r="1297">
          <cell r="E1297" t="str">
            <v>B-68476</v>
          </cell>
          <cell r="F1297">
            <v>10105662</v>
          </cell>
          <cell r="G1297">
            <v>10018260</v>
          </cell>
        </row>
        <row r="1298">
          <cell r="E1298" t="str">
            <v>452947-8</v>
          </cell>
          <cell r="F1298">
            <v>10105538</v>
          </cell>
          <cell r="G1298">
            <v>10018214</v>
          </cell>
        </row>
        <row r="1299">
          <cell r="E1299" t="str">
            <v>191D93-3</v>
          </cell>
          <cell r="F1299">
            <v>10105362</v>
          </cell>
          <cell r="G1299">
            <v>10018192</v>
          </cell>
        </row>
        <row r="1300">
          <cell r="E1300" t="str">
            <v>DML805</v>
          </cell>
          <cell r="F1300">
            <v>10075409</v>
          </cell>
          <cell r="G1300">
            <v>10018585</v>
          </cell>
        </row>
        <row r="1301">
          <cell r="E1301" t="str">
            <v>195716-1</v>
          </cell>
          <cell r="F1301">
            <v>10105629</v>
          </cell>
          <cell r="G1301">
            <v>10018227</v>
          </cell>
        </row>
        <row r="1302">
          <cell r="E1302" t="str">
            <v>DML185</v>
          </cell>
          <cell r="F1302">
            <v>10105257</v>
          </cell>
          <cell r="G1302">
            <v>10018509</v>
          </cell>
        </row>
        <row r="1303">
          <cell r="E1303" t="str">
            <v>191X29-2</v>
          </cell>
          <cell r="F1303">
            <v>10105370</v>
          </cell>
          <cell r="G1303">
            <v>10018208</v>
          </cell>
        </row>
        <row r="1304">
          <cell r="E1304" t="str">
            <v>783202-0</v>
          </cell>
          <cell r="F1304">
            <v>10105617</v>
          </cell>
          <cell r="G1304">
            <v>10018219</v>
          </cell>
        </row>
        <row r="1305">
          <cell r="E1305" t="str">
            <v>199966-0</v>
          </cell>
          <cell r="F1305">
            <v>10105373</v>
          </cell>
          <cell r="G1305">
            <v>10018212</v>
          </cell>
        </row>
        <row r="1306">
          <cell r="E1306" t="str">
            <v>D-75758</v>
          </cell>
          <cell r="F1306">
            <v>10105663</v>
          </cell>
          <cell r="G1306">
            <v>10018261</v>
          </cell>
        </row>
        <row r="1307">
          <cell r="E1307" t="str">
            <v>A-85824</v>
          </cell>
          <cell r="F1307">
            <v>10105288</v>
          </cell>
          <cell r="G1307">
            <v>10018527</v>
          </cell>
        </row>
        <row r="1308">
          <cell r="E1308" t="str">
            <v>821552-6</v>
          </cell>
          <cell r="F1308">
            <v>10105618</v>
          </cell>
          <cell r="G1308">
            <v>10018221</v>
          </cell>
        </row>
        <row r="1309">
          <cell r="E1309" t="str">
            <v>B-67511</v>
          </cell>
          <cell r="F1309">
            <v>10105648</v>
          </cell>
          <cell r="G1309">
            <v>10018246</v>
          </cell>
        </row>
        <row r="1310">
          <cell r="E1310" t="str">
            <v>B-67480</v>
          </cell>
          <cell r="F1310">
            <v>10105646</v>
          </cell>
          <cell r="G1310">
            <v>10018244</v>
          </cell>
        </row>
        <row r="1311">
          <cell r="E1311" t="str">
            <v>B-67505</v>
          </cell>
          <cell r="F1311">
            <v>10105647</v>
          </cell>
          <cell r="G1311">
            <v>10018245</v>
          </cell>
        </row>
        <row r="1312">
          <cell r="E1312" t="str">
            <v>458942-6</v>
          </cell>
          <cell r="F1312">
            <v>10105554</v>
          </cell>
          <cell r="G1312">
            <v>10018216</v>
          </cell>
        </row>
        <row r="1313">
          <cell r="E1313" t="str">
            <v>199925-4</v>
          </cell>
          <cell r="F1313">
            <v>10105630</v>
          </cell>
          <cell r="G1313">
            <v>10018228</v>
          </cell>
        </row>
        <row r="1314">
          <cell r="E1314" t="str">
            <v>B-69901</v>
          </cell>
          <cell r="F1314">
            <v>10105649</v>
          </cell>
          <cell r="G1314">
            <v>10018247</v>
          </cell>
        </row>
        <row r="1315">
          <cell r="E1315" t="str">
            <v>191E23-0</v>
          </cell>
          <cell r="F1315">
            <v>10105628</v>
          </cell>
          <cell r="G1315">
            <v>10018225</v>
          </cell>
        </row>
        <row r="1316">
          <cell r="E1316" t="str">
            <v>B-57211</v>
          </cell>
          <cell r="F1316">
            <v>10105262</v>
          </cell>
          <cell r="G1316">
            <v>10018515</v>
          </cell>
        </row>
        <row r="1317">
          <cell r="E1317" t="str">
            <v>E-05446</v>
          </cell>
          <cell r="F1317">
            <v>10105263</v>
          </cell>
          <cell r="G1317">
            <v>10018516</v>
          </cell>
        </row>
        <row r="1318">
          <cell r="E1318" t="str">
            <v>GM00002073</v>
          </cell>
          <cell r="F1318">
            <v>10105664</v>
          </cell>
          <cell r="G1318">
            <v>10018262</v>
          </cell>
        </row>
        <row r="1319">
          <cell r="E1319" t="str">
            <v>GM00001381</v>
          </cell>
          <cell r="F1319">
            <v>10105655</v>
          </cell>
          <cell r="G1319">
            <v>10018253</v>
          </cell>
        </row>
        <row r="1320">
          <cell r="E1320" t="str">
            <v>D-63345</v>
          </cell>
          <cell r="F1320">
            <v>10105651</v>
          </cell>
          <cell r="G1320">
            <v>10018249</v>
          </cell>
        </row>
        <row r="1321">
          <cell r="E1321" t="str">
            <v>GM00001396</v>
          </cell>
          <cell r="F1321">
            <v>10105656</v>
          </cell>
          <cell r="G1321">
            <v>10018254</v>
          </cell>
        </row>
        <row r="1322">
          <cell r="E1322" t="str">
            <v>416410-5</v>
          </cell>
          <cell r="F1322">
            <v>10002611</v>
          </cell>
          <cell r="G1322">
            <v>40008198</v>
          </cell>
        </row>
        <row r="1323">
          <cell r="E1323" t="str">
            <v>323820-8</v>
          </cell>
          <cell r="F1323">
            <v>10002618</v>
          </cell>
          <cell r="G1323">
            <v>40008205</v>
          </cell>
        </row>
        <row r="1324">
          <cell r="E1324" t="str">
            <v>423035-8</v>
          </cell>
          <cell r="F1324">
            <v>10001088</v>
          </cell>
          <cell r="G1324">
            <v>40007367</v>
          </cell>
        </row>
        <row r="1325">
          <cell r="E1325" t="str">
            <v>JM27000167</v>
          </cell>
          <cell r="F1325">
            <v>10025368</v>
          </cell>
          <cell r="G1325">
            <v>40007265</v>
          </cell>
        </row>
        <row r="1326">
          <cell r="E1326" t="str">
            <v>593249-3</v>
          </cell>
          <cell r="F1326">
            <v>10000885</v>
          </cell>
        </row>
        <row r="1327">
          <cell r="E1327" t="str">
            <v>JM27000155</v>
          </cell>
          <cell r="F1327">
            <v>10051625</v>
          </cell>
          <cell r="G1327">
            <v>40007494</v>
          </cell>
        </row>
        <row r="1328">
          <cell r="E1328" t="str">
            <v>344690-2</v>
          </cell>
          <cell r="F1328">
            <v>10002619</v>
          </cell>
          <cell r="G1328">
            <v>40008206</v>
          </cell>
        </row>
        <row r="1329">
          <cell r="E1329" t="str">
            <v>510173-6</v>
          </cell>
          <cell r="F1329">
            <v>10055585</v>
          </cell>
          <cell r="G1329">
            <v>40005644</v>
          </cell>
        </row>
        <row r="1330">
          <cell r="E1330" t="str">
            <v>515844-0</v>
          </cell>
          <cell r="F1330">
            <v>10055584</v>
          </cell>
          <cell r="G1330">
            <v>40005642</v>
          </cell>
        </row>
        <row r="1331">
          <cell r="E1331" t="str">
            <v>285840-9</v>
          </cell>
          <cell r="F1331">
            <v>10002316</v>
          </cell>
          <cell r="G1331">
            <v>40007740</v>
          </cell>
        </row>
        <row r="1332">
          <cell r="E1332" t="str">
            <v>227520-1</v>
          </cell>
          <cell r="F1332">
            <v>10062460</v>
          </cell>
          <cell r="G1332">
            <v>40005581</v>
          </cell>
        </row>
        <row r="1333">
          <cell r="E1333" t="str">
            <v>227521-9</v>
          </cell>
          <cell r="F1333">
            <v>10062461</v>
          </cell>
          <cell r="G1333">
            <v>40005582</v>
          </cell>
        </row>
        <row r="1334">
          <cell r="E1334" t="str">
            <v>638498-7</v>
          </cell>
          <cell r="F1334">
            <v>10055580</v>
          </cell>
          <cell r="G1334">
            <v>40006710</v>
          </cell>
        </row>
        <row r="1335">
          <cell r="E1335" t="str">
            <v>162244-1</v>
          </cell>
          <cell r="F1335">
            <v>10062733</v>
          </cell>
          <cell r="G1335">
            <v>40005945</v>
          </cell>
        </row>
        <row r="1336">
          <cell r="E1336" t="str">
            <v>TP00000111</v>
          </cell>
          <cell r="F1336">
            <v>10050513</v>
          </cell>
          <cell r="G1336">
            <v>40007956</v>
          </cell>
        </row>
        <row r="1337">
          <cell r="E1337" t="str">
            <v>450890-5</v>
          </cell>
          <cell r="F1337">
            <v>10062723</v>
          </cell>
          <cell r="G1337">
            <v>40006181</v>
          </cell>
        </row>
        <row r="1338">
          <cell r="E1338" t="str">
            <v>620040-8</v>
          </cell>
          <cell r="F1338">
            <v>10055573</v>
          </cell>
          <cell r="G1338">
            <v>40006150</v>
          </cell>
        </row>
        <row r="1339">
          <cell r="E1339" t="str">
            <v>631151-4</v>
          </cell>
          <cell r="F1339">
            <v>10050505</v>
          </cell>
          <cell r="G1339">
            <v>40007953</v>
          </cell>
        </row>
        <row r="1340">
          <cell r="E1340" t="str">
            <v>450504-6</v>
          </cell>
          <cell r="F1340">
            <v>10055586</v>
          </cell>
          <cell r="G1340">
            <v>40005646</v>
          </cell>
        </row>
        <row r="1341">
          <cell r="E1341" t="str">
            <v>633769-7</v>
          </cell>
          <cell r="F1341">
            <v>10055583</v>
          </cell>
          <cell r="G1341">
            <v>40005640</v>
          </cell>
        </row>
        <row r="1342">
          <cell r="E1342" t="str">
            <v>226134-3</v>
          </cell>
          <cell r="F1342">
            <v>10050508</v>
          </cell>
          <cell r="G1342">
            <v>40007954</v>
          </cell>
        </row>
        <row r="1343">
          <cell r="E1343" t="str">
            <v>140433-8</v>
          </cell>
          <cell r="F1343">
            <v>10055577</v>
          </cell>
          <cell r="G1343">
            <v>40006708</v>
          </cell>
        </row>
        <row r="1344">
          <cell r="E1344" t="str">
            <v>318411-8</v>
          </cell>
          <cell r="F1344">
            <v>10055569</v>
          </cell>
          <cell r="G1344">
            <v>40006148</v>
          </cell>
        </row>
        <row r="1345">
          <cell r="E1345" t="str">
            <v>226518-5</v>
          </cell>
          <cell r="F1345">
            <v>10050510</v>
          </cell>
          <cell r="G1345">
            <v>40007955</v>
          </cell>
        </row>
        <row r="1346">
          <cell r="E1346" t="str">
            <v>252043-0</v>
          </cell>
          <cell r="F1346">
            <v>10055582</v>
          </cell>
          <cell r="G1346">
            <v>40005639</v>
          </cell>
        </row>
        <row r="1347">
          <cell r="E1347" t="str">
            <v>187359-3</v>
          </cell>
          <cell r="F1347">
            <v>10055574</v>
          </cell>
          <cell r="G1347">
            <v>40006151</v>
          </cell>
        </row>
        <row r="1348">
          <cell r="E1348" t="str">
            <v>345867-2</v>
          </cell>
          <cell r="F1348">
            <v>10062718</v>
          </cell>
          <cell r="G1348">
            <v>40005651</v>
          </cell>
        </row>
        <row r="1349">
          <cell r="E1349" t="str">
            <v>318595-2</v>
          </cell>
          <cell r="F1349">
            <v>10055570</v>
          </cell>
          <cell r="G1349">
            <v>40006149</v>
          </cell>
        </row>
        <row r="1350">
          <cell r="E1350" t="str">
            <v>318596-0</v>
          </cell>
          <cell r="F1350">
            <v>10055568</v>
          </cell>
          <cell r="G1350">
            <v>40006147</v>
          </cell>
        </row>
        <row r="1351">
          <cell r="E1351" t="str">
            <v>153765-4</v>
          </cell>
          <cell r="F1351">
            <v>10062722</v>
          </cell>
        </row>
        <row r="1352">
          <cell r="E1352" t="str">
            <v>140434-6</v>
          </cell>
          <cell r="F1352">
            <v>10055578</v>
          </cell>
          <cell r="G1352">
            <v>40006709</v>
          </cell>
        </row>
        <row r="1353">
          <cell r="E1353" t="str">
            <v>JM23100023</v>
          </cell>
          <cell r="F1353">
            <v>10050507</v>
          </cell>
          <cell r="G1353">
            <v>40005578</v>
          </cell>
        </row>
        <row r="1354">
          <cell r="E1354" t="str">
            <v>324295-4</v>
          </cell>
          <cell r="F1354">
            <v>10062721</v>
          </cell>
          <cell r="G1354">
            <v>40006179</v>
          </cell>
        </row>
        <row r="1355">
          <cell r="E1355" t="str">
            <v>JM23200037</v>
          </cell>
          <cell r="F1355">
            <v>10055581</v>
          </cell>
          <cell r="G1355">
            <v>40005635</v>
          </cell>
        </row>
        <row r="1356">
          <cell r="E1356" t="str">
            <v>345998-7</v>
          </cell>
          <cell r="F1356">
            <v>10055576</v>
          </cell>
        </row>
        <row r="1357">
          <cell r="E1357" t="str">
            <v>257759-2</v>
          </cell>
          <cell r="F1357">
            <v>10062724</v>
          </cell>
          <cell r="G1357">
            <v>40005938</v>
          </cell>
        </row>
        <row r="1358">
          <cell r="E1358" t="str">
            <v>126233-0</v>
          </cell>
          <cell r="F1358">
            <v>10055575</v>
          </cell>
          <cell r="G1358">
            <v>40006707</v>
          </cell>
        </row>
        <row r="1359">
          <cell r="E1359" t="str">
            <v>227243-1</v>
          </cell>
          <cell r="F1359">
            <v>10062727</v>
          </cell>
          <cell r="G1359">
            <v>40010320</v>
          </cell>
        </row>
        <row r="1360">
          <cell r="E1360" t="str">
            <v>158281-1</v>
          </cell>
          <cell r="F1360">
            <v>10050504</v>
          </cell>
          <cell r="G1360">
            <v>40007952</v>
          </cell>
        </row>
        <row r="1361">
          <cell r="E1361" t="str">
            <v>650209-0</v>
          </cell>
          <cell r="F1361">
            <v>10001006</v>
          </cell>
          <cell r="G1361">
            <v>40007856</v>
          </cell>
        </row>
        <row r="1362">
          <cell r="E1362" t="str">
            <v>419820-5</v>
          </cell>
          <cell r="F1362">
            <v>10062470</v>
          </cell>
        </row>
        <row r="1363">
          <cell r="E1363" t="str">
            <v>310136-0</v>
          </cell>
          <cell r="F1363">
            <v>10001356</v>
          </cell>
          <cell r="G1363">
            <v>40007122</v>
          </cell>
        </row>
        <row r="1364">
          <cell r="E1364" t="str">
            <v>265132-2</v>
          </cell>
          <cell r="F1364">
            <v>10053335</v>
          </cell>
          <cell r="G1364">
            <v>40006670</v>
          </cell>
        </row>
        <row r="1365">
          <cell r="E1365" t="str">
            <v>151594-9</v>
          </cell>
          <cell r="F1365">
            <v>10002665</v>
          </cell>
          <cell r="G1365">
            <v>40008216</v>
          </cell>
        </row>
        <row r="1366">
          <cell r="E1366" t="str">
            <v>152454-8</v>
          </cell>
          <cell r="F1366">
            <v>10002670</v>
          </cell>
          <cell r="G1366">
            <v>40008220</v>
          </cell>
        </row>
        <row r="1367">
          <cell r="E1367" t="str">
            <v>153389-6</v>
          </cell>
          <cell r="F1367">
            <v>10002666</v>
          </cell>
          <cell r="G1367">
            <v>40008217</v>
          </cell>
        </row>
        <row r="1368">
          <cell r="E1368" t="str">
            <v>212043-2</v>
          </cell>
          <cell r="F1368">
            <v>10002675</v>
          </cell>
          <cell r="G1368">
            <v>40008224</v>
          </cell>
        </row>
        <row r="1369">
          <cell r="E1369" t="str">
            <v>226428-6</v>
          </cell>
          <cell r="F1369">
            <v>10002676</v>
          </cell>
          <cell r="G1369">
            <v>40008225</v>
          </cell>
        </row>
        <row r="1370">
          <cell r="E1370" t="str">
            <v>253139-0</v>
          </cell>
          <cell r="F1370">
            <v>10002677</v>
          </cell>
          <cell r="G1370">
            <v>40008226</v>
          </cell>
        </row>
        <row r="1371">
          <cell r="E1371" t="str">
            <v>253715-0</v>
          </cell>
          <cell r="F1371">
            <v>10002679</v>
          </cell>
          <cell r="G1371">
            <v>40008227</v>
          </cell>
        </row>
        <row r="1372">
          <cell r="E1372" t="str">
            <v>253792-2</v>
          </cell>
          <cell r="F1372">
            <v>10002674</v>
          </cell>
          <cell r="G1372">
            <v>40008223</v>
          </cell>
        </row>
        <row r="1373">
          <cell r="E1373" t="str">
            <v>265035-0</v>
          </cell>
          <cell r="F1373">
            <v>10002668</v>
          </cell>
          <cell r="G1373">
            <v>40008218</v>
          </cell>
        </row>
        <row r="1374">
          <cell r="E1374" t="str">
            <v>344134-2</v>
          </cell>
          <cell r="F1374">
            <v>10002673</v>
          </cell>
          <cell r="G1374">
            <v>40008222</v>
          </cell>
        </row>
        <row r="1375">
          <cell r="E1375" t="str">
            <v>344232-2</v>
          </cell>
          <cell r="F1375">
            <v>10002669</v>
          </cell>
          <cell r="G1375">
            <v>40008219</v>
          </cell>
        </row>
        <row r="1376">
          <cell r="E1376" t="str">
            <v>763238-5</v>
          </cell>
          <cell r="F1376">
            <v>10102721</v>
          </cell>
          <cell r="G1376">
            <v>40005935</v>
          </cell>
        </row>
        <row r="1377">
          <cell r="E1377" t="str">
            <v>619331-2</v>
          </cell>
          <cell r="F1377">
            <v>10061642</v>
          </cell>
          <cell r="G1377">
            <v>40005551</v>
          </cell>
        </row>
        <row r="1378">
          <cell r="E1378" t="str">
            <v>629999-6</v>
          </cell>
          <cell r="F1378">
            <v>10061643</v>
          </cell>
          <cell r="G1378">
            <v>40005553</v>
          </cell>
        </row>
        <row r="1379">
          <cell r="E1379" t="str">
            <v>922126-7</v>
          </cell>
          <cell r="F1379">
            <v>10002681</v>
          </cell>
          <cell r="G1379">
            <v>40008229</v>
          </cell>
        </row>
        <row r="1380">
          <cell r="E1380" t="str">
            <v>961004-6</v>
          </cell>
          <cell r="F1380">
            <v>10002680</v>
          </cell>
          <cell r="G1380">
            <v>40008228</v>
          </cell>
        </row>
        <row r="1381">
          <cell r="E1381" t="str">
            <v>JM27000361</v>
          </cell>
          <cell r="F1381">
            <v>10046037</v>
          </cell>
        </row>
        <row r="1382">
          <cell r="E1382" t="str">
            <v>JM23100172</v>
          </cell>
          <cell r="F1382">
            <v>10063058</v>
          </cell>
          <cell r="G1382">
            <v>40006027</v>
          </cell>
        </row>
        <row r="1383">
          <cell r="E1383" t="str">
            <v>266296-5</v>
          </cell>
          <cell r="F1383">
            <v>10025864</v>
          </cell>
          <cell r="G1383">
            <v>40007292</v>
          </cell>
        </row>
        <row r="1384">
          <cell r="E1384" t="str">
            <v>266432-3</v>
          </cell>
          <cell r="F1384">
            <v>10103480</v>
          </cell>
          <cell r="G1384">
            <v>40006479</v>
          </cell>
        </row>
        <row r="1385">
          <cell r="E1385" t="str">
            <v>325549-2</v>
          </cell>
          <cell r="F1385">
            <v>10002621</v>
          </cell>
          <cell r="G1385">
            <v>40008207</v>
          </cell>
        </row>
        <row r="1386">
          <cell r="E1386" t="str">
            <v>326310-0</v>
          </cell>
          <cell r="F1386">
            <v>10060969</v>
          </cell>
          <cell r="G1386">
            <v>40006325</v>
          </cell>
        </row>
        <row r="1387">
          <cell r="E1387" t="str">
            <v>326372-8</v>
          </cell>
          <cell r="F1387">
            <v>10060968</v>
          </cell>
          <cell r="G1387">
            <v>40006324</v>
          </cell>
        </row>
        <row r="1388">
          <cell r="E1388" t="str">
            <v>347027-2</v>
          </cell>
          <cell r="F1388">
            <v>10087911</v>
          </cell>
          <cell r="G1388">
            <v>40005835</v>
          </cell>
        </row>
        <row r="1389">
          <cell r="E1389" t="str">
            <v>345378-7</v>
          </cell>
          <cell r="F1389">
            <v>10053336</v>
          </cell>
          <cell r="G1389">
            <v>40006671</v>
          </cell>
        </row>
        <row r="1390">
          <cell r="E1390" t="str">
            <v>342430-3</v>
          </cell>
          <cell r="F1390">
            <v>10016412</v>
          </cell>
        </row>
        <row r="1391">
          <cell r="E1391" t="str">
            <v>345644-2</v>
          </cell>
          <cell r="F1391">
            <v>10001046</v>
          </cell>
          <cell r="G1391">
            <v>40010358</v>
          </cell>
        </row>
        <row r="1392">
          <cell r="E1392" t="str">
            <v>324620-9</v>
          </cell>
          <cell r="F1392">
            <v>10034451</v>
          </cell>
          <cell r="G1392">
            <v>40008070</v>
          </cell>
        </row>
        <row r="1393">
          <cell r="E1393" t="str">
            <v>322073-6</v>
          </cell>
          <cell r="F1393">
            <v>10051516</v>
          </cell>
          <cell r="G1393">
            <v>40007483</v>
          </cell>
        </row>
        <row r="1394">
          <cell r="E1394" t="str">
            <v>341601-8</v>
          </cell>
          <cell r="F1394">
            <v>10002119</v>
          </cell>
          <cell r="G1394">
            <v>40007656</v>
          </cell>
        </row>
        <row r="1395">
          <cell r="E1395" t="str">
            <v>JM27100071</v>
          </cell>
          <cell r="F1395">
            <v>10097351</v>
          </cell>
          <cell r="G1395">
            <v>40005896</v>
          </cell>
        </row>
        <row r="1396">
          <cell r="E1396" t="str">
            <v>443140-5</v>
          </cell>
          <cell r="F1396">
            <v>10097870</v>
          </cell>
          <cell r="G1396">
            <v>40005907</v>
          </cell>
        </row>
        <row r="1397">
          <cell r="E1397">
            <v>20173202</v>
          </cell>
          <cell r="F1397">
            <v>10015107</v>
          </cell>
          <cell r="G1397">
            <v>40007514</v>
          </cell>
        </row>
        <row r="1398">
          <cell r="E1398">
            <v>121173151</v>
          </cell>
          <cell r="F1398">
            <v>10002217</v>
          </cell>
        </row>
        <row r="1399">
          <cell r="E1399" t="str">
            <v>S-491588</v>
          </cell>
          <cell r="F1399">
            <v>10062956</v>
          </cell>
          <cell r="G1399">
            <v>40005956</v>
          </cell>
        </row>
        <row r="1400">
          <cell r="E1400">
            <v>38173101</v>
          </cell>
          <cell r="F1400">
            <v>10075345</v>
          </cell>
          <cell r="G1400">
            <v>40006190</v>
          </cell>
        </row>
        <row r="1401">
          <cell r="E1401" t="str">
            <v>A0307-0001</v>
          </cell>
          <cell r="F1401">
            <v>10054821</v>
          </cell>
        </row>
        <row r="1402">
          <cell r="E1402" t="str">
            <v>324510-6</v>
          </cell>
          <cell r="F1402">
            <v>10034209</v>
          </cell>
          <cell r="G1402">
            <v>40008061</v>
          </cell>
        </row>
        <row r="1403">
          <cell r="E1403" t="str">
            <v>324406-1</v>
          </cell>
          <cell r="F1403">
            <v>10070132</v>
          </cell>
        </row>
        <row r="1404">
          <cell r="E1404" t="str">
            <v>324896-8</v>
          </cell>
          <cell r="F1404">
            <v>10050892</v>
          </cell>
          <cell r="G1404">
            <v>40006830</v>
          </cell>
        </row>
        <row r="1405">
          <cell r="E1405" t="str">
            <v>325618-9</v>
          </cell>
          <cell r="F1405">
            <v>10050918</v>
          </cell>
        </row>
        <row r="1406">
          <cell r="E1406" t="str">
            <v>326629-7</v>
          </cell>
          <cell r="F1406">
            <v>10080584</v>
          </cell>
          <cell r="G1406">
            <v>40006217</v>
          </cell>
        </row>
        <row r="1407">
          <cell r="E1407" t="str">
            <v>517764-4</v>
          </cell>
          <cell r="F1407">
            <v>10000825</v>
          </cell>
          <cell r="G1407">
            <v>40007473</v>
          </cell>
        </row>
        <row r="1408">
          <cell r="E1408" t="str">
            <v>516308-7</v>
          </cell>
          <cell r="F1408">
            <v>10001288</v>
          </cell>
          <cell r="G1408">
            <v>40007073</v>
          </cell>
        </row>
        <row r="1409">
          <cell r="E1409" t="str">
            <v>154463-3</v>
          </cell>
          <cell r="F1409">
            <v>10002608</v>
          </cell>
          <cell r="G1409">
            <v>40008195</v>
          </cell>
        </row>
        <row r="1410">
          <cell r="E1410" t="str">
            <v>510208-3</v>
          </cell>
          <cell r="F1410">
            <v>10050404</v>
          </cell>
          <cell r="G1410">
            <v>40007947</v>
          </cell>
        </row>
        <row r="1411">
          <cell r="E1411" t="str">
            <v>515724-0</v>
          </cell>
          <cell r="F1411">
            <v>10040941</v>
          </cell>
          <cell r="G1411">
            <v>40006731</v>
          </cell>
        </row>
        <row r="1412">
          <cell r="E1412" t="str">
            <v>515794-9</v>
          </cell>
          <cell r="F1412">
            <v>10040940</v>
          </cell>
          <cell r="G1412">
            <v>40008303</v>
          </cell>
        </row>
        <row r="1413">
          <cell r="E1413" t="str">
            <v>515859-7</v>
          </cell>
          <cell r="F1413">
            <v>10040939</v>
          </cell>
          <cell r="G1413">
            <v>40008302</v>
          </cell>
        </row>
        <row r="1414">
          <cell r="E1414" t="str">
            <v>511754-9</v>
          </cell>
          <cell r="F1414">
            <v>10000771</v>
          </cell>
          <cell r="G1414">
            <v>40007436</v>
          </cell>
        </row>
        <row r="1415">
          <cell r="E1415" t="str">
            <v>514959-0</v>
          </cell>
          <cell r="F1415">
            <v>10000765</v>
          </cell>
          <cell r="G1415">
            <v>40007429</v>
          </cell>
        </row>
        <row r="1416">
          <cell r="E1416" t="str">
            <v>515684-6</v>
          </cell>
          <cell r="F1416">
            <v>10000833</v>
          </cell>
          <cell r="G1416">
            <v>40007482</v>
          </cell>
        </row>
        <row r="1417">
          <cell r="E1417" t="str">
            <v>516089-3</v>
          </cell>
          <cell r="F1417">
            <v>10000789</v>
          </cell>
          <cell r="G1417">
            <v>40007447</v>
          </cell>
        </row>
        <row r="1418">
          <cell r="E1418" t="str">
            <v>516478-2</v>
          </cell>
          <cell r="F1418">
            <v>10000837</v>
          </cell>
          <cell r="G1418">
            <v>40007489</v>
          </cell>
        </row>
        <row r="1419">
          <cell r="E1419" t="str">
            <v>516643-3</v>
          </cell>
          <cell r="F1419">
            <v>10000804</v>
          </cell>
          <cell r="G1419">
            <v>40007460</v>
          </cell>
        </row>
        <row r="1420">
          <cell r="E1420" t="str">
            <v>516724-3</v>
          </cell>
          <cell r="F1420">
            <v>10000805</v>
          </cell>
          <cell r="G1420">
            <v>40007461</v>
          </cell>
        </row>
        <row r="1421">
          <cell r="E1421" t="str">
            <v>516739-0</v>
          </cell>
          <cell r="F1421">
            <v>10000803</v>
          </cell>
          <cell r="G1421">
            <v>40010225</v>
          </cell>
        </row>
        <row r="1422">
          <cell r="E1422" t="str">
            <v>516813-4</v>
          </cell>
          <cell r="F1422">
            <v>10000852</v>
          </cell>
          <cell r="G1422">
            <v>40007503</v>
          </cell>
        </row>
        <row r="1423">
          <cell r="E1423" t="str">
            <v>510050-2</v>
          </cell>
          <cell r="F1423">
            <v>10000861</v>
          </cell>
          <cell r="G1423">
            <v>40007746</v>
          </cell>
        </row>
        <row r="1424">
          <cell r="E1424" t="str">
            <v>517499-7</v>
          </cell>
          <cell r="F1424">
            <v>10000829</v>
          </cell>
          <cell r="G1424">
            <v>40007477</v>
          </cell>
        </row>
        <row r="1425">
          <cell r="E1425" t="str">
            <v>517864-0</v>
          </cell>
          <cell r="F1425">
            <v>10047923</v>
          </cell>
          <cell r="G1425">
            <v>40006992</v>
          </cell>
        </row>
        <row r="1426">
          <cell r="E1426" t="str">
            <v>619148-3</v>
          </cell>
          <cell r="F1426">
            <v>10000835</v>
          </cell>
          <cell r="G1426">
            <v>40007485</v>
          </cell>
        </row>
        <row r="1427">
          <cell r="E1427" t="str">
            <v>511929-0</v>
          </cell>
          <cell r="F1427">
            <v>10000865</v>
          </cell>
          <cell r="G1427">
            <v>40007749</v>
          </cell>
        </row>
        <row r="1428">
          <cell r="E1428" t="str">
            <v>516974-0</v>
          </cell>
          <cell r="F1428">
            <v>10000838</v>
          </cell>
          <cell r="G1428">
            <v>40007491</v>
          </cell>
        </row>
        <row r="1429">
          <cell r="E1429" t="str">
            <v>516868-9</v>
          </cell>
          <cell r="F1429">
            <v>10057622</v>
          </cell>
          <cell r="G1429">
            <v>40005713</v>
          </cell>
        </row>
        <row r="1430">
          <cell r="E1430" t="str">
            <v>513948-2</v>
          </cell>
          <cell r="F1430">
            <v>10093972</v>
          </cell>
        </row>
        <row r="1431">
          <cell r="E1431" t="str">
            <v>515223-2</v>
          </cell>
          <cell r="F1431">
            <v>10054831</v>
          </cell>
          <cell r="G1431">
            <v>40006131</v>
          </cell>
        </row>
        <row r="1432">
          <cell r="E1432" t="str">
            <v>517884-4</v>
          </cell>
          <cell r="F1432">
            <v>10090071</v>
          </cell>
        </row>
        <row r="1433">
          <cell r="E1433" t="str">
            <v>510181-7</v>
          </cell>
          <cell r="F1433">
            <v>10098931</v>
          </cell>
          <cell r="G1433">
            <v>40005925</v>
          </cell>
        </row>
        <row r="1434">
          <cell r="E1434" t="str">
            <v>510009-9</v>
          </cell>
          <cell r="F1434">
            <v>10000792</v>
          </cell>
          <cell r="G1434">
            <v>40007450</v>
          </cell>
        </row>
        <row r="1435">
          <cell r="E1435" t="str">
            <v>513146-8</v>
          </cell>
          <cell r="F1435">
            <v>10000797</v>
          </cell>
          <cell r="G1435">
            <v>40007455</v>
          </cell>
        </row>
        <row r="1436">
          <cell r="E1436" t="str">
            <v>510060-9</v>
          </cell>
          <cell r="F1436">
            <v>10000842</v>
          </cell>
          <cell r="G1436">
            <v>40007496</v>
          </cell>
        </row>
        <row r="1437">
          <cell r="E1437" t="str">
            <v>510084-5</v>
          </cell>
          <cell r="F1437">
            <v>10061281</v>
          </cell>
          <cell r="G1437">
            <v>40006332</v>
          </cell>
        </row>
        <row r="1438">
          <cell r="E1438" t="str">
            <v>510139-6</v>
          </cell>
          <cell r="F1438">
            <v>10023904</v>
          </cell>
          <cell r="G1438">
            <v>40008265</v>
          </cell>
        </row>
        <row r="1439">
          <cell r="E1439" t="str">
            <v>510142-7</v>
          </cell>
          <cell r="F1439">
            <v>10038934</v>
          </cell>
          <cell r="G1439">
            <v>40008022</v>
          </cell>
        </row>
        <row r="1440">
          <cell r="E1440" t="str">
            <v>510164-7</v>
          </cell>
          <cell r="F1440">
            <v>10035115</v>
          </cell>
          <cell r="G1440">
            <v>40008129</v>
          </cell>
        </row>
        <row r="1441">
          <cell r="E1441" t="str">
            <v>510167-1</v>
          </cell>
          <cell r="F1441">
            <v>10034471</v>
          </cell>
          <cell r="G1441">
            <v>40008075</v>
          </cell>
        </row>
        <row r="1442">
          <cell r="E1442" t="str">
            <v>510198-0</v>
          </cell>
          <cell r="F1442">
            <v>10064414</v>
          </cell>
          <cell r="G1442">
            <v>40006354</v>
          </cell>
        </row>
        <row r="1443">
          <cell r="E1443" t="str">
            <v>510227-9</v>
          </cell>
          <cell r="F1443">
            <v>10059177</v>
          </cell>
          <cell r="G1443">
            <v>40006244</v>
          </cell>
        </row>
        <row r="1444">
          <cell r="E1444" t="str">
            <v>510241-5</v>
          </cell>
          <cell r="F1444">
            <v>10046175</v>
          </cell>
          <cell r="G1444">
            <v>40006949</v>
          </cell>
        </row>
        <row r="1445">
          <cell r="E1445" t="str">
            <v>510251-2</v>
          </cell>
          <cell r="F1445">
            <v>10061282</v>
          </cell>
          <cell r="G1445">
            <v>40006333</v>
          </cell>
        </row>
        <row r="1446">
          <cell r="E1446" t="str">
            <v>510255-4</v>
          </cell>
          <cell r="F1446">
            <v>10054781</v>
          </cell>
          <cell r="G1446">
            <v>40006092</v>
          </cell>
        </row>
        <row r="1447">
          <cell r="E1447" t="str">
            <v>510259-6</v>
          </cell>
          <cell r="F1447">
            <v>10038751</v>
          </cell>
          <cell r="G1447">
            <v>40008021</v>
          </cell>
        </row>
        <row r="1448">
          <cell r="E1448" t="str">
            <v>511434-7</v>
          </cell>
          <cell r="F1448">
            <v>10042335</v>
          </cell>
          <cell r="G1448">
            <v>40006757</v>
          </cell>
        </row>
        <row r="1449">
          <cell r="E1449" t="str">
            <v>518614-6</v>
          </cell>
          <cell r="F1449">
            <v>10000810</v>
          </cell>
          <cell r="G1449">
            <v>40010321</v>
          </cell>
        </row>
        <row r="1450">
          <cell r="E1450" t="str">
            <v>511699-1</v>
          </cell>
          <cell r="F1450">
            <v>10000811</v>
          </cell>
          <cell r="G1450">
            <v>40007464</v>
          </cell>
        </row>
        <row r="1451">
          <cell r="E1451" t="str">
            <v>511799-7</v>
          </cell>
          <cell r="F1451">
            <v>10000772</v>
          </cell>
          <cell r="G1451">
            <v>40007437</v>
          </cell>
        </row>
        <row r="1452">
          <cell r="E1452" t="str">
            <v>511939-7</v>
          </cell>
          <cell r="F1452">
            <v>10000793</v>
          </cell>
          <cell r="G1452">
            <v>40007451</v>
          </cell>
        </row>
        <row r="1453">
          <cell r="E1453" t="str">
            <v>511959-1</v>
          </cell>
          <cell r="F1453">
            <v>10000794</v>
          </cell>
          <cell r="G1453">
            <v>40007452</v>
          </cell>
        </row>
        <row r="1454">
          <cell r="E1454" t="str">
            <v>512067-1</v>
          </cell>
          <cell r="F1454">
            <v>10000773</v>
          </cell>
          <cell r="G1454">
            <v>40007438</v>
          </cell>
        </row>
        <row r="1455">
          <cell r="E1455" t="str">
            <v>512167-7</v>
          </cell>
          <cell r="F1455">
            <v>10030873</v>
          </cell>
          <cell r="G1455">
            <v>40007168</v>
          </cell>
        </row>
        <row r="1456">
          <cell r="E1456" t="str">
            <v>512336-0</v>
          </cell>
          <cell r="F1456">
            <v>10000866</v>
          </cell>
        </row>
        <row r="1457">
          <cell r="E1457" t="str">
            <v>512407-3</v>
          </cell>
          <cell r="F1457">
            <v>10000813</v>
          </cell>
          <cell r="G1457">
            <v>40007466</v>
          </cell>
        </row>
        <row r="1458">
          <cell r="E1458" t="str">
            <v>512550-8</v>
          </cell>
          <cell r="F1458">
            <v>10035495</v>
          </cell>
          <cell r="G1458">
            <v>40007988</v>
          </cell>
        </row>
        <row r="1459">
          <cell r="E1459" t="str">
            <v>512614-8</v>
          </cell>
          <cell r="F1459">
            <v>10000769</v>
          </cell>
          <cell r="G1459">
            <v>40007435</v>
          </cell>
        </row>
        <row r="1460">
          <cell r="E1460" t="str">
            <v>512639-2</v>
          </cell>
          <cell r="F1460">
            <v>10000760</v>
          </cell>
          <cell r="G1460">
            <v>40003864</v>
          </cell>
        </row>
        <row r="1461">
          <cell r="E1461" t="str">
            <v>512699-4</v>
          </cell>
          <cell r="F1461">
            <v>10000776</v>
          </cell>
          <cell r="G1461">
            <v>40007440</v>
          </cell>
        </row>
        <row r="1462">
          <cell r="E1462" t="str">
            <v>512954-4</v>
          </cell>
          <cell r="F1462">
            <v>10000808</v>
          </cell>
          <cell r="G1462">
            <v>40007463</v>
          </cell>
        </row>
        <row r="1463">
          <cell r="E1463" t="str">
            <v>513305-4</v>
          </cell>
          <cell r="F1463">
            <v>10000812</v>
          </cell>
          <cell r="G1463">
            <v>40007465</v>
          </cell>
        </row>
        <row r="1464">
          <cell r="E1464" t="str">
            <v>513463-6</v>
          </cell>
          <cell r="F1464">
            <v>10062605</v>
          </cell>
        </row>
        <row r="1465">
          <cell r="E1465" t="str">
            <v>513699-7</v>
          </cell>
          <cell r="F1465">
            <v>10015769</v>
          </cell>
          <cell r="G1465">
            <v>40007517</v>
          </cell>
        </row>
        <row r="1466">
          <cell r="E1466" t="str">
            <v>513743-0</v>
          </cell>
          <cell r="F1466">
            <v>10047926</v>
          </cell>
          <cell r="G1466">
            <v>40006995</v>
          </cell>
        </row>
        <row r="1467">
          <cell r="E1467" t="str">
            <v>513748-0</v>
          </cell>
          <cell r="F1467">
            <v>10035288</v>
          </cell>
          <cell r="G1467">
            <v>40008149</v>
          </cell>
        </row>
        <row r="1468">
          <cell r="E1468" t="str">
            <v>513779-9</v>
          </cell>
          <cell r="F1468">
            <v>10042334</v>
          </cell>
          <cell r="G1468">
            <v>40006756</v>
          </cell>
        </row>
        <row r="1469">
          <cell r="E1469" t="str">
            <v>513904-2</v>
          </cell>
          <cell r="F1469">
            <v>10057265</v>
          </cell>
          <cell r="G1469">
            <v>40005706</v>
          </cell>
        </row>
        <row r="1470">
          <cell r="E1470" t="str">
            <v>514207-7</v>
          </cell>
          <cell r="F1470">
            <v>10042328</v>
          </cell>
          <cell r="G1470">
            <v>40006750</v>
          </cell>
        </row>
        <row r="1471">
          <cell r="E1471" t="str">
            <v>517754-7</v>
          </cell>
          <cell r="F1471">
            <v>10000834</v>
          </cell>
          <cell r="G1471">
            <v>40007484</v>
          </cell>
        </row>
        <row r="1472">
          <cell r="E1472" t="str">
            <v>514549-9</v>
          </cell>
          <cell r="F1472">
            <v>10000759</v>
          </cell>
          <cell r="G1472">
            <v>40003863</v>
          </cell>
        </row>
        <row r="1473">
          <cell r="E1473" t="str">
            <v>514559-6</v>
          </cell>
          <cell r="F1473">
            <v>10000787</v>
          </cell>
          <cell r="G1473">
            <v>40007445</v>
          </cell>
        </row>
        <row r="1474">
          <cell r="E1474" t="str">
            <v>514609-7</v>
          </cell>
          <cell r="F1474">
            <v>10000766</v>
          </cell>
          <cell r="G1474">
            <v>40007431</v>
          </cell>
        </row>
        <row r="1475">
          <cell r="E1475" t="str">
            <v>514714-0</v>
          </cell>
          <cell r="F1475">
            <v>10000778</v>
          </cell>
          <cell r="G1475">
            <v>40007442</v>
          </cell>
        </row>
        <row r="1476">
          <cell r="E1476" t="str">
            <v>514824-3</v>
          </cell>
          <cell r="F1476">
            <v>10000785</v>
          </cell>
          <cell r="G1476">
            <v>40007444</v>
          </cell>
        </row>
        <row r="1477">
          <cell r="E1477" t="str">
            <v>514854-4</v>
          </cell>
          <cell r="F1477">
            <v>10000767</v>
          </cell>
          <cell r="G1477">
            <v>40007434</v>
          </cell>
        </row>
        <row r="1478">
          <cell r="E1478" t="str">
            <v>514859-4</v>
          </cell>
          <cell r="F1478">
            <v>10000788</v>
          </cell>
          <cell r="G1478">
            <v>40007446</v>
          </cell>
        </row>
        <row r="1479">
          <cell r="E1479" t="str">
            <v>514864-1</v>
          </cell>
          <cell r="F1479">
            <v>10042342</v>
          </cell>
          <cell r="G1479">
            <v>40006763</v>
          </cell>
        </row>
        <row r="1480">
          <cell r="E1480" t="str">
            <v>514884-5</v>
          </cell>
          <cell r="F1480">
            <v>10000762</v>
          </cell>
          <cell r="G1480">
            <v>40007425</v>
          </cell>
        </row>
        <row r="1481">
          <cell r="E1481" t="str">
            <v>515099-7</v>
          </cell>
          <cell r="F1481">
            <v>10000798</v>
          </cell>
          <cell r="G1481">
            <v>40007456</v>
          </cell>
        </row>
        <row r="1482">
          <cell r="E1482" t="str">
            <v>515114-7</v>
          </cell>
          <cell r="F1482">
            <v>10000807</v>
          </cell>
          <cell r="G1482">
            <v>40007462</v>
          </cell>
        </row>
        <row r="1483">
          <cell r="E1483" t="str">
            <v>515119-7</v>
          </cell>
          <cell r="F1483">
            <v>10000850</v>
          </cell>
          <cell r="G1483">
            <v>40007501</v>
          </cell>
        </row>
        <row r="1484">
          <cell r="E1484" t="str">
            <v>515289-2</v>
          </cell>
          <cell r="F1484">
            <v>10000827</v>
          </cell>
          <cell r="G1484">
            <v>40007474</v>
          </cell>
        </row>
        <row r="1485">
          <cell r="E1485" t="str">
            <v>515291-5</v>
          </cell>
          <cell r="F1485">
            <v>10084081</v>
          </cell>
        </row>
        <row r="1486">
          <cell r="E1486" t="str">
            <v>515314-9</v>
          </cell>
          <cell r="F1486">
            <v>10027878</v>
          </cell>
          <cell r="G1486">
            <v>40007815</v>
          </cell>
        </row>
        <row r="1487">
          <cell r="E1487" t="str">
            <v>515359-7</v>
          </cell>
          <cell r="F1487">
            <v>10031039</v>
          </cell>
          <cell r="G1487">
            <v>40007177</v>
          </cell>
        </row>
        <row r="1488">
          <cell r="E1488" t="str">
            <v>515609-0</v>
          </cell>
          <cell r="F1488">
            <v>10000836</v>
          </cell>
          <cell r="G1488">
            <v>40007487</v>
          </cell>
        </row>
        <row r="1489">
          <cell r="E1489" t="str">
            <v>515649-8</v>
          </cell>
          <cell r="F1489">
            <v>10025685</v>
          </cell>
          <cell r="G1489">
            <v>40007282</v>
          </cell>
        </row>
        <row r="1490">
          <cell r="E1490" t="str">
            <v>515658-7</v>
          </cell>
          <cell r="F1490">
            <v>10040944</v>
          </cell>
          <cell r="G1490">
            <v>40006734</v>
          </cell>
        </row>
        <row r="1491">
          <cell r="E1491" t="str">
            <v>515668-4</v>
          </cell>
          <cell r="F1491">
            <v>10000840</v>
          </cell>
          <cell r="G1491">
            <v>40007495</v>
          </cell>
        </row>
        <row r="1492">
          <cell r="E1492" t="str">
            <v>515719-3</v>
          </cell>
          <cell r="F1492">
            <v>10006499</v>
          </cell>
          <cell r="G1492">
            <v>40008255</v>
          </cell>
        </row>
        <row r="1493">
          <cell r="E1493" t="str">
            <v>515738-9</v>
          </cell>
          <cell r="F1493">
            <v>10053997</v>
          </cell>
          <cell r="G1493">
            <v>40006068</v>
          </cell>
        </row>
        <row r="1494">
          <cell r="E1494" t="str">
            <v>515764-8</v>
          </cell>
          <cell r="F1494">
            <v>10064602</v>
          </cell>
          <cell r="G1494">
            <v>40006384</v>
          </cell>
        </row>
        <row r="1495">
          <cell r="E1495" t="str">
            <v>515784-2</v>
          </cell>
          <cell r="F1495">
            <v>10027876</v>
          </cell>
          <cell r="G1495">
            <v>40007811</v>
          </cell>
        </row>
        <row r="1496">
          <cell r="E1496" t="str">
            <v>515799-9</v>
          </cell>
          <cell r="F1496">
            <v>10029951</v>
          </cell>
          <cell r="G1496">
            <v>40007138</v>
          </cell>
        </row>
        <row r="1497">
          <cell r="E1497" t="str">
            <v>515829-6</v>
          </cell>
          <cell r="F1497">
            <v>10062579</v>
          </cell>
          <cell r="G1497">
            <v>40010322</v>
          </cell>
        </row>
        <row r="1498">
          <cell r="E1498" t="str">
            <v>515849-0</v>
          </cell>
          <cell r="F1498">
            <v>10050080</v>
          </cell>
          <cell r="G1498">
            <v>40007896</v>
          </cell>
        </row>
        <row r="1499">
          <cell r="E1499" t="str">
            <v>515869-4</v>
          </cell>
          <cell r="F1499">
            <v>10047917</v>
          </cell>
          <cell r="G1499">
            <v>40006986</v>
          </cell>
        </row>
        <row r="1500">
          <cell r="E1500" t="str">
            <v>516084-3</v>
          </cell>
          <cell r="F1500">
            <v>10000791</v>
          </cell>
          <cell r="G1500">
            <v>40007449</v>
          </cell>
        </row>
        <row r="1501">
          <cell r="E1501" t="str">
            <v>516149-1</v>
          </cell>
          <cell r="F1501">
            <v>10000796</v>
          </cell>
          <cell r="G1501">
            <v>40007454</v>
          </cell>
        </row>
        <row r="1502">
          <cell r="E1502" t="str">
            <v>516219-6</v>
          </cell>
          <cell r="F1502">
            <v>10000783</v>
          </cell>
          <cell r="G1502">
            <v>40007443</v>
          </cell>
        </row>
        <row r="1503">
          <cell r="E1503" t="str">
            <v>516274-8</v>
          </cell>
          <cell r="F1503">
            <v>10000802</v>
          </cell>
          <cell r="G1503">
            <v>40007459</v>
          </cell>
        </row>
        <row r="1504">
          <cell r="E1504" t="str">
            <v>516279-8</v>
          </cell>
          <cell r="F1504">
            <v>10000801</v>
          </cell>
          <cell r="G1504">
            <v>40007458</v>
          </cell>
        </row>
        <row r="1505">
          <cell r="E1505" t="str">
            <v>516329-9</v>
          </cell>
          <cell r="F1505">
            <v>10000854</v>
          </cell>
          <cell r="G1505">
            <v>40007504</v>
          </cell>
        </row>
        <row r="1506">
          <cell r="E1506" t="str">
            <v>516334-6</v>
          </cell>
          <cell r="F1506">
            <v>10000853</v>
          </cell>
          <cell r="G1506">
            <v>40010323</v>
          </cell>
        </row>
        <row r="1507">
          <cell r="E1507" t="str">
            <v>516339-6</v>
          </cell>
          <cell r="F1507">
            <v>10000855</v>
          </cell>
          <cell r="G1507">
            <v>40007739</v>
          </cell>
        </row>
        <row r="1508">
          <cell r="E1508" t="str">
            <v>516509-7</v>
          </cell>
          <cell r="F1508">
            <v>10000779</v>
          </cell>
          <cell r="G1508">
            <v>40010357</v>
          </cell>
        </row>
        <row r="1509">
          <cell r="E1509" t="str">
            <v>516574-6</v>
          </cell>
          <cell r="F1509">
            <v>10040942</v>
          </cell>
          <cell r="G1509">
            <v>40006732</v>
          </cell>
        </row>
        <row r="1510">
          <cell r="E1510" t="str">
            <v>516719-6</v>
          </cell>
          <cell r="F1510">
            <v>10000856</v>
          </cell>
          <cell r="G1510">
            <v>40007742</v>
          </cell>
        </row>
        <row r="1511">
          <cell r="E1511" t="str">
            <v>516764-1</v>
          </cell>
          <cell r="F1511">
            <v>10000848</v>
          </cell>
          <cell r="G1511">
            <v>40007500</v>
          </cell>
        </row>
        <row r="1512">
          <cell r="E1512" t="str">
            <v>516884-1</v>
          </cell>
          <cell r="F1512">
            <v>10000870</v>
          </cell>
          <cell r="G1512">
            <v>40007753</v>
          </cell>
        </row>
        <row r="1513">
          <cell r="E1513" t="str">
            <v>516888-3</v>
          </cell>
          <cell r="F1513">
            <v>10050875</v>
          </cell>
          <cell r="G1513">
            <v>40008288</v>
          </cell>
        </row>
        <row r="1514">
          <cell r="E1514" t="str">
            <v>516922-9</v>
          </cell>
          <cell r="F1514">
            <v>10000823</v>
          </cell>
          <cell r="G1514">
            <v>40007471</v>
          </cell>
        </row>
        <row r="1515">
          <cell r="E1515" t="str">
            <v>517034-1</v>
          </cell>
          <cell r="F1515">
            <v>10040938</v>
          </cell>
          <cell r="G1515">
            <v>40008301</v>
          </cell>
        </row>
        <row r="1516">
          <cell r="E1516" t="str">
            <v>517044-8</v>
          </cell>
          <cell r="F1516">
            <v>10000777</v>
          </cell>
          <cell r="G1516">
            <v>40007441</v>
          </cell>
        </row>
        <row r="1517">
          <cell r="E1517" t="str">
            <v>517099-3</v>
          </cell>
          <cell r="F1517">
            <v>10000795</v>
          </cell>
          <cell r="G1517">
            <v>40007453</v>
          </cell>
        </row>
        <row r="1518">
          <cell r="E1518" t="str">
            <v>517104-6</v>
          </cell>
          <cell r="F1518">
            <v>10000774</v>
          </cell>
          <cell r="G1518">
            <v>40007439</v>
          </cell>
        </row>
        <row r="1519">
          <cell r="E1519" t="str">
            <v>517106-2</v>
          </cell>
          <cell r="F1519">
            <v>10025369</v>
          </cell>
          <cell r="G1519">
            <v>40007266</v>
          </cell>
        </row>
        <row r="1520">
          <cell r="E1520" t="str">
            <v>517109-6</v>
          </cell>
          <cell r="F1520">
            <v>10000780</v>
          </cell>
        </row>
        <row r="1521">
          <cell r="E1521" t="str">
            <v>517184-2</v>
          </cell>
          <cell r="F1521">
            <v>10000851</v>
          </cell>
          <cell r="G1521">
            <v>40007502</v>
          </cell>
        </row>
        <row r="1522">
          <cell r="E1522" t="str">
            <v>515669-2</v>
          </cell>
          <cell r="F1522">
            <v>10000869</v>
          </cell>
          <cell r="G1522">
            <v>40007752</v>
          </cell>
        </row>
        <row r="1523">
          <cell r="E1523" t="str">
            <v>517398-3</v>
          </cell>
          <cell r="F1523">
            <v>10000845</v>
          </cell>
          <cell r="G1523">
            <v>40007498</v>
          </cell>
        </row>
        <row r="1524">
          <cell r="E1524" t="str">
            <v>517404-4</v>
          </cell>
          <cell r="F1524">
            <v>10033760</v>
          </cell>
          <cell r="G1524">
            <v>40007215</v>
          </cell>
        </row>
        <row r="1525">
          <cell r="E1525" t="str">
            <v>517439-5</v>
          </cell>
          <cell r="F1525">
            <v>10000831</v>
          </cell>
          <cell r="G1525">
            <v>40007478</v>
          </cell>
        </row>
        <row r="1526">
          <cell r="E1526" t="str">
            <v>517448-4</v>
          </cell>
          <cell r="F1526">
            <v>10026312</v>
          </cell>
          <cell r="G1526">
            <v>40007306</v>
          </cell>
        </row>
        <row r="1527">
          <cell r="E1527" t="str">
            <v>517464-6</v>
          </cell>
          <cell r="F1527">
            <v>10000864</v>
          </cell>
          <cell r="G1527">
            <v>40007748</v>
          </cell>
        </row>
        <row r="1528">
          <cell r="E1528" t="str">
            <v>517494-7</v>
          </cell>
          <cell r="F1528">
            <v>10000868</v>
          </cell>
          <cell r="G1528">
            <v>40007751</v>
          </cell>
        </row>
        <row r="1529">
          <cell r="E1529" t="str">
            <v>517514-7</v>
          </cell>
          <cell r="F1529">
            <v>10000841</v>
          </cell>
        </row>
        <row r="1530">
          <cell r="E1530" t="str">
            <v>517629-0</v>
          </cell>
          <cell r="F1530">
            <v>10042343</v>
          </cell>
          <cell r="G1530">
            <v>40006764</v>
          </cell>
        </row>
        <row r="1531">
          <cell r="E1531" t="str">
            <v>517654-1</v>
          </cell>
          <cell r="F1531">
            <v>10035295</v>
          </cell>
          <cell r="G1531">
            <v>40008161</v>
          </cell>
        </row>
        <row r="1532">
          <cell r="E1532" t="str">
            <v>517774-1</v>
          </cell>
          <cell r="F1532">
            <v>10031038</v>
          </cell>
          <cell r="G1532">
            <v>40007176</v>
          </cell>
        </row>
        <row r="1533">
          <cell r="E1533" t="str">
            <v>517794-5</v>
          </cell>
          <cell r="F1533">
            <v>10035208</v>
          </cell>
          <cell r="G1533">
            <v>40008131</v>
          </cell>
        </row>
        <row r="1534">
          <cell r="E1534" t="str">
            <v>517824-2</v>
          </cell>
          <cell r="F1534">
            <v>10031037</v>
          </cell>
          <cell r="G1534">
            <v>40007175</v>
          </cell>
        </row>
        <row r="1535">
          <cell r="E1535" t="str">
            <v>517829-2</v>
          </cell>
          <cell r="F1535">
            <v>10056693</v>
          </cell>
          <cell r="G1535">
            <v>40005666</v>
          </cell>
        </row>
        <row r="1536">
          <cell r="E1536" t="str">
            <v>517838-1</v>
          </cell>
          <cell r="F1536">
            <v>10027677</v>
          </cell>
          <cell r="G1536">
            <v>40007320</v>
          </cell>
        </row>
        <row r="1537">
          <cell r="E1537" t="str">
            <v>517844-6</v>
          </cell>
          <cell r="F1537">
            <v>10030425</v>
          </cell>
          <cell r="G1537">
            <v>40007148</v>
          </cell>
        </row>
        <row r="1538">
          <cell r="E1538" t="str">
            <v>517904-4</v>
          </cell>
          <cell r="F1538">
            <v>10057268</v>
          </cell>
          <cell r="G1538">
            <v>40010362</v>
          </cell>
        </row>
        <row r="1539">
          <cell r="E1539" t="str">
            <v>518186-1</v>
          </cell>
          <cell r="F1539">
            <v>10086763</v>
          </cell>
          <cell r="G1539">
            <v>40005832</v>
          </cell>
        </row>
        <row r="1540">
          <cell r="E1540" t="str">
            <v>616969-4</v>
          </cell>
          <cell r="F1540">
            <v>10027880</v>
          </cell>
          <cell r="G1540">
            <v>40007819</v>
          </cell>
        </row>
        <row r="1541">
          <cell r="E1541" t="str">
            <v>619057-6</v>
          </cell>
          <cell r="F1541">
            <v>10040943</v>
          </cell>
          <cell r="G1541">
            <v>40006733</v>
          </cell>
        </row>
        <row r="1542">
          <cell r="E1542" t="str">
            <v>619170-0</v>
          </cell>
          <cell r="F1542">
            <v>10027534</v>
          </cell>
          <cell r="G1542">
            <v>40007317</v>
          </cell>
        </row>
        <row r="1543">
          <cell r="E1543" t="str">
            <v>619196-2</v>
          </cell>
          <cell r="F1543">
            <v>10034574</v>
          </cell>
          <cell r="G1543">
            <v>40008095</v>
          </cell>
        </row>
        <row r="1544">
          <cell r="E1544" t="str">
            <v>619198-8</v>
          </cell>
          <cell r="F1544">
            <v>10035485</v>
          </cell>
          <cell r="G1544">
            <v>40007982</v>
          </cell>
        </row>
        <row r="1545">
          <cell r="E1545" t="str">
            <v>619202-3</v>
          </cell>
          <cell r="F1545">
            <v>10059178</v>
          </cell>
          <cell r="G1545">
            <v>40006246</v>
          </cell>
        </row>
        <row r="1546">
          <cell r="E1546" t="str">
            <v>619230-8</v>
          </cell>
          <cell r="F1546">
            <v>10030415</v>
          </cell>
          <cell r="G1546">
            <v>40007144</v>
          </cell>
        </row>
        <row r="1547">
          <cell r="E1547" t="str">
            <v>619246-3</v>
          </cell>
          <cell r="F1547">
            <v>10050872</v>
          </cell>
          <cell r="G1547">
            <v>40007958</v>
          </cell>
        </row>
        <row r="1548">
          <cell r="E1548" t="str">
            <v>619247-1</v>
          </cell>
          <cell r="F1548">
            <v>10034989</v>
          </cell>
          <cell r="G1548">
            <v>40008100</v>
          </cell>
        </row>
        <row r="1549">
          <cell r="E1549" t="str">
            <v>619263-3</v>
          </cell>
          <cell r="F1549">
            <v>10054826</v>
          </cell>
          <cell r="G1549">
            <v>40006126</v>
          </cell>
        </row>
        <row r="1550">
          <cell r="E1550" t="str">
            <v>619372-8</v>
          </cell>
          <cell r="F1550">
            <v>10056692</v>
          </cell>
          <cell r="G1550">
            <v>40005665</v>
          </cell>
        </row>
        <row r="1551">
          <cell r="E1551" t="str">
            <v>619377-8</v>
          </cell>
          <cell r="F1551">
            <v>10080581</v>
          </cell>
          <cell r="G1551">
            <v>40006215</v>
          </cell>
        </row>
        <row r="1552">
          <cell r="E1552" t="str">
            <v>619380-9</v>
          </cell>
          <cell r="F1552">
            <v>10064411</v>
          </cell>
          <cell r="G1552">
            <v>40006589</v>
          </cell>
        </row>
        <row r="1553">
          <cell r="E1553" t="str">
            <v>619496-0</v>
          </cell>
          <cell r="F1553">
            <v>10088824</v>
          </cell>
          <cell r="G1553">
            <v>40005847</v>
          </cell>
        </row>
        <row r="1554">
          <cell r="E1554" t="str">
            <v>515699-3</v>
          </cell>
          <cell r="F1554">
            <v>10028711</v>
          </cell>
          <cell r="G1554">
            <v>40007131</v>
          </cell>
        </row>
        <row r="1555">
          <cell r="E1555" t="str">
            <v>512749-5</v>
          </cell>
          <cell r="F1555">
            <v>10049578</v>
          </cell>
          <cell r="G1555">
            <v>40007859</v>
          </cell>
        </row>
        <row r="1556">
          <cell r="E1556" t="str">
            <v>518713-4</v>
          </cell>
          <cell r="F1556">
            <v>10002788</v>
          </cell>
          <cell r="G1556">
            <v>40008231</v>
          </cell>
        </row>
        <row r="1557">
          <cell r="E1557" t="str">
            <v>517683-4</v>
          </cell>
          <cell r="F1557">
            <v>10050960</v>
          </cell>
          <cell r="G1557">
            <v>40006884</v>
          </cell>
        </row>
        <row r="1558">
          <cell r="E1558" t="str">
            <v>513864-8</v>
          </cell>
          <cell r="F1558">
            <v>10062578</v>
          </cell>
          <cell r="G1558">
            <v>40005619</v>
          </cell>
        </row>
        <row r="1559">
          <cell r="E1559" t="str">
            <v>513888-4</v>
          </cell>
          <cell r="F1559">
            <v>10057258</v>
          </cell>
          <cell r="G1559">
            <v>40005700</v>
          </cell>
        </row>
        <row r="1560">
          <cell r="E1560" t="str">
            <v>515364-4</v>
          </cell>
          <cell r="F1560">
            <v>10062960</v>
          </cell>
          <cell r="G1560">
            <v>40005957</v>
          </cell>
        </row>
        <row r="1561">
          <cell r="E1561" t="str">
            <v>513713-9</v>
          </cell>
          <cell r="F1561">
            <v>10062550</v>
          </cell>
          <cell r="G1561">
            <v>40005600</v>
          </cell>
        </row>
        <row r="1562">
          <cell r="E1562" t="str">
            <v>519199-5</v>
          </cell>
          <cell r="F1562">
            <v>10050928</v>
          </cell>
          <cell r="G1562">
            <v>40006874</v>
          </cell>
        </row>
        <row r="1563">
          <cell r="E1563" t="str">
            <v>515553-1</v>
          </cell>
          <cell r="F1563">
            <v>10097874</v>
          </cell>
          <cell r="G1563">
            <v>40005910</v>
          </cell>
        </row>
        <row r="1564">
          <cell r="E1564" t="str">
            <v>513784-6</v>
          </cell>
          <cell r="F1564">
            <v>10050978</v>
          </cell>
          <cell r="G1564">
            <v>40006897</v>
          </cell>
        </row>
        <row r="1565">
          <cell r="E1565" t="str">
            <v>513809-6</v>
          </cell>
          <cell r="F1565">
            <v>10053978</v>
          </cell>
          <cell r="G1565">
            <v>40006054</v>
          </cell>
        </row>
        <row r="1566">
          <cell r="E1566" t="str">
            <v>517424-8</v>
          </cell>
          <cell r="F1566">
            <v>10001256</v>
          </cell>
          <cell r="G1566">
            <v>40007055</v>
          </cell>
        </row>
        <row r="1567">
          <cell r="E1567" t="str">
            <v>513494-5</v>
          </cell>
          <cell r="F1567">
            <v>10103763</v>
          </cell>
          <cell r="G1567">
            <v>40006498</v>
          </cell>
        </row>
        <row r="1568">
          <cell r="E1568" t="str">
            <v>515634-1</v>
          </cell>
          <cell r="F1568">
            <v>10002128</v>
          </cell>
          <cell r="G1568">
            <v>40007599</v>
          </cell>
        </row>
        <row r="1569">
          <cell r="E1569" t="str">
            <v>511934-7</v>
          </cell>
          <cell r="F1569">
            <v>10039227</v>
          </cell>
        </row>
        <row r="1570">
          <cell r="E1570" t="str">
            <v>512839-4</v>
          </cell>
          <cell r="F1570">
            <v>10002111</v>
          </cell>
          <cell r="G1570">
            <v>40007651</v>
          </cell>
        </row>
        <row r="1571">
          <cell r="E1571" t="str">
            <v>513509-8</v>
          </cell>
          <cell r="F1571">
            <v>10000860</v>
          </cell>
          <cell r="G1571">
            <v>40007745</v>
          </cell>
        </row>
        <row r="1572">
          <cell r="E1572" t="str">
            <v>513568-2</v>
          </cell>
          <cell r="F1572">
            <v>10002126</v>
          </cell>
          <cell r="G1572">
            <v>40007592</v>
          </cell>
        </row>
        <row r="1573">
          <cell r="E1573" t="str">
            <v>515294-9</v>
          </cell>
          <cell r="F1573">
            <v>10039228</v>
          </cell>
          <cell r="G1573">
            <v>40008056</v>
          </cell>
        </row>
        <row r="1574">
          <cell r="E1574" t="str">
            <v>515619-7</v>
          </cell>
          <cell r="F1574">
            <v>10004534</v>
          </cell>
          <cell r="G1574">
            <v>40008242</v>
          </cell>
        </row>
        <row r="1575">
          <cell r="E1575" t="str">
            <v>516288-7</v>
          </cell>
          <cell r="F1575">
            <v>10084082</v>
          </cell>
          <cell r="G1575">
            <v>40006249</v>
          </cell>
        </row>
        <row r="1576">
          <cell r="E1576" t="str">
            <v>517213-1</v>
          </cell>
          <cell r="F1576">
            <v>10000857</v>
          </cell>
        </row>
        <row r="1577">
          <cell r="E1577" t="str">
            <v>517414-1</v>
          </cell>
          <cell r="F1577">
            <v>10001335</v>
          </cell>
          <cell r="G1577">
            <v>40007107</v>
          </cell>
        </row>
        <row r="1578">
          <cell r="E1578" t="str">
            <v>619088-5</v>
          </cell>
          <cell r="F1578">
            <v>10000859</v>
          </cell>
          <cell r="G1578">
            <v>40007744</v>
          </cell>
        </row>
        <row r="1579">
          <cell r="E1579" t="str">
            <v>510077-2</v>
          </cell>
          <cell r="F1579">
            <v>10035081</v>
          </cell>
        </row>
        <row r="1580">
          <cell r="E1580" t="str">
            <v>515708-8</v>
          </cell>
          <cell r="F1580">
            <v>10004536</v>
          </cell>
          <cell r="G1580">
            <v>40008244</v>
          </cell>
        </row>
        <row r="1581">
          <cell r="E1581" t="str">
            <v>513704-0</v>
          </cell>
          <cell r="F1581">
            <v>10004535</v>
          </cell>
          <cell r="G1581">
            <v>40008243</v>
          </cell>
        </row>
        <row r="1582">
          <cell r="E1582" t="str">
            <v>518156-0</v>
          </cell>
          <cell r="F1582">
            <v>10074932</v>
          </cell>
        </row>
        <row r="1583">
          <cell r="E1583" t="str">
            <v>516948-1</v>
          </cell>
          <cell r="F1583">
            <v>10002127</v>
          </cell>
          <cell r="G1583">
            <v>40007597</v>
          </cell>
        </row>
        <row r="1584">
          <cell r="E1584" t="str">
            <v>510249-9</v>
          </cell>
          <cell r="F1584">
            <v>10055970</v>
          </cell>
          <cell r="G1584">
            <v>40005652</v>
          </cell>
        </row>
        <row r="1585">
          <cell r="E1585" t="str">
            <v>619290-0</v>
          </cell>
          <cell r="F1585">
            <v>10067206</v>
          </cell>
          <cell r="G1585">
            <v>40006449</v>
          </cell>
        </row>
        <row r="1586">
          <cell r="E1586" t="str">
            <v>619216-2</v>
          </cell>
          <cell r="F1586">
            <v>10042340</v>
          </cell>
          <cell r="G1586">
            <v>40006761</v>
          </cell>
        </row>
        <row r="1587">
          <cell r="E1587" t="str">
            <v>517339-9</v>
          </cell>
          <cell r="F1587">
            <v>10000818</v>
          </cell>
          <cell r="G1587">
            <v>40007467</v>
          </cell>
        </row>
        <row r="1588">
          <cell r="E1588" t="str">
            <v>515734-7</v>
          </cell>
          <cell r="F1588">
            <v>10064605</v>
          </cell>
          <cell r="G1588">
            <v>40006386</v>
          </cell>
        </row>
        <row r="1589">
          <cell r="E1589" t="str">
            <v>DA00000048</v>
          </cell>
          <cell r="F1589">
            <v>10047008</v>
          </cell>
          <cell r="G1589">
            <v>40006961</v>
          </cell>
        </row>
        <row r="1590">
          <cell r="E1590" t="str">
            <v>619375-2</v>
          </cell>
          <cell r="F1590">
            <v>10057119</v>
          </cell>
          <cell r="G1590">
            <v>40005669</v>
          </cell>
        </row>
        <row r="1591">
          <cell r="E1591" t="str">
            <v>513439-3</v>
          </cell>
          <cell r="F1591">
            <v>10057118</v>
          </cell>
          <cell r="G1591">
            <v>40005668</v>
          </cell>
        </row>
        <row r="1592">
          <cell r="E1592" t="str">
            <v>516748-9</v>
          </cell>
          <cell r="F1592">
            <v>10028712</v>
          </cell>
        </row>
        <row r="1593">
          <cell r="E1593" t="str">
            <v>513678-5</v>
          </cell>
          <cell r="F1593">
            <v>10102727</v>
          </cell>
          <cell r="G1593">
            <v>40005944</v>
          </cell>
        </row>
        <row r="1594">
          <cell r="E1594" t="str">
            <v>510377-0</v>
          </cell>
          <cell r="F1594">
            <v>10098933</v>
          </cell>
          <cell r="G1594">
            <v>40005927</v>
          </cell>
        </row>
        <row r="1595">
          <cell r="E1595" t="str">
            <v>517458-1</v>
          </cell>
          <cell r="F1595">
            <v>10000863</v>
          </cell>
          <cell r="G1595">
            <v>40007747</v>
          </cell>
        </row>
        <row r="1596">
          <cell r="E1596" t="str">
            <v>JM23200001</v>
          </cell>
          <cell r="F1596">
            <v>10030427</v>
          </cell>
          <cell r="G1596">
            <v>40007150</v>
          </cell>
        </row>
        <row r="1597">
          <cell r="E1597" t="str">
            <v>JM23300001</v>
          </cell>
          <cell r="F1597">
            <v>10030374</v>
          </cell>
          <cell r="G1597">
            <v>40007140</v>
          </cell>
        </row>
        <row r="1598">
          <cell r="E1598" t="str">
            <v>515854-7</v>
          </cell>
          <cell r="F1598">
            <v>10045813</v>
          </cell>
          <cell r="G1598">
            <v>40006831</v>
          </cell>
        </row>
        <row r="1599">
          <cell r="E1599" t="str">
            <v>513614-1</v>
          </cell>
          <cell r="F1599">
            <v>10042346</v>
          </cell>
          <cell r="G1599">
            <v>40006767</v>
          </cell>
        </row>
        <row r="1600">
          <cell r="E1600" t="str">
            <v>510197-2</v>
          </cell>
          <cell r="F1600">
            <v>10024027</v>
          </cell>
          <cell r="G1600">
            <v>40007229</v>
          </cell>
        </row>
        <row r="1601">
          <cell r="E1601" t="str">
            <v>516819-2</v>
          </cell>
          <cell r="F1601">
            <v>10000819</v>
          </cell>
          <cell r="G1601">
            <v>40007468</v>
          </cell>
        </row>
        <row r="1602">
          <cell r="E1602" t="str">
            <v>516433-4</v>
          </cell>
          <cell r="F1602">
            <v>10045815</v>
          </cell>
          <cell r="G1602">
            <v>40006836</v>
          </cell>
        </row>
        <row r="1603">
          <cell r="E1603" t="str">
            <v>517324-2</v>
          </cell>
          <cell r="F1603">
            <v>10006497</v>
          </cell>
          <cell r="G1603">
            <v>40008253</v>
          </cell>
        </row>
        <row r="1604">
          <cell r="E1604" t="str">
            <v>513793-5</v>
          </cell>
          <cell r="F1604">
            <v>10084093</v>
          </cell>
          <cell r="G1604">
            <v>40006263</v>
          </cell>
        </row>
        <row r="1605">
          <cell r="E1605">
            <v>970802330</v>
          </cell>
          <cell r="F1605">
            <v>10000847</v>
          </cell>
        </row>
        <row r="1606">
          <cell r="E1606" t="str">
            <v>JM27000306</v>
          </cell>
          <cell r="F1606">
            <v>10038933</v>
          </cell>
        </row>
        <row r="1607">
          <cell r="E1607" t="str">
            <v>S-595009</v>
          </cell>
          <cell r="F1607">
            <v>10090100</v>
          </cell>
          <cell r="G1607">
            <v>40005870</v>
          </cell>
        </row>
        <row r="1608">
          <cell r="E1608" t="str">
            <v>638413-1</v>
          </cell>
          <cell r="F1608">
            <v>10001372</v>
          </cell>
          <cell r="G1608">
            <v>40007132</v>
          </cell>
        </row>
        <row r="1609">
          <cell r="E1609" t="str">
            <v>456099-7</v>
          </cell>
          <cell r="F1609">
            <v>10064412</v>
          </cell>
          <cell r="G1609">
            <v>40006348</v>
          </cell>
        </row>
        <row r="1610">
          <cell r="E1610" t="str">
            <v>134564-3</v>
          </cell>
          <cell r="F1610">
            <v>10001118</v>
          </cell>
          <cell r="G1610">
            <v>40007378</v>
          </cell>
        </row>
        <row r="1611">
          <cell r="E1611" t="str">
            <v>743053-3</v>
          </cell>
          <cell r="F1611">
            <v>10035977</v>
          </cell>
          <cell r="G1611">
            <v>40007989</v>
          </cell>
        </row>
        <row r="1612">
          <cell r="E1612" t="str">
            <v>342489-9</v>
          </cell>
          <cell r="F1612">
            <v>10002298</v>
          </cell>
          <cell r="G1612">
            <v>40007730</v>
          </cell>
        </row>
        <row r="1613">
          <cell r="E1613" t="str">
            <v>415213-4</v>
          </cell>
          <cell r="F1613">
            <v>10022747</v>
          </cell>
          <cell r="G1613">
            <v>40007603</v>
          </cell>
        </row>
        <row r="1614">
          <cell r="E1614" t="str">
            <v>415475-4</v>
          </cell>
          <cell r="F1614">
            <v>10059975</v>
          </cell>
          <cell r="G1614">
            <v>40006305</v>
          </cell>
        </row>
        <row r="1615">
          <cell r="E1615" t="str">
            <v>415873-2</v>
          </cell>
          <cell r="F1615">
            <v>10016346</v>
          </cell>
          <cell r="G1615">
            <v>40007522</v>
          </cell>
        </row>
        <row r="1616">
          <cell r="E1616" t="str">
            <v>416107-6</v>
          </cell>
          <cell r="F1616">
            <v>10062946</v>
          </cell>
          <cell r="G1616">
            <v>40005952</v>
          </cell>
        </row>
        <row r="1617">
          <cell r="E1617" t="str">
            <v>417821-7</v>
          </cell>
          <cell r="F1617">
            <v>10050903</v>
          </cell>
          <cell r="G1617">
            <v>40006847</v>
          </cell>
        </row>
        <row r="1618">
          <cell r="E1618" t="str">
            <v>419548-5</v>
          </cell>
          <cell r="F1618">
            <v>10049593</v>
          </cell>
          <cell r="G1618">
            <v>40007869</v>
          </cell>
        </row>
        <row r="1619">
          <cell r="E1619" t="str">
            <v>452092-9</v>
          </cell>
          <cell r="F1619">
            <v>10062571</v>
          </cell>
          <cell r="G1619">
            <v>40005614</v>
          </cell>
        </row>
        <row r="1620">
          <cell r="E1620" t="str">
            <v>416331-1</v>
          </cell>
          <cell r="F1620">
            <v>10090083</v>
          </cell>
          <cell r="G1620">
            <v>40005865</v>
          </cell>
        </row>
        <row r="1621">
          <cell r="E1621" t="str">
            <v>457130-2</v>
          </cell>
          <cell r="F1621">
            <v>10093994</v>
          </cell>
          <cell r="G1621">
            <v>40005890</v>
          </cell>
        </row>
        <row r="1622">
          <cell r="E1622" t="str">
            <v>457137-8</v>
          </cell>
          <cell r="F1622">
            <v>10093993</v>
          </cell>
          <cell r="G1622">
            <v>40005889</v>
          </cell>
        </row>
        <row r="1623">
          <cell r="E1623" t="str">
            <v>418149-6</v>
          </cell>
          <cell r="F1623">
            <v>10060296</v>
          </cell>
          <cell r="G1623">
            <v>40006317</v>
          </cell>
        </row>
        <row r="1624">
          <cell r="E1624" t="str">
            <v>310301-1</v>
          </cell>
          <cell r="F1624">
            <v>10038648</v>
          </cell>
          <cell r="G1624">
            <v>40008010</v>
          </cell>
        </row>
        <row r="1625">
          <cell r="E1625" t="str">
            <v>344614-8</v>
          </cell>
          <cell r="F1625">
            <v>10050987</v>
          </cell>
          <cell r="G1625">
            <v>40006905</v>
          </cell>
        </row>
        <row r="1626">
          <cell r="E1626" t="str">
            <v>2012DDW</v>
          </cell>
          <cell r="F1626">
            <v>10002156</v>
          </cell>
          <cell r="G1626">
            <v>40007638</v>
          </cell>
        </row>
        <row r="1627">
          <cell r="E1627" t="str">
            <v>627LLB</v>
          </cell>
          <cell r="F1627">
            <v>10050877</v>
          </cell>
          <cell r="G1627">
            <v>40008290</v>
          </cell>
        </row>
        <row r="1628">
          <cell r="E1628" t="str">
            <v>626LLB</v>
          </cell>
          <cell r="F1628">
            <v>10050879</v>
          </cell>
          <cell r="G1628">
            <v>40008292</v>
          </cell>
        </row>
        <row r="1629">
          <cell r="E1629" t="str">
            <v>6203ZZ</v>
          </cell>
          <cell r="F1629">
            <v>10044455</v>
          </cell>
          <cell r="G1629">
            <v>40006775</v>
          </cell>
        </row>
        <row r="1630">
          <cell r="E1630" t="str">
            <v>6000LLB</v>
          </cell>
          <cell r="F1630">
            <v>10000959</v>
          </cell>
          <cell r="G1630">
            <v>40003868</v>
          </cell>
        </row>
        <row r="1631">
          <cell r="E1631" t="str">
            <v>6202ZZ</v>
          </cell>
          <cell r="F1631">
            <v>10000966</v>
          </cell>
          <cell r="G1631">
            <v>40007813</v>
          </cell>
        </row>
        <row r="1632">
          <cell r="E1632" t="str">
            <v>6001LLB</v>
          </cell>
          <cell r="F1632">
            <v>10000967</v>
          </cell>
          <cell r="G1632">
            <v>40007816</v>
          </cell>
        </row>
        <row r="1633">
          <cell r="E1633" t="str">
            <v>6001ZZ</v>
          </cell>
          <cell r="F1633">
            <v>10002159</v>
          </cell>
          <cell r="G1633">
            <v>40007647</v>
          </cell>
        </row>
        <row r="1634">
          <cell r="E1634" t="str">
            <v>6003DDW</v>
          </cell>
          <cell r="F1634">
            <v>10039230</v>
          </cell>
          <cell r="G1634">
            <v>40008058</v>
          </cell>
        </row>
        <row r="1635">
          <cell r="E1635">
            <v>6004</v>
          </cell>
          <cell r="F1635">
            <v>10001221</v>
          </cell>
          <cell r="G1635">
            <v>40007028</v>
          </cell>
        </row>
        <row r="1636">
          <cell r="E1636" t="str">
            <v>606ZZ</v>
          </cell>
          <cell r="F1636">
            <v>10000980</v>
          </cell>
          <cell r="G1636">
            <v>40007829</v>
          </cell>
        </row>
        <row r="1637">
          <cell r="E1637" t="str">
            <v>607LLB</v>
          </cell>
          <cell r="F1637">
            <v>10050906</v>
          </cell>
          <cell r="G1637">
            <v>40006853</v>
          </cell>
        </row>
        <row r="1638">
          <cell r="E1638" t="str">
            <v>607ZZ</v>
          </cell>
          <cell r="F1638">
            <v>10001263</v>
          </cell>
          <cell r="G1638">
            <v>40007060</v>
          </cell>
        </row>
        <row r="1639">
          <cell r="E1639" t="str">
            <v>608ZZ</v>
          </cell>
          <cell r="F1639">
            <v>10000974</v>
          </cell>
          <cell r="G1639">
            <v>40007822</v>
          </cell>
        </row>
        <row r="1640">
          <cell r="E1640" t="str">
            <v>6200LLB</v>
          </cell>
          <cell r="F1640">
            <v>10000968</v>
          </cell>
          <cell r="G1640">
            <v>40007818</v>
          </cell>
        </row>
        <row r="1641">
          <cell r="E1641" t="str">
            <v>6201DDW</v>
          </cell>
          <cell r="F1641">
            <v>10002142</v>
          </cell>
          <cell r="G1641">
            <v>40007616</v>
          </cell>
        </row>
        <row r="1642">
          <cell r="E1642" t="str">
            <v>6201LLB</v>
          </cell>
          <cell r="F1642">
            <v>10002133</v>
          </cell>
          <cell r="G1642">
            <v>40007606</v>
          </cell>
        </row>
        <row r="1643">
          <cell r="E1643" t="str">
            <v>6201ZZ</v>
          </cell>
          <cell r="F1643">
            <v>10000961</v>
          </cell>
          <cell r="G1643">
            <v>40007807</v>
          </cell>
        </row>
        <row r="1644">
          <cell r="E1644" t="str">
            <v>6202DDW</v>
          </cell>
          <cell r="F1644">
            <v>10050898</v>
          </cell>
          <cell r="G1644">
            <v>40010371</v>
          </cell>
        </row>
        <row r="1645">
          <cell r="E1645" t="str">
            <v>211206-7</v>
          </cell>
          <cell r="F1645">
            <v>10000973</v>
          </cell>
          <cell r="G1645">
            <v>40007820</v>
          </cell>
        </row>
        <row r="1646">
          <cell r="E1646" t="str">
            <v>6203LLB</v>
          </cell>
          <cell r="F1646">
            <v>10002136</v>
          </cell>
          <cell r="G1646">
            <v>40007609</v>
          </cell>
        </row>
        <row r="1647">
          <cell r="E1647">
            <v>6205</v>
          </cell>
          <cell r="F1647">
            <v>10058410</v>
          </cell>
        </row>
        <row r="1648">
          <cell r="E1648" t="str">
            <v>627DDW</v>
          </cell>
          <cell r="F1648">
            <v>10050961</v>
          </cell>
          <cell r="G1648">
            <v>40006885</v>
          </cell>
        </row>
        <row r="1649">
          <cell r="E1649" t="str">
            <v>627LB</v>
          </cell>
          <cell r="F1649">
            <v>10000975</v>
          </cell>
          <cell r="G1649">
            <v>40007824</v>
          </cell>
        </row>
        <row r="1650">
          <cell r="E1650" t="str">
            <v>627ZZ</v>
          </cell>
          <cell r="F1650">
            <v>10050902</v>
          </cell>
          <cell r="G1650">
            <v>40006845</v>
          </cell>
        </row>
        <row r="1651">
          <cell r="E1651" t="str">
            <v>629DDW</v>
          </cell>
          <cell r="F1651">
            <v>10050958</v>
          </cell>
          <cell r="G1651">
            <v>40010372</v>
          </cell>
        </row>
        <row r="1652">
          <cell r="E1652" t="str">
            <v>629LLB</v>
          </cell>
          <cell r="F1652">
            <v>10001274</v>
          </cell>
          <cell r="G1652">
            <v>40007067</v>
          </cell>
        </row>
        <row r="1653">
          <cell r="E1653" t="str">
            <v>6303LLU</v>
          </cell>
          <cell r="F1653">
            <v>10002152</v>
          </cell>
          <cell r="G1653">
            <v>40007630</v>
          </cell>
        </row>
        <row r="1654">
          <cell r="E1654" t="str">
            <v>6305LLB</v>
          </cell>
          <cell r="F1654">
            <v>10057227</v>
          </cell>
          <cell r="G1654">
            <v>40005681</v>
          </cell>
        </row>
        <row r="1655">
          <cell r="E1655" t="str">
            <v>6903ZZ</v>
          </cell>
          <cell r="F1655">
            <v>10062975</v>
          </cell>
          <cell r="G1655">
            <v>40005969</v>
          </cell>
        </row>
        <row r="1656">
          <cell r="E1656">
            <v>960102131</v>
          </cell>
          <cell r="F1656">
            <v>10043514</v>
          </cell>
          <cell r="G1656">
            <v>40006771</v>
          </cell>
        </row>
        <row r="1657">
          <cell r="E1657" t="str">
            <v>604ZZ</v>
          </cell>
          <cell r="F1657">
            <v>10045838</v>
          </cell>
          <cell r="G1657">
            <v>40006848</v>
          </cell>
        </row>
        <row r="1658">
          <cell r="E1658" t="str">
            <v>424376-5</v>
          </cell>
          <cell r="F1658">
            <v>10064600</v>
          </cell>
        </row>
        <row r="1659">
          <cell r="E1659" t="str">
            <v>317829-0</v>
          </cell>
          <cell r="F1659">
            <v>10050092</v>
          </cell>
          <cell r="G1659">
            <v>40007908</v>
          </cell>
        </row>
        <row r="1660">
          <cell r="E1660" t="str">
            <v>151457-9</v>
          </cell>
          <cell r="F1660">
            <v>10064418</v>
          </cell>
          <cell r="G1660">
            <v>40010582</v>
          </cell>
        </row>
        <row r="1661">
          <cell r="E1661" t="str">
            <v>163397-9</v>
          </cell>
          <cell r="F1661">
            <v>10013273</v>
          </cell>
        </row>
        <row r="1662">
          <cell r="E1662" t="str">
            <v>164491-0</v>
          </cell>
          <cell r="F1662">
            <v>10024508</v>
          </cell>
          <cell r="G1662">
            <v>40007253</v>
          </cell>
        </row>
        <row r="1663">
          <cell r="E1663" t="str">
            <v>165555-3</v>
          </cell>
          <cell r="F1663">
            <v>10046802</v>
          </cell>
          <cell r="G1663">
            <v>40006957</v>
          </cell>
        </row>
        <row r="1664">
          <cell r="E1664" t="str">
            <v>168296-0</v>
          </cell>
          <cell r="F1664">
            <v>10051630</v>
          </cell>
          <cell r="G1664">
            <v>40006654</v>
          </cell>
        </row>
        <row r="1665">
          <cell r="E1665" t="str">
            <v>168297-8</v>
          </cell>
          <cell r="F1665">
            <v>10057250</v>
          </cell>
          <cell r="G1665">
            <v>40011962</v>
          </cell>
        </row>
        <row r="1666">
          <cell r="E1666" t="str">
            <v>168375-4</v>
          </cell>
          <cell r="F1666">
            <v>10051629</v>
          </cell>
          <cell r="G1666">
            <v>40006650</v>
          </cell>
        </row>
        <row r="1667">
          <cell r="E1667" t="str">
            <v>317565-8</v>
          </cell>
          <cell r="F1667">
            <v>10031857</v>
          </cell>
          <cell r="G1667">
            <v>40007184</v>
          </cell>
        </row>
        <row r="1668">
          <cell r="E1668" t="str">
            <v>318484-1</v>
          </cell>
          <cell r="F1668">
            <v>10031027</v>
          </cell>
          <cell r="G1668">
            <v>40007169</v>
          </cell>
        </row>
        <row r="1669">
          <cell r="E1669" t="str">
            <v>450458-7</v>
          </cell>
          <cell r="F1669">
            <v>10049572</v>
          </cell>
          <cell r="G1669">
            <v>40007849</v>
          </cell>
        </row>
        <row r="1670">
          <cell r="E1670" t="str">
            <v>134645-3</v>
          </cell>
          <cell r="F1670">
            <v>10001071</v>
          </cell>
          <cell r="G1670">
            <v>40007355</v>
          </cell>
        </row>
        <row r="1671">
          <cell r="E1671" t="str">
            <v>317285-4</v>
          </cell>
          <cell r="F1671">
            <v>10001219</v>
          </cell>
          <cell r="G1671">
            <v>40007024</v>
          </cell>
        </row>
        <row r="1672">
          <cell r="E1672" t="str">
            <v>450067-2</v>
          </cell>
          <cell r="F1672">
            <v>10002168</v>
          </cell>
          <cell r="G1672">
            <v>40007659</v>
          </cell>
        </row>
        <row r="1673">
          <cell r="E1673" t="str">
            <v>154346-7</v>
          </cell>
          <cell r="F1673">
            <v>10001144</v>
          </cell>
          <cell r="G1673">
            <v>40007397</v>
          </cell>
        </row>
        <row r="1674">
          <cell r="E1674" t="str">
            <v>151232-3</v>
          </cell>
          <cell r="F1674">
            <v>10001158</v>
          </cell>
        </row>
        <row r="1675">
          <cell r="E1675" t="str">
            <v>155174-3</v>
          </cell>
          <cell r="F1675">
            <v>10001052</v>
          </cell>
          <cell r="G1675">
            <v>40007345</v>
          </cell>
        </row>
        <row r="1676">
          <cell r="E1676" t="str">
            <v>411113-6</v>
          </cell>
          <cell r="F1676">
            <v>10103486</v>
          </cell>
          <cell r="G1676">
            <v>40006485</v>
          </cell>
        </row>
        <row r="1677">
          <cell r="E1677" t="str">
            <v>419138-4</v>
          </cell>
          <cell r="F1677">
            <v>10080361</v>
          </cell>
          <cell r="G1677">
            <v>40006208</v>
          </cell>
        </row>
        <row r="1678">
          <cell r="E1678" t="str">
            <v>317796-9</v>
          </cell>
          <cell r="F1678">
            <v>10067195</v>
          </cell>
          <cell r="G1678">
            <v>40006443</v>
          </cell>
        </row>
        <row r="1679">
          <cell r="E1679" t="str">
            <v>410834-7</v>
          </cell>
          <cell r="F1679">
            <v>10047919</v>
          </cell>
          <cell r="G1679">
            <v>40006988</v>
          </cell>
        </row>
        <row r="1680">
          <cell r="E1680" t="str">
            <v>411023-7</v>
          </cell>
          <cell r="F1680">
            <v>10001083</v>
          </cell>
          <cell r="G1680">
            <v>40007364</v>
          </cell>
        </row>
        <row r="1681">
          <cell r="E1681" t="str">
            <v>413024-1</v>
          </cell>
          <cell r="F1681">
            <v>10025363</v>
          </cell>
          <cell r="G1681">
            <v>40010263</v>
          </cell>
        </row>
        <row r="1682">
          <cell r="E1682" t="str">
            <v>411114-4</v>
          </cell>
          <cell r="F1682">
            <v>10103487</v>
          </cell>
          <cell r="G1682">
            <v>40006486</v>
          </cell>
        </row>
        <row r="1683">
          <cell r="E1683">
            <v>1435</v>
          </cell>
          <cell r="F1683">
            <v>10089677</v>
          </cell>
          <cell r="G1683">
            <v>40005853</v>
          </cell>
        </row>
        <row r="1684">
          <cell r="E1684" t="str">
            <v>DC1414</v>
          </cell>
          <cell r="F1684">
            <v>10001248</v>
          </cell>
          <cell r="G1684">
            <v>40007049</v>
          </cell>
        </row>
        <row r="1685">
          <cell r="E1685" t="str">
            <v>DC36WA</v>
          </cell>
          <cell r="F1685">
            <v>10053333</v>
          </cell>
          <cell r="G1685">
            <v>40006666</v>
          </cell>
        </row>
        <row r="1686">
          <cell r="E1686" t="str">
            <v>643909-9</v>
          </cell>
          <cell r="F1686">
            <v>10023860</v>
          </cell>
          <cell r="G1686">
            <v>40007640</v>
          </cell>
        </row>
        <row r="1687">
          <cell r="E1687" t="str">
            <v>198731-4</v>
          </cell>
          <cell r="F1687">
            <v>10097883</v>
          </cell>
          <cell r="G1687">
            <v>40005918</v>
          </cell>
        </row>
        <row r="1688">
          <cell r="E1688" t="str">
            <v>TP00000164</v>
          </cell>
          <cell r="F1688">
            <v>10044375</v>
          </cell>
          <cell r="G1688">
            <v>40006773</v>
          </cell>
        </row>
        <row r="1689">
          <cell r="E1689" t="str">
            <v>285847-5</v>
          </cell>
          <cell r="F1689">
            <v>10044756</v>
          </cell>
          <cell r="G1689">
            <v>40006794</v>
          </cell>
        </row>
        <row r="1690">
          <cell r="E1690" t="str">
            <v>6000ZZ</v>
          </cell>
          <cell r="F1690">
            <v>10044749</v>
          </cell>
          <cell r="G1690">
            <v>40006787</v>
          </cell>
        </row>
        <row r="1691">
          <cell r="E1691" t="str">
            <v>6002LLB</v>
          </cell>
          <cell r="F1691">
            <v>10000977</v>
          </cell>
          <cell r="G1691">
            <v>40007826</v>
          </cell>
        </row>
        <row r="1692">
          <cell r="E1692" t="str">
            <v>6003DDW</v>
          </cell>
          <cell r="F1692">
            <v>10000963</v>
          </cell>
          <cell r="G1692">
            <v>40007809</v>
          </cell>
        </row>
        <row r="1693">
          <cell r="E1693" t="str">
            <v>608LLB</v>
          </cell>
          <cell r="F1693">
            <v>10000962</v>
          </cell>
          <cell r="G1693">
            <v>40007808</v>
          </cell>
        </row>
        <row r="1694">
          <cell r="E1694" t="str">
            <v>6200LB</v>
          </cell>
          <cell r="F1694">
            <v>10002132</v>
          </cell>
          <cell r="G1694">
            <v>40007604</v>
          </cell>
        </row>
        <row r="1695">
          <cell r="E1695" t="str">
            <v>6200ZZ</v>
          </cell>
          <cell r="F1695">
            <v>10000965</v>
          </cell>
          <cell r="G1695">
            <v>40007812</v>
          </cell>
        </row>
        <row r="1696">
          <cell r="E1696" t="str">
            <v>211306-3</v>
          </cell>
          <cell r="F1696">
            <v>10000964</v>
          </cell>
          <cell r="G1696">
            <v>40007810</v>
          </cell>
        </row>
        <row r="1697">
          <cell r="E1697" t="str">
            <v>211373-8</v>
          </cell>
          <cell r="F1697">
            <v>10059179</v>
          </cell>
          <cell r="G1697">
            <v>40006248</v>
          </cell>
        </row>
        <row r="1698">
          <cell r="E1698" t="str">
            <v>211111-8</v>
          </cell>
          <cell r="F1698">
            <v>10000979</v>
          </cell>
          <cell r="G1698">
            <v>40007828</v>
          </cell>
        </row>
        <row r="1699">
          <cell r="E1699" t="str">
            <v>211211-4</v>
          </cell>
          <cell r="F1699">
            <v>10034473</v>
          </cell>
          <cell r="G1699">
            <v>40008077</v>
          </cell>
        </row>
        <row r="1700">
          <cell r="E1700" t="str">
            <v>JM23000086</v>
          </cell>
          <cell r="F1700">
            <v>10050114</v>
          </cell>
          <cell r="G1700">
            <v>40007934</v>
          </cell>
        </row>
        <row r="1701">
          <cell r="E1701" t="str">
            <v>210069-8</v>
          </cell>
          <cell r="F1701">
            <v>10045842</v>
          </cell>
          <cell r="G1701">
            <v>40007506</v>
          </cell>
        </row>
        <row r="1702">
          <cell r="E1702" t="str">
            <v>696ZZ</v>
          </cell>
          <cell r="F1702">
            <v>10001312</v>
          </cell>
          <cell r="G1702">
            <v>40007090</v>
          </cell>
        </row>
        <row r="1703">
          <cell r="E1703" t="str">
            <v>210033-9</v>
          </cell>
          <cell r="F1703">
            <v>10035279</v>
          </cell>
          <cell r="G1703">
            <v>40010324</v>
          </cell>
        </row>
        <row r="1704">
          <cell r="E1704" t="str">
            <v>210013-5</v>
          </cell>
          <cell r="F1704">
            <v>10035280</v>
          </cell>
          <cell r="G1704">
            <v>40008139</v>
          </cell>
        </row>
        <row r="1705">
          <cell r="E1705" t="str">
            <v>317988-0</v>
          </cell>
          <cell r="F1705">
            <v>10062993</v>
          </cell>
          <cell r="G1705">
            <v>40005982</v>
          </cell>
        </row>
        <row r="1706">
          <cell r="E1706" t="str">
            <v>317744-8</v>
          </cell>
          <cell r="F1706">
            <v>10025876</v>
          </cell>
          <cell r="G1706">
            <v>40007299</v>
          </cell>
        </row>
        <row r="1707">
          <cell r="E1707" t="str">
            <v>312998-2</v>
          </cell>
          <cell r="F1707">
            <v>10065784</v>
          </cell>
          <cell r="G1707">
            <v>40010269</v>
          </cell>
        </row>
        <row r="1708">
          <cell r="E1708" t="str">
            <v>316821-3</v>
          </cell>
          <cell r="F1708">
            <v>10025374</v>
          </cell>
          <cell r="G1708">
            <v>40007269</v>
          </cell>
        </row>
        <row r="1709">
          <cell r="E1709" t="str">
            <v>316849-1</v>
          </cell>
          <cell r="F1709">
            <v>10047839</v>
          </cell>
          <cell r="G1709">
            <v>40006974</v>
          </cell>
        </row>
        <row r="1710">
          <cell r="E1710" t="str">
            <v>317037-3</v>
          </cell>
          <cell r="F1710">
            <v>10023864</v>
          </cell>
          <cell r="G1710">
            <v>40007650</v>
          </cell>
        </row>
        <row r="1711">
          <cell r="E1711" t="str">
            <v>317819-3</v>
          </cell>
          <cell r="F1711">
            <v>10046043</v>
          </cell>
        </row>
        <row r="1712">
          <cell r="E1712" t="str">
            <v>317853-3</v>
          </cell>
          <cell r="F1712">
            <v>10045854</v>
          </cell>
          <cell r="G1712">
            <v>40006915</v>
          </cell>
        </row>
        <row r="1713">
          <cell r="E1713" t="str">
            <v>318300-7</v>
          </cell>
          <cell r="F1713">
            <v>10062462</v>
          </cell>
          <cell r="G1713">
            <v>40005583</v>
          </cell>
        </row>
        <row r="1714">
          <cell r="E1714" t="str">
            <v>318304-9</v>
          </cell>
          <cell r="F1714">
            <v>10054840</v>
          </cell>
          <cell r="G1714">
            <v>40010256</v>
          </cell>
        </row>
        <row r="1715">
          <cell r="E1715" t="str">
            <v>318336-6</v>
          </cell>
          <cell r="F1715">
            <v>10064427</v>
          </cell>
        </row>
        <row r="1716">
          <cell r="E1716" t="str">
            <v>318660-7</v>
          </cell>
          <cell r="F1716">
            <v>10045844</v>
          </cell>
          <cell r="G1716">
            <v>40007508</v>
          </cell>
        </row>
        <row r="1717">
          <cell r="E1717" t="str">
            <v>326199-6</v>
          </cell>
          <cell r="F1717">
            <v>10050954</v>
          </cell>
          <cell r="G1717">
            <v>40006882</v>
          </cell>
        </row>
        <row r="1718">
          <cell r="E1718" t="str">
            <v>152540-5</v>
          </cell>
          <cell r="F1718">
            <v>10023854</v>
          </cell>
          <cell r="G1718">
            <v>40007629</v>
          </cell>
        </row>
        <row r="1719">
          <cell r="E1719" t="str">
            <v>318088-9</v>
          </cell>
          <cell r="F1719">
            <v>10102734</v>
          </cell>
          <cell r="G1719">
            <v>40006464</v>
          </cell>
        </row>
        <row r="1720">
          <cell r="E1720" t="str">
            <v>154769-9</v>
          </cell>
          <cell r="F1720">
            <v>10050890</v>
          </cell>
          <cell r="G1720">
            <v>40006826</v>
          </cell>
        </row>
        <row r="1721">
          <cell r="E1721" t="str">
            <v>158671-8</v>
          </cell>
          <cell r="F1721">
            <v>10050895</v>
          </cell>
          <cell r="G1721">
            <v>40006835</v>
          </cell>
        </row>
        <row r="1722">
          <cell r="E1722" t="str">
            <v>158899-8</v>
          </cell>
          <cell r="F1722">
            <v>10050923</v>
          </cell>
          <cell r="G1722">
            <v>40006869</v>
          </cell>
        </row>
        <row r="1723">
          <cell r="E1723" t="str">
            <v>318303-1</v>
          </cell>
          <cell r="F1723">
            <v>10051628</v>
          </cell>
          <cell r="G1723">
            <v>40010404</v>
          </cell>
        </row>
        <row r="1724">
          <cell r="E1724" t="str">
            <v>158957-0</v>
          </cell>
          <cell r="F1724">
            <v>10042019</v>
          </cell>
          <cell r="G1724">
            <v>40006743</v>
          </cell>
        </row>
        <row r="1725">
          <cell r="E1725" t="str">
            <v>318331-6</v>
          </cell>
          <cell r="F1725">
            <v>10093983</v>
          </cell>
          <cell r="G1725">
            <v>40005880</v>
          </cell>
        </row>
        <row r="1726">
          <cell r="E1726" t="str">
            <v>450070-3</v>
          </cell>
          <cell r="F1726">
            <v>10093981</v>
          </cell>
          <cell r="G1726">
            <v>40005878</v>
          </cell>
        </row>
        <row r="1727">
          <cell r="E1727" t="str">
            <v>316473-0</v>
          </cell>
          <cell r="F1727">
            <v>10000978</v>
          </cell>
        </row>
        <row r="1728">
          <cell r="E1728" t="str">
            <v>317666-2</v>
          </cell>
          <cell r="F1728">
            <v>10002154</v>
          </cell>
          <cell r="G1728">
            <v>40007635</v>
          </cell>
        </row>
        <row r="1729">
          <cell r="E1729" t="str">
            <v>317534-9</v>
          </cell>
          <cell r="F1729">
            <v>10093982</v>
          </cell>
          <cell r="G1729">
            <v>40005879</v>
          </cell>
        </row>
        <row r="1730">
          <cell r="E1730" t="str">
            <v>316836-0</v>
          </cell>
          <cell r="F1730">
            <v>10002787</v>
          </cell>
          <cell r="G1730">
            <v>40008230</v>
          </cell>
        </row>
        <row r="1731">
          <cell r="E1731" t="str">
            <v>152577-2</v>
          </cell>
          <cell r="F1731">
            <v>10050985</v>
          </cell>
          <cell r="G1731">
            <v>40006903</v>
          </cell>
        </row>
        <row r="1732">
          <cell r="E1732" t="str">
            <v>311608-8</v>
          </cell>
          <cell r="F1732">
            <v>10075350</v>
          </cell>
        </row>
        <row r="1733">
          <cell r="E1733" t="str">
            <v>452456-7</v>
          </cell>
          <cell r="F1733">
            <v>10062561</v>
          </cell>
          <cell r="G1733">
            <v>40005609</v>
          </cell>
        </row>
        <row r="1734">
          <cell r="E1734" t="str">
            <v>319091-3</v>
          </cell>
          <cell r="F1734">
            <v>10062539</v>
          </cell>
          <cell r="G1734">
            <v>40005594</v>
          </cell>
        </row>
        <row r="1735">
          <cell r="E1735" t="str">
            <v>318013-0</v>
          </cell>
          <cell r="F1735">
            <v>10038953</v>
          </cell>
          <cell r="G1735">
            <v>40008036</v>
          </cell>
        </row>
        <row r="1736">
          <cell r="E1736" t="str">
            <v>JM27000319</v>
          </cell>
          <cell r="F1736">
            <v>10022091</v>
          </cell>
          <cell r="G1736">
            <v>40007562</v>
          </cell>
        </row>
        <row r="1737">
          <cell r="E1737" t="str">
            <v>285807-7</v>
          </cell>
          <cell r="F1737">
            <v>10063016</v>
          </cell>
          <cell r="G1737">
            <v>40006000</v>
          </cell>
        </row>
        <row r="1738">
          <cell r="E1738" t="str">
            <v>285724-1</v>
          </cell>
          <cell r="F1738">
            <v>10062992</v>
          </cell>
          <cell r="G1738">
            <v>40005981</v>
          </cell>
        </row>
        <row r="1739">
          <cell r="E1739" t="str">
            <v>285637-6</v>
          </cell>
          <cell r="F1739">
            <v>10049025</v>
          </cell>
          <cell r="G1739">
            <v>40007016</v>
          </cell>
        </row>
        <row r="1740">
          <cell r="E1740" t="str">
            <v>285728-3</v>
          </cell>
          <cell r="F1740">
            <v>10062463</v>
          </cell>
          <cell r="G1740">
            <v>40005584</v>
          </cell>
        </row>
        <row r="1741">
          <cell r="E1741" t="str">
            <v>285804-3</v>
          </cell>
          <cell r="F1741">
            <v>10064599</v>
          </cell>
          <cell r="G1741">
            <v>40006382</v>
          </cell>
        </row>
        <row r="1742">
          <cell r="E1742" t="str">
            <v>285808-5</v>
          </cell>
          <cell r="F1742">
            <v>10064608</v>
          </cell>
          <cell r="G1742">
            <v>40006388</v>
          </cell>
        </row>
        <row r="1743">
          <cell r="E1743" t="str">
            <v>285815-8</v>
          </cell>
          <cell r="F1743">
            <v>10045954</v>
          </cell>
          <cell r="G1743">
            <v>40006930</v>
          </cell>
        </row>
        <row r="1744">
          <cell r="E1744" t="str">
            <v>285657-0</v>
          </cell>
          <cell r="F1744">
            <v>10030446</v>
          </cell>
          <cell r="G1744">
            <v>40007158</v>
          </cell>
        </row>
        <row r="1745">
          <cell r="E1745" t="str">
            <v>D-09525</v>
          </cell>
          <cell r="F1745">
            <v>10023139</v>
          </cell>
        </row>
        <row r="1746">
          <cell r="E1746">
            <v>960102129</v>
          </cell>
          <cell r="F1746">
            <v>10014405</v>
          </cell>
        </row>
        <row r="1747">
          <cell r="E1747" t="str">
            <v>183767-6</v>
          </cell>
          <cell r="F1747">
            <v>10035309</v>
          </cell>
          <cell r="G1747">
            <v>40008310</v>
          </cell>
        </row>
        <row r="1748">
          <cell r="E1748" t="str">
            <v>411019-8</v>
          </cell>
          <cell r="F1748">
            <v>10026310</v>
          </cell>
          <cell r="G1748">
            <v>40007305</v>
          </cell>
        </row>
        <row r="1749">
          <cell r="E1749" t="str">
            <v>411426-5</v>
          </cell>
          <cell r="F1749">
            <v>10001072</v>
          </cell>
          <cell r="G1749">
            <v>40007356</v>
          </cell>
        </row>
        <row r="1750">
          <cell r="E1750">
            <v>226213330</v>
          </cell>
          <cell r="F1750">
            <v>10032872</v>
          </cell>
          <cell r="G1750">
            <v>40007202</v>
          </cell>
        </row>
        <row r="1751">
          <cell r="E1751" t="str">
            <v>JM27000162</v>
          </cell>
          <cell r="F1751">
            <v>10028601</v>
          </cell>
          <cell r="G1751">
            <v>40007127</v>
          </cell>
        </row>
        <row r="1752">
          <cell r="E1752" t="str">
            <v>JM23100058</v>
          </cell>
          <cell r="F1752">
            <v>10055997</v>
          </cell>
          <cell r="G1752">
            <v>40005656</v>
          </cell>
        </row>
        <row r="1753">
          <cell r="E1753" t="str">
            <v>266505-2</v>
          </cell>
          <cell r="F1753">
            <v>10070794</v>
          </cell>
          <cell r="G1753">
            <v>40006154</v>
          </cell>
        </row>
        <row r="1754">
          <cell r="E1754" t="str">
            <v>D-42341</v>
          </cell>
          <cell r="F1754">
            <v>10097348</v>
          </cell>
          <cell r="G1754">
            <v>40005893</v>
          </cell>
        </row>
        <row r="1755">
          <cell r="E1755" t="str">
            <v>324711-6</v>
          </cell>
          <cell r="F1755">
            <v>10038958</v>
          </cell>
          <cell r="G1755">
            <v>40008041</v>
          </cell>
        </row>
        <row r="1756">
          <cell r="E1756" t="str">
            <v>324919-2</v>
          </cell>
          <cell r="F1756">
            <v>10050891</v>
          </cell>
          <cell r="G1756">
            <v>40006828</v>
          </cell>
        </row>
        <row r="1757">
          <cell r="E1757" t="str">
            <v>326072-0</v>
          </cell>
          <cell r="F1757">
            <v>10070791</v>
          </cell>
          <cell r="G1757">
            <v>40010270</v>
          </cell>
        </row>
        <row r="1758">
          <cell r="E1758">
            <v>671014610</v>
          </cell>
          <cell r="F1758">
            <v>10063519</v>
          </cell>
          <cell r="G1758">
            <v>40010801</v>
          </cell>
        </row>
        <row r="1759">
          <cell r="E1759">
            <v>671001451</v>
          </cell>
          <cell r="F1759">
            <v>10043498</v>
          </cell>
        </row>
        <row r="1760">
          <cell r="E1760" t="str">
            <v>141720-8</v>
          </cell>
          <cell r="F1760">
            <v>10062577</v>
          </cell>
          <cell r="G1760">
            <v>40005618</v>
          </cell>
        </row>
        <row r="1761">
          <cell r="E1761" t="str">
            <v>183706-6</v>
          </cell>
          <cell r="F1761">
            <v>10062568</v>
          </cell>
          <cell r="G1761">
            <v>40005612</v>
          </cell>
        </row>
        <row r="1762">
          <cell r="E1762" t="str">
            <v>316111-4</v>
          </cell>
          <cell r="F1762">
            <v>10024035</v>
          </cell>
          <cell r="G1762">
            <v>40007237</v>
          </cell>
        </row>
        <row r="1763">
          <cell r="E1763" t="str">
            <v>150647-1</v>
          </cell>
          <cell r="F1763">
            <v>10054782</v>
          </cell>
          <cell r="G1763">
            <v>40006093</v>
          </cell>
        </row>
        <row r="1764">
          <cell r="E1764" t="str">
            <v>153664-0</v>
          </cell>
          <cell r="F1764">
            <v>10002609</v>
          </cell>
          <cell r="G1764">
            <v>40008196</v>
          </cell>
        </row>
        <row r="1765">
          <cell r="E1765" t="str">
            <v>153665-8</v>
          </cell>
          <cell r="F1765">
            <v>10016341</v>
          </cell>
          <cell r="G1765">
            <v>40007519</v>
          </cell>
        </row>
        <row r="1766">
          <cell r="E1766" t="str">
            <v>188370-8</v>
          </cell>
          <cell r="F1766">
            <v>10034990</v>
          </cell>
          <cell r="G1766">
            <v>40008101</v>
          </cell>
        </row>
        <row r="1767">
          <cell r="E1767" t="str">
            <v>188446-1</v>
          </cell>
          <cell r="F1767">
            <v>10064428</v>
          </cell>
          <cell r="G1767">
            <v>40006371</v>
          </cell>
        </row>
        <row r="1768">
          <cell r="E1768" t="str">
            <v>313084-2</v>
          </cell>
          <cell r="F1768">
            <v>10033755</v>
          </cell>
          <cell r="G1768">
            <v>40007210</v>
          </cell>
        </row>
        <row r="1769">
          <cell r="E1769" t="str">
            <v>310005-5</v>
          </cell>
          <cell r="F1769">
            <v>10002177</v>
          </cell>
        </row>
        <row r="1770">
          <cell r="E1770" t="str">
            <v>JM23100124</v>
          </cell>
          <cell r="F1770">
            <v>10063042</v>
          </cell>
          <cell r="G1770">
            <v>40006016</v>
          </cell>
        </row>
        <row r="1771">
          <cell r="E1771" t="str">
            <v>JM23100350</v>
          </cell>
          <cell r="F1771">
            <v>10062957</v>
          </cell>
        </row>
        <row r="1772">
          <cell r="E1772" t="str">
            <v>325125-2</v>
          </cell>
          <cell r="F1772">
            <v>10002134</v>
          </cell>
          <cell r="G1772">
            <v>40007608</v>
          </cell>
        </row>
        <row r="1773">
          <cell r="E1773" t="str">
            <v>JM27000101</v>
          </cell>
          <cell r="F1773">
            <v>10050401</v>
          </cell>
          <cell r="G1773">
            <v>40007944</v>
          </cell>
        </row>
        <row r="1774">
          <cell r="E1774" t="str">
            <v>JM23100191</v>
          </cell>
          <cell r="F1774">
            <v>10058420</v>
          </cell>
          <cell r="G1774">
            <v>40005734</v>
          </cell>
        </row>
        <row r="1775">
          <cell r="E1775">
            <v>671015252</v>
          </cell>
          <cell r="F1775">
            <v>10097358</v>
          </cell>
          <cell r="G1775">
            <v>40005903</v>
          </cell>
        </row>
        <row r="1776">
          <cell r="E1776" t="str">
            <v>342505-7</v>
          </cell>
          <cell r="F1776">
            <v>10001076</v>
          </cell>
          <cell r="G1776">
            <v>40007359</v>
          </cell>
        </row>
        <row r="1777">
          <cell r="E1777">
            <v>119.256</v>
          </cell>
          <cell r="F1777">
            <v>10049600</v>
          </cell>
          <cell r="G1777">
            <v>40007874</v>
          </cell>
        </row>
        <row r="1778">
          <cell r="E1778">
            <v>128.14699999999999</v>
          </cell>
          <cell r="F1778">
            <v>10049597</v>
          </cell>
          <cell r="G1778">
            <v>40007871</v>
          </cell>
        </row>
        <row r="1779">
          <cell r="E1779" t="str">
            <v>B-49703</v>
          </cell>
          <cell r="F1779">
            <v>10070178</v>
          </cell>
          <cell r="G1779">
            <v>40006719</v>
          </cell>
        </row>
        <row r="1780">
          <cell r="E1780" t="str">
            <v>B-49719</v>
          </cell>
          <cell r="F1780">
            <v>10070177</v>
          </cell>
          <cell r="G1780">
            <v>40006463</v>
          </cell>
        </row>
        <row r="1781">
          <cell r="E1781" t="str">
            <v>JM23100108</v>
          </cell>
          <cell r="F1781">
            <v>10063036</v>
          </cell>
          <cell r="G1781">
            <v>40006013</v>
          </cell>
        </row>
        <row r="1782">
          <cell r="E1782" t="str">
            <v>152362-3</v>
          </cell>
          <cell r="F1782">
            <v>10002144</v>
          </cell>
          <cell r="G1782">
            <v>40007620</v>
          </cell>
        </row>
        <row r="1783">
          <cell r="E1783" t="str">
            <v>317854-1</v>
          </cell>
          <cell r="F1783">
            <v>10045848</v>
          </cell>
        </row>
        <row r="1784">
          <cell r="E1784" t="str">
            <v>450672-5</v>
          </cell>
          <cell r="F1784">
            <v>10054829</v>
          </cell>
          <cell r="G1784">
            <v>40006129</v>
          </cell>
        </row>
        <row r="1785">
          <cell r="E1785" t="str">
            <v>140944-3</v>
          </cell>
          <cell r="F1785">
            <v>10050407</v>
          </cell>
          <cell r="G1785">
            <v>40007949</v>
          </cell>
        </row>
        <row r="1786">
          <cell r="E1786" t="str">
            <v>152198-0</v>
          </cell>
          <cell r="F1786">
            <v>10038949</v>
          </cell>
          <cell r="G1786">
            <v>40008034</v>
          </cell>
        </row>
        <row r="1787">
          <cell r="E1787" t="str">
            <v>152565-9</v>
          </cell>
          <cell r="F1787">
            <v>10001330</v>
          </cell>
          <cell r="G1787">
            <v>40007104</v>
          </cell>
        </row>
        <row r="1788">
          <cell r="E1788" t="str">
            <v>153746-8</v>
          </cell>
          <cell r="F1788">
            <v>10035300</v>
          </cell>
          <cell r="G1788">
            <v>40008171</v>
          </cell>
        </row>
        <row r="1789">
          <cell r="E1789" t="str">
            <v>344688-9</v>
          </cell>
          <cell r="F1789">
            <v>10062559</v>
          </cell>
          <cell r="G1789">
            <v>40005607</v>
          </cell>
        </row>
        <row r="1790">
          <cell r="E1790" t="str">
            <v>168426-3</v>
          </cell>
          <cell r="F1790">
            <v>10056255</v>
          </cell>
          <cell r="G1790">
            <v>40005659</v>
          </cell>
        </row>
        <row r="1791">
          <cell r="E1791" t="str">
            <v>424131-5</v>
          </cell>
          <cell r="F1791">
            <v>10034201</v>
          </cell>
          <cell r="G1791">
            <v>40007727</v>
          </cell>
        </row>
        <row r="1792">
          <cell r="E1792">
            <v>225213050</v>
          </cell>
          <cell r="F1792">
            <v>10001299</v>
          </cell>
          <cell r="G1792">
            <v>40007081</v>
          </cell>
        </row>
        <row r="1793">
          <cell r="E1793" t="str">
            <v>168321-7</v>
          </cell>
          <cell r="F1793">
            <v>10062558</v>
          </cell>
          <cell r="G1793">
            <v>40005606</v>
          </cell>
        </row>
        <row r="1794">
          <cell r="E1794" t="str">
            <v>JM27000294</v>
          </cell>
          <cell r="F1794">
            <v>10046036</v>
          </cell>
          <cell r="G1794">
            <v>40006932</v>
          </cell>
        </row>
        <row r="1795">
          <cell r="E1795" t="str">
            <v>643552-4</v>
          </cell>
          <cell r="F1795">
            <v>10001113</v>
          </cell>
          <cell r="G1795">
            <v>40003877</v>
          </cell>
        </row>
        <row r="1796">
          <cell r="E1796" t="str">
            <v>643601-7</v>
          </cell>
          <cell r="F1796">
            <v>10042024</v>
          </cell>
          <cell r="G1796">
            <v>40006747</v>
          </cell>
        </row>
        <row r="1797">
          <cell r="E1797" t="str">
            <v>632K62-2</v>
          </cell>
          <cell r="F1797">
            <v>10076946</v>
          </cell>
          <cell r="G1797">
            <v>40006197</v>
          </cell>
        </row>
        <row r="1798">
          <cell r="E1798" t="str">
            <v>638387-6</v>
          </cell>
          <cell r="F1798">
            <v>10034577</v>
          </cell>
          <cell r="G1798">
            <v>40008098</v>
          </cell>
        </row>
        <row r="1799">
          <cell r="E1799" t="str">
            <v>638447-4</v>
          </cell>
          <cell r="F1799">
            <v>10038938</v>
          </cell>
          <cell r="G1799">
            <v>40008025</v>
          </cell>
        </row>
        <row r="1800">
          <cell r="E1800" t="str">
            <v>638500-6</v>
          </cell>
          <cell r="F1800">
            <v>10002161</v>
          </cell>
          <cell r="G1800">
            <v>40007652</v>
          </cell>
        </row>
        <row r="1801">
          <cell r="E1801" t="str">
            <v>643566-3</v>
          </cell>
          <cell r="F1801">
            <v>10050907</v>
          </cell>
          <cell r="G1801">
            <v>40006854</v>
          </cell>
        </row>
        <row r="1802">
          <cell r="E1802" t="str">
            <v>643818-2</v>
          </cell>
          <cell r="F1802">
            <v>10050930</v>
          </cell>
          <cell r="G1802">
            <v>40006876</v>
          </cell>
        </row>
        <row r="1803">
          <cell r="E1803" t="str">
            <v>643823-9</v>
          </cell>
          <cell r="F1803">
            <v>10050931</v>
          </cell>
          <cell r="G1803">
            <v>40006877</v>
          </cell>
        </row>
        <row r="1804">
          <cell r="E1804" t="str">
            <v>643923-5</v>
          </cell>
          <cell r="F1804">
            <v>10002261</v>
          </cell>
          <cell r="G1804">
            <v>40007703</v>
          </cell>
        </row>
        <row r="1805">
          <cell r="E1805" t="str">
            <v>643932-4</v>
          </cell>
          <cell r="F1805">
            <v>10084092</v>
          </cell>
          <cell r="G1805">
            <v>40006261</v>
          </cell>
        </row>
        <row r="1806">
          <cell r="E1806" t="str">
            <v>643988-7</v>
          </cell>
          <cell r="F1806">
            <v>10002257</v>
          </cell>
        </row>
        <row r="1807">
          <cell r="E1807" t="str">
            <v>643989-5</v>
          </cell>
          <cell r="F1807">
            <v>10084057</v>
          </cell>
          <cell r="G1807">
            <v>40006224</v>
          </cell>
        </row>
        <row r="1808">
          <cell r="E1808" t="str">
            <v>638643-4</v>
          </cell>
          <cell r="F1808">
            <v>10050924</v>
          </cell>
          <cell r="G1808">
            <v>40006870</v>
          </cell>
        </row>
        <row r="1809">
          <cell r="E1809" t="str">
            <v>643700-5</v>
          </cell>
          <cell r="F1809">
            <v>10002153</v>
          </cell>
          <cell r="G1809">
            <v>40007633</v>
          </cell>
        </row>
        <row r="1810">
          <cell r="E1810" t="str">
            <v>643750-0</v>
          </cell>
          <cell r="F1810">
            <v>10002254</v>
          </cell>
          <cell r="G1810">
            <v>40007698</v>
          </cell>
        </row>
        <row r="1811">
          <cell r="E1811" t="str">
            <v>643928-5</v>
          </cell>
          <cell r="F1811">
            <v>10064611</v>
          </cell>
          <cell r="G1811">
            <v>40006390</v>
          </cell>
        </row>
        <row r="1812">
          <cell r="E1812" t="str">
            <v>643941-3</v>
          </cell>
          <cell r="F1812">
            <v>10050932</v>
          </cell>
          <cell r="G1812">
            <v>40006878</v>
          </cell>
        </row>
        <row r="1813">
          <cell r="E1813" t="str">
            <v>643987-9</v>
          </cell>
          <cell r="F1813">
            <v>10044765</v>
          </cell>
          <cell r="G1813">
            <v>40006801</v>
          </cell>
        </row>
        <row r="1814">
          <cell r="E1814" t="str">
            <v>638494-5</v>
          </cell>
          <cell r="F1814">
            <v>10050071</v>
          </cell>
          <cell r="G1814">
            <v>40007889</v>
          </cell>
        </row>
        <row r="1815">
          <cell r="E1815" t="str">
            <v>638655-7</v>
          </cell>
          <cell r="F1815">
            <v>10050111</v>
          </cell>
          <cell r="G1815">
            <v>40007928</v>
          </cell>
        </row>
        <row r="1816">
          <cell r="E1816" t="str">
            <v>632F22-4</v>
          </cell>
          <cell r="F1816">
            <v>10067203</v>
          </cell>
          <cell r="G1816">
            <v>40006446</v>
          </cell>
        </row>
        <row r="1817">
          <cell r="E1817" t="str">
            <v>632G49-0</v>
          </cell>
          <cell r="F1817">
            <v>10059218</v>
          </cell>
          <cell r="G1817">
            <v>40006296</v>
          </cell>
        </row>
        <row r="1818">
          <cell r="E1818" t="str">
            <v>416292-5</v>
          </cell>
          <cell r="F1818">
            <v>10002163</v>
          </cell>
          <cell r="G1818">
            <v>40007655</v>
          </cell>
        </row>
        <row r="1819">
          <cell r="E1819" t="str">
            <v>643760-7</v>
          </cell>
          <cell r="F1819">
            <v>10093989</v>
          </cell>
          <cell r="G1819">
            <v>40005886</v>
          </cell>
        </row>
        <row r="1820">
          <cell r="E1820" t="str">
            <v>643605-9</v>
          </cell>
          <cell r="F1820">
            <v>10002253</v>
          </cell>
          <cell r="G1820">
            <v>40007697</v>
          </cell>
        </row>
        <row r="1821">
          <cell r="E1821" t="str">
            <v>638747-2</v>
          </cell>
          <cell r="F1821">
            <v>10062935</v>
          </cell>
          <cell r="G1821">
            <v>40005951</v>
          </cell>
        </row>
        <row r="1822">
          <cell r="E1822" t="str">
            <v>643550-8</v>
          </cell>
          <cell r="F1822">
            <v>10001078</v>
          </cell>
          <cell r="G1822">
            <v>40007360</v>
          </cell>
        </row>
        <row r="1823">
          <cell r="E1823" t="str">
            <v>638424-6</v>
          </cell>
          <cell r="F1823">
            <v>10050973</v>
          </cell>
          <cell r="G1823">
            <v>40006892</v>
          </cell>
        </row>
        <row r="1824">
          <cell r="E1824" t="str">
            <v>643650-4</v>
          </cell>
          <cell r="F1824">
            <v>10001080</v>
          </cell>
          <cell r="G1824">
            <v>40007362</v>
          </cell>
        </row>
        <row r="1825">
          <cell r="E1825" t="str">
            <v>418681-0</v>
          </cell>
          <cell r="F1825">
            <v>10050912</v>
          </cell>
          <cell r="G1825">
            <v>40006859</v>
          </cell>
        </row>
        <row r="1826">
          <cell r="E1826" t="str">
            <v>419716-0</v>
          </cell>
          <cell r="F1826">
            <v>10063022</v>
          </cell>
          <cell r="G1826">
            <v>40006005</v>
          </cell>
        </row>
        <row r="1827">
          <cell r="E1827" t="str">
            <v>AL00000013</v>
          </cell>
          <cell r="F1827">
            <v>10040951</v>
          </cell>
          <cell r="G1827">
            <v>40006740</v>
          </cell>
        </row>
        <row r="1828">
          <cell r="E1828" t="str">
            <v>D-15285</v>
          </cell>
          <cell r="F1828">
            <v>10001066</v>
          </cell>
          <cell r="G1828">
            <v>40007353</v>
          </cell>
        </row>
        <row r="1829">
          <cell r="E1829" t="str">
            <v>D-17631</v>
          </cell>
          <cell r="F1829">
            <v>10001281</v>
          </cell>
          <cell r="G1829">
            <v>40007069</v>
          </cell>
        </row>
        <row r="1830">
          <cell r="E1830" t="str">
            <v>A0309-0011</v>
          </cell>
          <cell r="F1830">
            <v>10050099</v>
          </cell>
          <cell r="G1830">
            <v>40007914</v>
          </cell>
        </row>
        <row r="1831">
          <cell r="E1831" t="str">
            <v>424109-8</v>
          </cell>
          <cell r="F1831">
            <v>10067192</v>
          </cell>
          <cell r="G1831">
            <v>40006441</v>
          </cell>
        </row>
        <row r="1832">
          <cell r="E1832" t="str">
            <v>346556-2</v>
          </cell>
          <cell r="F1832">
            <v>10062972</v>
          </cell>
          <cell r="G1832">
            <v>40005966</v>
          </cell>
        </row>
        <row r="1833">
          <cell r="E1833" t="str">
            <v>233951-4</v>
          </cell>
          <cell r="F1833">
            <v>10049791</v>
          </cell>
          <cell r="G1833">
            <v>40007884</v>
          </cell>
        </row>
        <row r="1834">
          <cell r="E1834" t="str">
            <v>912117-6</v>
          </cell>
          <cell r="F1834">
            <v>10047914</v>
          </cell>
          <cell r="G1834">
            <v>40006984</v>
          </cell>
        </row>
        <row r="1835">
          <cell r="E1835">
            <v>38162024</v>
          </cell>
          <cell r="F1835">
            <v>10065797</v>
          </cell>
          <cell r="G1835">
            <v>40006426</v>
          </cell>
        </row>
        <row r="1836">
          <cell r="E1836" t="str">
            <v>168601-1</v>
          </cell>
          <cell r="F1836">
            <v>10062932</v>
          </cell>
          <cell r="G1836">
            <v>40005949</v>
          </cell>
        </row>
        <row r="1837">
          <cell r="E1837" t="str">
            <v>CB-204</v>
          </cell>
          <cell r="F1837">
            <v>10026417</v>
          </cell>
          <cell r="G1837">
            <v>40007308</v>
          </cell>
        </row>
        <row r="1838">
          <cell r="E1838" t="str">
            <v>313165-2</v>
          </cell>
          <cell r="F1838">
            <v>10062603</v>
          </cell>
          <cell r="G1838">
            <v>40005641</v>
          </cell>
        </row>
        <row r="1839">
          <cell r="E1839" t="str">
            <v>417405-1</v>
          </cell>
          <cell r="F1839">
            <v>10016543</v>
          </cell>
          <cell r="G1839">
            <v>40007532</v>
          </cell>
        </row>
        <row r="1840">
          <cell r="E1840" t="str">
            <v>451044-7</v>
          </cell>
          <cell r="F1840">
            <v>10084094</v>
          </cell>
          <cell r="G1840">
            <v>40006265</v>
          </cell>
        </row>
        <row r="1841">
          <cell r="E1841" t="str">
            <v>223137-8</v>
          </cell>
          <cell r="F1841">
            <v>10074953</v>
          </cell>
          <cell r="G1841">
            <v>40006188</v>
          </cell>
        </row>
        <row r="1842">
          <cell r="E1842" t="str">
            <v>153120-0</v>
          </cell>
          <cell r="F1842">
            <v>10001296</v>
          </cell>
          <cell r="G1842">
            <v>40007079</v>
          </cell>
        </row>
        <row r="1843">
          <cell r="E1843" t="str">
            <v>141165-0</v>
          </cell>
          <cell r="F1843">
            <v>10062436</v>
          </cell>
          <cell r="G1843">
            <v>40011158</v>
          </cell>
        </row>
        <row r="1844">
          <cell r="E1844" t="str">
            <v>141899-5</v>
          </cell>
          <cell r="F1844">
            <v>10047922</v>
          </cell>
          <cell r="G1844">
            <v>40006991</v>
          </cell>
        </row>
        <row r="1845">
          <cell r="E1845" t="str">
            <v>414546-4</v>
          </cell>
          <cell r="F1845">
            <v>10002197</v>
          </cell>
          <cell r="G1845">
            <v>40007671</v>
          </cell>
        </row>
        <row r="1846">
          <cell r="E1846" t="str">
            <v>453786-9</v>
          </cell>
          <cell r="F1846">
            <v>10051018</v>
          </cell>
          <cell r="G1846">
            <v>40006924</v>
          </cell>
        </row>
        <row r="1847">
          <cell r="E1847" t="str">
            <v>324668-1</v>
          </cell>
          <cell r="F1847">
            <v>10028288</v>
          </cell>
          <cell r="G1847">
            <v>40010782</v>
          </cell>
        </row>
        <row r="1848">
          <cell r="E1848" t="str">
            <v>326448-1</v>
          </cell>
          <cell r="F1848">
            <v>10074928</v>
          </cell>
          <cell r="G1848">
            <v>40006172</v>
          </cell>
        </row>
        <row r="1849">
          <cell r="E1849" t="str">
            <v>421563-7</v>
          </cell>
          <cell r="F1849">
            <v>10001321</v>
          </cell>
          <cell r="G1849">
            <v>40007098</v>
          </cell>
        </row>
        <row r="1850">
          <cell r="E1850" t="str">
            <v>242054-3</v>
          </cell>
          <cell r="F1850">
            <v>10022548</v>
          </cell>
          <cell r="G1850">
            <v>40007574</v>
          </cell>
        </row>
        <row r="1851">
          <cell r="E1851" t="str">
            <v>286265-0</v>
          </cell>
          <cell r="F1851">
            <v>10002610</v>
          </cell>
          <cell r="G1851">
            <v>40008197</v>
          </cell>
        </row>
        <row r="1852">
          <cell r="E1852" t="str">
            <v>424087-2</v>
          </cell>
          <cell r="F1852">
            <v>10049573</v>
          </cell>
          <cell r="G1852">
            <v>40007851</v>
          </cell>
        </row>
        <row r="1853">
          <cell r="E1853" t="str">
            <v>286263-4</v>
          </cell>
          <cell r="F1853">
            <v>10025680</v>
          </cell>
          <cell r="G1853">
            <v>40007277</v>
          </cell>
        </row>
        <row r="1854">
          <cell r="E1854" t="str">
            <v>286288-8</v>
          </cell>
          <cell r="F1854">
            <v>10050109</v>
          </cell>
          <cell r="G1854">
            <v>40007924</v>
          </cell>
        </row>
        <row r="1855">
          <cell r="E1855" t="str">
            <v>416274-7</v>
          </cell>
          <cell r="F1855">
            <v>10035465</v>
          </cell>
          <cell r="G1855">
            <v>40007967</v>
          </cell>
        </row>
        <row r="1856">
          <cell r="E1856" t="str">
            <v>416972-3</v>
          </cell>
          <cell r="F1856">
            <v>10030437</v>
          </cell>
          <cell r="G1856">
            <v>40007155</v>
          </cell>
        </row>
        <row r="1857">
          <cell r="E1857" t="str">
            <v>419589-1</v>
          </cell>
          <cell r="F1857">
            <v>10049584</v>
          </cell>
          <cell r="G1857">
            <v>40007864</v>
          </cell>
        </row>
        <row r="1858">
          <cell r="E1858" t="str">
            <v>135414-5</v>
          </cell>
          <cell r="F1858">
            <v>10062552</v>
          </cell>
          <cell r="G1858">
            <v>40005602</v>
          </cell>
        </row>
        <row r="1859">
          <cell r="E1859" t="str">
            <v>251918-0</v>
          </cell>
          <cell r="F1859">
            <v>10001314</v>
          </cell>
          <cell r="G1859">
            <v>40007091</v>
          </cell>
        </row>
        <row r="1860">
          <cell r="E1860" t="str">
            <v>266237-1</v>
          </cell>
          <cell r="F1860">
            <v>10049604</v>
          </cell>
          <cell r="G1860">
            <v>40007878</v>
          </cell>
        </row>
        <row r="1861">
          <cell r="E1861" t="str">
            <v>AL00000030</v>
          </cell>
          <cell r="F1861">
            <v>10045816</v>
          </cell>
          <cell r="G1861">
            <v>40006838</v>
          </cell>
        </row>
        <row r="1862">
          <cell r="E1862" t="str">
            <v>AL00000075</v>
          </cell>
          <cell r="F1862">
            <v>10045817</v>
          </cell>
          <cell r="G1862">
            <v>40006840</v>
          </cell>
        </row>
        <row r="1863">
          <cell r="E1863">
            <v>3640910</v>
          </cell>
          <cell r="F1863">
            <v>10062591</v>
          </cell>
          <cell r="G1863">
            <v>40005630</v>
          </cell>
        </row>
        <row r="1864">
          <cell r="E1864" t="str">
            <v>AL00000095</v>
          </cell>
          <cell r="F1864">
            <v>10090072</v>
          </cell>
          <cell r="G1864">
            <v>40008532</v>
          </cell>
        </row>
        <row r="1865">
          <cell r="E1865" t="str">
            <v>CB-55</v>
          </cell>
          <cell r="F1865">
            <v>10035278</v>
          </cell>
          <cell r="G1865">
            <v>40008138</v>
          </cell>
        </row>
        <row r="1866">
          <cell r="E1866" t="str">
            <v>CB-100</v>
          </cell>
          <cell r="G1866">
            <v>40010575</v>
          </cell>
        </row>
        <row r="1867">
          <cell r="E1867" t="str">
            <v>CB-105</v>
          </cell>
          <cell r="F1867">
            <v>10016541</v>
          </cell>
          <cell r="G1867">
            <v>40007530</v>
          </cell>
        </row>
        <row r="1868">
          <cell r="E1868" t="str">
            <v>CB-113</v>
          </cell>
          <cell r="F1868">
            <v>10049020</v>
          </cell>
          <cell r="G1868">
            <v>40007011</v>
          </cell>
        </row>
        <row r="1869">
          <cell r="E1869" t="str">
            <v>CB-153</v>
          </cell>
          <cell r="F1869">
            <v>10021592</v>
          </cell>
          <cell r="G1869">
            <v>40007546</v>
          </cell>
        </row>
        <row r="1870">
          <cell r="E1870" t="str">
            <v>CB-155</v>
          </cell>
          <cell r="F1870">
            <v>10021593</v>
          </cell>
          <cell r="G1870">
            <v>40007547</v>
          </cell>
        </row>
        <row r="1871">
          <cell r="E1871" t="str">
            <v>CB-173</v>
          </cell>
          <cell r="F1871">
            <v>10049022</v>
          </cell>
          <cell r="G1871">
            <v>40007013</v>
          </cell>
        </row>
        <row r="1872">
          <cell r="E1872" t="str">
            <v>CB-175</v>
          </cell>
          <cell r="F1872">
            <v>10038937</v>
          </cell>
          <cell r="G1872">
            <v>40008024</v>
          </cell>
        </row>
        <row r="1873">
          <cell r="E1873" t="str">
            <v>191953-5</v>
          </cell>
          <cell r="F1873">
            <v>10084328</v>
          </cell>
          <cell r="G1873">
            <v>40006712</v>
          </cell>
        </row>
        <row r="1874">
          <cell r="E1874" t="str">
            <v>CB-251</v>
          </cell>
          <cell r="F1874">
            <v>10000949</v>
          </cell>
          <cell r="G1874">
            <v>40007800</v>
          </cell>
        </row>
        <row r="1875">
          <cell r="E1875" t="str">
            <v>CB-253</v>
          </cell>
          <cell r="F1875">
            <v>10049021</v>
          </cell>
          <cell r="G1875">
            <v>40007012</v>
          </cell>
        </row>
        <row r="1876">
          <cell r="E1876" t="str">
            <v>CB-303</v>
          </cell>
          <cell r="F1876">
            <v>10021595</v>
          </cell>
          <cell r="G1876">
            <v>40007548</v>
          </cell>
        </row>
        <row r="1877">
          <cell r="E1877" t="str">
            <v>CB-318</v>
          </cell>
          <cell r="F1877">
            <v>10001259</v>
          </cell>
          <cell r="G1877">
            <v>40007057</v>
          </cell>
        </row>
        <row r="1878">
          <cell r="E1878" t="str">
            <v>CB-325</v>
          </cell>
          <cell r="F1878">
            <v>10038936</v>
          </cell>
          <cell r="G1878">
            <v>40008023</v>
          </cell>
        </row>
        <row r="1879">
          <cell r="E1879" t="str">
            <v>CB-350</v>
          </cell>
          <cell r="F1879">
            <v>10002165</v>
          </cell>
          <cell r="G1879">
            <v>40007658</v>
          </cell>
        </row>
        <row r="1880">
          <cell r="E1880" t="str">
            <v>CB-411</v>
          </cell>
          <cell r="F1880">
            <v>10000945</v>
          </cell>
          <cell r="G1880">
            <v>40007797</v>
          </cell>
        </row>
        <row r="1881">
          <cell r="E1881" t="str">
            <v>CB-415</v>
          </cell>
          <cell r="F1881">
            <v>10021597</v>
          </cell>
          <cell r="G1881">
            <v>40007550</v>
          </cell>
        </row>
        <row r="1882">
          <cell r="E1882" t="str">
            <v>CB-419</v>
          </cell>
          <cell r="F1882">
            <v>10004544</v>
          </cell>
          <cell r="G1882">
            <v>40008247</v>
          </cell>
        </row>
        <row r="1883">
          <cell r="E1883" t="str">
            <v>CB-430</v>
          </cell>
          <cell r="F1883">
            <v>10000948</v>
          </cell>
          <cell r="G1883">
            <v>40007799</v>
          </cell>
        </row>
        <row r="1884">
          <cell r="E1884" t="str">
            <v>CB-434</v>
          </cell>
          <cell r="F1884">
            <v>10049019</v>
          </cell>
          <cell r="G1884">
            <v>40007010</v>
          </cell>
        </row>
        <row r="1885">
          <cell r="E1885" t="str">
            <v>CB-441</v>
          </cell>
          <cell r="F1885">
            <v>10049018</v>
          </cell>
          <cell r="G1885">
            <v>40007009</v>
          </cell>
        </row>
        <row r="1886">
          <cell r="E1886" t="str">
            <v>CB-442</v>
          </cell>
          <cell r="F1886">
            <v>10049016</v>
          </cell>
          <cell r="G1886">
            <v>40007008</v>
          </cell>
        </row>
        <row r="1887">
          <cell r="E1887" t="str">
            <v>CB-459</v>
          </cell>
          <cell r="F1887">
            <v>10023866</v>
          </cell>
          <cell r="G1887">
            <v>40007657</v>
          </cell>
        </row>
        <row r="1888">
          <cell r="E1888" t="str">
            <v>CB-51</v>
          </cell>
          <cell r="F1888">
            <v>10023141</v>
          </cell>
          <cell r="G1888">
            <v>40007617</v>
          </cell>
        </row>
        <row r="1889">
          <cell r="E1889" t="str">
            <v>CB-64</v>
          </cell>
          <cell r="F1889">
            <v>10004545</v>
          </cell>
          <cell r="G1889">
            <v>40008248</v>
          </cell>
        </row>
        <row r="1890">
          <cell r="E1890" t="str">
            <v>CB-65</v>
          </cell>
          <cell r="F1890">
            <v>10000941</v>
          </cell>
          <cell r="G1890">
            <v>40007796</v>
          </cell>
        </row>
        <row r="1891">
          <cell r="E1891" t="str">
            <v>CB-70</v>
          </cell>
          <cell r="F1891">
            <v>10000934</v>
          </cell>
          <cell r="G1891">
            <v>40007795</v>
          </cell>
        </row>
        <row r="1892">
          <cell r="E1892" t="str">
            <v>CB-85</v>
          </cell>
          <cell r="F1892">
            <v>10023142</v>
          </cell>
          <cell r="G1892">
            <v>40007619</v>
          </cell>
        </row>
        <row r="1893">
          <cell r="E1893" t="str">
            <v>JM23000123</v>
          </cell>
          <cell r="F1893">
            <v>10024208</v>
          </cell>
          <cell r="G1893">
            <v>40007239</v>
          </cell>
        </row>
        <row r="1894">
          <cell r="E1894" t="str">
            <v>CB-106</v>
          </cell>
          <cell r="F1894">
            <v>10087915</v>
          </cell>
          <cell r="G1894">
            <v>40005843</v>
          </cell>
        </row>
        <row r="1895">
          <cell r="E1895" t="str">
            <v>423036-6</v>
          </cell>
          <cell r="F1895">
            <v>10097356</v>
          </cell>
          <cell r="G1895">
            <v>40005901</v>
          </cell>
        </row>
        <row r="1896">
          <cell r="E1896">
            <v>36153910</v>
          </cell>
          <cell r="F1896">
            <v>10033744</v>
          </cell>
          <cell r="G1896">
            <v>40007203</v>
          </cell>
        </row>
        <row r="1897">
          <cell r="E1897">
            <v>38153511</v>
          </cell>
          <cell r="F1897">
            <v>10045808</v>
          </cell>
          <cell r="G1897">
            <v>40006827</v>
          </cell>
        </row>
        <row r="1898">
          <cell r="E1898">
            <v>957151700</v>
          </cell>
          <cell r="F1898">
            <v>10051502</v>
          </cell>
          <cell r="G1898">
            <v>40006937</v>
          </cell>
        </row>
        <row r="1899">
          <cell r="E1899" t="str">
            <v>161370-3</v>
          </cell>
          <cell r="F1899">
            <v>10062608</v>
          </cell>
          <cell r="G1899">
            <v>40005647</v>
          </cell>
        </row>
        <row r="1900">
          <cell r="E1900" t="str">
            <v>168421-3</v>
          </cell>
          <cell r="F1900">
            <v>10035318</v>
          </cell>
          <cell r="G1900">
            <v>40007963</v>
          </cell>
        </row>
        <row r="1901">
          <cell r="E1901" t="str">
            <v>168561-7</v>
          </cell>
          <cell r="F1901">
            <v>10097868</v>
          </cell>
          <cell r="G1901">
            <v>40005905</v>
          </cell>
        </row>
        <row r="1902">
          <cell r="E1902" t="str">
            <v>168848-7</v>
          </cell>
          <cell r="F1902">
            <v>10038749</v>
          </cell>
          <cell r="G1902">
            <v>40008019</v>
          </cell>
        </row>
        <row r="1903">
          <cell r="E1903" t="str">
            <v>S-799869</v>
          </cell>
          <cell r="F1903">
            <v>10064624</v>
          </cell>
          <cell r="G1903">
            <v>40006400</v>
          </cell>
        </row>
        <row r="1904">
          <cell r="E1904">
            <v>38153515</v>
          </cell>
          <cell r="F1904">
            <v>10098929</v>
          </cell>
          <cell r="G1904">
            <v>40005923</v>
          </cell>
        </row>
        <row r="1905">
          <cell r="E1905" t="str">
            <v>152253-8</v>
          </cell>
          <cell r="F1905">
            <v>10022265</v>
          </cell>
          <cell r="G1905">
            <v>40007564</v>
          </cell>
        </row>
        <row r="1906">
          <cell r="E1906" t="str">
            <v>344641-5</v>
          </cell>
          <cell r="F1906">
            <v>10001344</v>
          </cell>
          <cell r="G1906">
            <v>40007112</v>
          </cell>
        </row>
        <row r="1907">
          <cell r="E1907" t="str">
            <v>344473-0</v>
          </cell>
          <cell r="F1907">
            <v>10002287</v>
          </cell>
          <cell r="G1907">
            <v>40007720</v>
          </cell>
        </row>
        <row r="1908">
          <cell r="E1908" t="str">
            <v>345585-2</v>
          </cell>
          <cell r="F1908">
            <v>10002303</v>
          </cell>
          <cell r="G1908">
            <v>40007733</v>
          </cell>
        </row>
        <row r="1909">
          <cell r="E1909" t="str">
            <v>343639-9</v>
          </cell>
          <cell r="F1909">
            <v>10001193</v>
          </cell>
        </row>
        <row r="1910">
          <cell r="E1910" t="str">
            <v>344539-6</v>
          </cell>
          <cell r="F1910">
            <v>10061305</v>
          </cell>
          <cell r="G1910">
            <v>40006343</v>
          </cell>
        </row>
        <row r="1911">
          <cell r="E1911" t="str">
            <v>345589-4</v>
          </cell>
          <cell r="F1911">
            <v>10002396</v>
          </cell>
          <cell r="G1911">
            <v>40008193</v>
          </cell>
        </row>
        <row r="1912">
          <cell r="E1912" t="str">
            <v>346048-1</v>
          </cell>
          <cell r="F1912">
            <v>10059181</v>
          </cell>
          <cell r="G1912">
            <v>40006250</v>
          </cell>
        </row>
        <row r="1913">
          <cell r="E1913" t="str">
            <v>346047-3</v>
          </cell>
          <cell r="F1913">
            <v>10059182</v>
          </cell>
          <cell r="G1913">
            <v>40006252</v>
          </cell>
        </row>
        <row r="1914">
          <cell r="E1914" t="str">
            <v>225508-6</v>
          </cell>
          <cell r="F1914">
            <v>10022759</v>
          </cell>
        </row>
        <row r="1915">
          <cell r="E1915" t="str">
            <v>225520-5</v>
          </cell>
          <cell r="F1915">
            <v>10053569</v>
          </cell>
          <cell r="G1915">
            <v>40006699</v>
          </cell>
        </row>
        <row r="1916">
          <cell r="E1916" t="str">
            <v>225508-5</v>
          </cell>
          <cell r="F1916">
            <v>10051621</v>
          </cell>
          <cell r="G1916">
            <v>40007492</v>
          </cell>
        </row>
        <row r="1917">
          <cell r="E1917">
            <v>27213652</v>
          </cell>
          <cell r="F1917">
            <v>10030852</v>
          </cell>
          <cell r="G1917">
            <v>40007165</v>
          </cell>
        </row>
        <row r="1918">
          <cell r="E1918">
            <v>28213600</v>
          </cell>
          <cell r="F1918">
            <v>10002157</v>
          </cell>
          <cell r="G1918">
            <v>40007641</v>
          </cell>
        </row>
        <row r="1919">
          <cell r="E1919">
            <v>988002656</v>
          </cell>
          <cell r="F1919">
            <v>10024037</v>
          </cell>
        </row>
        <row r="1920">
          <cell r="E1920">
            <v>957213023</v>
          </cell>
          <cell r="F1920">
            <v>10048337</v>
          </cell>
          <cell r="G1920">
            <v>40007003</v>
          </cell>
        </row>
        <row r="1921">
          <cell r="E1921" t="str">
            <v>322951-0</v>
          </cell>
          <cell r="F1921">
            <v>10059183</v>
          </cell>
          <cell r="G1921">
            <v>40006254</v>
          </cell>
        </row>
        <row r="1922">
          <cell r="E1922" t="str">
            <v>419250-0</v>
          </cell>
          <cell r="F1922">
            <v>10031854</v>
          </cell>
          <cell r="G1922">
            <v>40007182</v>
          </cell>
        </row>
        <row r="1923">
          <cell r="E1923" t="str">
            <v>162245-9</v>
          </cell>
          <cell r="F1923">
            <v>10027872</v>
          </cell>
          <cell r="G1923">
            <v>40007328</v>
          </cell>
        </row>
        <row r="1924">
          <cell r="E1924" t="str">
            <v>417819-4</v>
          </cell>
          <cell r="F1924">
            <v>10050900</v>
          </cell>
          <cell r="G1924">
            <v>40006841</v>
          </cell>
        </row>
        <row r="1925">
          <cell r="E1925" t="str">
            <v>418083-0</v>
          </cell>
          <cell r="F1925">
            <v>10026307</v>
          </cell>
          <cell r="G1925">
            <v>40007302</v>
          </cell>
        </row>
        <row r="1926">
          <cell r="E1926" t="str">
            <v>419041-9</v>
          </cell>
          <cell r="F1926">
            <v>10034497</v>
          </cell>
          <cell r="G1926">
            <v>40008094</v>
          </cell>
        </row>
        <row r="1927">
          <cell r="E1927" t="str">
            <v>415619-6</v>
          </cell>
          <cell r="F1927">
            <v>10035098</v>
          </cell>
          <cell r="G1927">
            <v>40008113</v>
          </cell>
        </row>
        <row r="1928">
          <cell r="E1928" t="str">
            <v>455392-6</v>
          </cell>
          <cell r="F1928">
            <v>10074926</v>
          </cell>
          <cell r="G1928">
            <v>40006170</v>
          </cell>
        </row>
        <row r="1929">
          <cell r="E1929" t="str">
            <v>416288-6</v>
          </cell>
          <cell r="F1929">
            <v>10059184</v>
          </cell>
          <cell r="G1929">
            <v>40006256</v>
          </cell>
        </row>
        <row r="1930">
          <cell r="E1930" t="str">
            <v>344419-6</v>
          </cell>
          <cell r="F1930">
            <v>10065790</v>
          </cell>
        </row>
        <row r="1931">
          <cell r="E1931" t="str">
            <v>345228-6</v>
          </cell>
          <cell r="F1931">
            <v>10049023</v>
          </cell>
          <cell r="G1931">
            <v>40007014</v>
          </cell>
        </row>
        <row r="1932">
          <cell r="E1932" t="str">
            <v>345363-0</v>
          </cell>
          <cell r="F1932">
            <v>10034455</v>
          </cell>
          <cell r="G1932">
            <v>40008073</v>
          </cell>
        </row>
        <row r="1933">
          <cell r="E1933" t="str">
            <v>345836-3</v>
          </cell>
          <cell r="F1933">
            <v>10047844</v>
          </cell>
          <cell r="G1933">
            <v>40006978</v>
          </cell>
        </row>
        <row r="1934">
          <cell r="E1934" t="str">
            <v>345944-0</v>
          </cell>
          <cell r="F1934">
            <v>10049557</v>
          </cell>
          <cell r="G1934">
            <v>40007584</v>
          </cell>
        </row>
        <row r="1935">
          <cell r="E1935" t="str">
            <v>346035-0</v>
          </cell>
          <cell r="F1935">
            <v>10035107</v>
          </cell>
          <cell r="G1935">
            <v>40008122</v>
          </cell>
        </row>
        <row r="1936">
          <cell r="E1936" t="str">
            <v>346832-4</v>
          </cell>
          <cell r="F1936">
            <v>10074924</v>
          </cell>
          <cell r="G1936">
            <v>40010375</v>
          </cell>
        </row>
        <row r="1937">
          <cell r="E1937" t="str">
            <v>346833-2</v>
          </cell>
          <cell r="F1937">
            <v>10074925</v>
          </cell>
          <cell r="G1937">
            <v>40010376</v>
          </cell>
        </row>
        <row r="1938">
          <cell r="E1938" t="str">
            <v>331518-3</v>
          </cell>
          <cell r="F1938">
            <v>10062999</v>
          </cell>
          <cell r="G1938">
            <v>40005987</v>
          </cell>
        </row>
        <row r="1939">
          <cell r="E1939" t="str">
            <v>450274-7</v>
          </cell>
          <cell r="F1939">
            <v>10059979</v>
          </cell>
          <cell r="G1939">
            <v>40006307</v>
          </cell>
        </row>
        <row r="1940">
          <cell r="E1940" t="str">
            <v>620026-2</v>
          </cell>
          <cell r="F1940">
            <v>10057254</v>
          </cell>
        </row>
        <row r="1941">
          <cell r="E1941" t="str">
            <v>620067-8</v>
          </cell>
          <cell r="F1941">
            <v>10057252</v>
          </cell>
          <cell r="G1941">
            <v>40005698</v>
          </cell>
        </row>
        <row r="1942">
          <cell r="E1942" t="str">
            <v>631558-4</v>
          </cell>
          <cell r="F1942">
            <v>10057256</v>
          </cell>
        </row>
        <row r="1943">
          <cell r="E1943" t="str">
            <v>631623-9</v>
          </cell>
          <cell r="F1943">
            <v>10057255</v>
          </cell>
          <cell r="G1943">
            <v>40005699</v>
          </cell>
        </row>
        <row r="1944">
          <cell r="E1944" t="str">
            <v>631733-2</v>
          </cell>
          <cell r="F1944">
            <v>10057253</v>
          </cell>
        </row>
        <row r="1945">
          <cell r="E1945" t="str">
            <v>631806-1</v>
          </cell>
          <cell r="F1945">
            <v>10057251</v>
          </cell>
          <cell r="G1945">
            <v>40005697</v>
          </cell>
        </row>
        <row r="1946">
          <cell r="E1946" t="str">
            <v>411650-0</v>
          </cell>
          <cell r="F1946">
            <v>10040776</v>
          </cell>
          <cell r="G1946">
            <v>40008296</v>
          </cell>
        </row>
        <row r="1947">
          <cell r="E1947" t="str">
            <v>451393-2</v>
          </cell>
          <cell r="F1947">
            <v>10057139</v>
          </cell>
          <cell r="G1947">
            <v>40005670</v>
          </cell>
        </row>
        <row r="1948">
          <cell r="E1948" t="str">
            <v>162242-5</v>
          </cell>
          <cell r="F1948">
            <v>10068823</v>
          </cell>
          <cell r="G1948">
            <v>40006461</v>
          </cell>
        </row>
        <row r="1949">
          <cell r="E1949">
            <v>38155052</v>
          </cell>
          <cell r="F1949">
            <v>10031855</v>
          </cell>
          <cell r="G1949">
            <v>40007183</v>
          </cell>
        </row>
        <row r="1950">
          <cell r="E1950">
            <v>28150740</v>
          </cell>
          <cell r="F1950">
            <v>10002374</v>
          </cell>
        </row>
        <row r="1951">
          <cell r="E1951" t="str">
            <v>451533-2</v>
          </cell>
          <cell r="F1951">
            <v>10050110</v>
          </cell>
          <cell r="G1951">
            <v>40007926</v>
          </cell>
        </row>
        <row r="1952">
          <cell r="E1952" t="str">
            <v>763011-3</v>
          </cell>
          <cell r="F1952">
            <v>10084059</v>
          </cell>
        </row>
        <row r="1953">
          <cell r="E1953" t="str">
            <v>766003-1</v>
          </cell>
          <cell r="F1953">
            <v>10046387</v>
          </cell>
          <cell r="G1953">
            <v>40006952</v>
          </cell>
        </row>
        <row r="1954">
          <cell r="E1954" t="str">
            <v>766013-8</v>
          </cell>
          <cell r="F1954">
            <v>10049558</v>
          </cell>
          <cell r="G1954">
            <v>40007586</v>
          </cell>
        </row>
        <row r="1955">
          <cell r="E1955" t="str">
            <v>417629-9</v>
          </cell>
          <cell r="F1955">
            <v>10025682</v>
          </cell>
          <cell r="G1955">
            <v>40007279</v>
          </cell>
        </row>
        <row r="1956">
          <cell r="E1956" t="str">
            <v>450245-4</v>
          </cell>
          <cell r="F1956">
            <v>10051619</v>
          </cell>
        </row>
        <row r="1957">
          <cell r="E1957" t="str">
            <v>450275-5</v>
          </cell>
          <cell r="F1957">
            <v>10062450</v>
          </cell>
          <cell r="G1957">
            <v>40005576</v>
          </cell>
        </row>
        <row r="1958">
          <cell r="E1958" t="str">
            <v>452986-8</v>
          </cell>
          <cell r="F1958">
            <v>10062934</v>
          </cell>
          <cell r="G1958">
            <v>40005950</v>
          </cell>
        </row>
        <row r="1959">
          <cell r="E1959">
            <v>38310061</v>
          </cell>
          <cell r="F1959">
            <v>10065795</v>
          </cell>
        </row>
        <row r="1960">
          <cell r="E1960" t="str">
            <v>331435-7</v>
          </cell>
          <cell r="F1960">
            <v>10050068</v>
          </cell>
          <cell r="G1960">
            <v>40007887</v>
          </cell>
        </row>
        <row r="1961">
          <cell r="E1961" t="str">
            <v>344333-6</v>
          </cell>
          <cell r="F1961">
            <v>10002292</v>
          </cell>
          <cell r="G1961">
            <v>40007726</v>
          </cell>
        </row>
        <row r="1962">
          <cell r="E1962">
            <v>930304030</v>
          </cell>
          <cell r="F1962">
            <v>10002390</v>
          </cell>
          <cell r="G1962">
            <v>40008188</v>
          </cell>
        </row>
        <row r="1963">
          <cell r="E1963" t="str">
            <v>163107-4</v>
          </cell>
          <cell r="F1963">
            <v>10002186</v>
          </cell>
          <cell r="G1963">
            <v>40007668</v>
          </cell>
        </row>
        <row r="1964">
          <cell r="E1964" t="str">
            <v>153384-6</v>
          </cell>
          <cell r="F1964">
            <v>10001358</v>
          </cell>
          <cell r="G1964">
            <v>40007123</v>
          </cell>
        </row>
        <row r="1965">
          <cell r="E1965" t="str">
            <v>331992-5</v>
          </cell>
          <cell r="F1965">
            <v>10063021</v>
          </cell>
          <cell r="G1965">
            <v>40006004</v>
          </cell>
        </row>
        <row r="1966">
          <cell r="E1966" t="str">
            <v>324848-9</v>
          </cell>
          <cell r="F1966">
            <v>10064597</v>
          </cell>
          <cell r="G1966">
            <v>40006381</v>
          </cell>
        </row>
        <row r="1967">
          <cell r="E1967">
            <v>38180010</v>
          </cell>
          <cell r="F1967">
            <v>10022597</v>
          </cell>
        </row>
        <row r="1968">
          <cell r="E1968" t="str">
            <v>123857-3</v>
          </cell>
          <cell r="F1968">
            <v>10066781</v>
          </cell>
          <cell r="G1968">
            <v>40006439</v>
          </cell>
        </row>
        <row r="1969">
          <cell r="E1969">
            <v>175180101</v>
          </cell>
          <cell r="F1969">
            <v>10058941</v>
          </cell>
        </row>
        <row r="1970">
          <cell r="E1970">
            <v>38180012</v>
          </cell>
          <cell r="F1970">
            <v>10046799</v>
          </cell>
          <cell r="G1970">
            <v>40006955</v>
          </cell>
        </row>
        <row r="1971">
          <cell r="E1971" t="str">
            <v>125757-3</v>
          </cell>
          <cell r="F1971">
            <v>10097869</v>
          </cell>
          <cell r="G1971">
            <v>40005906</v>
          </cell>
        </row>
        <row r="1972">
          <cell r="E1972" t="str">
            <v>331734-7</v>
          </cell>
          <cell r="F1972">
            <v>10035104</v>
          </cell>
          <cell r="G1972">
            <v>40008119</v>
          </cell>
        </row>
        <row r="1973">
          <cell r="E1973" t="str">
            <v>331993-3</v>
          </cell>
          <cell r="F1973">
            <v>10103483</v>
          </cell>
          <cell r="G1973">
            <v>40006482</v>
          </cell>
        </row>
        <row r="1974">
          <cell r="E1974" t="str">
            <v>332125-5</v>
          </cell>
          <cell r="F1974">
            <v>10074930</v>
          </cell>
          <cell r="G1974">
            <v>40006174</v>
          </cell>
        </row>
        <row r="1975">
          <cell r="E1975" t="str">
            <v>168607-9</v>
          </cell>
          <cell r="F1975">
            <v>10047846</v>
          </cell>
          <cell r="G1975">
            <v>40006979</v>
          </cell>
        </row>
        <row r="1976">
          <cell r="E1976" t="str">
            <v>168391-6</v>
          </cell>
          <cell r="F1976">
            <v>10050999</v>
          </cell>
          <cell r="G1976">
            <v>40006909</v>
          </cell>
        </row>
        <row r="1977">
          <cell r="E1977" t="str">
            <v>324140-3</v>
          </cell>
          <cell r="F1977">
            <v>10003821</v>
          </cell>
          <cell r="G1977">
            <v>40008235</v>
          </cell>
        </row>
        <row r="1978">
          <cell r="E1978">
            <v>21180210</v>
          </cell>
          <cell r="F1978">
            <v>10002189</v>
          </cell>
          <cell r="G1978">
            <v>40007669</v>
          </cell>
        </row>
        <row r="1979">
          <cell r="E1979">
            <v>27223101</v>
          </cell>
          <cell r="F1979">
            <v>10001136</v>
          </cell>
          <cell r="G1979">
            <v>40007392</v>
          </cell>
        </row>
        <row r="1980">
          <cell r="E1980">
            <v>28223316</v>
          </cell>
          <cell r="F1980">
            <v>10027523</v>
          </cell>
        </row>
        <row r="1981">
          <cell r="E1981" t="str">
            <v>143339-9</v>
          </cell>
          <cell r="F1981">
            <v>10064419</v>
          </cell>
          <cell r="G1981">
            <v>40006362</v>
          </cell>
        </row>
        <row r="1982">
          <cell r="E1982">
            <v>957223092</v>
          </cell>
          <cell r="F1982">
            <v>10058389</v>
          </cell>
          <cell r="G1982">
            <v>40005719</v>
          </cell>
        </row>
        <row r="1983">
          <cell r="E1983" t="str">
            <v>140484-1</v>
          </cell>
          <cell r="F1983">
            <v>10053991</v>
          </cell>
          <cell r="G1983">
            <v>40006064</v>
          </cell>
        </row>
        <row r="1984">
          <cell r="E1984">
            <v>225223112</v>
          </cell>
          <cell r="F1984">
            <v>10024316</v>
          </cell>
          <cell r="G1984">
            <v>40007240</v>
          </cell>
        </row>
        <row r="1985">
          <cell r="E1985" t="str">
            <v>125331-7</v>
          </cell>
          <cell r="F1985">
            <v>10016544</v>
          </cell>
          <cell r="G1985">
            <v>40007533</v>
          </cell>
        </row>
        <row r="1986">
          <cell r="E1986" t="str">
            <v>165405-2</v>
          </cell>
          <cell r="F1986">
            <v>10051002</v>
          </cell>
          <cell r="G1986">
            <v>40006911</v>
          </cell>
        </row>
        <row r="1987">
          <cell r="E1987" t="str">
            <v>322924-3</v>
          </cell>
          <cell r="F1987">
            <v>10001320</v>
          </cell>
          <cell r="G1987">
            <v>40007097</v>
          </cell>
        </row>
        <row r="1988">
          <cell r="E1988" t="str">
            <v>257683-9</v>
          </cell>
          <cell r="F1988">
            <v>10050990</v>
          </cell>
          <cell r="G1988">
            <v>40006907</v>
          </cell>
        </row>
        <row r="1989">
          <cell r="E1989" t="str">
            <v>763602-0</v>
          </cell>
          <cell r="F1989">
            <v>10028598</v>
          </cell>
          <cell r="G1989">
            <v>40007825</v>
          </cell>
        </row>
        <row r="1990">
          <cell r="E1990" t="str">
            <v>763622-4</v>
          </cell>
          <cell r="F1990">
            <v>10001026</v>
          </cell>
          <cell r="G1990">
            <v>40007332</v>
          </cell>
        </row>
        <row r="1991">
          <cell r="E1991" t="str">
            <v>763637-1</v>
          </cell>
          <cell r="F1991">
            <v>10001028</v>
          </cell>
          <cell r="G1991">
            <v>40010259</v>
          </cell>
        </row>
        <row r="1992">
          <cell r="E1992" t="str">
            <v>763628-2</v>
          </cell>
          <cell r="F1992">
            <v>10001025</v>
          </cell>
          <cell r="G1992">
            <v>40003874</v>
          </cell>
        </row>
        <row r="1993">
          <cell r="E1993" t="str">
            <v>763619-3</v>
          </cell>
          <cell r="F1993">
            <v>10001027</v>
          </cell>
          <cell r="G1993">
            <v>40007333</v>
          </cell>
        </row>
        <row r="1994">
          <cell r="E1994" t="str">
            <v>763661-4</v>
          </cell>
          <cell r="F1994">
            <v>10034580</v>
          </cell>
          <cell r="G1994">
            <v>40008099</v>
          </cell>
        </row>
        <row r="1995">
          <cell r="E1995" t="str">
            <v>763615-1</v>
          </cell>
          <cell r="F1995">
            <v>10053188</v>
          </cell>
          <cell r="G1995">
            <v>40006663</v>
          </cell>
        </row>
        <row r="1996">
          <cell r="E1996" t="str">
            <v>763629-0</v>
          </cell>
          <cell r="F1996">
            <v>10024507</v>
          </cell>
          <cell r="G1996">
            <v>40007252</v>
          </cell>
        </row>
        <row r="1997">
          <cell r="E1997" t="str">
            <v>763811-1</v>
          </cell>
          <cell r="F1997">
            <v>10001051</v>
          </cell>
          <cell r="G1997">
            <v>40003876</v>
          </cell>
        </row>
        <row r="1998">
          <cell r="E1998" t="str">
            <v>763808-0</v>
          </cell>
          <cell r="F1998">
            <v>10014397</v>
          </cell>
          <cell r="G1998">
            <v>40008313</v>
          </cell>
        </row>
        <row r="1999">
          <cell r="E1999" t="str">
            <v>763809-8</v>
          </cell>
          <cell r="F1999">
            <v>10014399</v>
          </cell>
          <cell r="G1999">
            <v>40008314</v>
          </cell>
        </row>
        <row r="2000">
          <cell r="E2000" t="str">
            <v>763806-4</v>
          </cell>
          <cell r="F2000">
            <v>10001114</v>
          </cell>
          <cell r="G2000">
            <v>40003878</v>
          </cell>
        </row>
        <row r="2001">
          <cell r="E2001" t="str">
            <v>233309-7</v>
          </cell>
          <cell r="F2001">
            <v>10034207</v>
          </cell>
          <cell r="G2001">
            <v>40008057</v>
          </cell>
        </row>
        <row r="2002">
          <cell r="E2002" t="str">
            <v>233110-0</v>
          </cell>
          <cell r="F2002">
            <v>10034482</v>
          </cell>
          <cell r="G2002">
            <v>40008083</v>
          </cell>
        </row>
        <row r="2003">
          <cell r="E2003" t="str">
            <v>231397-8</v>
          </cell>
          <cell r="F2003">
            <v>10035293</v>
          </cell>
          <cell r="G2003">
            <v>40008157</v>
          </cell>
        </row>
        <row r="2004">
          <cell r="E2004" t="str">
            <v>234057-1</v>
          </cell>
          <cell r="F2004">
            <v>10035093</v>
          </cell>
          <cell r="G2004">
            <v>40008109</v>
          </cell>
        </row>
        <row r="2005">
          <cell r="E2005" t="str">
            <v>234149-6</v>
          </cell>
          <cell r="F2005">
            <v>10064435</v>
          </cell>
        </row>
        <row r="2006">
          <cell r="E2006" t="str">
            <v>233174-4</v>
          </cell>
          <cell r="F2006">
            <v>10056254</v>
          </cell>
          <cell r="G2006">
            <v>40010378</v>
          </cell>
        </row>
        <row r="2007">
          <cell r="E2007" t="str">
            <v>231457-6</v>
          </cell>
          <cell r="F2007">
            <v>10001361</v>
          </cell>
          <cell r="G2007">
            <v>40007125</v>
          </cell>
        </row>
        <row r="2008">
          <cell r="E2008" t="str">
            <v>233264-3</v>
          </cell>
          <cell r="F2008">
            <v>10053339</v>
          </cell>
          <cell r="G2008">
            <v>40006677</v>
          </cell>
        </row>
        <row r="2009">
          <cell r="E2009" t="str">
            <v>233284-7</v>
          </cell>
          <cell r="F2009">
            <v>10053340</v>
          </cell>
          <cell r="G2009">
            <v>40006678</v>
          </cell>
        </row>
        <row r="2010">
          <cell r="E2010" t="str">
            <v>231131-6</v>
          </cell>
          <cell r="F2010">
            <v>10058955</v>
          </cell>
          <cell r="G2010">
            <v>40006306</v>
          </cell>
        </row>
        <row r="2011">
          <cell r="E2011" t="str">
            <v>231316-4</v>
          </cell>
          <cell r="F2011">
            <v>10022552</v>
          </cell>
          <cell r="G2011">
            <v>40007577</v>
          </cell>
        </row>
        <row r="2012">
          <cell r="E2012" t="str">
            <v>233101-1</v>
          </cell>
          <cell r="F2012">
            <v>10053980</v>
          </cell>
          <cell r="G2012">
            <v>40006055</v>
          </cell>
        </row>
        <row r="2013">
          <cell r="E2013" t="str">
            <v>233203-3</v>
          </cell>
          <cell r="F2013">
            <v>10002612</v>
          </cell>
          <cell r="G2013">
            <v>40008199</v>
          </cell>
        </row>
        <row r="2014">
          <cell r="E2014" t="str">
            <v>231037-8</v>
          </cell>
          <cell r="F2014">
            <v>10030753</v>
          </cell>
          <cell r="G2014">
            <v>40007164</v>
          </cell>
        </row>
        <row r="2015">
          <cell r="E2015" t="str">
            <v>231266-3</v>
          </cell>
          <cell r="F2015">
            <v>10015104</v>
          </cell>
          <cell r="G2015">
            <v>40008320</v>
          </cell>
        </row>
        <row r="2016">
          <cell r="E2016" t="str">
            <v>231297-2</v>
          </cell>
          <cell r="F2016">
            <v>10001298</v>
          </cell>
        </row>
        <row r="2017">
          <cell r="E2017" t="str">
            <v>231325-3</v>
          </cell>
          <cell r="F2017">
            <v>10054016</v>
          </cell>
          <cell r="G2017">
            <v>40006084</v>
          </cell>
        </row>
        <row r="2018">
          <cell r="E2018" t="str">
            <v>231418-6</v>
          </cell>
          <cell r="F2018">
            <v>10025862</v>
          </cell>
          <cell r="G2018">
            <v>40007290</v>
          </cell>
        </row>
        <row r="2019">
          <cell r="E2019" t="str">
            <v>233031-6</v>
          </cell>
          <cell r="F2019">
            <v>10058951</v>
          </cell>
          <cell r="G2019">
            <v>40005746</v>
          </cell>
        </row>
        <row r="2020">
          <cell r="E2020" t="str">
            <v>233033-2</v>
          </cell>
          <cell r="F2020">
            <v>10045370</v>
          </cell>
          <cell r="G2020">
            <v>40006813</v>
          </cell>
        </row>
        <row r="2021">
          <cell r="E2021" t="str">
            <v>233072-2</v>
          </cell>
          <cell r="F2021">
            <v>10063079</v>
          </cell>
          <cell r="G2021">
            <v>40006037</v>
          </cell>
        </row>
        <row r="2022">
          <cell r="E2022" t="str">
            <v>233092-6</v>
          </cell>
          <cell r="F2022">
            <v>10045953</v>
          </cell>
          <cell r="G2022">
            <v>40006927</v>
          </cell>
        </row>
        <row r="2023">
          <cell r="E2023" t="str">
            <v>233191-4</v>
          </cell>
          <cell r="F2023">
            <v>10062998</v>
          </cell>
          <cell r="G2023">
            <v>40005986</v>
          </cell>
        </row>
        <row r="2024">
          <cell r="E2024" t="str">
            <v>233292-8</v>
          </cell>
          <cell r="F2024">
            <v>10062987</v>
          </cell>
          <cell r="G2024">
            <v>40005977</v>
          </cell>
        </row>
        <row r="2025">
          <cell r="E2025" t="str">
            <v>233328-3</v>
          </cell>
          <cell r="F2025">
            <v>10034485</v>
          </cell>
          <cell r="G2025">
            <v>40008086</v>
          </cell>
        </row>
        <row r="2026">
          <cell r="E2026" t="str">
            <v>233344-5</v>
          </cell>
          <cell r="F2026">
            <v>10035111</v>
          </cell>
          <cell r="G2026">
            <v>40008126</v>
          </cell>
        </row>
        <row r="2027">
          <cell r="E2027" t="str">
            <v>233347-9</v>
          </cell>
          <cell r="F2027">
            <v>10035103</v>
          </cell>
          <cell r="G2027">
            <v>40008118</v>
          </cell>
        </row>
        <row r="2028">
          <cell r="E2028" t="str">
            <v>233375-4</v>
          </cell>
          <cell r="F2028">
            <v>10049436</v>
          </cell>
          <cell r="G2028">
            <v>40007021</v>
          </cell>
        </row>
        <row r="2029">
          <cell r="E2029" t="str">
            <v>233388-5</v>
          </cell>
          <cell r="F2029">
            <v>10035106</v>
          </cell>
          <cell r="G2029">
            <v>40008121</v>
          </cell>
        </row>
        <row r="2030">
          <cell r="E2030" t="str">
            <v>233401-9</v>
          </cell>
          <cell r="F2030">
            <v>10058414</v>
          </cell>
          <cell r="G2030">
            <v>40005732</v>
          </cell>
        </row>
        <row r="2031">
          <cell r="E2031" t="str">
            <v>233180-9</v>
          </cell>
          <cell r="F2031">
            <v>10059186</v>
          </cell>
          <cell r="G2031">
            <v>40006258</v>
          </cell>
        </row>
        <row r="2032">
          <cell r="E2032" t="str">
            <v>233187-5</v>
          </cell>
          <cell r="F2032">
            <v>10002353</v>
          </cell>
        </row>
        <row r="2033">
          <cell r="E2033" t="str">
            <v>233052-8</v>
          </cell>
          <cell r="F2033">
            <v>10002334</v>
          </cell>
          <cell r="G2033">
            <v>40008142</v>
          </cell>
        </row>
        <row r="2034">
          <cell r="E2034" t="str">
            <v>233234-2</v>
          </cell>
          <cell r="F2034">
            <v>10002614</v>
          </cell>
          <cell r="G2034">
            <v>40008201</v>
          </cell>
        </row>
        <row r="2035">
          <cell r="E2035" t="str">
            <v>231294-8</v>
          </cell>
          <cell r="F2035">
            <v>10001125</v>
          </cell>
          <cell r="G2035">
            <v>40007382</v>
          </cell>
        </row>
        <row r="2036">
          <cell r="E2036" t="str">
            <v>231307-5</v>
          </cell>
          <cell r="F2036">
            <v>10002342</v>
          </cell>
          <cell r="G2036">
            <v>40008156</v>
          </cell>
        </row>
        <row r="2037">
          <cell r="E2037" t="str">
            <v>233396-6</v>
          </cell>
          <cell r="F2037">
            <v>10002365</v>
          </cell>
          <cell r="G2037">
            <v>40008176</v>
          </cell>
        </row>
        <row r="2038">
          <cell r="E2038" t="str">
            <v>231026-3</v>
          </cell>
          <cell r="F2038">
            <v>10049605</v>
          </cell>
          <cell r="G2038">
            <v>40007879</v>
          </cell>
        </row>
        <row r="2039">
          <cell r="E2039" t="str">
            <v>233071-4</v>
          </cell>
          <cell r="F2039">
            <v>10054835</v>
          </cell>
          <cell r="G2039">
            <v>40006134</v>
          </cell>
        </row>
        <row r="2040">
          <cell r="E2040" t="str">
            <v>233117-6</v>
          </cell>
          <cell r="F2040">
            <v>10053346</v>
          </cell>
          <cell r="G2040">
            <v>40006688</v>
          </cell>
        </row>
        <row r="2041">
          <cell r="E2041" t="str">
            <v>233376-2</v>
          </cell>
          <cell r="F2041">
            <v>10025127</v>
          </cell>
          <cell r="G2041">
            <v>40007261</v>
          </cell>
        </row>
        <row r="2042">
          <cell r="E2042" t="str">
            <v>233459-8</v>
          </cell>
          <cell r="F2042">
            <v>10027874</v>
          </cell>
          <cell r="G2042">
            <v>40007329</v>
          </cell>
        </row>
        <row r="2043">
          <cell r="E2043" t="str">
            <v>233121-5</v>
          </cell>
          <cell r="F2043">
            <v>10054785</v>
          </cell>
          <cell r="G2043">
            <v>40006094</v>
          </cell>
        </row>
        <row r="2044">
          <cell r="E2044" t="str">
            <v>233175-2</v>
          </cell>
          <cell r="F2044">
            <v>10062557</v>
          </cell>
          <cell r="G2044">
            <v>40005605</v>
          </cell>
        </row>
        <row r="2045">
          <cell r="E2045" t="str">
            <v>322476-4</v>
          </cell>
          <cell r="F2045">
            <v>10063085</v>
          </cell>
          <cell r="G2045">
            <v>40006042</v>
          </cell>
        </row>
        <row r="2046">
          <cell r="E2046" t="str">
            <v>419679-0</v>
          </cell>
          <cell r="F2046">
            <v>10053577</v>
          </cell>
          <cell r="G2046">
            <v>40006048</v>
          </cell>
        </row>
        <row r="2047">
          <cell r="E2047" t="str">
            <v>450235-7</v>
          </cell>
          <cell r="F2047">
            <v>10062659</v>
          </cell>
          <cell r="G2047">
            <v>40005649</v>
          </cell>
        </row>
        <row r="2048">
          <cell r="E2048" t="str">
            <v>233916-6</v>
          </cell>
          <cell r="F2048">
            <v>10025684</v>
          </cell>
          <cell r="G2048">
            <v>40007281</v>
          </cell>
        </row>
        <row r="2049">
          <cell r="E2049">
            <v>38174030</v>
          </cell>
          <cell r="F2049">
            <v>10024483</v>
          </cell>
          <cell r="G2049">
            <v>40007242</v>
          </cell>
        </row>
        <row r="2050">
          <cell r="E2050" t="str">
            <v>158282-9</v>
          </cell>
          <cell r="F2050">
            <v>10034211</v>
          </cell>
          <cell r="G2050">
            <v>40008065</v>
          </cell>
        </row>
        <row r="2051">
          <cell r="E2051" t="str">
            <v>324832-4</v>
          </cell>
          <cell r="F2051">
            <v>10063002</v>
          </cell>
          <cell r="G2051">
            <v>40005990</v>
          </cell>
        </row>
        <row r="2052">
          <cell r="E2052" t="str">
            <v>418350-3</v>
          </cell>
          <cell r="F2052">
            <v>10103488</v>
          </cell>
          <cell r="G2052">
            <v>40006487</v>
          </cell>
        </row>
        <row r="2053">
          <cell r="E2053" t="str">
            <v>419875-0</v>
          </cell>
          <cell r="F2053">
            <v>10038466</v>
          </cell>
          <cell r="G2053">
            <v>40010265</v>
          </cell>
        </row>
        <row r="2054">
          <cell r="E2054" t="str">
            <v>450278-9</v>
          </cell>
          <cell r="F2054">
            <v>10047925</v>
          </cell>
          <cell r="G2054">
            <v>40006994</v>
          </cell>
        </row>
        <row r="2055">
          <cell r="E2055" t="str">
            <v>454317-7</v>
          </cell>
          <cell r="F2055">
            <v>10065771</v>
          </cell>
          <cell r="G2055">
            <v>40006418</v>
          </cell>
        </row>
        <row r="2056">
          <cell r="E2056" t="str">
            <v>324494-8</v>
          </cell>
          <cell r="F2056">
            <v>10050087</v>
          </cell>
          <cell r="G2056">
            <v>40007903</v>
          </cell>
        </row>
        <row r="2057">
          <cell r="E2057">
            <v>225243011</v>
          </cell>
          <cell r="F2057">
            <v>10030444</v>
          </cell>
          <cell r="G2057">
            <v>40007665</v>
          </cell>
        </row>
        <row r="2058">
          <cell r="E2058" t="str">
            <v>HY00000029</v>
          </cell>
          <cell r="F2058">
            <v>10084079</v>
          </cell>
          <cell r="G2058">
            <v>40006247</v>
          </cell>
        </row>
        <row r="2059">
          <cell r="E2059">
            <v>671001113</v>
          </cell>
          <cell r="F2059">
            <v>10065800</v>
          </cell>
          <cell r="G2059">
            <v>40006428</v>
          </cell>
        </row>
        <row r="2060">
          <cell r="E2060" t="str">
            <v>353019-1</v>
          </cell>
          <cell r="F2060">
            <v>10097871</v>
          </cell>
        </row>
        <row r="2061">
          <cell r="E2061" t="str">
            <v>620260-4</v>
          </cell>
          <cell r="F2061">
            <v>10067204</v>
          </cell>
          <cell r="G2061">
            <v>40006447</v>
          </cell>
        </row>
        <row r="2062">
          <cell r="E2062" t="str">
            <v>620226-4</v>
          </cell>
          <cell r="F2062">
            <v>10063074</v>
          </cell>
          <cell r="G2062">
            <v>40006036</v>
          </cell>
        </row>
        <row r="2063">
          <cell r="E2063" t="str">
            <v>620245-0</v>
          </cell>
          <cell r="F2063">
            <v>10062532</v>
          </cell>
          <cell r="G2063">
            <v>40005592</v>
          </cell>
        </row>
        <row r="2064">
          <cell r="E2064" t="str">
            <v>620552-1</v>
          </cell>
          <cell r="F2064">
            <v>10075349</v>
          </cell>
          <cell r="G2064">
            <v>40006193</v>
          </cell>
        </row>
        <row r="2065">
          <cell r="E2065" t="str">
            <v>620848-0</v>
          </cell>
          <cell r="F2065">
            <v>10093997</v>
          </cell>
          <cell r="G2065">
            <v>40005892</v>
          </cell>
        </row>
        <row r="2066">
          <cell r="E2066" t="str">
            <v>631221-9</v>
          </cell>
          <cell r="F2066">
            <v>10002181</v>
          </cell>
        </row>
        <row r="2067">
          <cell r="E2067" t="str">
            <v>631227-7</v>
          </cell>
          <cell r="F2067">
            <v>10050072</v>
          </cell>
          <cell r="G2067">
            <v>40007890</v>
          </cell>
        </row>
        <row r="2068">
          <cell r="E2068" t="str">
            <v>631427-9</v>
          </cell>
          <cell r="F2068">
            <v>10050410</v>
          </cell>
          <cell r="G2068">
            <v>40007951</v>
          </cell>
        </row>
        <row r="2069">
          <cell r="E2069" t="str">
            <v>631534-8</v>
          </cell>
          <cell r="F2069">
            <v>10035091</v>
          </cell>
          <cell r="G2069">
            <v>40008108</v>
          </cell>
        </row>
        <row r="2070">
          <cell r="E2070" t="str">
            <v>631598-2</v>
          </cell>
          <cell r="F2070">
            <v>10027868</v>
          </cell>
          <cell r="G2070">
            <v>40007326</v>
          </cell>
        </row>
        <row r="2071">
          <cell r="E2071" t="str">
            <v>631657-2</v>
          </cell>
          <cell r="F2071">
            <v>10038948</v>
          </cell>
          <cell r="G2071">
            <v>40008033</v>
          </cell>
        </row>
        <row r="2072">
          <cell r="E2072" t="str">
            <v>631678-4</v>
          </cell>
          <cell r="F2072">
            <v>10050984</v>
          </cell>
          <cell r="G2072">
            <v>40006902</v>
          </cell>
        </row>
        <row r="2073">
          <cell r="E2073" t="str">
            <v>631719-6</v>
          </cell>
          <cell r="F2073">
            <v>10021598</v>
          </cell>
          <cell r="G2073">
            <v>40007551</v>
          </cell>
        </row>
        <row r="2074">
          <cell r="E2074" t="str">
            <v>631768-3</v>
          </cell>
          <cell r="F2074">
            <v>10035468</v>
          </cell>
          <cell r="G2074">
            <v>40007970</v>
          </cell>
        </row>
        <row r="2075">
          <cell r="E2075" t="str">
            <v>631777-2</v>
          </cell>
          <cell r="F2075">
            <v>10036574</v>
          </cell>
          <cell r="G2075">
            <v>40007992</v>
          </cell>
        </row>
        <row r="2076">
          <cell r="E2076" t="str">
            <v>631780-3</v>
          </cell>
          <cell r="F2076">
            <v>10047928</v>
          </cell>
          <cell r="G2076">
            <v>40006997</v>
          </cell>
        </row>
        <row r="2077">
          <cell r="E2077" t="str">
            <v>631784-5</v>
          </cell>
          <cell r="F2077">
            <v>10035306</v>
          </cell>
          <cell r="G2077">
            <v>40008307</v>
          </cell>
        </row>
        <row r="2078">
          <cell r="E2078" t="str">
            <v>631865-5</v>
          </cell>
          <cell r="F2078">
            <v>10030426</v>
          </cell>
          <cell r="G2078">
            <v>40007149</v>
          </cell>
        </row>
        <row r="2079">
          <cell r="E2079" t="str">
            <v>631883-3</v>
          </cell>
          <cell r="F2079">
            <v>10038954</v>
          </cell>
          <cell r="G2079">
            <v>40008037</v>
          </cell>
        </row>
        <row r="2080">
          <cell r="E2080" t="str">
            <v>631930-0</v>
          </cell>
          <cell r="F2080">
            <v>10067196</v>
          </cell>
          <cell r="G2080">
            <v>40006444</v>
          </cell>
        </row>
        <row r="2081">
          <cell r="E2081" t="str">
            <v>631729-3</v>
          </cell>
          <cell r="F2081">
            <v>10102728</v>
          </cell>
          <cell r="G2081">
            <v>40005946</v>
          </cell>
        </row>
        <row r="2082">
          <cell r="E2082" t="str">
            <v>620470-3</v>
          </cell>
          <cell r="F2082">
            <v>10103492</v>
          </cell>
          <cell r="G2082">
            <v>40006490</v>
          </cell>
        </row>
        <row r="2083">
          <cell r="E2083" t="str">
            <v>620548-2</v>
          </cell>
          <cell r="F2083">
            <v>10080366</v>
          </cell>
          <cell r="G2083">
            <v>40006212</v>
          </cell>
        </row>
        <row r="2084">
          <cell r="E2084">
            <v>970104021</v>
          </cell>
          <cell r="F2084">
            <v>10022567</v>
          </cell>
          <cell r="G2084">
            <v>40007580</v>
          </cell>
        </row>
        <row r="2085">
          <cell r="E2085" t="str">
            <v>638892-3</v>
          </cell>
          <cell r="F2085">
            <v>10045835</v>
          </cell>
          <cell r="G2085">
            <v>40006842</v>
          </cell>
        </row>
        <row r="2086">
          <cell r="E2086">
            <v>38174023</v>
          </cell>
          <cell r="F2086">
            <v>10075351</v>
          </cell>
          <cell r="G2086">
            <v>40006194</v>
          </cell>
        </row>
        <row r="2087">
          <cell r="E2087" t="str">
            <v>682502-4</v>
          </cell>
          <cell r="F2087">
            <v>10050108</v>
          </cell>
          <cell r="G2087">
            <v>40010382</v>
          </cell>
        </row>
        <row r="2088">
          <cell r="E2088" t="str">
            <v>682540-6</v>
          </cell>
          <cell r="F2088">
            <v>10057246</v>
          </cell>
          <cell r="G2088">
            <v>40005693</v>
          </cell>
        </row>
        <row r="2089">
          <cell r="E2089" t="str">
            <v>912116-8</v>
          </cell>
          <cell r="F2089">
            <v>10056252</v>
          </cell>
          <cell r="G2089">
            <v>40005658</v>
          </cell>
        </row>
        <row r="2090">
          <cell r="E2090" t="str">
            <v>265175-4</v>
          </cell>
          <cell r="F2090">
            <v>10054848</v>
          </cell>
          <cell r="G2090">
            <v>40006143</v>
          </cell>
        </row>
        <row r="2091">
          <cell r="E2091" t="str">
            <v>251295-0</v>
          </cell>
          <cell r="F2091">
            <v>10030448</v>
          </cell>
          <cell r="G2091">
            <v>40007160</v>
          </cell>
        </row>
        <row r="2092">
          <cell r="E2092" t="str">
            <v>912112-6</v>
          </cell>
          <cell r="F2092">
            <v>10001307</v>
          </cell>
        </row>
        <row r="2093">
          <cell r="E2093" t="str">
            <v>251256-0</v>
          </cell>
          <cell r="F2093">
            <v>10057245</v>
          </cell>
          <cell r="G2093">
            <v>40005692</v>
          </cell>
        </row>
        <row r="2094">
          <cell r="E2094" t="str">
            <v>912222-9</v>
          </cell>
          <cell r="F2094">
            <v>10002341</v>
          </cell>
          <cell r="G2094">
            <v>40008154</v>
          </cell>
        </row>
        <row r="2095">
          <cell r="E2095" t="str">
            <v>265034-2</v>
          </cell>
          <cell r="F2095">
            <v>10044760</v>
          </cell>
          <cell r="G2095">
            <v>40006797</v>
          </cell>
        </row>
        <row r="2096">
          <cell r="E2096" t="str">
            <v>313228-4</v>
          </cell>
          <cell r="F2096">
            <v>10062974</v>
          </cell>
          <cell r="G2096">
            <v>40005968</v>
          </cell>
        </row>
        <row r="2097">
          <cell r="E2097">
            <v>38118622</v>
          </cell>
          <cell r="F2097">
            <v>10058397</v>
          </cell>
        </row>
        <row r="2098">
          <cell r="E2098" t="str">
            <v>419241-1</v>
          </cell>
          <cell r="F2098">
            <v>10030419</v>
          </cell>
          <cell r="G2098">
            <v>40007146</v>
          </cell>
        </row>
        <row r="2099">
          <cell r="E2099" t="str">
            <v>454818-5</v>
          </cell>
          <cell r="F2099">
            <v>10062541</v>
          </cell>
          <cell r="G2099">
            <v>40005596</v>
          </cell>
        </row>
        <row r="2100">
          <cell r="E2100">
            <v>225212012</v>
          </cell>
          <cell r="F2100">
            <v>10001318</v>
          </cell>
          <cell r="G2100">
            <v>40007095</v>
          </cell>
        </row>
        <row r="2101">
          <cell r="E2101" t="str">
            <v>163021-4</v>
          </cell>
          <cell r="F2101">
            <v>10050974</v>
          </cell>
          <cell r="G2101">
            <v>40006893</v>
          </cell>
        </row>
        <row r="2102">
          <cell r="E2102" t="str">
            <v>JM27100067</v>
          </cell>
          <cell r="F2102">
            <v>10097359</v>
          </cell>
          <cell r="G2102">
            <v>40005904</v>
          </cell>
        </row>
        <row r="2103">
          <cell r="E2103" t="str">
            <v>450230-7</v>
          </cell>
          <cell r="F2103">
            <v>10036578</v>
          </cell>
          <cell r="G2103">
            <v>40007995</v>
          </cell>
        </row>
        <row r="2104">
          <cell r="E2104" t="str">
            <v>415690-0</v>
          </cell>
          <cell r="F2104">
            <v>10084083</v>
          </cell>
        </row>
        <row r="2105">
          <cell r="E2105" t="str">
            <v>419671-6</v>
          </cell>
          <cell r="F2105">
            <v>10053578</v>
          </cell>
          <cell r="G2105">
            <v>40006049</v>
          </cell>
        </row>
        <row r="2106">
          <cell r="E2106" t="str">
            <v>411709-3</v>
          </cell>
          <cell r="F2106">
            <v>10002173</v>
          </cell>
          <cell r="G2106">
            <v>40007663</v>
          </cell>
        </row>
        <row r="2107">
          <cell r="E2107" t="str">
            <v>424339-1</v>
          </cell>
          <cell r="F2107">
            <v>10047910</v>
          </cell>
          <cell r="G2107">
            <v>40006980</v>
          </cell>
        </row>
        <row r="2108">
          <cell r="E2108" t="str">
            <v>153336-7</v>
          </cell>
          <cell r="F2108">
            <v>10050983</v>
          </cell>
          <cell r="G2108">
            <v>40006901</v>
          </cell>
        </row>
        <row r="2109">
          <cell r="E2109" t="str">
            <v>142399-8</v>
          </cell>
          <cell r="F2109">
            <v>10055968</v>
          </cell>
          <cell r="G2109">
            <v>40005648</v>
          </cell>
        </row>
        <row r="2110">
          <cell r="E2110" t="str">
            <v>322962-5</v>
          </cell>
          <cell r="F2110">
            <v>10059188</v>
          </cell>
          <cell r="G2110">
            <v>40006260</v>
          </cell>
        </row>
        <row r="2111">
          <cell r="E2111" t="str">
            <v>158873-6</v>
          </cell>
          <cell r="F2111">
            <v>10050976</v>
          </cell>
          <cell r="G2111">
            <v>40006895</v>
          </cell>
        </row>
        <row r="2112">
          <cell r="E2112">
            <v>38120021</v>
          </cell>
          <cell r="F2112">
            <v>10028596</v>
          </cell>
        </row>
        <row r="2113">
          <cell r="E2113" t="str">
            <v>321954-1</v>
          </cell>
          <cell r="F2113">
            <v>10062995</v>
          </cell>
          <cell r="G2113">
            <v>40005983</v>
          </cell>
        </row>
        <row r="2114">
          <cell r="E2114" t="str">
            <v>324793-8</v>
          </cell>
          <cell r="F2114">
            <v>10034213</v>
          </cell>
          <cell r="G2114">
            <v>40008067</v>
          </cell>
        </row>
        <row r="2115">
          <cell r="E2115" t="str">
            <v>324839-0</v>
          </cell>
          <cell r="F2115">
            <v>10062441</v>
          </cell>
          <cell r="G2115">
            <v>40005570</v>
          </cell>
        </row>
        <row r="2116">
          <cell r="E2116" t="str">
            <v>152373-8</v>
          </cell>
          <cell r="F2116">
            <v>10058409</v>
          </cell>
          <cell r="G2116">
            <v>40005728</v>
          </cell>
        </row>
        <row r="2117">
          <cell r="E2117" t="str">
            <v>140H65-9</v>
          </cell>
          <cell r="F2117">
            <v>10103471</v>
          </cell>
          <cell r="G2117">
            <v>40006468</v>
          </cell>
        </row>
        <row r="2118">
          <cell r="E2118">
            <v>957120028</v>
          </cell>
          <cell r="F2118">
            <v>10034458</v>
          </cell>
        </row>
        <row r="2119">
          <cell r="E2119">
            <v>957151102</v>
          </cell>
          <cell r="F2119">
            <v>10048335</v>
          </cell>
          <cell r="G2119">
            <v>40007001</v>
          </cell>
        </row>
        <row r="2120">
          <cell r="E2120" t="str">
            <v>JM23100033</v>
          </cell>
          <cell r="F2120">
            <v>10063067</v>
          </cell>
          <cell r="G2120">
            <v>40006034</v>
          </cell>
        </row>
        <row r="2121">
          <cell r="E2121" t="str">
            <v>S-593960</v>
          </cell>
          <cell r="F2121">
            <v>10090099</v>
          </cell>
          <cell r="G2121">
            <v>40005869</v>
          </cell>
        </row>
        <row r="2122">
          <cell r="E2122" t="str">
            <v>253922-5</v>
          </cell>
          <cell r="F2122">
            <v>10006500</v>
          </cell>
          <cell r="G2122">
            <v>40008256</v>
          </cell>
        </row>
        <row r="2123">
          <cell r="E2123" t="str">
            <v>345872-9</v>
          </cell>
          <cell r="F2123">
            <v>10074944</v>
          </cell>
          <cell r="G2123">
            <v>40006182</v>
          </cell>
        </row>
        <row r="2124">
          <cell r="E2124" t="str">
            <v>419271-2</v>
          </cell>
          <cell r="F2124">
            <v>10045373</v>
          </cell>
          <cell r="G2124">
            <v>40006819</v>
          </cell>
        </row>
        <row r="2125">
          <cell r="E2125" t="str">
            <v>267833-8</v>
          </cell>
          <cell r="F2125">
            <v>10055969</v>
          </cell>
          <cell r="G2125">
            <v>40005650</v>
          </cell>
        </row>
        <row r="2126">
          <cell r="E2126" t="str">
            <v>424190-9</v>
          </cell>
          <cell r="F2126">
            <v>10057146</v>
          </cell>
          <cell r="G2126">
            <v>40005672</v>
          </cell>
        </row>
        <row r="2127">
          <cell r="E2127" t="str">
            <v>423345-3</v>
          </cell>
          <cell r="F2127">
            <v>10064621</v>
          </cell>
          <cell r="G2127">
            <v>40006397</v>
          </cell>
        </row>
        <row r="2128">
          <cell r="E2128" t="str">
            <v>424267-0</v>
          </cell>
          <cell r="F2128">
            <v>10090084</v>
          </cell>
          <cell r="G2128">
            <v>40005866</v>
          </cell>
        </row>
        <row r="2129">
          <cell r="E2129" t="str">
            <v>421955-0</v>
          </cell>
          <cell r="F2129">
            <v>10053573</v>
          </cell>
          <cell r="G2129">
            <v>40006703</v>
          </cell>
        </row>
        <row r="2130">
          <cell r="E2130" t="str">
            <v>424476-1</v>
          </cell>
          <cell r="F2130">
            <v>10061622</v>
          </cell>
          <cell r="G2130">
            <v>40006361</v>
          </cell>
        </row>
        <row r="2131">
          <cell r="E2131">
            <v>39130022</v>
          </cell>
          <cell r="F2131">
            <v>10070789</v>
          </cell>
          <cell r="G2131">
            <v>40006153</v>
          </cell>
        </row>
        <row r="2132">
          <cell r="E2132">
            <v>21131160</v>
          </cell>
          <cell r="F2132">
            <v>10001225</v>
          </cell>
          <cell r="G2132">
            <v>40007033</v>
          </cell>
        </row>
        <row r="2133">
          <cell r="E2133">
            <v>28131230</v>
          </cell>
          <cell r="F2133">
            <v>10001227</v>
          </cell>
        </row>
        <row r="2134">
          <cell r="E2134">
            <v>37131010</v>
          </cell>
          <cell r="F2134">
            <v>10024488</v>
          </cell>
          <cell r="G2134">
            <v>40007246</v>
          </cell>
        </row>
        <row r="2135">
          <cell r="E2135" t="str">
            <v>331508-6</v>
          </cell>
          <cell r="F2135">
            <v>10059189</v>
          </cell>
          <cell r="G2135">
            <v>40006262</v>
          </cell>
        </row>
        <row r="2136">
          <cell r="E2136" t="str">
            <v>319338-5</v>
          </cell>
          <cell r="F2136">
            <v>10086189</v>
          </cell>
        </row>
        <row r="2137">
          <cell r="E2137" t="str">
            <v>HY00000019</v>
          </cell>
          <cell r="F2137">
            <v>10084078</v>
          </cell>
          <cell r="G2137">
            <v>40006245</v>
          </cell>
        </row>
        <row r="2138">
          <cell r="E2138">
            <v>27130050</v>
          </cell>
          <cell r="F2138">
            <v>10044672</v>
          </cell>
          <cell r="G2138">
            <v>40006780</v>
          </cell>
        </row>
        <row r="2139">
          <cell r="E2139">
            <v>38130071</v>
          </cell>
          <cell r="F2139">
            <v>10077613</v>
          </cell>
          <cell r="G2139">
            <v>40006202</v>
          </cell>
        </row>
        <row r="2140">
          <cell r="E2140">
            <v>39130032</v>
          </cell>
          <cell r="F2140">
            <v>10055993</v>
          </cell>
          <cell r="G2140">
            <v>40005654</v>
          </cell>
        </row>
        <row r="2141">
          <cell r="E2141">
            <v>40130023</v>
          </cell>
          <cell r="F2141">
            <v>10001064</v>
          </cell>
          <cell r="G2141">
            <v>40007352</v>
          </cell>
        </row>
        <row r="2142">
          <cell r="E2142">
            <v>40130910</v>
          </cell>
          <cell r="F2142">
            <v>10059190</v>
          </cell>
          <cell r="G2142">
            <v>40006264</v>
          </cell>
        </row>
        <row r="2143">
          <cell r="E2143">
            <v>195131202</v>
          </cell>
          <cell r="F2143">
            <v>10049580</v>
          </cell>
          <cell r="G2143">
            <v>40007862</v>
          </cell>
        </row>
        <row r="2144">
          <cell r="E2144" t="str">
            <v>196384-3</v>
          </cell>
          <cell r="F2144">
            <v>10038750</v>
          </cell>
          <cell r="G2144">
            <v>40008020</v>
          </cell>
        </row>
        <row r="2145">
          <cell r="E2145" t="str">
            <v>K0300-0861</v>
          </cell>
          <cell r="F2145">
            <v>10050107</v>
          </cell>
          <cell r="G2145">
            <v>40007923</v>
          </cell>
        </row>
        <row r="2146">
          <cell r="E2146">
            <v>27130033</v>
          </cell>
          <cell r="F2146">
            <v>10033742</v>
          </cell>
        </row>
        <row r="2147">
          <cell r="E2147">
            <v>38130020</v>
          </cell>
          <cell r="F2147">
            <v>10040780</v>
          </cell>
        </row>
        <row r="2148">
          <cell r="E2148">
            <v>30130001</v>
          </cell>
          <cell r="F2148">
            <v>10001196</v>
          </cell>
        </row>
        <row r="2149">
          <cell r="E2149" t="str">
            <v>763136-3</v>
          </cell>
          <cell r="F2149">
            <v>10001208</v>
          </cell>
          <cell r="G2149">
            <v>40007925</v>
          </cell>
        </row>
        <row r="2150">
          <cell r="E2150" t="str">
            <v>424173-9</v>
          </cell>
          <cell r="F2150">
            <v>10051021</v>
          </cell>
          <cell r="G2150">
            <v>40006926</v>
          </cell>
        </row>
        <row r="2151">
          <cell r="E2151" t="str">
            <v>CF101DZ</v>
          </cell>
          <cell r="F2151">
            <v>10086764</v>
          </cell>
        </row>
        <row r="2152">
          <cell r="E2152" t="str">
            <v>TL00000020</v>
          </cell>
          <cell r="F2152">
            <v>10050897</v>
          </cell>
          <cell r="G2152">
            <v>40006837</v>
          </cell>
        </row>
        <row r="2153">
          <cell r="E2153" t="str">
            <v>629167-1</v>
          </cell>
          <cell r="F2153">
            <v>10067205</v>
          </cell>
          <cell r="G2153">
            <v>40006448</v>
          </cell>
        </row>
        <row r="2154">
          <cell r="E2154" t="str">
            <v>629842-9</v>
          </cell>
          <cell r="F2154">
            <v>10061267</v>
          </cell>
          <cell r="G2154">
            <v>40006331</v>
          </cell>
        </row>
        <row r="2155">
          <cell r="E2155" t="str">
            <v>629733-4</v>
          </cell>
          <cell r="F2155">
            <v>10002628</v>
          </cell>
          <cell r="G2155">
            <v>40008212</v>
          </cell>
        </row>
        <row r="2156">
          <cell r="E2156" t="str">
            <v>629395-8</v>
          </cell>
          <cell r="F2156">
            <v>10100502</v>
          </cell>
          <cell r="G2156">
            <v>40005931</v>
          </cell>
        </row>
        <row r="2157">
          <cell r="E2157" t="str">
            <v>629785-5</v>
          </cell>
          <cell r="F2157">
            <v>10001082</v>
          </cell>
          <cell r="G2157">
            <v>40007363</v>
          </cell>
        </row>
        <row r="2158">
          <cell r="E2158" t="str">
            <v>629787-1</v>
          </cell>
          <cell r="F2158">
            <v>10001257</v>
          </cell>
        </row>
        <row r="2159">
          <cell r="E2159" t="str">
            <v>629789-7</v>
          </cell>
          <cell r="F2159">
            <v>10001246</v>
          </cell>
          <cell r="G2159">
            <v>40007048</v>
          </cell>
        </row>
        <row r="2160">
          <cell r="E2160" t="str">
            <v>629795-2</v>
          </cell>
          <cell r="F2160">
            <v>10001239</v>
          </cell>
          <cell r="G2160">
            <v>40007043</v>
          </cell>
        </row>
        <row r="2161">
          <cell r="E2161" t="str">
            <v>629798-6</v>
          </cell>
          <cell r="F2161">
            <v>10001231</v>
          </cell>
          <cell r="G2161">
            <v>40007035</v>
          </cell>
        </row>
        <row r="2162">
          <cell r="E2162" t="str">
            <v>629813-6</v>
          </cell>
          <cell r="F2162">
            <v>10006495</v>
          </cell>
        </row>
        <row r="2163">
          <cell r="E2163" t="str">
            <v>629815-2</v>
          </cell>
          <cell r="F2163">
            <v>10001366</v>
          </cell>
          <cell r="G2163">
            <v>40010332</v>
          </cell>
        </row>
        <row r="2164">
          <cell r="E2164" t="str">
            <v>629817-8</v>
          </cell>
          <cell r="F2164">
            <v>10027867</v>
          </cell>
          <cell r="G2164">
            <v>40007325</v>
          </cell>
        </row>
        <row r="2165">
          <cell r="E2165" t="str">
            <v>629819-4</v>
          </cell>
          <cell r="F2165">
            <v>10001271</v>
          </cell>
        </row>
        <row r="2166">
          <cell r="E2166" t="str">
            <v>629821-7</v>
          </cell>
          <cell r="F2166">
            <v>10001062</v>
          </cell>
          <cell r="G2166">
            <v>40007351</v>
          </cell>
        </row>
        <row r="2167">
          <cell r="E2167" t="str">
            <v>629834-8</v>
          </cell>
          <cell r="F2167">
            <v>10032157</v>
          </cell>
          <cell r="G2167">
            <v>40010359</v>
          </cell>
        </row>
        <row r="2168">
          <cell r="E2168" t="str">
            <v>629836-4</v>
          </cell>
          <cell r="F2168">
            <v>10050925</v>
          </cell>
          <cell r="G2168">
            <v>40006871</v>
          </cell>
        </row>
        <row r="2169">
          <cell r="E2169" t="str">
            <v>629851-8</v>
          </cell>
          <cell r="F2169">
            <v>10031029</v>
          </cell>
          <cell r="G2169">
            <v>40007171</v>
          </cell>
        </row>
        <row r="2170">
          <cell r="E2170" t="str">
            <v>629853-4</v>
          </cell>
          <cell r="F2170">
            <v>10030872</v>
          </cell>
          <cell r="G2170">
            <v>40007167</v>
          </cell>
        </row>
        <row r="2171">
          <cell r="E2171" t="str">
            <v>629885-1</v>
          </cell>
          <cell r="F2171">
            <v>10045837</v>
          </cell>
          <cell r="G2171">
            <v>40006846</v>
          </cell>
        </row>
        <row r="2172">
          <cell r="E2172" t="str">
            <v>629888-5</v>
          </cell>
          <cell r="F2172">
            <v>10084073</v>
          </cell>
          <cell r="G2172">
            <v>40006236</v>
          </cell>
        </row>
        <row r="2173">
          <cell r="E2173" t="str">
            <v>629904-3</v>
          </cell>
          <cell r="F2173">
            <v>10033836</v>
          </cell>
          <cell r="G2173">
            <v>40007222</v>
          </cell>
        </row>
        <row r="2174">
          <cell r="E2174" t="str">
            <v>629924-7</v>
          </cell>
          <cell r="F2174">
            <v>10035486</v>
          </cell>
          <cell r="G2174">
            <v>40007983</v>
          </cell>
        </row>
        <row r="2175">
          <cell r="E2175" t="str">
            <v>629937-8</v>
          </cell>
          <cell r="F2175">
            <v>10077266</v>
          </cell>
          <cell r="G2175">
            <v>40010406</v>
          </cell>
        </row>
        <row r="2176">
          <cell r="E2176" t="str">
            <v>629962-9</v>
          </cell>
          <cell r="F2176">
            <v>10049549</v>
          </cell>
          <cell r="G2176">
            <v>40010333</v>
          </cell>
        </row>
        <row r="2177">
          <cell r="E2177" t="str">
            <v>629574-8</v>
          </cell>
          <cell r="F2177">
            <v>10057241</v>
          </cell>
          <cell r="G2177">
            <v>40005689</v>
          </cell>
        </row>
        <row r="2178">
          <cell r="E2178" t="str">
            <v>629163-9</v>
          </cell>
          <cell r="F2178">
            <v>10068022</v>
          </cell>
          <cell r="G2178">
            <v>40006452</v>
          </cell>
        </row>
        <row r="2179">
          <cell r="E2179">
            <v>42693</v>
          </cell>
          <cell r="F2179">
            <v>10062590</v>
          </cell>
          <cell r="G2179">
            <v>40005629</v>
          </cell>
        </row>
        <row r="2180">
          <cell r="E2180" t="str">
            <v>419233-0</v>
          </cell>
          <cell r="F2180">
            <v>10045368</v>
          </cell>
          <cell r="G2180">
            <v>40006810</v>
          </cell>
        </row>
        <row r="2181">
          <cell r="E2181" t="str">
            <v>B-51823</v>
          </cell>
          <cell r="F2181">
            <v>10089679</v>
          </cell>
          <cell r="G2181">
            <v>40005855</v>
          </cell>
        </row>
        <row r="2182">
          <cell r="E2182" t="str">
            <v>B-51839</v>
          </cell>
          <cell r="F2182">
            <v>10089680</v>
          </cell>
          <cell r="G2182">
            <v>40005856</v>
          </cell>
        </row>
        <row r="2183">
          <cell r="E2183" t="str">
            <v>B-51845</v>
          </cell>
          <cell r="F2183">
            <v>10089681</v>
          </cell>
          <cell r="G2183">
            <v>40005857</v>
          </cell>
        </row>
        <row r="2184">
          <cell r="E2184" t="str">
            <v>792292-2</v>
          </cell>
          <cell r="F2184">
            <v>10001034</v>
          </cell>
          <cell r="G2184">
            <v>40007336</v>
          </cell>
        </row>
        <row r="2185">
          <cell r="E2185" t="str">
            <v>322701-3</v>
          </cell>
          <cell r="F2185">
            <v>10001079</v>
          </cell>
          <cell r="G2185">
            <v>40007361</v>
          </cell>
        </row>
        <row r="2186">
          <cell r="E2186" t="str">
            <v>A-15051</v>
          </cell>
          <cell r="F2186">
            <v>10001035</v>
          </cell>
          <cell r="G2186">
            <v>40007337</v>
          </cell>
        </row>
        <row r="2187">
          <cell r="E2187">
            <v>27245021</v>
          </cell>
          <cell r="F2187">
            <v>10060261</v>
          </cell>
          <cell r="G2187">
            <v>40006310</v>
          </cell>
        </row>
        <row r="2188">
          <cell r="E2188">
            <v>181224081</v>
          </cell>
          <cell r="F2188">
            <v>10038178</v>
          </cell>
          <cell r="G2188">
            <v>40008006</v>
          </cell>
        </row>
        <row r="2189">
          <cell r="E2189" t="str">
            <v>D-06264</v>
          </cell>
          <cell r="F2189">
            <v>10062040</v>
          </cell>
        </row>
        <row r="2190">
          <cell r="E2190" t="str">
            <v>D-29620</v>
          </cell>
          <cell r="F2190">
            <v>10062042</v>
          </cell>
          <cell r="G2190">
            <v>40005555</v>
          </cell>
        </row>
        <row r="2191">
          <cell r="E2191" t="str">
            <v>766004-9</v>
          </cell>
          <cell r="F2191">
            <v>10035482</v>
          </cell>
        </row>
        <row r="2192">
          <cell r="E2192" t="str">
            <v>766007-3</v>
          </cell>
          <cell r="F2192">
            <v>10035479</v>
          </cell>
        </row>
        <row r="2193">
          <cell r="E2193" t="str">
            <v>766014-6</v>
          </cell>
          <cell r="F2193">
            <v>10057261</v>
          </cell>
          <cell r="G2193">
            <v>40005702</v>
          </cell>
        </row>
        <row r="2194">
          <cell r="E2194" t="str">
            <v>766023-5</v>
          </cell>
          <cell r="F2194">
            <v>10057262</v>
          </cell>
          <cell r="G2194">
            <v>40005703</v>
          </cell>
        </row>
        <row r="2195">
          <cell r="E2195" t="str">
            <v>142665-3</v>
          </cell>
          <cell r="F2195">
            <v>10062426</v>
          </cell>
          <cell r="G2195">
            <v>40005559</v>
          </cell>
        </row>
        <row r="2196">
          <cell r="E2196" t="str">
            <v>HY00000018</v>
          </cell>
          <cell r="F2196">
            <v>10084077</v>
          </cell>
          <cell r="G2196">
            <v>40006243</v>
          </cell>
        </row>
        <row r="2197">
          <cell r="E2197" t="str">
            <v>313255-1</v>
          </cell>
          <cell r="F2197">
            <v>10065768</v>
          </cell>
          <cell r="G2197">
            <v>40006415</v>
          </cell>
        </row>
        <row r="2198">
          <cell r="E2198" t="str">
            <v>331770-3</v>
          </cell>
          <cell r="F2198">
            <v>10059191</v>
          </cell>
          <cell r="G2198">
            <v>40006266</v>
          </cell>
        </row>
        <row r="2199">
          <cell r="E2199" t="str">
            <v>331795-7</v>
          </cell>
          <cell r="F2199">
            <v>10064607</v>
          </cell>
          <cell r="G2199">
            <v>40006387</v>
          </cell>
        </row>
        <row r="2200">
          <cell r="E2200" t="str">
            <v>161061-6</v>
          </cell>
          <cell r="F2200">
            <v>10026306</v>
          </cell>
          <cell r="G2200">
            <v>40007301</v>
          </cell>
        </row>
        <row r="2201">
          <cell r="E2201" t="str">
            <v>161119-1</v>
          </cell>
          <cell r="F2201">
            <v>10001036</v>
          </cell>
          <cell r="G2201">
            <v>40007338</v>
          </cell>
        </row>
        <row r="2202">
          <cell r="E2202" t="str">
            <v>161140-0</v>
          </cell>
          <cell r="F2202">
            <v>10034991</v>
          </cell>
          <cell r="G2202">
            <v>40008102</v>
          </cell>
        </row>
        <row r="2203">
          <cell r="E2203" t="str">
            <v>161141-8</v>
          </cell>
          <cell r="F2203">
            <v>10045853</v>
          </cell>
          <cell r="G2203">
            <v>40006912</v>
          </cell>
        </row>
        <row r="2204">
          <cell r="E2204" t="str">
            <v>161045-4</v>
          </cell>
          <cell r="F2204">
            <v>10001117</v>
          </cell>
          <cell r="G2204">
            <v>40007377</v>
          </cell>
        </row>
        <row r="2205">
          <cell r="E2205" t="str">
            <v>345144-2</v>
          </cell>
          <cell r="F2205">
            <v>10001295</v>
          </cell>
          <cell r="G2205">
            <v>40007078</v>
          </cell>
        </row>
        <row r="2206">
          <cell r="E2206" t="str">
            <v>345146-8</v>
          </cell>
          <cell r="F2206">
            <v>10001138</v>
          </cell>
          <cell r="G2206">
            <v>40007394</v>
          </cell>
        </row>
        <row r="2207">
          <cell r="E2207" t="str">
            <v>341342-6</v>
          </cell>
          <cell r="F2207">
            <v>10049553</v>
          </cell>
          <cell r="G2207">
            <v>40007576</v>
          </cell>
        </row>
        <row r="2208">
          <cell r="E2208" t="str">
            <v>345507-2</v>
          </cell>
          <cell r="F2208">
            <v>10045851</v>
          </cell>
          <cell r="G2208">
            <v>40007512</v>
          </cell>
        </row>
        <row r="2209">
          <cell r="E2209" t="str">
            <v>161056-9</v>
          </cell>
          <cell r="F2209">
            <v>10080367</v>
          </cell>
          <cell r="G2209">
            <v>40006213</v>
          </cell>
        </row>
        <row r="2210">
          <cell r="E2210" t="str">
            <v>164372-8</v>
          </cell>
          <cell r="F2210">
            <v>10002249</v>
          </cell>
          <cell r="G2210">
            <v>40007694</v>
          </cell>
        </row>
        <row r="2211">
          <cell r="E2211" t="str">
            <v>345007-2</v>
          </cell>
          <cell r="F2211">
            <v>10001134</v>
          </cell>
          <cell r="G2211">
            <v>40007391</v>
          </cell>
        </row>
        <row r="2212">
          <cell r="E2212" t="str">
            <v>344442-1</v>
          </cell>
          <cell r="F2212">
            <v>10002198</v>
          </cell>
        </row>
        <row r="2213">
          <cell r="E2213" t="str">
            <v>187676-1</v>
          </cell>
          <cell r="F2213">
            <v>10045852</v>
          </cell>
          <cell r="G2213">
            <v>40007513</v>
          </cell>
        </row>
        <row r="2214">
          <cell r="E2214" t="str">
            <v>187679-5</v>
          </cell>
          <cell r="F2214">
            <v>10050406</v>
          </cell>
          <cell r="G2214">
            <v>40007948</v>
          </cell>
        </row>
        <row r="2215">
          <cell r="E2215">
            <v>3640870</v>
          </cell>
          <cell r="F2215">
            <v>10062593</v>
          </cell>
          <cell r="G2215">
            <v>40005632</v>
          </cell>
        </row>
        <row r="2216">
          <cell r="E2216">
            <v>3640880</v>
          </cell>
          <cell r="F2216">
            <v>10062597</v>
          </cell>
          <cell r="G2216">
            <v>40005636</v>
          </cell>
        </row>
        <row r="2217">
          <cell r="E2217" t="str">
            <v>199579-7</v>
          </cell>
          <cell r="F2217">
            <v>10089676</v>
          </cell>
          <cell r="G2217">
            <v>40005851</v>
          </cell>
        </row>
        <row r="2218">
          <cell r="E2218" t="str">
            <v>192968-5</v>
          </cell>
          <cell r="F2218">
            <v>10072751</v>
          </cell>
          <cell r="G2218">
            <v>40006159</v>
          </cell>
        </row>
        <row r="2219">
          <cell r="E2219" t="str">
            <v>421265-5</v>
          </cell>
          <cell r="F2219">
            <v>10058404</v>
          </cell>
          <cell r="G2219">
            <v>40005724</v>
          </cell>
        </row>
        <row r="2220">
          <cell r="E2220" t="str">
            <v>421329-5</v>
          </cell>
          <cell r="F2220">
            <v>10057229</v>
          </cell>
          <cell r="G2220">
            <v>40005683</v>
          </cell>
        </row>
        <row r="2221">
          <cell r="E2221" t="str">
            <v>421631-6</v>
          </cell>
          <cell r="F2221">
            <v>10051509</v>
          </cell>
          <cell r="G2221">
            <v>40006943</v>
          </cell>
        </row>
        <row r="2222">
          <cell r="E2222" t="str">
            <v>345726-0</v>
          </cell>
          <cell r="F2222">
            <v>10045363</v>
          </cell>
          <cell r="G2222">
            <v>40006806</v>
          </cell>
        </row>
        <row r="2223">
          <cell r="E2223" t="str">
            <v>JM23100179</v>
          </cell>
          <cell r="F2223">
            <v>10063062</v>
          </cell>
          <cell r="G2223">
            <v>40006030</v>
          </cell>
        </row>
        <row r="2224">
          <cell r="E2224" t="str">
            <v>638502-2</v>
          </cell>
          <cell r="F2224">
            <v>10059192</v>
          </cell>
          <cell r="G2224">
            <v>40006268</v>
          </cell>
        </row>
        <row r="2225">
          <cell r="E2225" t="str">
            <v>638375-3</v>
          </cell>
          <cell r="F2225">
            <v>10001273</v>
          </cell>
          <cell r="G2225">
            <v>40007066</v>
          </cell>
        </row>
        <row r="2226">
          <cell r="E2226" t="str">
            <v>140482-5</v>
          </cell>
          <cell r="F2226">
            <v>10057152</v>
          </cell>
          <cell r="G2226">
            <v>40005676</v>
          </cell>
        </row>
        <row r="2227">
          <cell r="E2227">
            <v>980008607</v>
          </cell>
          <cell r="F2227">
            <v>10024036</v>
          </cell>
          <cell r="G2227">
            <v>40007238</v>
          </cell>
        </row>
        <row r="2228">
          <cell r="E2228">
            <v>3320130</v>
          </cell>
          <cell r="F2228">
            <v>10036582</v>
          </cell>
          <cell r="G2228">
            <v>40007998</v>
          </cell>
        </row>
        <row r="2229">
          <cell r="E2229" t="str">
            <v>S-593260</v>
          </cell>
          <cell r="F2229">
            <v>10087912</v>
          </cell>
          <cell r="G2229">
            <v>40005837</v>
          </cell>
        </row>
        <row r="2230">
          <cell r="E2230" t="str">
            <v>266018-3</v>
          </cell>
          <cell r="F2230">
            <v>10049441</v>
          </cell>
        </row>
        <row r="2231">
          <cell r="E2231" t="str">
            <v>450584-2</v>
          </cell>
          <cell r="F2231">
            <v>10018099</v>
          </cell>
          <cell r="G2231">
            <v>40007535</v>
          </cell>
        </row>
        <row r="2232">
          <cell r="E2232" t="str">
            <v>452399-3</v>
          </cell>
          <cell r="F2232">
            <v>10050074</v>
          </cell>
          <cell r="G2232">
            <v>40007892</v>
          </cell>
        </row>
        <row r="2233">
          <cell r="E2233" t="str">
            <v>240117-9</v>
          </cell>
          <cell r="F2233">
            <v>10038956</v>
          </cell>
          <cell r="G2233">
            <v>40008039</v>
          </cell>
        </row>
        <row r="2234">
          <cell r="E2234" t="str">
            <v>240077-5</v>
          </cell>
          <cell r="F2234">
            <v>10098925</v>
          </cell>
          <cell r="G2234">
            <v>40005920</v>
          </cell>
        </row>
        <row r="2235">
          <cell r="E2235" t="str">
            <v>240148-8</v>
          </cell>
          <cell r="F2235">
            <v>10057267</v>
          </cell>
          <cell r="G2235">
            <v>40005708</v>
          </cell>
        </row>
        <row r="2236">
          <cell r="E2236" t="str">
            <v>241888-1</v>
          </cell>
          <cell r="F2236">
            <v>10001055</v>
          </cell>
          <cell r="G2236">
            <v>40007347</v>
          </cell>
        </row>
        <row r="2237">
          <cell r="E2237" t="str">
            <v>241671-6</v>
          </cell>
          <cell r="F2237">
            <v>10054827</v>
          </cell>
          <cell r="G2237">
            <v>40006127</v>
          </cell>
        </row>
        <row r="2238">
          <cell r="E2238" t="str">
            <v>240122-6</v>
          </cell>
          <cell r="F2238">
            <v>10084072</v>
          </cell>
          <cell r="G2238">
            <v>40006234</v>
          </cell>
        </row>
        <row r="2239">
          <cell r="E2239" t="str">
            <v>450069-8</v>
          </cell>
          <cell r="F2239">
            <v>10054828</v>
          </cell>
          <cell r="G2239">
            <v>40006128</v>
          </cell>
        </row>
        <row r="2240">
          <cell r="E2240" t="str">
            <v>451267-7</v>
          </cell>
          <cell r="F2240">
            <v>10038955</v>
          </cell>
          <cell r="G2240">
            <v>40008038</v>
          </cell>
        </row>
        <row r="2241">
          <cell r="E2241" t="str">
            <v>443074-2</v>
          </cell>
          <cell r="F2241">
            <v>10049566</v>
          </cell>
          <cell r="G2241">
            <v>40007837</v>
          </cell>
        </row>
        <row r="2242">
          <cell r="E2242" t="str">
            <v>154438-2</v>
          </cell>
          <cell r="F2242">
            <v>10063012</v>
          </cell>
          <cell r="G2242">
            <v>40005998</v>
          </cell>
        </row>
        <row r="2243">
          <cell r="E2243" t="str">
            <v>158388-3</v>
          </cell>
          <cell r="F2243">
            <v>10063010</v>
          </cell>
          <cell r="G2243">
            <v>40005996</v>
          </cell>
        </row>
        <row r="2244">
          <cell r="E2244">
            <v>963601240</v>
          </cell>
          <cell r="F2244">
            <v>10001349</v>
          </cell>
        </row>
        <row r="2245">
          <cell r="E2245" t="str">
            <v>443124-3</v>
          </cell>
          <cell r="F2245">
            <v>10062977</v>
          </cell>
          <cell r="G2245">
            <v>40005970</v>
          </cell>
        </row>
        <row r="2246">
          <cell r="E2246" t="str">
            <v>524709-5</v>
          </cell>
          <cell r="F2246">
            <v>10000920</v>
          </cell>
          <cell r="G2246">
            <v>40007787</v>
          </cell>
        </row>
        <row r="2247">
          <cell r="E2247" t="str">
            <v>521237-1</v>
          </cell>
          <cell r="F2247">
            <v>10000896</v>
          </cell>
          <cell r="G2247">
            <v>40007769</v>
          </cell>
        </row>
        <row r="2248">
          <cell r="E2248" t="str">
            <v>593009-4</v>
          </cell>
          <cell r="F2248">
            <v>10000923</v>
          </cell>
          <cell r="G2248">
            <v>40007789</v>
          </cell>
        </row>
        <row r="2249">
          <cell r="E2249" t="str">
            <v>593458-5</v>
          </cell>
          <cell r="F2249">
            <v>10000928</v>
          </cell>
          <cell r="G2249">
            <v>40007794</v>
          </cell>
        </row>
        <row r="2250">
          <cell r="E2250" t="str">
            <v>593668-4</v>
          </cell>
          <cell r="F2250">
            <v>10040948</v>
          </cell>
          <cell r="G2250">
            <v>40006737</v>
          </cell>
        </row>
        <row r="2251">
          <cell r="E2251" t="str">
            <v>593718-5</v>
          </cell>
          <cell r="F2251">
            <v>10040947</v>
          </cell>
          <cell r="G2251">
            <v>40006736</v>
          </cell>
        </row>
        <row r="2252">
          <cell r="E2252" t="str">
            <v>593739-7</v>
          </cell>
          <cell r="F2252">
            <v>10031042</v>
          </cell>
          <cell r="G2252">
            <v>40007178</v>
          </cell>
        </row>
        <row r="2253">
          <cell r="E2253" t="str">
            <v>596249-3</v>
          </cell>
          <cell r="F2253">
            <v>10000916</v>
          </cell>
          <cell r="G2253">
            <v>40007784</v>
          </cell>
        </row>
        <row r="2254">
          <cell r="E2254" t="str">
            <v>621708-9</v>
          </cell>
          <cell r="F2254">
            <v>10000924</v>
          </cell>
          <cell r="G2254">
            <v>40007790</v>
          </cell>
        </row>
        <row r="2255">
          <cell r="E2255" t="str">
            <v>636169-0</v>
          </cell>
          <cell r="F2255">
            <v>10040949</v>
          </cell>
          <cell r="G2255">
            <v>40006738</v>
          </cell>
        </row>
        <row r="2256">
          <cell r="E2256">
            <v>970802250</v>
          </cell>
          <cell r="F2256">
            <v>10000915</v>
          </cell>
        </row>
        <row r="2257">
          <cell r="E2257" t="str">
            <v>634299-1</v>
          </cell>
          <cell r="F2257">
            <v>10000887</v>
          </cell>
          <cell r="G2257">
            <v>40007765</v>
          </cell>
        </row>
        <row r="2258">
          <cell r="E2258" t="str">
            <v>525104-2</v>
          </cell>
          <cell r="F2258">
            <v>10000906</v>
          </cell>
        </row>
        <row r="2259">
          <cell r="E2259" t="str">
            <v>636103-0</v>
          </cell>
          <cell r="F2259">
            <v>10000914</v>
          </cell>
          <cell r="G2259">
            <v>40007783</v>
          </cell>
        </row>
        <row r="2260">
          <cell r="E2260" t="str">
            <v>529083-6</v>
          </cell>
          <cell r="F2260">
            <v>10000910</v>
          </cell>
          <cell r="G2260">
            <v>40007779</v>
          </cell>
        </row>
        <row r="2261">
          <cell r="E2261" t="str">
            <v>593523-0</v>
          </cell>
          <cell r="F2261">
            <v>10000909</v>
          </cell>
          <cell r="G2261">
            <v>40007778</v>
          </cell>
        </row>
        <row r="2262">
          <cell r="E2262" t="str">
            <v>520040-7</v>
          </cell>
          <cell r="F2262">
            <v>10060451</v>
          </cell>
          <cell r="G2262">
            <v>40006320</v>
          </cell>
        </row>
        <row r="2263">
          <cell r="E2263" t="str">
            <v>628183-0</v>
          </cell>
          <cell r="F2263">
            <v>10080867</v>
          </cell>
          <cell r="G2263">
            <v>40006219</v>
          </cell>
        </row>
        <row r="2264">
          <cell r="E2264" t="str">
            <v>594588-5</v>
          </cell>
          <cell r="F2264">
            <v>10050979</v>
          </cell>
          <cell r="G2264">
            <v>40006898</v>
          </cell>
        </row>
        <row r="2265">
          <cell r="E2265" t="str">
            <v>621713-6</v>
          </cell>
          <cell r="F2265">
            <v>10001284</v>
          </cell>
          <cell r="G2265">
            <v>40010334</v>
          </cell>
        </row>
        <row r="2266">
          <cell r="E2266" t="str">
            <v>623558-8</v>
          </cell>
          <cell r="F2266">
            <v>10050965</v>
          </cell>
          <cell r="G2266">
            <v>40006888</v>
          </cell>
        </row>
        <row r="2267">
          <cell r="E2267" t="str">
            <v>626533-3</v>
          </cell>
          <cell r="F2267">
            <v>10054833</v>
          </cell>
          <cell r="G2267">
            <v>40006133</v>
          </cell>
        </row>
        <row r="2268">
          <cell r="E2268" t="str">
            <v>621818-2</v>
          </cell>
          <cell r="F2268">
            <v>10093975</v>
          </cell>
          <cell r="G2268">
            <v>40005874</v>
          </cell>
        </row>
        <row r="2269">
          <cell r="E2269" t="str">
            <v>628391-3</v>
          </cell>
          <cell r="F2269">
            <v>10093973</v>
          </cell>
          <cell r="G2269">
            <v>40005872</v>
          </cell>
        </row>
        <row r="2270">
          <cell r="E2270" t="str">
            <v>626579-9</v>
          </cell>
          <cell r="F2270">
            <v>10000884</v>
          </cell>
          <cell r="G2270">
            <v>40007764</v>
          </cell>
        </row>
        <row r="2271">
          <cell r="E2271" t="str">
            <v>633579-2</v>
          </cell>
          <cell r="F2271">
            <v>10001360</v>
          </cell>
          <cell r="G2271">
            <v>40007124</v>
          </cell>
        </row>
        <row r="2272">
          <cell r="E2272" t="str">
            <v>633674-8</v>
          </cell>
          <cell r="F2272">
            <v>10080868</v>
          </cell>
          <cell r="G2272">
            <v>40006220</v>
          </cell>
        </row>
        <row r="2273">
          <cell r="E2273" t="str">
            <v>634559-1</v>
          </cell>
          <cell r="F2273">
            <v>10017062</v>
          </cell>
        </row>
        <row r="2274">
          <cell r="E2274" t="str">
            <v>633799-8</v>
          </cell>
          <cell r="F2274">
            <v>10098932</v>
          </cell>
          <cell r="G2274">
            <v>40005926</v>
          </cell>
        </row>
        <row r="2275">
          <cell r="E2275" t="str">
            <v>522639-4</v>
          </cell>
          <cell r="F2275">
            <v>10000907</v>
          </cell>
          <cell r="G2275">
            <v>40007776</v>
          </cell>
        </row>
        <row r="2276">
          <cell r="E2276" t="str">
            <v>524509-3</v>
          </cell>
          <cell r="F2276">
            <v>10000912</v>
          </cell>
          <cell r="G2276">
            <v>40007781</v>
          </cell>
        </row>
        <row r="2277">
          <cell r="E2277" t="str">
            <v>521217-7</v>
          </cell>
          <cell r="F2277">
            <v>10025688</v>
          </cell>
          <cell r="G2277">
            <v>40007285</v>
          </cell>
        </row>
        <row r="2278">
          <cell r="E2278" t="str">
            <v>521419-5</v>
          </cell>
          <cell r="F2278">
            <v>10042336</v>
          </cell>
        </row>
        <row r="2279">
          <cell r="E2279" t="str">
            <v>522166-1</v>
          </cell>
          <cell r="F2279">
            <v>10030874</v>
          </cell>
          <cell r="G2279">
            <v>40010228</v>
          </cell>
        </row>
        <row r="2280">
          <cell r="E2280" t="str">
            <v>522267-5</v>
          </cell>
          <cell r="F2280">
            <v>10000889</v>
          </cell>
          <cell r="G2280">
            <v>40007766</v>
          </cell>
        </row>
        <row r="2281">
          <cell r="E2281" t="str">
            <v>522509-7</v>
          </cell>
          <cell r="F2281">
            <v>10000921</v>
          </cell>
          <cell r="G2281">
            <v>40007788</v>
          </cell>
        </row>
        <row r="2282">
          <cell r="E2282" t="str">
            <v>522554-2</v>
          </cell>
          <cell r="F2282">
            <v>10042338</v>
          </cell>
          <cell r="G2282">
            <v>40006759</v>
          </cell>
        </row>
        <row r="2283">
          <cell r="E2283" t="str">
            <v>523349-6</v>
          </cell>
          <cell r="F2283">
            <v>10042341</v>
          </cell>
          <cell r="G2283">
            <v>40006762</v>
          </cell>
        </row>
        <row r="2284">
          <cell r="E2284" t="str">
            <v>524127-7</v>
          </cell>
          <cell r="F2284">
            <v>10000876</v>
          </cell>
          <cell r="G2284">
            <v>40007757</v>
          </cell>
        </row>
        <row r="2285">
          <cell r="E2285" t="str">
            <v>524206-1</v>
          </cell>
          <cell r="F2285">
            <v>10042329</v>
          </cell>
          <cell r="G2285">
            <v>40006751</v>
          </cell>
        </row>
        <row r="2286">
          <cell r="E2286" t="str">
            <v>524539-4</v>
          </cell>
          <cell r="F2286">
            <v>10000875</v>
          </cell>
          <cell r="G2286">
            <v>40010335</v>
          </cell>
        </row>
        <row r="2287">
          <cell r="E2287" t="str">
            <v>524559-8</v>
          </cell>
          <cell r="F2287">
            <v>10000872</v>
          </cell>
          <cell r="G2287">
            <v>40007754</v>
          </cell>
        </row>
        <row r="2288">
          <cell r="E2288" t="str">
            <v>524634-0</v>
          </cell>
          <cell r="F2288">
            <v>10045365</v>
          </cell>
          <cell r="G2288">
            <v>40006807</v>
          </cell>
        </row>
        <row r="2289">
          <cell r="E2289" t="str">
            <v>524754-0</v>
          </cell>
          <cell r="F2289">
            <v>10000873</v>
          </cell>
          <cell r="G2289">
            <v>40007755</v>
          </cell>
        </row>
        <row r="2290">
          <cell r="E2290" t="str">
            <v>525089-2</v>
          </cell>
          <cell r="F2290">
            <v>10000901</v>
          </cell>
          <cell r="G2290">
            <v>40007773</v>
          </cell>
        </row>
        <row r="2291">
          <cell r="E2291" t="str">
            <v>525768-2</v>
          </cell>
          <cell r="F2291">
            <v>10021679</v>
          </cell>
          <cell r="G2291">
            <v>40007554</v>
          </cell>
        </row>
        <row r="2292">
          <cell r="E2292" t="str">
            <v>526074-8</v>
          </cell>
          <cell r="F2292">
            <v>10084086</v>
          </cell>
          <cell r="G2292">
            <v>40006253</v>
          </cell>
        </row>
        <row r="2293">
          <cell r="E2293" t="str">
            <v>526179-4</v>
          </cell>
          <cell r="F2293">
            <v>10031411</v>
          </cell>
          <cell r="G2293">
            <v>40007180</v>
          </cell>
        </row>
        <row r="2294">
          <cell r="E2294" t="str">
            <v>526193-0</v>
          </cell>
          <cell r="F2294">
            <v>10056694</v>
          </cell>
          <cell r="G2294">
            <v>40005667</v>
          </cell>
        </row>
        <row r="2295">
          <cell r="E2295" t="str">
            <v>526584-5</v>
          </cell>
          <cell r="F2295">
            <v>10049015</v>
          </cell>
          <cell r="G2295">
            <v>40007007</v>
          </cell>
        </row>
        <row r="2296">
          <cell r="E2296" t="str">
            <v>526609-5</v>
          </cell>
          <cell r="F2296">
            <v>10027879</v>
          </cell>
          <cell r="G2296">
            <v>40007817</v>
          </cell>
        </row>
        <row r="2297">
          <cell r="E2297" t="str">
            <v>529090-9</v>
          </cell>
          <cell r="F2297">
            <v>10000925</v>
          </cell>
          <cell r="G2297">
            <v>40007791</v>
          </cell>
        </row>
        <row r="2298">
          <cell r="E2298" t="str">
            <v>522147-5</v>
          </cell>
          <cell r="F2298">
            <v>10000880</v>
          </cell>
          <cell r="G2298">
            <v>40007761</v>
          </cell>
        </row>
        <row r="2299">
          <cell r="E2299" t="str">
            <v>590019-2</v>
          </cell>
          <cell r="F2299">
            <v>10033825</v>
          </cell>
        </row>
        <row r="2300">
          <cell r="E2300" t="str">
            <v>593119-7</v>
          </cell>
          <cell r="F2300">
            <v>10000874</v>
          </cell>
          <cell r="G2300">
            <v>40007756</v>
          </cell>
        </row>
        <row r="2301">
          <cell r="E2301" t="str">
            <v>593508-6</v>
          </cell>
          <cell r="F2301">
            <v>10033834</v>
          </cell>
          <cell r="G2301">
            <v>40007220</v>
          </cell>
        </row>
        <row r="2302">
          <cell r="E2302" t="str">
            <v>593539-5</v>
          </cell>
          <cell r="F2302">
            <v>10035284</v>
          </cell>
          <cell r="G2302">
            <v>40008143</v>
          </cell>
        </row>
        <row r="2303">
          <cell r="E2303" t="str">
            <v>593563-8</v>
          </cell>
          <cell r="F2303">
            <v>10026313</v>
          </cell>
        </row>
        <row r="2304">
          <cell r="E2304" t="str">
            <v>593628-6</v>
          </cell>
          <cell r="F2304">
            <v>10040950</v>
          </cell>
          <cell r="G2304">
            <v>40006739</v>
          </cell>
        </row>
        <row r="2305">
          <cell r="E2305" t="str">
            <v>593644-8</v>
          </cell>
          <cell r="F2305">
            <v>10034203</v>
          </cell>
          <cell r="G2305">
            <v>40010364</v>
          </cell>
        </row>
        <row r="2306">
          <cell r="E2306" t="str">
            <v>593649-8</v>
          </cell>
          <cell r="F2306">
            <v>10042345</v>
          </cell>
          <cell r="G2306">
            <v>40006766</v>
          </cell>
        </row>
        <row r="2307">
          <cell r="E2307" t="str">
            <v>593703-8</v>
          </cell>
          <cell r="F2307">
            <v>10027877</v>
          </cell>
          <cell r="G2307">
            <v>40007814</v>
          </cell>
        </row>
        <row r="2308">
          <cell r="E2308" t="str">
            <v>593803-4</v>
          </cell>
          <cell r="F2308">
            <v>10047924</v>
          </cell>
          <cell r="G2308">
            <v>40006993</v>
          </cell>
        </row>
        <row r="2309">
          <cell r="E2309" t="str">
            <v>593864-4</v>
          </cell>
          <cell r="F2309">
            <v>10061283</v>
          </cell>
          <cell r="G2309">
            <v>40006334</v>
          </cell>
        </row>
        <row r="2310">
          <cell r="E2310" t="str">
            <v>593944-6</v>
          </cell>
          <cell r="F2310">
            <v>10065424</v>
          </cell>
          <cell r="G2310">
            <v>40006402</v>
          </cell>
        </row>
        <row r="2311">
          <cell r="E2311" t="str">
            <v>594079-6</v>
          </cell>
          <cell r="F2311">
            <v>10065781</v>
          </cell>
        </row>
        <row r="2312">
          <cell r="E2312" t="str">
            <v>594344-3</v>
          </cell>
          <cell r="F2312">
            <v>10030430</v>
          </cell>
          <cell r="G2312">
            <v>40007151</v>
          </cell>
        </row>
        <row r="2313">
          <cell r="E2313" t="str">
            <v>594388-3</v>
          </cell>
          <cell r="F2313">
            <v>10042337</v>
          </cell>
          <cell r="G2313">
            <v>40006758</v>
          </cell>
        </row>
        <row r="2314">
          <cell r="E2314" t="str">
            <v>594438-4</v>
          </cell>
          <cell r="F2314">
            <v>10000917</v>
          </cell>
          <cell r="G2314">
            <v>40007785</v>
          </cell>
        </row>
        <row r="2315">
          <cell r="E2315" t="str">
            <v>594534-8</v>
          </cell>
          <cell r="F2315">
            <v>10042347</v>
          </cell>
          <cell r="G2315">
            <v>40006768</v>
          </cell>
        </row>
        <row r="2316">
          <cell r="E2316" t="str">
            <v>594594-0</v>
          </cell>
          <cell r="F2316">
            <v>10042333</v>
          </cell>
          <cell r="G2316">
            <v>40006755</v>
          </cell>
        </row>
        <row r="2317">
          <cell r="E2317" t="str">
            <v>594634-4</v>
          </cell>
          <cell r="F2317">
            <v>10057266</v>
          </cell>
          <cell r="G2317">
            <v>40005707</v>
          </cell>
        </row>
        <row r="2318">
          <cell r="E2318" t="str">
            <v>595094-3</v>
          </cell>
          <cell r="F2318">
            <v>10042344</v>
          </cell>
          <cell r="G2318">
            <v>40006765</v>
          </cell>
        </row>
        <row r="2319">
          <cell r="E2319" t="str">
            <v>596264-7</v>
          </cell>
          <cell r="F2319">
            <v>10022565</v>
          </cell>
          <cell r="G2319">
            <v>40003881</v>
          </cell>
        </row>
        <row r="2320">
          <cell r="E2320" t="str">
            <v>599089-8</v>
          </cell>
          <cell r="F2320">
            <v>10076945</v>
          </cell>
          <cell r="G2320">
            <v>40006196</v>
          </cell>
        </row>
        <row r="2321">
          <cell r="E2321" t="str">
            <v>599531-9</v>
          </cell>
          <cell r="F2321">
            <v>10031044</v>
          </cell>
          <cell r="G2321">
            <v>40007179</v>
          </cell>
        </row>
        <row r="2322">
          <cell r="E2322" t="str">
            <v>599536-9</v>
          </cell>
          <cell r="F2322">
            <v>10035285</v>
          </cell>
          <cell r="G2322">
            <v>40008144</v>
          </cell>
        </row>
        <row r="2323">
          <cell r="E2323" t="str">
            <v>522439-2</v>
          </cell>
          <cell r="F2323">
            <v>10000911</v>
          </cell>
          <cell r="G2323">
            <v>40007780</v>
          </cell>
        </row>
        <row r="2324">
          <cell r="E2324" t="str">
            <v>621733-0</v>
          </cell>
          <cell r="F2324">
            <v>10053998</v>
          </cell>
          <cell r="G2324">
            <v>40006069</v>
          </cell>
        </row>
        <row r="2325">
          <cell r="E2325" t="str">
            <v>623528-7</v>
          </cell>
          <cell r="F2325">
            <v>10049586</v>
          </cell>
          <cell r="G2325">
            <v>40007866</v>
          </cell>
        </row>
        <row r="2326">
          <cell r="E2326" t="str">
            <v>625119-0</v>
          </cell>
          <cell r="F2326">
            <v>10062431</v>
          </cell>
          <cell r="G2326">
            <v>40005563</v>
          </cell>
        </row>
        <row r="2327">
          <cell r="E2327" t="str">
            <v>625704-9</v>
          </cell>
          <cell r="F2327">
            <v>10062985</v>
          </cell>
          <cell r="G2327">
            <v>40005975</v>
          </cell>
        </row>
        <row r="2328">
          <cell r="E2328" t="str">
            <v>625758-6</v>
          </cell>
          <cell r="F2328">
            <v>10032699</v>
          </cell>
          <cell r="G2328">
            <v>40007198</v>
          </cell>
        </row>
        <row r="2329">
          <cell r="E2329" t="str">
            <v>625764-1</v>
          </cell>
          <cell r="F2329">
            <v>10038939</v>
          </cell>
          <cell r="G2329">
            <v>40008026</v>
          </cell>
        </row>
        <row r="2330">
          <cell r="E2330" t="str">
            <v>625809-5</v>
          </cell>
          <cell r="F2330">
            <v>10047927</v>
          </cell>
          <cell r="G2330">
            <v>40006996</v>
          </cell>
        </row>
        <row r="2331">
          <cell r="E2331" t="str">
            <v>625813-4</v>
          </cell>
          <cell r="F2331">
            <v>10035289</v>
          </cell>
          <cell r="G2331">
            <v>40008151</v>
          </cell>
        </row>
        <row r="2332">
          <cell r="E2332" t="str">
            <v>626134-7</v>
          </cell>
          <cell r="F2332">
            <v>10050876</v>
          </cell>
          <cell r="G2332">
            <v>40008289</v>
          </cell>
        </row>
        <row r="2333">
          <cell r="E2333" t="str">
            <v>626154-1</v>
          </cell>
          <cell r="F2333">
            <v>10000881</v>
          </cell>
          <cell r="G2333">
            <v>40007762</v>
          </cell>
        </row>
        <row r="2334">
          <cell r="E2334" t="str">
            <v>626604-6</v>
          </cell>
          <cell r="F2334">
            <v>10033754</v>
          </cell>
          <cell r="G2334">
            <v>40007209</v>
          </cell>
        </row>
        <row r="2335">
          <cell r="E2335" t="str">
            <v>626634-7</v>
          </cell>
          <cell r="F2335">
            <v>10023867</v>
          </cell>
          <cell r="G2335">
            <v>40007660</v>
          </cell>
        </row>
        <row r="2336">
          <cell r="E2336" t="str">
            <v>633034-4</v>
          </cell>
          <cell r="F2336">
            <v>10040945</v>
          </cell>
          <cell r="G2336">
            <v>40006735</v>
          </cell>
        </row>
        <row r="2337">
          <cell r="E2337" t="str">
            <v>633159-4</v>
          </cell>
          <cell r="F2337">
            <v>10022566</v>
          </cell>
          <cell r="G2337">
            <v>40003882</v>
          </cell>
        </row>
        <row r="2338">
          <cell r="E2338" t="str">
            <v>633303-3</v>
          </cell>
          <cell r="F2338">
            <v>10000899</v>
          </cell>
        </row>
        <row r="2339">
          <cell r="E2339" t="str">
            <v>633314-8</v>
          </cell>
          <cell r="F2339">
            <v>10000913</v>
          </cell>
          <cell r="G2339">
            <v>40007782</v>
          </cell>
        </row>
        <row r="2340">
          <cell r="E2340" t="str">
            <v>633443-7</v>
          </cell>
          <cell r="F2340">
            <v>10027538</v>
          </cell>
          <cell r="G2340">
            <v>40007319</v>
          </cell>
        </row>
        <row r="2341">
          <cell r="E2341" t="str">
            <v>633488-5</v>
          </cell>
          <cell r="F2341">
            <v>10001253</v>
          </cell>
          <cell r="G2341">
            <v>40007053</v>
          </cell>
        </row>
        <row r="2342">
          <cell r="E2342" t="str">
            <v>633528-9</v>
          </cell>
          <cell r="F2342">
            <v>10000926</v>
          </cell>
          <cell r="G2342">
            <v>40007792</v>
          </cell>
        </row>
        <row r="2343">
          <cell r="E2343" t="str">
            <v>633573-4</v>
          </cell>
          <cell r="F2343">
            <v>10033824</v>
          </cell>
          <cell r="G2343">
            <v>40007217</v>
          </cell>
        </row>
        <row r="2344">
          <cell r="E2344" t="str">
            <v>633688-7</v>
          </cell>
          <cell r="F2344">
            <v>10038940</v>
          </cell>
          <cell r="G2344">
            <v>40008027</v>
          </cell>
        </row>
        <row r="2345">
          <cell r="E2345" t="str">
            <v>633693-4</v>
          </cell>
          <cell r="F2345">
            <v>10064603</v>
          </cell>
          <cell r="G2345">
            <v>40006385</v>
          </cell>
        </row>
        <row r="2346">
          <cell r="E2346" t="str">
            <v>633754-0</v>
          </cell>
          <cell r="F2346">
            <v>10062581</v>
          </cell>
          <cell r="G2346">
            <v>40005621</v>
          </cell>
        </row>
        <row r="2347">
          <cell r="E2347" t="str">
            <v>633793-0</v>
          </cell>
          <cell r="F2347">
            <v>10040946</v>
          </cell>
          <cell r="G2347">
            <v>40010337</v>
          </cell>
        </row>
        <row r="2348">
          <cell r="E2348" t="str">
            <v>633834-2</v>
          </cell>
          <cell r="F2348">
            <v>10057264</v>
          </cell>
          <cell r="G2348">
            <v>40005705</v>
          </cell>
        </row>
        <row r="2349">
          <cell r="E2349" t="str">
            <v>634154-7</v>
          </cell>
          <cell r="F2349">
            <v>10000900</v>
          </cell>
          <cell r="G2349">
            <v>40007772</v>
          </cell>
        </row>
        <row r="2350">
          <cell r="E2350" t="str">
            <v>634159-7</v>
          </cell>
          <cell r="F2350">
            <v>10000892</v>
          </cell>
          <cell r="G2350">
            <v>40007768</v>
          </cell>
        </row>
        <row r="2351">
          <cell r="E2351" t="str">
            <v>634284-4</v>
          </cell>
          <cell r="F2351">
            <v>10084084</v>
          </cell>
        </row>
        <row r="2352">
          <cell r="E2352" t="str">
            <v>634293-3</v>
          </cell>
          <cell r="F2352">
            <v>10002218</v>
          </cell>
          <cell r="G2352">
            <v>40010227</v>
          </cell>
        </row>
        <row r="2353">
          <cell r="E2353" t="str">
            <v>635014-6</v>
          </cell>
          <cell r="F2353">
            <v>10035291</v>
          </cell>
          <cell r="G2353">
            <v>40008153</v>
          </cell>
        </row>
        <row r="2354">
          <cell r="E2354" t="str">
            <v>635099-2</v>
          </cell>
          <cell r="F2354">
            <v>10035207</v>
          </cell>
          <cell r="G2354">
            <v>40008130</v>
          </cell>
        </row>
        <row r="2355">
          <cell r="E2355" t="str">
            <v>635104-5</v>
          </cell>
          <cell r="F2355">
            <v>10050081</v>
          </cell>
          <cell r="G2355">
            <v>40007897</v>
          </cell>
        </row>
        <row r="2356">
          <cell r="E2356" t="str">
            <v>635109-5</v>
          </cell>
          <cell r="F2356">
            <v>10035296</v>
          </cell>
          <cell r="G2356">
            <v>40008163</v>
          </cell>
        </row>
        <row r="2357">
          <cell r="E2357" t="str">
            <v>635113-4</v>
          </cell>
          <cell r="F2357">
            <v>10037631</v>
          </cell>
          <cell r="G2357">
            <v>40008003</v>
          </cell>
        </row>
        <row r="2358">
          <cell r="E2358" t="str">
            <v>636009-2</v>
          </cell>
          <cell r="F2358">
            <v>10000898</v>
          </cell>
          <cell r="G2358">
            <v>40007771</v>
          </cell>
        </row>
        <row r="2359">
          <cell r="E2359" t="str">
            <v>636148-8</v>
          </cell>
          <cell r="F2359">
            <v>10030452</v>
          </cell>
          <cell r="G2359">
            <v>40007162</v>
          </cell>
        </row>
        <row r="2360">
          <cell r="E2360" t="str">
            <v>636389-6</v>
          </cell>
          <cell r="F2360">
            <v>10057269</v>
          </cell>
          <cell r="G2360">
            <v>40005709</v>
          </cell>
        </row>
        <row r="2361">
          <cell r="E2361" t="str">
            <v>639534-2</v>
          </cell>
          <cell r="F2361">
            <v>10027882</v>
          </cell>
          <cell r="G2361">
            <v>40007821</v>
          </cell>
        </row>
        <row r="2362">
          <cell r="E2362" t="str">
            <v>621658-8</v>
          </cell>
          <cell r="F2362">
            <v>10000905</v>
          </cell>
          <cell r="G2362">
            <v>40007775</v>
          </cell>
        </row>
        <row r="2363">
          <cell r="E2363" t="str">
            <v>522838-8</v>
          </cell>
          <cell r="F2363">
            <v>10000893</v>
          </cell>
          <cell r="G2363">
            <v>40003865</v>
          </cell>
        </row>
        <row r="2364">
          <cell r="E2364" t="str">
            <v>521554-9</v>
          </cell>
          <cell r="F2364">
            <v>10038177</v>
          </cell>
          <cell r="G2364">
            <v>40008005</v>
          </cell>
        </row>
        <row r="2365">
          <cell r="E2365" t="str">
            <v>594489-7</v>
          </cell>
          <cell r="F2365">
            <v>10004532</v>
          </cell>
          <cell r="G2365">
            <v>40008240</v>
          </cell>
        </row>
        <row r="2366">
          <cell r="E2366" t="str">
            <v>593869-4</v>
          </cell>
          <cell r="F2366">
            <v>10062549</v>
          </cell>
          <cell r="G2366">
            <v>40005599</v>
          </cell>
        </row>
        <row r="2367">
          <cell r="E2367" t="str">
            <v>596279-4</v>
          </cell>
          <cell r="F2367">
            <v>10002219</v>
          </cell>
          <cell r="G2367">
            <v>40007681</v>
          </cell>
        </row>
        <row r="2368">
          <cell r="E2368" t="str">
            <v>524499-0</v>
          </cell>
          <cell r="F2368">
            <v>10000886</v>
          </cell>
        </row>
        <row r="2369">
          <cell r="E2369" t="str">
            <v>590087-5</v>
          </cell>
          <cell r="F2369">
            <v>10101561</v>
          </cell>
          <cell r="G2369">
            <v>40005934</v>
          </cell>
        </row>
        <row r="2370">
          <cell r="E2370" t="str">
            <v>525834-5</v>
          </cell>
          <cell r="F2370">
            <v>10053979</v>
          </cell>
          <cell r="G2370">
            <v>40010229</v>
          </cell>
        </row>
        <row r="2371">
          <cell r="E2371" t="str">
            <v>594709-9</v>
          </cell>
          <cell r="F2371">
            <v>10102722</v>
          </cell>
          <cell r="G2371">
            <v>40005936</v>
          </cell>
        </row>
        <row r="2372">
          <cell r="E2372" t="str">
            <v>523037-5</v>
          </cell>
          <cell r="F2372">
            <v>10002211</v>
          </cell>
          <cell r="G2372">
            <v>40007679</v>
          </cell>
        </row>
        <row r="2373">
          <cell r="E2373" t="str">
            <v>522017-8</v>
          </cell>
          <cell r="F2373">
            <v>10002204</v>
          </cell>
          <cell r="G2373">
            <v>40007674</v>
          </cell>
        </row>
        <row r="2374">
          <cell r="E2374" t="str">
            <v>523027-8</v>
          </cell>
          <cell r="F2374">
            <v>10000877</v>
          </cell>
          <cell r="G2374">
            <v>40007758</v>
          </cell>
        </row>
        <row r="2375">
          <cell r="E2375" t="str">
            <v>524077-6</v>
          </cell>
          <cell r="F2375">
            <v>10000878</v>
          </cell>
          <cell r="G2375">
            <v>40007759</v>
          </cell>
        </row>
        <row r="2376">
          <cell r="E2376" t="str">
            <v>524674-8</v>
          </cell>
          <cell r="F2376">
            <v>10057236</v>
          </cell>
        </row>
        <row r="2377">
          <cell r="E2377" t="str">
            <v>526049-7</v>
          </cell>
          <cell r="F2377">
            <v>10002203</v>
          </cell>
          <cell r="G2377">
            <v>40007673</v>
          </cell>
        </row>
        <row r="2378">
          <cell r="E2378" t="str">
            <v>526068-3</v>
          </cell>
          <cell r="F2378">
            <v>10002209</v>
          </cell>
          <cell r="G2378">
            <v>40007678</v>
          </cell>
        </row>
        <row r="2379">
          <cell r="E2379" t="str">
            <v>526104-5</v>
          </cell>
          <cell r="F2379">
            <v>10053334</v>
          </cell>
          <cell r="G2379">
            <v>40006668</v>
          </cell>
        </row>
        <row r="2380">
          <cell r="E2380" t="str">
            <v>526234-2</v>
          </cell>
          <cell r="F2380">
            <v>10053977</v>
          </cell>
          <cell r="G2380">
            <v>40006053</v>
          </cell>
        </row>
        <row r="2381">
          <cell r="E2381" t="str">
            <v>593589-0</v>
          </cell>
          <cell r="F2381">
            <v>10016408</v>
          </cell>
          <cell r="G2381">
            <v>40007528</v>
          </cell>
        </row>
        <row r="2382">
          <cell r="E2382" t="str">
            <v>593639-1</v>
          </cell>
          <cell r="F2382">
            <v>10050909</v>
          </cell>
          <cell r="G2382">
            <v>40006856</v>
          </cell>
        </row>
        <row r="2383">
          <cell r="E2383" t="str">
            <v>594469-3</v>
          </cell>
          <cell r="F2383">
            <v>10024025</v>
          </cell>
          <cell r="G2383">
            <v>40008267</v>
          </cell>
        </row>
        <row r="2384">
          <cell r="E2384" t="str">
            <v>596183-7</v>
          </cell>
          <cell r="F2384">
            <v>10000897</v>
          </cell>
          <cell r="G2384">
            <v>40007770</v>
          </cell>
        </row>
        <row r="2385">
          <cell r="E2385" t="str">
            <v>596289-1</v>
          </cell>
          <cell r="F2385">
            <v>10000882</v>
          </cell>
          <cell r="G2385">
            <v>40007763</v>
          </cell>
        </row>
        <row r="2386">
          <cell r="E2386" t="str">
            <v>633184-5</v>
          </cell>
          <cell r="F2386">
            <v>10000879</v>
          </cell>
          <cell r="G2386">
            <v>40007760</v>
          </cell>
        </row>
        <row r="2387">
          <cell r="E2387" t="str">
            <v>522479-0</v>
          </cell>
          <cell r="F2387">
            <v>10002206</v>
          </cell>
          <cell r="G2387">
            <v>40007676</v>
          </cell>
        </row>
        <row r="2388">
          <cell r="E2388" t="str">
            <v>522226-9</v>
          </cell>
          <cell r="F2388">
            <v>10002208</v>
          </cell>
          <cell r="G2388">
            <v>40007677</v>
          </cell>
        </row>
        <row r="2389">
          <cell r="E2389" t="str">
            <v>593479-7</v>
          </cell>
          <cell r="F2389">
            <v>10002657</v>
          </cell>
          <cell r="G2389">
            <v>40008213</v>
          </cell>
        </row>
        <row r="2390">
          <cell r="E2390" t="str">
            <v>593004-4</v>
          </cell>
          <cell r="F2390">
            <v>10002202</v>
          </cell>
          <cell r="G2390">
            <v>40007672</v>
          </cell>
        </row>
        <row r="2391">
          <cell r="E2391" t="str">
            <v>633289-1</v>
          </cell>
          <cell r="F2391">
            <v>10002205</v>
          </cell>
          <cell r="G2391">
            <v>40007675</v>
          </cell>
        </row>
        <row r="2392">
          <cell r="E2392" t="str">
            <v>593594-7</v>
          </cell>
          <cell r="F2392">
            <v>10062155</v>
          </cell>
          <cell r="G2392">
            <v>40005557</v>
          </cell>
        </row>
        <row r="2393">
          <cell r="E2393" t="str">
            <v>525743-8</v>
          </cell>
          <cell r="F2393">
            <v>10102735</v>
          </cell>
          <cell r="G2393">
            <v>40006465</v>
          </cell>
        </row>
        <row r="2394">
          <cell r="E2394" t="str">
            <v>525099-9</v>
          </cell>
          <cell r="F2394">
            <v>10001163</v>
          </cell>
          <cell r="G2394">
            <v>40007406</v>
          </cell>
        </row>
        <row r="2395">
          <cell r="E2395" t="str">
            <v>626653-3</v>
          </cell>
          <cell r="F2395">
            <v>10100501</v>
          </cell>
          <cell r="G2395">
            <v>40005930</v>
          </cell>
        </row>
        <row r="2396">
          <cell r="E2396" t="str">
            <v>596273-6</v>
          </cell>
          <cell r="F2396">
            <v>10028713</v>
          </cell>
          <cell r="G2396">
            <v>40007133</v>
          </cell>
        </row>
        <row r="2397">
          <cell r="E2397" t="str">
            <v>625824-9</v>
          </cell>
          <cell r="F2397">
            <v>10042339</v>
          </cell>
          <cell r="G2397">
            <v>40006760</v>
          </cell>
        </row>
        <row r="2398">
          <cell r="E2398" t="str">
            <v>633568-7</v>
          </cell>
          <cell r="F2398">
            <v>10000918</v>
          </cell>
          <cell r="G2398">
            <v>40007786</v>
          </cell>
        </row>
        <row r="2399">
          <cell r="E2399" t="str">
            <v>633414-4</v>
          </cell>
          <cell r="F2399">
            <v>10000895</v>
          </cell>
          <cell r="G2399">
            <v>40003866</v>
          </cell>
        </row>
        <row r="2400">
          <cell r="E2400" t="str">
            <v>633348-1</v>
          </cell>
          <cell r="F2400">
            <v>10000908</v>
          </cell>
          <cell r="G2400">
            <v>40007777</v>
          </cell>
        </row>
        <row r="2401">
          <cell r="E2401" t="str">
            <v>JM23000104</v>
          </cell>
          <cell r="F2401">
            <v>10021857</v>
          </cell>
          <cell r="G2401">
            <v>40007557</v>
          </cell>
        </row>
        <row r="2402">
          <cell r="E2402" t="str">
            <v>JM23100001</v>
          </cell>
          <cell r="F2402">
            <v>10032869</v>
          </cell>
          <cell r="G2402">
            <v>40007200</v>
          </cell>
        </row>
        <row r="2403">
          <cell r="E2403" t="str">
            <v>JM23300003</v>
          </cell>
          <cell r="F2403">
            <v>10065780</v>
          </cell>
          <cell r="G2403">
            <v>40006423</v>
          </cell>
        </row>
        <row r="2404">
          <cell r="E2404" t="str">
            <v>633789-1</v>
          </cell>
          <cell r="F2404">
            <v>10045814</v>
          </cell>
          <cell r="G2404">
            <v>40006834</v>
          </cell>
        </row>
        <row r="2405">
          <cell r="E2405" t="str">
            <v>596144-7</v>
          </cell>
          <cell r="F2405">
            <v>10000890</v>
          </cell>
          <cell r="G2405">
            <v>40007767</v>
          </cell>
        </row>
        <row r="2406">
          <cell r="E2406" t="str">
            <v>596158-6</v>
          </cell>
          <cell r="F2406">
            <v>10000927</v>
          </cell>
          <cell r="G2406">
            <v>40007793</v>
          </cell>
        </row>
        <row r="2407">
          <cell r="E2407" t="str">
            <v>596209-5</v>
          </cell>
          <cell r="F2407">
            <v>10002212</v>
          </cell>
          <cell r="G2407">
            <v>40007680</v>
          </cell>
        </row>
        <row r="2408">
          <cell r="E2408" t="str">
            <v>522459-6</v>
          </cell>
          <cell r="F2408">
            <v>10093974</v>
          </cell>
          <cell r="G2408">
            <v>40005873</v>
          </cell>
        </row>
        <row r="2409">
          <cell r="E2409">
            <v>915135100</v>
          </cell>
          <cell r="F2409">
            <v>10002345</v>
          </cell>
          <cell r="G2409">
            <v>40008160</v>
          </cell>
        </row>
        <row r="2410">
          <cell r="E2410">
            <v>908005205</v>
          </cell>
          <cell r="F2410">
            <v>10021212</v>
          </cell>
          <cell r="G2410">
            <v>40007537</v>
          </cell>
        </row>
        <row r="2411">
          <cell r="E2411">
            <v>908205625</v>
          </cell>
          <cell r="F2411">
            <v>10001368</v>
          </cell>
          <cell r="G2411">
            <v>40007129</v>
          </cell>
        </row>
        <row r="2412">
          <cell r="E2412" t="str">
            <v>443060-3</v>
          </cell>
          <cell r="F2412">
            <v>10090085</v>
          </cell>
          <cell r="G2412">
            <v>40005867</v>
          </cell>
        </row>
        <row r="2413">
          <cell r="E2413" t="str">
            <v>419008-7</v>
          </cell>
          <cell r="F2413">
            <v>10064622</v>
          </cell>
          <cell r="G2413">
            <v>40006398</v>
          </cell>
        </row>
        <row r="2414">
          <cell r="E2414" t="str">
            <v>251609-3</v>
          </cell>
          <cell r="F2414">
            <v>10001029</v>
          </cell>
          <cell r="G2414">
            <v>40007334</v>
          </cell>
        </row>
        <row r="2415">
          <cell r="E2415" t="str">
            <v>224299-5</v>
          </cell>
          <cell r="F2415">
            <v>10033982</v>
          </cell>
          <cell r="G2415">
            <v>40007719</v>
          </cell>
        </row>
        <row r="2416">
          <cell r="E2416" t="str">
            <v>224333-1</v>
          </cell>
          <cell r="F2416">
            <v>10001150</v>
          </cell>
          <cell r="G2416">
            <v>40007399</v>
          </cell>
        </row>
        <row r="2417">
          <cell r="E2417" t="str">
            <v>B-65545</v>
          </cell>
          <cell r="F2417">
            <v>10089683</v>
          </cell>
        </row>
        <row r="2418">
          <cell r="E2418" t="str">
            <v>256548-2</v>
          </cell>
          <cell r="F2418">
            <v>10065774</v>
          </cell>
          <cell r="G2418">
            <v>40006421</v>
          </cell>
        </row>
        <row r="2419">
          <cell r="E2419" t="str">
            <v>265008-3</v>
          </cell>
          <cell r="F2419">
            <v>10002355</v>
          </cell>
          <cell r="G2419">
            <v>40010246</v>
          </cell>
        </row>
        <row r="2420">
          <cell r="E2420" t="str">
            <v>251425-3</v>
          </cell>
          <cell r="F2420">
            <v>10060962</v>
          </cell>
          <cell r="G2420">
            <v>40006323</v>
          </cell>
        </row>
        <row r="2421">
          <cell r="E2421" t="str">
            <v>266511-7</v>
          </cell>
          <cell r="F2421">
            <v>10038681</v>
          </cell>
          <cell r="G2421">
            <v>40008013</v>
          </cell>
        </row>
        <row r="2422">
          <cell r="E2422" t="str">
            <v>941151-9</v>
          </cell>
          <cell r="F2422">
            <v>10049447</v>
          </cell>
          <cell r="G2422">
            <v>40007031</v>
          </cell>
        </row>
        <row r="2423">
          <cell r="E2423" t="str">
            <v>267131-0</v>
          </cell>
          <cell r="F2423">
            <v>10034481</v>
          </cell>
        </row>
        <row r="2424">
          <cell r="E2424" t="str">
            <v>267287-9</v>
          </cell>
          <cell r="F2424">
            <v>10002393</v>
          </cell>
          <cell r="G2424">
            <v>40008190</v>
          </cell>
        </row>
        <row r="2425">
          <cell r="E2425" t="str">
            <v>267353-2</v>
          </cell>
          <cell r="F2425">
            <v>10084076</v>
          </cell>
          <cell r="G2425">
            <v>40006241</v>
          </cell>
        </row>
        <row r="2426">
          <cell r="E2426" t="str">
            <v>253215-0</v>
          </cell>
          <cell r="F2426">
            <v>10053995</v>
          </cell>
          <cell r="G2426">
            <v>40006067</v>
          </cell>
        </row>
        <row r="2427">
          <cell r="E2427" t="str">
            <v>253024-7</v>
          </cell>
          <cell r="F2427">
            <v>10001340</v>
          </cell>
          <cell r="G2427">
            <v>40007110</v>
          </cell>
        </row>
        <row r="2428">
          <cell r="E2428" t="str">
            <v>253180-3</v>
          </cell>
          <cell r="F2428">
            <v>10062970</v>
          </cell>
          <cell r="G2428">
            <v>40005965</v>
          </cell>
        </row>
        <row r="2429">
          <cell r="E2429" t="str">
            <v>941251-5</v>
          </cell>
          <cell r="F2429">
            <v>10049552</v>
          </cell>
        </row>
        <row r="2430">
          <cell r="E2430" t="str">
            <v>267256-0</v>
          </cell>
          <cell r="F2430">
            <v>10060295</v>
          </cell>
          <cell r="G2430">
            <v>40006316</v>
          </cell>
        </row>
        <row r="2431">
          <cell r="E2431" t="str">
            <v>267104-3</v>
          </cell>
          <cell r="F2431">
            <v>10063018</v>
          </cell>
          <cell r="G2431">
            <v>40006001</v>
          </cell>
        </row>
        <row r="2432">
          <cell r="E2432" t="str">
            <v>253055-6</v>
          </cell>
          <cell r="F2432">
            <v>10035472</v>
          </cell>
          <cell r="G2432">
            <v>40007974</v>
          </cell>
        </row>
        <row r="2433">
          <cell r="E2433" t="str">
            <v>267212-0</v>
          </cell>
          <cell r="F2433">
            <v>10035102</v>
          </cell>
          <cell r="G2433">
            <v>40008117</v>
          </cell>
        </row>
        <row r="2434">
          <cell r="E2434" t="str">
            <v>267238-2</v>
          </cell>
          <cell r="F2434">
            <v>10054007</v>
          </cell>
          <cell r="G2434">
            <v>40006077</v>
          </cell>
        </row>
        <row r="2435">
          <cell r="E2435" t="str">
            <v>253813-0</v>
          </cell>
          <cell r="F2435">
            <v>10001108</v>
          </cell>
          <cell r="G2435">
            <v>40010969</v>
          </cell>
        </row>
        <row r="2436">
          <cell r="E2436" t="str">
            <v>941302-4</v>
          </cell>
          <cell r="F2436">
            <v>10054690</v>
          </cell>
          <cell r="G2436">
            <v>40006085</v>
          </cell>
        </row>
        <row r="2437">
          <cell r="E2437" t="str">
            <v>253192-6</v>
          </cell>
          <cell r="F2437">
            <v>10016348</v>
          </cell>
          <cell r="G2437">
            <v>40007524</v>
          </cell>
        </row>
        <row r="2438">
          <cell r="E2438" t="str">
            <v>267255-2</v>
          </cell>
          <cell r="F2438">
            <v>10053348</v>
          </cell>
          <cell r="G2438">
            <v>40006692</v>
          </cell>
        </row>
        <row r="2439">
          <cell r="E2439" t="str">
            <v>253147-1</v>
          </cell>
          <cell r="F2439">
            <v>10035220</v>
          </cell>
          <cell r="G2439">
            <v>40008136</v>
          </cell>
        </row>
        <row r="2440">
          <cell r="E2440" t="str">
            <v>267380-9</v>
          </cell>
          <cell r="F2440">
            <v>10050919</v>
          </cell>
          <cell r="G2440">
            <v>40006865</v>
          </cell>
        </row>
        <row r="2441">
          <cell r="E2441" t="str">
            <v>253052-2</v>
          </cell>
          <cell r="F2441">
            <v>10050894</v>
          </cell>
          <cell r="G2441">
            <v>40006833</v>
          </cell>
        </row>
        <row r="2442">
          <cell r="E2442" t="str">
            <v>253133-2</v>
          </cell>
          <cell r="F2442">
            <v>10050956</v>
          </cell>
          <cell r="G2442">
            <v>40006883</v>
          </cell>
        </row>
        <row r="2443">
          <cell r="E2443" t="str">
            <v>253731-2</v>
          </cell>
          <cell r="F2443">
            <v>10025863</v>
          </cell>
          <cell r="G2443">
            <v>40007291</v>
          </cell>
        </row>
        <row r="2444">
          <cell r="E2444" t="str">
            <v>253744-3</v>
          </cell>
          <cell r="F2444">
            <v>10034479</v>
          </cell>
          <cell r="G2444">
            <v>40008082</v>
          </cell>
        </row>
        <row r="2445">
          <cell r="E2445" t="str">
            <v>253794-8</v>
          </cell>
          <cell r="F2445">
            <v>10058406</v>
          </cell>
          <cell r="G2445">
            <v>40005726</v>
          </cell>
        </row>
        <row r="2446">
          <cell r="E2446" t="str">
            <v>253807-5</v>
          </cell>
          <cell r="F2446">
            <v>10047930</v>
          </cell>
          <cell r="G2446">
            <v>40006999</v>
          </cell>
        </row>
        <row r="2447">
          <cell r="E2447" t="str">
            <v>253874-0</v>
          </cell>
          <cell r="F2447">
            <v>10045369</v>
          </cell>
          <cell r="G2447">
            <v>40006811</v>
          </cell>
        </row>
        <row r="2448">
          <cell r="E2448" t="str">
            <v>267047-9</v>
          </cell>
          <cell r="F2448">
            <v>10058956</v>
          </cell>
          <cell r="G2448">
            <v>40006309</v>
          </cell>
        </row>
        <row r="2449">
          <cell r="E2449" t="str">
            <v>267085-1</v>
          </cell>
          <cell r="F2449">
            <v>10050883</v>
          </cell>
          <cell r="G2449">
            <v>40006812</v>
          </cell>
        </row>
        <row r="2450">
          <cell r="E2450" t="str">
            <v>267195-4</v>
          </cell>
          <cell r="F2450">
            <v>10056256</v>
          </cell>
          <cell r="G2450">
            <v>40005660</v>
          </cell>
        </row>
        <row r="2451">
          <cell r="E2451" t="str">
            <v>267229-3</v>
          </cell>
          <cell r="F2451">
            <v>10034488</v>
          </cell>
          <cell r="G2451">
            <v>40008088</v>
          </cell>
        </row>
        <row r="2452">
          <cell r="E2452" t="str">
            <v>253806-7</v>
          </cell>
          <cell r="F2452">
            <v>10030377</v>
          </cell>
          <cell r="G2452">
            <v>40007141</v>
          </cell>
        </row>
        <row r="2453">
          <cell r="E2453" t="str">
            <v>941051-3</v>
          </cell>
          <cell r="F2453">
            <v>10002395</v>
          </cell>
          <cell r="G2453">
            <v>40008192</v>
          </cell>
        </row>
        <row r="2454">
          <cell r="E2454" t="str">
            <v>JM23100016</v>
          </cell>
          <cell r="F2454">
            <v>10063066</v>
          </cell>
          <cell r="G2454">
            <v>40006033</v>
          </cell>
        </row>
        <row r="2455">
          <cell r="E2455" t="str">
            <v>253811-4</v>
          </cell>
          <cell r="F2455">
            <v>10001126</v>
          </cell>
          <cell r="G2455">
            <v>40007383</v>
          </cell>
        </row>
        <row r="2456">
          <cell r="E2456" t="str">
            <v>267146-7</v>
          </cell>
          <cell r="F2456">
            <v>10074916</v>
          </cell>
          <cell r="G2456">
            <v>40006162</v>
          </cell>
        </row>
        <row r="2457">
          <cell r="E2457" t="str">
            <v>253977-0</v>
          </cell>
          <cell r="F2457">
            <v>10001192</v>
          </cell>
          <cell r="G2457">
            <v>40007423</v>
          </cell>
        </row>
        <row r="2458">
          <cell r="E2458" t="str">
            <v>253823-7</v>
          </cell>
          <cell r="F2458">
            <v>10001352</v>
          </cell>
          <cell r="G2458">
            <v>40007118</v>
          </cell>
        </row>
        <row r="2459">
          <cell r="E2459" t="str">
            <v>253777-8</v>
          </cell>
          <cell r="F2459">
            <v>10002391</v>
          </cell>
          <cell r="G2459">
            <v>40008189</v>
          </cell>
        </row>
        <row r="2460">
          <cell r="E2460" t="str">
            <v>941201-0</v>
          </cell>
          <cell r="F2460">
            <v>10001133</v>
          </cell>
          <cell r="G2460">
            <v>40007390</v>
          </cell>
        </row>
        <row r="2461">
          <cell r="E2461" t="str">
            <v>941202-8</v>
          </cell>
          <cell r="F2461">
            <v>10025860</v>
          </cell>
          <cell r="G2461">
            <v>40007288</v>
          </cell>
        </row>
        <row r="2462">
          <cell r="E2462" t="str">
            <v>267136-0</v>
          </cell>
          <cell r="F2462">
            <v>10002389</v>
          </cell>
          <cell r="G2462">
            <v>40008187</v>
          </cell>
        </row>
        <row r="2463">
          <cell r="E2463" t="str">
            <v>941101-4</v>
          </cell>
          <cell r="F2463">
            <v>10001325</v>
          </cell>
          <cell r="G2463">
            <v>40007101</v>
          </cell>
        </row>
        <row r="2464">
          <cell r="E2464" t="str">
            <v>443034-4</v>
          </cell>
          <cell r="F2464">
            <v>10035473</v>
          </cell>
          <cell r="G2464">
            <v>40007975</v>
          </cell>
        </row>
        <row r="2465">
          <cell r="E2465" t="str">
            <v>174118000N</v>
          </cell>
          <cell r="F2465">
            <v>10035315</v>
          </cell>
        </row>
        <row r="2466">
          <cell r="E2466" t="str">
            <v>213392-0</v>
          </cell>
          <cell r="F2466">
            <v>10059193</v>
          </cell>
          <cell r="G2466">
            <v>40006271</v>
          </cell>
        </row>
        <row r="2467">
          <cell r="E2467" t="str">
            <v>140480-9</v>
          </cell>
          <cell r="F2467">
            <v>10047842</v>
          </cell>
          <cell r="G2467">
            <v>40006976</v>
          </cell>
        </row>
        <row r="2468">
          <cell r="E2468">
            <v>21141012</v>
          </cell>
          <cell r="F2468">
            <v>10002384</v>
          </cell>
          <cell r="G2468">
            <v>40008186</v>
          </cell>
        </row>
        <row r="2469">
          <cell r="E2469" t="str">
            <v>318151-8</v>
          </cell>
          <cell r="F2469">
            <v>10054845</v>
          </cell>
          <cell r="G2469">
            <v>40006141</v>
          </cell>
        </row>
        <row r="2470">
          <cell r="E2470" t="str">
            <v>324031-8</v>
          </cell>
          <cell r="F2470">
            <v>10001220</v>
          </cell>
          <cell r="G2470">
            <v>40007026</v>
          </cell>
        </row>
        <row r="2471">
          <cell r="E2471" t="str">
            <v>410918-1</v>
          </cell>
          <cell r="F2471">
            <v>10001157</v>
          </cell>
          <cell r="G2471">
            <v>40007403</v>
          </cell>
        </row>
        <row r="2472">
          <cell r="E2472" t="str">
            <v>159533-3</v>
          </cell>
          <cell r="F2472">
            <v>10044763</v>
          </cell>
          <cell r="G2472">
            <v>40006800</v>
          </cell>
        </row>
        <row r="2473">
          <cell r="E2473" t="str">
            <v>158961-9</v>
          </cell>
          <cell r="F2473">
            <v>10065802</v>
          </cell>
        </row>
        <row r="2474">
          <cell r="E2474" t="str">
            <v>312951-8</v>
          </cell>
          <cell r="F2474">
            <v>10001292</v>
          </cell>
          <cell r="G2474">
            <v>40007076</v>
          </cell>
        </row>
        <row r="2475">
          <cell r="E2475" t="str">
            <v>316587-5</v>
          </cell>
          <cell r="F2475">
            <v>10026305</v>
          </cell>
          <cell r="G2475">
            <v>40007300</v>
          </cell>
        </row>
        <row r="2476">
          <cell r="E2476" t="str">
            <v>322070-2</v>
          </cell>
          <cell r="F2476">
            <v>10051514</v>
          </cell>
          <cell r="G2476">
            <v>40007479</v>
          </cell>
        </row>
        <row r="2477">
          <cell r="E2477" t="str">
            <v>451130-4</v>
          </cell>
          <cell r="F2477">
            <v>10042021</v>
          </cell>
          <cell r="G2477">
            <v>40006745</v>
          </cell>
        </row>
        <row r="2478">
          <cell r="E2478" t="str">
            <v>455487-5</v>
          </cell>
          <cell r="F2478">
            <v>10059194</v>
          </cell>
          <cell r="G2478">
            <v>40006274</v>
          </cell>
        </row>
        <row r="2479">
          <cell r="E2479">
            <v>38114052</v>
          </cell>
          <cell r="F2479">
            <v>10056387</v>
          </cell>
          <cell r="G2479">
            <v>40005664</v>
          </cell>
        </row>
        <row r="2480">
          <cell r="E2480">
            <v>38114051</v>
          </cell>
          <cell r="F2480">
            <v>10046047</v>
          </cell>
          <cell r="G2480">
            <v>40010338</v>
          </cell>
        </row>
        <row r="2481">
          <cell r="E2481">
            <v>965404460</v>
          </cell>
          <cell r="F2481">
            <v>10027532</v>
          </cell>
          <cell r="G2481">
            <v>40007315</v>
          </cell>
        </row>
        <row r="2482">
          <cell r="E2482">
            <v>965452470</v>
          </cell>
          <cell r="F2482">
            <v>10051030</v>
          </cell>
          <cell r="G2482">
            <v>40006935</v>
          </cell>
        </row>
        <row r="2483">
          <cell r="E2483">
            <v>965404980</v>
          </cell>
          <cell r="F2483">
            <v>10050070</v>
          </cell>
        </row>
        <row r="2484">
          <cell r="E2484">
            <v>965452090</v>
          </cell>
          <cell r="F2484">
            <v>10050069</v>
          </cell>
          <cell r="G2484">
            <v>40007888</v>
          </cell>
        </row>
        <row r="2485">
          <cell r="E2485">
            <v>965525042</v>
          </cell>
          <cell r="F2485">
            <v>10030413</v>
          </cell>
          <cell r="G2485">
            <v>40007142</v>
          </cell>
        </row>
        <row r="2486">
          <cell r="E2486">
            <v>965527070</v>
          </cell>
          <cell r="F2486">
            <v>10014396</v>
          </cell>
          <cell r="G2486">
            <v>40008259</v>
          </cell>
        </row>
        <row r="2487">
          <cell r="E2487">
            <v>30131020</v>
          </cell>
          <cell r="F2487">
            <v>10055998</v>
          </cell>
          <cell r="G2487">
            <v>40005657</v>
          </cell>
        </row>
        <row r="2488">
          <cell r="E2488" t="str">
            <v>346304-9</v>
          </cell>
          <cell r="F2488">
            <v>10047911</v>
          </cell>
          <cell r="G2488">
            <v>40006981</v>
          </cell>
        </row>
        <row r="2489">
          <cell r="E2489">
            <v>965404520</v>
          </cell>
          <cell r="F2489">
            <v>10027533</v>
          </cell>
          <cell r="G2489">
            <v>40007316</v>
          </cell>
        </row>
        <row r="2490">
          <cell r="E2490">
            <v>965404780</v>
          </cell>
          <cell r="F2490">
            <v>10058948</v>
          </cell>
          <cell r="G2490">
            <v>40005741</v>
          </cell>
        </row>
        <row r="2491">
          <cell r="E2491">
            <v>965404850</v>
          </cell>
          <cell r="F2491">
            <v>10025870</v>
          </cell>
        </row>
        <row r="2492">
          <cell r="E2492">
            <v>965517031</v>
          </cell>
          <cell r="F2492">
            <v>10034496</v>
          </cell>
          <cell r="G2492">
            <v>40008093</v>
          </cell>
        </row>
        <row r="2493">
          <cell r="E2493">
            <v>965517101</v>
          </cell>
          <cell r="F2493">
            <v>10025872</v>
          </cell>
        </row>
        <row r="2494">
          <cell r="E2494">
            <v>965517141</v>
          </cell>
          <cell r="F2494">
            <v>10025869</v>
          </cell>
          <cell r="G2494">
            <v>40007295</v>
          </cell>
        </row>
        <row r="2495">
          <cell r="E2495">
            <v>965518090</v>
          </cell>
          <cell r="F2495">
            <v>10025873</v>
          </cell>
          <cell r="G2495">
            <v>40007296</v>
          </cell>
        </row>
        <row r="2496">
          <cell r="E2496">
            <v>965522033</v>
          </cell>
          <cell r="F2496">
            <v>10045811</v>
          </cell>
        </row>
        <row r="2497">
          <cell r="E2497">
            <v>965524022</v>
          </cell>
          <cell r="F2497">
            <v>10002239</v>
          </cell>
        </row>
        <row r="2498">
          <cell r="E2498">
            <v>965524023</v>
          </cell>
          <cell r="F2498">
            <v>10045807</v>
          </cell>
          <cell r="G2498">
            <v>40006825</v>
          </cell>
        </row>
        <row r="2499">
          <cell r="E2499">
            <v>965524042</v>
          </cell>
          <cell r="F2499">
            <v>10001116</v>
          </cell>
        </row>
        <row r="2500">
          <cell r="E2500">
            <v>965524082</v>
          </cell>
          <cell r="F2500">
            <v>10044458</v>
          </cell>
          <cell r="G2500">
            <v>40006777</v>
          </cell>
        </row>
        <row r="2501">
          <cell r="E2501">
            <v>965524131</v>
          </cell>
          <cell r="F2501">
            <v>10044457</v>
          </cell>
          <cell r="G2501">
            <v>40006776</v>
          </cell>
        </row>
        <row r="2502">
          <cell r="E2502">
            <v>965525002</v>
          </cell>
          <cell r="F2502">
            <v>10030870</v>
          </cell>
        </row>
        <row r="2503">
          <cell r="E2503">
            <v>965525032</v>
          </cell>
          <cell r="F2503">
            <v>10001363</v>
          </cell>
          <cell r="G2503">
            <v>40007126</v>
          </cell>
        </row>
        <row r="2504">
          <cell r="E2504" t="str">
            <v>A0205-0111</v>
          </cell>
          <cell r="F2504">
            <v>10050098</v>
          </cell>
          <cell r="G2504">
            <v>40007913</v>
          </cell>
        </row>
        <row r="2505">
          <cell r="E2505">
            <v>965524062</v>
          </cell>
          <cell r="F2505">
            <v>10002870</v>
          </cell>
          <cell r="G2505">
            <v>40008233</v>
          </cell>
        </row>
        <row r="2506">
          <cell r="E2506">
            <v>965531121</v>
          </cell>
          <cell r="F2506">
            <v>10002869</v>
          </cell>
        </row>
        <row r="2507">
          <cell r="E2507">
            <v>3641140</v>
          </cell>
          <cell r="F2507">
            <v>10062598</v>
          </cell>
          <cell r="G2507">
            <v>40005637</v>
          </cell>
        </row>
        <row r="2508">
          <cell r="E2508" t="str">
            <v>S-595350</v>
          </cell>
          <cell r="F2508">
            <v>10087914</v>
          </cell>
          <cell r="G2508">
            <v>40005841</v>
          </cell>
        </row>
        <row r="2509">
          <cell r="E2509" t="str">
            <v>163447-0</v>
          </cell>
          <cell r="F2509">
            <v>10050077</v>
          </cell>
          <cell r="G2509">
            <v>40007894</v>
          </cell>
        </row>
        <row r="2510">
          <cell r="E2510" t="str">
            <v>221194-0</v>
          </cell>
          <cell r="F2510">
            <v>10006501</v>
          </cell>
          <cell r="G2510">
            <v>40008258</v>
          </cell>
        </row>
        <row r="2511">
          <cell r="E2511" t="str">
            <v>221636-4</v>
          </cell>
          <cell r="F2511">
            <v>10006494</v>
          </cell>
          <cell r="G2511">
            <v>40008251</v>
          </cell>
        </row>
        <row r="2512">
          <cell r="E2512" t="str">
            <v>125087-2</v>
          </cell>
          <cell r="F2512">
            <v>10024487</v>
          </cell>
          <cell r="G2512">
            <v>40007245</v>
          </cell>
        </row>
        <row r="2513">
          <cell r="E2513" t="str">
            <v>125428-2</v>
          </cell>
          <cell r="F2513">
            <v>10025875</v>
          </cell>
          <cell r="G2513">
            <v>40007298</v>
          </cell>
        </row>
        <row r="2514">
          <cell r="E2514" t="str">
            <v>125482-6</v>
          </cell>
          <cell r="F2514">
            <v>10025687</v>
          </cell>
          <cell r="G2514">
            <v>40007284</v>
          </cell>
        </row>
        <row r="2515">
          <cell r="E2515" t="str">
            <v>125485-0</v>
          </cell>
          <cell r="F2515">
            <v>10031028</v>
          </cell>
          <cell r="G2515">
            <v>40007170</v>
          </cell>
        </row>
        <row r="2516">
          <cell r="E2516" t="str">
            <v>125576-7</v>
          </cell>
          <cell r="F2516">
            <v>10030414</v>
          </cell>
          <cell r="G2516">
            <v>40007143</v>
          </cell>
        </row>
        <row r="2517">
          <cell r="E2517" t="str">
            <v>226289-4</v>
          </cell>
          <cell r="F2517">
            <v>10062435</v>
          </cell>
          <cell r="G2517">
            <v>40005567</v>
          </cell>
        </row>
        <row r="2518">
          <cell r="E2518" t="str">
            <v>226656-3</v>
          </cell>
          <cell r="F2518">
            <v>10014762</v>
          </cell>
          <cell r="G2518">
            <v>40008318</v>
          </cell>
        </row>
        <row r="2519">
          <cell r="E2519" t="str">
            <v>226683-0</v>
          </cell>
          <cell r="F2519">
            <v>10044929</v>
          </cell>
          <cell r="G2519">
            <v>40006802</v>
          </cell>
        </row>
        <row r="2520">
          <cell r="E2520" t="str">
            <v>227448-3</v>
          </cell>
          <cell r="F2520">
            <v>10034477</v>
          </cell>
          <cell r="G2520">
            <v>40008080</v>
          </cell>
        </row>
        <row r="2521">
          <cell r="E2521" t="str">
            <v>227531-6</v>
          </cell>
          <cell r="F2521">
            <v>10064596</v>
          </cell>
          <cell r="G2521">
            <v>40006380</v>
          </cell>
        </row>
        <row r="2522">
          <cell r="E2522" t="str">
            <v>227541-3</v>
          </cell>
          <cell r="F2522">
            <v>10054799</v>
          </cell>
          <cell r="G2522">
            <v>40006108</v>
          </cell>
        </row>
        <row r="2523">
          <cell r="E2523" t="str">
            <v>227542-1</v>
          </cell>
          <cell r="F2523">
            <v>10054800</v>
          </cell>
          <cell r="G2523">
            <v>40006109</v>
          </cell>
        </row>
        <row r="2524">
          <cell r="E2524" t="str">
            <v>227546-3</v>
          </cell>
          <cell r="F2524">
            <v>10038942</v>
          </cell>
          <cell r="G2524">
            <v>40008028</v>
          </cell>
        </row>
        <row r="2525">
          <cell r="E2525" t="str">
            <v>227811-0</v>
          </cell>
          <cell r="F2525">
            <v>10062607</v>
          </cell>
          <cell r="G2525">
            <v>40005645</v>
          </cell>
        </row>
        <row r="2526">
          <cell r="E2526" t="str">
            <v>227761-9</v>
          </cell>
          <cell r="F2526">
            <v>10047918</v>
          </cell>
          <cell r="G2526">
            <v>40006987</v>
          </cell>
        </row>
        <row r="2527">
          <cell r="E2527" t="str">
            <v>226739-9</v>
          </cell>
          <cell r="F2527">
            <v>10024029</v>
          </cell>
          <cell r="G2527">
            <v>40007231</v>
          </cell>
        </row>
        <row r="2528">
          <cell r="E2528" t="str">
            <v>125311-3</v>
          </cell>
          <cell r="F2528">
            <v>10045366</v>
          </cell>
          <cell r="G2528">
            <v>40006809</v>
          </cell>
        </row>
        <row r="2529">
          <cell r="E2529" t="str">
            <v>126410-4</v>
          </cell>
          <cell r="F2529">
            <v>10061615</v>
          </cell>
          <cell r="G2529">
            <v>40006349</v>
          </cell>
        </row>
        <row r="2530">
          <cell r="E2530" t="str">
            <v>126448-9</v>
          </cell>
          <cell r="F2530">
            <v>10061618</v>
          </cell>
          <cell r="G2530">
            <v>40006353</v>
          </cell>
        </row>
        <row r="2531">
          <cell r="E2531" t="str">
            <v>126460-9</v>
          </cell>
          <cell r="F2531">
            <v>10061619</v>
          </cell>
          <cell r="G2531">
            <v>40006355</v>
          </cell>
        </row>
        <row r="2532">
          <cell r="E2532" t="str">
            <v>123502-0</v>
          </cell>
          <cell r="F2532">
            <v>10066006</v>
          </cell>
          <cell r="G2532">
            <v>40006430</v>
          </cell>
        </row>
        <row r="2533">
          <cell r="E2533" t="str">
            <v>126148-1</v>
          </cell>
          <cell r="F2533">
            <v>10049579</v>
          </cell>
          <cell r="G2533">
            <v>40007860</v>
          </cell>
        </row>
        <row r="2534">
          <cell r="E2534" t="str">
            <v>126353-0</v>
          </cell>
          <cell r="F2534">
            <v>10062531</v>
          </cell>
          <cell r="G2534">
            <v>40005591</v>
          </cell>
        </row>
        <row r="2535">
          <cell r="E2535" t="str">
            <v>127099-1</v>
          </cell>
          <cell r="F2535">
            <v>10084101</v>
          </cell>
          <cell r="G2535">
            <v>40006269</v>
          </cell>
        </row>
        <row r="2536">
          <cell r="E2536" t="str">
            <v>127125-6</v>
          </cell>
          <cell r="F2536">
            <v>10103470</v>
          </cell>
          <cell r="G2536">
            <v>40006467</v>
          </cell>
        </row>
        <row r="2537">
          <cell r="E2537" t="str">
            <v>127499-5</v>
          </cell>
          <cell r="F2537">
            <v>10093988</v>
          </cell>
          <cell r="G2537">
            <v>40005885</v>
          </cell>
        </row>
        <row r="2538">
          <cell r="E2538" t="str">
            <v>127511-1</v>
          </cell>
          <cell r="F2538">
            <v>10103761</v>
          </cell>
          <cell r="G2538">
            <v>40006496</v>
          </cell>
        </row>
        <row r="2539">
          <cell r="E2539" t="str">
            <v>123868-8</v>
          </cell>
          <cell r="F2539">
            <v>10084263</v>
          </cell>
          <cell r="G2539">
            <v>40006277</v>
          </cell>
        </row>
        <row r="2540">
          <cell r="E2540" t="str">
            <v>126459-4</v>
          </cell>
          <cell r="F2540">
            <v>10080866</v>
          </cell>
          <cell r="G2540">
            <v>40006218</v>
          </cell>
        </row>
        <row r="2541">
          <cell r="E2541" t="str">
            <v>123444-8</v>
          </cell>
          <cell r="F2541">
            <v>10090078</v>
          </cell>
        </row>
        <row r="2542">
          <cell r="E2542" t="str">
            <v>123867-0</v>
          </cell>
          <cell r="F2542">
            <v>10093985</v>
          </cell>
          <cell r="G2542">
            <v>40005882</v>
          </cell>
        </row>
        <row r="2543">
          <cell r="E2543" t="str">
            <v>123443-0</v>
          </cell>
          <cell r="F2543">
            <v>10067197</v>
          </cell>
          <cell r="G2543">
            <v>40006445</v>
          </cell>
        </row>
        <row r="2544">
          <cell r="E2544" t="str">
            <v>126729-1</v>
          </cell>
          <cell r="F2544">
            <v>10080356</v>
          </cell>
          <cell r="G2544">
            <v>40006203</v>
          </cell>
        </row>
        <row r="2545">
          <cell r="E2545" t="str">
            <v>125460-6</v>
          </cell>
          <cell r="F2545">
            <v>10035476</v>
          </cell>
          <cell r="G2545">
            <v>40007977</v>
          </cell>
        </row>
        <row r="2546">
          <cell r="E2546" t="str">
            <v>125539-3</v>
          </cell>
          <cell r="F2546">
            <v>10035478</v>
          </cell>
        </row>
        <row r="2547">
          <cell r="E2547" t="str">
            <v>125176-3</v>
          </cell>
          <cell r="F2547">
            <v>10001289</v>
          </cell>
          <cell r="G2547">
            <v>40007074</v>
          </cell>
        </row>
        <row r="2548">
          <cell r="E2548" t="str">
            <v>125182-8</v>
          </cell>
          <cell r="F2548">
            <v>10045621</v>
          </cell>
          <cell r="G2548">
            <v>40006823</v>
          </cell>
        </row>
        <row r="2549">
          <cell r="E2549" t="str">
            <v>125237-9</v>
          </cell>
          <cell r="F2549">
            <v>10002243</v>
          </cell>
          <cell r="G2549">
            <v>40007693</v>
          </cell>
        </row>
        <row r="2550">
          <cell r="E2550" t="str">
            <v>125259-9</v>
          </cell>
          <cell r="F2550">
            <v>10001290</v>
          </cell>
          <cell r="G2550">
            <v>40007075</v>
          </cell>
        </row>
        <row r="2551">
          <cell r="E2551" t="str">
            <v>125348-0</v>
          </cell>
          <cell r="F2551">
            <v>10050881</v>
          </cell>
          <cell r="G2551">
            <v>40008294</v>
          </cell>
        </row>
        <row r="2552">
          <cell r="E2552" t="str">
            <v>125387-0</v>
          </cell>
          <cell r="F2552">
            <v>10035281</v>
          </cell>
          <cell r="G2552">
            <v>40008140</v>
          </cell>
        </row>
        <row r="2553">
          <cell r="E2553" t="str">
            <v>125484-2</v>
          </cell>
          <cell r="F2553">
            <v>10033745</v>
          </cell>
          <cell r="G2553">
            <v>40007204</v>
          </cell>
        </row>
        <row r="2554">
          <cell r="E2554" t="str">
            <v>126099-8</v>
          </cell>
          <cell r="F2554">
            <v>10054817</v>
          </cell>
          <cell r="G2554">
            <v>40006122</v>
          </cell>
        </row>
        <row r="2555">
          <cell r="E2555" t="str">
            <v>140798-8</v>
          </cell>
          <cell r="F2555">
            <v>10054844</v>
          </cell>
          <cell r="G2555">
            <v>40006140</v>
          </cell>
        </row>
        <row r="2556">
          <cell r="E2556" t="str">
            <v>140800-7</v>
          </cell>
          <cell r="F2556">
            <v>10049559</v>
          </cell>
          <cell r="G2556">
            <v>40007588</v>
          </cell>
        </row>
        <row r="2557">
          <cell r="E2557" t="str">
            <v>227545-5</v>
          </cell>
          <cell r="F2557">
            <v>10038943</v>
          </cell>
          <cell r="G2557">
            <v>40008029</v>
          </cell>
        </row>
        <row r="2558">
          <cell r="E2558" t="str">
            <v>JM27000424</v>
          </cell>
          <cell r="F2558">
            <v>10038647</v>
          </cell>
          <cell r="G2558">
            <v>40008009</v>
          </cell>
        </row>
        <row r="2559">
          <cell r="E2559" t="str">
            <v>JM23200130</v>
          </cell>
          <cell r="F2559">
            <v>10063051</v>
          </cell>
          <cell r="G2559">
            <v>40006025</v>
          </cell>
        </row>
        <row r="2560">
          <cell r="E2560" t="str">
            <v>226028-2</v>
          </cell>
          <cell r="F2560">
            <v>10032159</v>
          </cell>
          <cell r="G2560">
            <v>40007195</v>
          </cell>
        </row>
        <row r="2561">
          <cell r="E2561" t="str">
            <v>151790-9</v>
          </cell>
          <cell r="F2561">
            <v>10051512</v>
          </cell>
          <cell r="G2561">
            <v>40007476</v>
          </cell>
        </row>
        <row r="2562">
          <cell r="E2562" t="str">
            <v>153335-9</v>
          </cell>
          <cell r="F2562">
            <v>10035470</v>
          </cell>
          <cell r="G2562">
            <v>40007972</v>
          </cell>
        </row>
        <row r="2563">
          <cell r="E2563" t="str">
            <v>153449-4</v>
          </cell>
          <cell r="F2563">
            <v>10001232</v>
          </cell>
          <cell r="G2563">
            <v>40007037</v>
          </cell>
        </row>
        <row r="2564">
          <cell r="E2564" t="str">
            <v>153587-2</v>
          </cell>
          <cell r="F2564">
            <v>10037626</v>
          </cell>
          <cell r="G2564">
            <v>40008001</v>
          </cell>
        </row>
        <row r="2565">
          <cell r="E2565" t="str">
            <v>158623-9</v>
          </cell>
          <cell r="F2565">
            <v>10053999</v>
          </cell>
          <cell r="G2565">
            <v>40006070</v>
          </cell>
        </row>
        <row r="2566">
          <cell r="E2566" t="str">
            <v>226818-3</v>
          </cell>
          <cell r="F2566">
            <v>10062434</v>
          </cell>
          <cell r="G2566">
            <v>40005566</v>
          </cell>
        </row>
        <row r="2567">
          <cell r="E2567" t="str">
            <v>226032-1</v>
          </cell>
          <cell r="F2567">
            <v>10028794</v>
          </cell>
          <cell r="G2567">
            <v>40007134</v>
          </cell>
        </row>
        <row r="2568">
          <cell r="E2568" t="str">
            <v>153178-9</v>
          </cell>
          <cell r="F2568">
            <v>10027865</v>
          </cell>
          <cell r="G2568">
            <v>40007323</v>
          </cell>
        </row>
        <row r="2569">
          <cell r="E2569" t="str">
            <v>153622-6</v>
          </cell>
          <cell r="F2569">
            <v>10001286</v>
          </cell>
          <cell r="G2569">
            <v>40007072</v>
          </cell>
        </row>
        <row r="2570">
          <cell r="E2570" t="str">
            <v>153245-0</v>
          </cell>
          <cell r="F2570">
            <v>10001040</v>
          </cell>
          <cell r="G2570">
            <v>40007341</v>
          </cell>
        </row>
        <row r="2571">
          <cell r="E2571" t="str">
            <v>226044-4</v>
          </cell>
          <cell r="F2571">
            <v>10031031</v>
          </cell>
          <cell r="G2571">
            <v>40007173</v>
          </cell>
        </row>
        <row r="2572">
          <cell r="E2572" t="str">
            <v>153119-5</v>
          </cell>
          <cell r="F2572">
            <v>10001031</v>
          </cell>
          <cell r="G2572">
            <v>40007335</v>
          </cell>
        </row>
        <row r="2573">
          <cell r="E2573" t="str">
            <v>226012-7</v>
          </cell>
          <cell r="F2573">
            <v>10001241</v>
          </cell>
          <cell r="G2573">
            <v>40007044</v>
          </cell>
        </row>
        <row r="2574">
          <cell r="E2574" t="str">
            <v>153552-1</v>
          </cell>
          <cell r="F2574">
            <v>10001377</v>
          </cell>
          <cell r="G2574">
            <v>40007642</v>
          </cell>
        </row>
        <row r="2575">
          <cell r="E2575" t="str">
            <v>156448-5</v>
          </cell>
          <cell r="F2575">
            <v>10025677</v>
          </cell>
          <cell r="G2575">
            <v>40007274</v>
          </cell>
        </row>
        <row r="2576">
          <cell r="E2576" t="str">
            <v>156402-9</v>
          </cell>
          <cell r="F2576">
            <v>10001309</v>
          </cell>
          <cell r="G2576">
            <v>40007087</v>
          </cell>
        </row>
        <row r="2577">
          <cell r="E2577" t="str">
            <v>140268-7</v>
          </cell>
          <cell r="F2577">
            <v>10070134</v>
          </cell>
          <cell r="G2577">
            <v>40006462</v>
          </cell>
        </row>
        <row r="2578">
          <cell r="E2578" t="str">
            <v>151829-8</v>
          </cell>
          <cell r="F2578">
            <v>10022551</v>
          </cell>
          <cell r="G2578">
            <v>40007575</v>
          </cell>
        </row>
        <row r="2579">
          <cell r="E2579" t="str">
            <v>153423-2</v>
          </cell>
          <cell r="F2579">
            <v>10035467</v>
          </cell>
          <cell r="G2579">
            <v>40007969</v>
          </cell>
        </row>
        <row r="2580">
          <cell r="E2580" t="str">
            <v>153551-3</v>
          </cell>
          <cell r="F2580">
            <v>10002252</v>
          </cell>
          <cell r="G2580">
            <v>40007696</v>
          </cell>
        </row>
        <row r="2581">
          <cell r="E2581" t="str">
            <v>156401-1</v>
          </cell>
          <cell r="F2581">
            <v>10062448</v>
          </cell>
          <cell r="G2581">
            <v>40005575</v>
          </cell>
        </row>
        <row r="2582">
          <cell r="E2582" t="str">
            <v>156838-2</v>
          </cell>
          <cell r="F2582">
            <v>10034994</v>
          </cell>
          <cell r="G2582">
            <v>40008103</v>
          </cell>
        </row>
        <row r="2583">
          <cell r="E2583" t="str">
            <v>156971-0</v>
          </cell>
          <cell r="F2583">
            <v>10064591</v>
          </cell>
          <cell r="G2583">
            <v>40006377</v>
          </cell>
        </row>
        <row r="2584">
          <cell r="E2584" t="str">
            <v>156975-2</v>
          </cell>
          <cell r="F2584">
            <v>10064594</v>
          </cell>
          <cell r="G2584">
            <v>40006378</v>
          </cell>
        </row>
        <row r="2585">
          <cell r="E2585" t="str">
            <v>157034-5</v>
          </cell>
          <cell r="F2585">
            <v>10025376</v>
          </cell>
        </row>
        <row r="2586">
          <cell r="E2586" t="str">
            <v>158305-3</v>
          </cell>
          <cell r="F2586">
            <v>10035101</v>
          </cell>
          <cell r="G2586">
            <v>40008116</v>
          </cell>
        </row>
        <row r="2587">
          <cell r="E2587" t="str">
            <v>317797-7</v>
          </cell>
          <cell r="F2587">
            <v>10035466</v>
          </cell>
          <cell r="G2587">
            <v>40007968</v>
          </cell>
        </row>
        <row r="2588">
          <cell r="E2588" t="str">
            <v>317821-6</v>
          </cell>
          <cell r="F2588">
            <v>10042348</v>
          </cell>
          <cell r="G2588">
            <v>40006769</v>
          </cell>
        </row>
        <row r="2589">
          <cell r="E2589" t="str">
            <v>318158-4</v>
          </cell>
          <cell r="F2589">
            <v>10034197</v>
          </cell>
          <cell r="G2589">
            <v>40007723</v>
          </cell>
        </row>
        <row r="2590">
          <cell r="E2590" t="str">
            <v>318335-8</v>
          </cell>
          <cell r="F2590">
            <v>10035096</v>
          </cell>
          <cell r="G2590">
            <v>40008111</v>
          </cell>
        </row>
        <row r="2591">
          <cell r="E2591" t="str">
            <v>318941-9</v>
          </cell>
          <cell r="F2591">
            <v>10046391</v>
          </cell>
          <cell r="G2591">
            <v>40006954</v>
          </cell>
        </row>
        <row r="2592">
          <cell r="E2592" t="str">
            <v>417818-6</v>
          </cell>
          <cell r="F2592">
            <v>10035286</v>
          </cell>
          <cell r="G2592">
            <v>40008145</v>
          </cell>
        </row>
        <row r="2593">
          <cell r="E2593" t="str">
            <v>450619-9</v>
          </cell>
          <cell r="F2593">
            <v>10021673</v>
          </cell>
          <cell r="G2593">
            <v>40007552</v>
          </cell>
        </row>
        <row r="2594">
          <cell r="E2594" t="str">
            <v>451907-7</v>
          </cell>
          <cell r="F2594">
            <v>10035305</v>
          </cell>
          <cell r="G2594">
            <v>40008306</v>
          </cell>
        </row>
        <row r="2595">
          <cell r="E2595" t="str">
            <v>454115-9</v>
          </cell>
          <cell r="F2595">
            <v>10047920</v>
          </cell>
          <cell r="G2595">
            <v>40006989</v>
          </cell>
        </row>
        <row r="2596">
          <cell r="E2596" t="str">
            <v>159999-7</v>
          </cell>
          <cell r="F2596">
            <v>10039917</v>
          </cell>
          <cell r="G2596">
            <v>40008066</v>
          </cell>
        </row>
        <row r="2597">
          <cell r="E2597" t="str">
            <v>141025-6</v>
          </cell>
          <cell r="F2597">
            <v>10062583</v>
          </cell>
          <cell r="G2597">
            <v>40005623</v>
          </cell>
        </row>
        <row r="2598">
          <cell r="E2598" t="str">
            <v>140M12-0</v>
          </cell>
          <cell r="F2598">
            <v>10098923</v>
          </cell>
          <cell r="G2598">
            <v>40005919</v>
          </cell>
        </row>
        <row r="2599">
          <cell r="E2599" t="str">
            <v>151595-7</v>
          </cell>
          <cell r="F2599">
            <v>10002258</v>
          </cell>
          <cell r="G2599">
            <v>40007700</v>
          </cell>
        </row>
        <row r="2600">
          <cell r="E2600" t="str">
            <v>159911-7</v>
          </cell>
          <cell r="F2600">
            <v>10057232</v>
          </cell>
          <cell r="G2600">
            <v>40005685</v>
          </cell>
        </row>
        <row r="2601">
          <cell r="E2601" t="str">
            <v>168705-9</v>
          </cell>
          <cell r="F2601">
            <v>10063158</v>
          </cell>
          <cell r="G2601">
            <v>40006047</v>
          </cell>
        </row>
        <row r="2602">
          <cell r="E2602" t="str">
            <v>140426-5</v>
          </cell>
          <cell r="F2602">
            <v>10035304</v>
          </cell>
          <cell r="G2602">
            <v>40008305</v>
          </cell>
        </row>
        <row r="2603">
          <cell r="E2603" t="str">
            <v>454822-4</v>
          </cell>
          <cell r="F2603">
            <v>10061616</v>
          </cell>
          <cell r="G2603">
            <v>40006350</v>
          </cell>
        </row>
        <row r="2604">
          <cell r="E2604" t="str">
            <v>141981-0</v>
          </cell>
          <cell r="F2604">
            <v>10074946</v>
          </cell>
          <cell r="G2604">
            <v>40006184</v>
          </cell>
        </row>
        <row r="2605">
          <cell r="E2605" t="str">
            <v>153338-3</v>
          </cell>
          <cell r="F2605">
            <v>10002259</v>
          </cell>
          <cell r="G2605">
            <v>40007701</v>
          </cell>
        </row>
        <row r="2606">
          <cell r="E2606" t="str">
            <v>153379-9</v>
          </cell>
          <cell r="F2606">
            <v>10002262</v>
          </cell>
          <cell r="G2606">
            <v>40007704</v>
          </cell>
        </row>
        <row r="2607">
          <cell r="E2607" t="str">
            <v>158216-2</v>
          </cell>
          <cell r="F2607">
            <v>10047465</v>
          </cell>
          <cell r="G2607">
            <v>40006963</v>
          </cell>
        </row>
        <row r="2608">
          <cell r="E2608" t="str">
            <v>158092-4</v>
          </cell>
          <cell r="F2608">
            <v>10102732</v>
          </cell>
          <cell r="G2608">
            <v>40006475</v>
          </cell>
        </row>
        <row r="2609">
          <cell r="E2609" t="str">
            <v>157640-6</v>
          </cell>
          <cell r="F2609">
            <v>10001042</v>
          </cell>
          <cell r="G2609">
            <v>40007342</v>
          </cell>
        </row>
        <row r="2610">
          <cell r="E2610" t="str">
            <v>158870-2</v>
          </cell>
          <cell r="F2610">
            <v>10084259</v>
          </cell>
          <cell r="G2610">
            <v>40006270</v>
          </cell>
        </row>
        <row r="2611">
          <cell r="E2611" t="str">
            <v>319487-8</v>
          </cell>
          <cell r="F2611">
            <v>10093984</v>
          </cell>
          <cell r="G2611">
            <v>40005881</v>
          </cell>
        </row>
        <row r="2612">
          <cell r="E2612" t="str">
            <v>156436-2</v>
          </cell>
          <cell r="F2612">
            <v>10064595</v>
          </cell>
          <cell r="G2612">
            <v>40006379</v>
          </cell>
        </row>
        <row r="2613">
          <cell r="E2613" t="str">
            <v>227806-3</v>
          </cell>
          <cell r="F2613">
            <v>10061617</v>
          </cell>
          <cell r="G2613">
            <v>40006351</v>
          </cell>
        </row>
        <row r="2614">
          <cell r="E2614" t="str">
            <v>JM27000324</v>
          </cell>
          <cell r="F2614">
            <v>10022090</v>
          </cell>
          <cell r="G2614">
            <v>40007561</v>
          </cell>
        </row>
        <row r="2615">
          <cell r="E2615" t="str">
            <v>226497-7</v>
          </cell>
          <cell r="F2615">
            <v>10002791</v>
          </cell>
          <cell r="G2615">
            <v>40008232</v>
          </cell>
        </row>
        <row r="2616">
          <cell r="E2616" t="str">
            <v>323221-0</v>
          </cell>
          <cell r="F2616">
            <v>10021223</v>
          </cell>
          <cell r="G2616">
            <v>40007544</v>
          </cell>
        </row>
        <row r="2617">
          <cell r="E2617">
            <v>225221012</v>
          </cell>
          <cell r="F2617">
            <v>10001110</v>
          </cell>
        </row>
        <row r="2618">
          <cell r="E2618" t="str">
            <v>226741-2</v>
          </cell>
          <cell r="F2618">
            <v>10016542</v>
          </cell>
          <cell r="G2618">
            <v>40007531</v>
          </cell>
        </row>
        <row r="2619">
          <cell r="E2619">
            <v>225211023</v>
          </cell>
          <cell r="F2619">
            <v>10001285</v>
          </cell>
          <cell r="G2619">
            <v>40007071</v>
          </cell>
        </row>
        <row r="2620">
          <cell r="E2620" t="str">
            <v>451002-3</v>
          </cell>
          <cell r="F2620">
            <v>10044744</v>
          </cell>
          <cell r="G2620">
            <v>40006782</v>
          </cell>
        </row>
        <row r="2621">
          <cell r="E2621" t="str">
            <v>T-01797</v>
          </cell>
          <cell r="F2621">
            <v>10105258</v>
          </cell>
          <cell r="G2621">
            <v>10018510</v>
          </cell>
        </row>
        <row r="2622">
          <cell r="E2622" t="str">
            <v>194683-7</v>
          </cell>
          <cell r="F2622">
            <v>10105372</v>
          </cell>
          <cell r="G2622">
            <v>10018210</v>
          </cell>
        </row>
        <row r="2623">
          <cell r="E2623" t="str">
            <v>188088-1</v>
          </cell>
          <cell r="F2623">
            <v>10105292</v>
          </cell>
          <cell r="G2623">
            <v>10018535</v>
          </cell>
        </row>
        <row r="2624">
          <cell r="E2624" t="str">
            <v>273603-5</v>
          </cell>
          <cell r="F2624">
            <v>10001355</v>
          </cell>
          <cell r="G2624">
            <v>40007121</v>
          </cell>
        </row>
        <row r="2625">
          <cell r="E2625" t="str">
            <v>158057-6</v>
          </cell>
          <cell r="F2625">
            <v>10074920</v>
          </cell>
          <cell r="G2625">
            <v>40006166</v>
          </cell>
        </row>
        <row r="2626">
          <cell r="E2626" t="str">
            <v>273666-1</v>
          </cell>
          <cell r="F2626">
            <v>10031859</v>
          </cell>
          <cell r="G2626">
            <v>40007186</v>
          </cell>
        </row>
        <row r="2627">
          <cell r="E2627" t="str">
            <v>153489-2</v>
          </cell>
          <cell r="F2627">
            <v>10001173</v>
          </cell>
          <cell r="G2627">
            <v>40007410</v>
          </cell>
        </row>
        <row r="2628">
          <cell r="E2628" t="str">
            <v>419975-6</v>
          </cell>
          <cell r="F2628">
            <v>10074921</v>
          </cell>
          <cell r="G2628">
            <v>40006167</v>
          </cell>
        </row>
        <row r="2629">
          <cell r="E2629" t="str">
            <v>322046-9</v>
          </cell>
          <cell r="F2629">
            <v>10025861</v>
          </cell>
          <cell r="G2629">
            <v>40007289</v>
          </cell>
        </row>
        <row r="2630">
          <cell r="E2630" t="str">
            <v>JM23100109</v>
          </cell>
          <cell r="F2630">
            <v>10063037</v>
          </cell>
          <cell r="G2630">
            <v>40006014</v>
          </cell>
        </row>
        <row r="2631">
          <cell r="E2631" t="str">
            <v>JM23100107</v>
          </cell>
          <cell r="F2631">
            <v>10063035</v>
          </cell>
          <cell r="G2631">
            <v>40006012</v>
          </cell>
        </row>
        <row r="2632">
          <cell r="E2632">
            <v>905808305</v>
          </cell>
          <cell r="F2632">
            <v>10002242</v>
          </cell>
          <cell r="G2632">
            <v>40007692</v>
          </cell>
        </row>
        <row r="2633">
          <cell r="E2633" t="str">
            <v>165201-8</v>
          </cell>
          <cell r="F2633">
            <v>10054697</v>
          </cell>
        </row>
        <row r="2634">
          <cell r="E2634" t="str">
            <v>417796-0</v>
          </cell>
          <cell r="F2634">
            <v>10035109</v>
          </cell>
          <cell r="G2634">
            <v>40008124</v>
          </cell>
        </row>
        <row r="2635">
          <cell r="E2635" t="str">
            <v>A0801-1321</v>
          </cell>
          <cell r="F2635">
            <v>10054825</v>
          </cell>
          <cell r="G2635">
            <v>40006125</v>
          </cell>
        </row>
        <row r="2636">
          <cell r="E2636" t="str">
            <v>317039-9</v>
          </cell>
          <cell r="F2636">
            <v>10103481</v>
          </cell>
          <cell r="G2636">
            <v>40006480</v>
          </cell>
        </row>
        <row r="2637">
          <cell r="E2637">
            <v>21111036</v>
          </cell>
          <cell r="F2637">
            <v>10001357</v>
          </cell>
        </row>
        <row r="2638">
          <cell r="E2638" t="str">
            <v>345815-1</v>
          </cell>
          <cell r="F2638">
            <v>10074949</v>
          </cell>
          <cell r="G2638">
            <v>40006187</v>
          </cell>
        </row>
        <row r="2639">
          <cell r="E2639" t="str">
            <v>346518-0</v>
          </cell>
          <cell r="F2639">
            <v>10051025</v>
          </cell>
          <cell r="G2639">
            <v>40006931</v>
          </cell>
        </row>
        <row r="2640">
          <cell r="E2640" t="str">
            <v>346673-8</v>
          </cell>
          <cell r="F2640">
            <v>10065766</v>
          </cell>
          <cell r="G2640">
            <v>40006413</v>
          </cell>
        </row>
        <row r="2641">
          <cell r="E2641" t="str">
            <v>164095-8</v>
          </cell>
          <cell r="F2641">
            <v>10022536</v>
          </cell>
          <cell r="G2641">
            <v>40007565</v>
          </cell>
        </row>
        <row r="2642">
          <cell r="E2642" t="str">
            <v>318847-1</v>
          </cell>
          <cell r="F2642">
            <v>10033968</v>
          </cell>
          <cell r="G2642">
            <v>40007226</v>
          </cell>
        </row>
        <row r="2643">
          <cell r="E2643" t="str">
            <v>345187-4</v>
          </cell>
          <cell r="F2643">
            <v>10025683</v>
          </cell>
          <cell r="G2643">
            <v>40007280</v>
          </cell>
        </row>
        <row r="2644">
          <cell r="E2644" t="str">
            <v>345873-7</v>
          </cell>
          <cell r="F2644">
            <v>10058395</v>
          </cell>
          <cell r="G2644">
            <v>40005722</v>
          </cell>
        </row>
        <row r="2645">
          <cell r="E2645">
            <v>3640920</v>
          </cell>
          <cell r="F2645">
            <v>10045948</v>
          </cell>
          <cell r="G2645">
            <v>40006921</v>
          </cell>
        </row>
        <row r="2646">
          <cell r="E2646" t="str">
            <v>226415-5</v>
          </cell>
          <cell r="F2646">
            <v>10001015</v>
          </cell>
          <cell r="G2646">
            <v>40008280</v>
          </cell>
        </row>
        <row r="2647">
          <cell r="E2647" t="str">
            <v>221623-3</v>
          </cell>
          <cell r="F2647">
            <v>10002224</v>
          </cell>
          <cell r="G2647">
            <v>40007683</v>
          </cell>
        </row>
        <row r="2648">
          <cell r="E2648" t="str">
            <v>322814-0</v>
          </cell>
          <cell r="F2648">
            <v>10059197</v>
          </cell>
        </row>
        <row r="2649">
          <cell r="E2649" t="str">
            <v>324493-0</v>
          </cell>
          <cell r="F2649">
            <v>10050090</v>
          </cell>
          <cell r="G2649">
            <v>40007906</v>
          </cell>
        </row>
        <row r="2650">
          <cell r="E2650" t="str">
            <v>324822-7</v>
          </cell>
          <cell r="F2650">
            <v>10063003</v>
          </cell>
          <cell r="G2650">
            <v>40005991</v>
          </cell>
        </row>
        <row r="2651">
          <cell r="E2651" t="str">
            <v>324894-2</v>
          </cell>
          <cell r="F2651">
            <v>10050893</v>
          </cell>
          <cell r="G2651">
            <v>40006832</v>
          </cell>
        </row>
        <row r="2652">
          <cell r="E2652" t="str">
            <v>143277-5</v>
          </cell>
          <cell r="F2652">
            <v>10068023</v>
          </cell>
          <cell r="G2652">
            <v>40006453</v>
          </cell>
        </row>
        <row r="2653">
          <cell r="E2653" t="str">
            <v>154590-6</v>
          </cell>
          <cell r="F2653">
            <v>10050885</v>
          </cell>
          <cell r="G2653">
            <v>40006816</v>
          </cell>
        </row>
        <row r="2654">
          <cell r="E2654" t="str">
            <v>158898-0</v>
          </cell>
          <cell r="F2654">
            <v>10050916</v>
          </cell>
          <cell r="G2654">
            <v>40006863</v>
          </cell>
        </row>
        <row r="2655">
          <cell r="E2655" t="str">
            <v>158670-0</v>
          </cell>
          <cell r="F2655">
            <v>10053351</v>
          </cell>
          <cell r="G2655">
            <v>40006696</v>
          </cell>
        </row>
        <row r="2656">
          <cell r="E2656" t="str">
            <v>143718-1</v>
          </cell>
          <cell r="F2656">
            <v>10103472</v>
          </cell>
        </row>
        <row r="2657">
          <cell r="E2657" t="str">
            <v>181490-7</v>
          </cell>
          <cell r="F2657">
            <v>10001139</v>
          </cell>
          <cell r="G2657">
            <v>40007395</v>
          </cell>
        </row>
        <row r="2658">
          <cell r="E2658" t="str">
            <v>415980-1</v>
          </cell>
          <cell r="F2658">
            <v>10034198</v>
          </cell>
          <cell r="G2658">
            <v>40007725</v>
          </cell>
        </row>
        <row r="2659">
          <cell r="E2659" t="str">
            <v>271070-8</v>
          </cell>
          <cell r="F2659">
            <v>10025371</v>
          </cell>
          <cell r="G2659">
            <v>40007268</v>
          </cell>
        </row>
        <row r="2660">
          <cell r="E2660" t="str">
            <v>271071-6</v>
          </cell>
          <cell r="F2660">
            <v>10022596</v>
          </cell>
          <cell r="G2660">
            <v>40007594</v>
          </cell>
        </row>
        <row r="2661">
          <cell r="E2661">
            <v>957310027</v>
          </cell>
          <cell r="F2661">
            <v>10084062</v>
          </cell>
          <cell r="G2661">
            <v>40006226</v>
          </cell>
        </row>
        <row r="2662">
          <cell r="E2662" t="str">
            <v>411170-4</v>
          </cell>
          <cell r="F2662">
            <v>10039234</v>
          </cell>
          <cell r="G2662">
            <v>40008060</v>
          </cell>
        </row>
        <row r="2663">
          <cell r="E2663" t="str">
            <v>411423-1</v>
          </cell>
          <cell r="F2663">
            <v>10068811</v>
          </cell>
          <cell r="G2663">
            <v>40006455</v>
          </cell>
        </row>
        <row r="2664">
          <cell r="E2664" t="str">
            <v>411617-8</v>
          </cell>
          <cell r="F2664">
            <v>10062466</v>
          </cell>
          <cell r="G2664">
            <v>40005587</v>
          </cell>
        </row>
        <row r="2665">
          <cell r="E2665" t="str">
            <v>415978-8</v>
          </cell>
          <cell r="F2665">
            <v>10035302</v>
          </cell>
          <cell r="G2665">
            <v>40011947</v>
          </cell>
        </row>
        <row r="2666">
          <cell r="E2666" t="str">
            <v>419553-2</v>
          </cell>
          <cell r="F2666">
            <v>10062427</v>
          </cell>
          <cell r="G2666">
            <v>40005560</v>
          </cell>
        </row>
        <row r="2667">
          <cell r="E2667">
            <v>225213111</v>
          </cell>
          <cell r="F2667">
            <v>10001373</v>
          </cell>
          <cell r="G2667">
            <v>40007631</v>
          </cell>
        </row>
        <row r="2668">
          <cell r="E2668" t="str">
            <v>182597-2</v>
          </cell>
          <cell r="F2668">
            <v>10022752</v>
          </cell>
          <cell r="G2668">
            <v>40007610</v>
          </cell>
        </row>
        <row r="2669">
          <cell r="E2669" t="str">
            <v>181137-3</v>
          </cell>
          <cell r="F2669">
            <v>10040781</v>
          </cell>
          <cell r="G2669">
            <v>40008299</v>
          </cell>
        </row>
        <row r="2670">
          <cell r="E2670" t="str">
            <v>281216-8</v>
          </cell>
          <cell r="F2670">
            <v>10057226</v>
          </cell>
          <cell r="G2670">
            <v>40005680</v>
          </cell>
        </row>
        <row r="2671">
          <cell r="E2671" t="str">
            <v>252172-9</v>
          </cell>
          <cell r="F2671">
            <v>10065793</v>
          </cell>
          <cell r="G2671">
            <v>40006424</v>
          </cell>
        </row>
        <row r="2672">
          <cell r="E2672" t="str">
            <v>922123-3</v>
          </cell>
          <cell r="F2672">
            <v>10062444</v>
          </cell>
          <cell r="G2672">
            <v>40005573</v>
          </cell>
        </row>
        <row r="2673">
          <cell r="E2673" t="str">
            <v>912107-9</v>
          </cell>
          <cell r="F2673">
            <v>10033833</v>
          </cell>
          <cell r="G2673">
            <v>40007219</v>
          </cell>
        </row>
        <row r="2674">
          <cell r="E2674" t="str">
            <v>265112-8</v>
          </cell>
          <cell r="F2674">
            <v>10054841</v>
          </cell>
          <cell r="G2674">
            <v>40006137</v>
          </cell>
        </row>
        <row r="2675">
          <cell r="E2675" t="str">
            <v>911117-3</v>
          </cell>
          <cell r="F2675">
            <v>10054813</v>
          </cell>
          <cell r="G2675">
            <v>40006119</v>
          </cell>
        </row>
        <row r="2676">
          <cell r="E2676" t="str">
            <v>911128-8</v>
          </cell>
          <cell r="F2676">
            <v>10054830</v>
          </cell>
          <cell r="G2676">
            <v>40006130</v>
          </cell>
        </row>
        <row r="2677">
          <cell r="E2677" t="str">
            <v>911133-5</v>
          </cell>
          <cell r="F2677">
            <v>10054796</v>
          </cell>
          <cell r="G2677">
            <v>40006105</v>
          </cell>
        </row>
        <row r="2678">
          <cell r="E2678" t="str">
            <v>911168-6</v>
          </cell>
          <cell r="F2678">
            <v>10054797</v>
          </cell>
          <cell r="G2678">
            <v>40006106</v>
          </cell>
        </row>
        <row r="2679">
          <cell r="E2679" t="str">
            <v>912357-6</v>
          </cell>
          <cell r="F2679">
            <v>10084070</v>
          </cell>
          <cell r="G2679">
            <v>40006232</v>
          </cell>
        </row>
        <row r="2680">
          <cell r="E2680" t="str">
            <v>K0300-0621</v>
          </cell>
          <cell r="F2680">
            <v>10050106</v>
          </cell>
          <cell r="G2680">
            <v>40007921</v>
          </cell>
        </row>
        <row r="2681">
          <cell r="E2681" t="str">
            <v>226450-3</v>
          </cell>
          <cell r="F2681">
            <v>10059198</v>
          </cell>
          <cell r="G2681">
            <v>40006276</v>
          </cell>
        </row>
        <row r="2682">
          <cell r="E2682" t="str">
            <v>689170-4</v>
          </cell>
          <cell r="F2682">
            <v>10062538</v>
          </cell>
          <cell r="G2682">
            <v>40005593</v>
          </cell>
        </row>
        <row r="2683">
          <cell r="E2683" t="str">
            <v>115-120431H</v>
          </cell>
          <cell r="F2683">
            <v>10034995</v>
          </cell>
          <cell r="G2683">
            <v>40008104</v>
          </cell>
        </row>
        <row r="2684">
          <cell r="E2684">
            <v>119.654</v>
          </cell>
          <cell r="F2684">
            <v>10049781</v>
          </cell>
          <cell r="G2684">
            <v>40007881</v>
          </cell>
        </row>
        <row r="2685">
          <cell r="E2685">
            <v>125.723</v>
          </cell>
          <cell r="F2685">
            <v>10049598</v>
          </cell>
          <cell r="G2685">
            <v>40007872</v>
          </cell>
        </row>
        <row r="2686">
          <cell r="E2686">
            <v>119.577</v>
          </cell>
          <cell r="F2686">
            <v>10049601</v>
          </cell>
          <cell r="G2686">
            <v>40007875</v>
          </cell>
        </row>
        <row r="2687">
          <cell r="E2687" t="str">
            <v>226662-8</v>
          </cell>
          <cell r="F2687">
            <v>10038944</v>
          </cell>
          <cell r="G2687">
            <v>40008030</v>
          </cell>
        </row>
        <row r="2688">
          <cell r="E2688" t="str">
            <v>JM23000088</v>
          </cell>
          <cell r="F2688">
            <v>10022591</v>
          </cell>
          <cell r="G2688">
            <v>40007585</v>
          </cell>
        </row>
        <row r="2689">
          <cell r="E2689" t="str">
            <v>221132-2</v>
          </cell>
          <cell r="F2689">
            <v>10022058</v>
          </cell>
          <cell r="G2689">
            <v>40007559</v>
          </cell>
        </row>
        <row r="2690">
          <cell r="E2690" t="str">
            <v>226440-6</v>
          </cell>
          <cell r="F2690">
            <v>10001043</v>
          </cell>
          <cell r="G2690">
            <v>40007343</v>
          </cell>
        </row>
        <row r="2691">
          <cell r="E2691" t="str">
            <v>221193-2</v>
          </cell>
          <cell r="F2691">
            <v>10034478</v>
          </cell>
          <cell r="G2691">
            <v>40008081</v>
          </cell>
        </row>
        <row r="2692">
          <cell r="E2692" t="str">
            <v>221602-1</v>
          </cell>
          <cell r="F2692">
            <v>10068822</v>
          </cell>
          <cell r="G2692">
            <v>40006460</v>
          </cell>
        </row>
        <row r="2693">
          <cell r="E2693" t="str">
            <v>226467-6</v>
          </cell>
          <cell r="F2693">
            <v>10001235</v>
          </cell>
          <cell r="G2693">
            <v>40007041</v>
          </cell>
        </row>
        <row r="2694">
          <cell r="E2694" t="str">
            <v>226499-3</v>
          </cell>
          <cell r="F2694">
            <v>10016411</v>
          </cell>
          <cell r="G2694">
            <v>40007529</v>
          </cell>
        </row>
        <row r="2695">
          <cell r="E2695" t="str">
            <v>226573-7</v>
          </cell>
          <cell r="F2695">
            <v>10001020</v>
          </cell>
          <cell r="G2695">
            <v>40008284</v>
          </cell>
        </row>
        <row r="2696">
          <cell r="E2696" t="str">
            <v>226578-7</v>
          </cell>
          <cell r="F2696">
            <v>10050908</v>
          </cell>
          <cell r="G2696">
            <v>40006855</v>
          </cell>
        </row>
        <row r="2697">
          <cell r="E2697" t="str">
            <v>226579-5</v>
          </cell>
          <cell r="F2697">
            <v>10035214</v>
          </cell>
          <cell r="G2697">
            <v>40008132</v>
          </cell>
        </row>
        <row r="2698">
          <cell r="E2698" t="str">
            <v>226653-9</v>
          </cell>
          <cell r="F2698">
            <v>10049793</v>
          </cell>
          <cell r="G2698">
            <v>40007885</v>
          </cell>
        </row>
        <row r="2699">
          <cell r="E2699" t="str">
            <v>226726-8</v>
          </cell>
          <cell r="F2699">
            <v>10034474</v>
          </cell>
          <cell r="G2699">
            <v>40008078</v>
          </cell>
        </row>
        <row r="2700">
          <cell r="E2700" t="str">
            <v>227550-2</v>
          </cell>
          <cell r="F2700">
            <v>10023896</v>
          </cell>
          <cell r="G2700">
            <v>40008261</v>
          </cell>
        </row>
        <row r="2701">
          <cell r="E2701" t="str">
            <v>227701-7</v>
          </cell>
          <cell r="F2701">
            <v>10044745</v>
          </cell>
          <cell r="G2701">
            <v>40006783</v>
          </cell>
        </row>
        <row r="2702">
          <cell r="E2702" t="str">
            <v>227768-5</v>
          </cell>
          <cell r="F2702">
            <v>10053345</v>
          </cell>
          <cell r="G2702">
            <v>40006686</v>
          </cell>
        </row>
        <row r="2703">
          <cell r="E2703" t="str">
            <v>226589-2</v>
          </cell>
          <cell r="F2703">
            <v>10001268</v>
          </cell>
          <cell r="G2703">
            <v>40007063</v>
          </cell>
        </row>
        <row r="2704">
          <cell r="E2704" t="str">
            <v>227736-8</v>
          </cell>
          <cell r="F2704">
            <v>10045841</v>
          </cell>
          <cell r="G2704">
            <v>40007505</v>
          </cell>
        </row>
        <row r="2705">
          <cell r="E2705" t="str">
            <v>226449-8</v>
          </cell>
          <cell r="F2705">
            <v>10001348</v>
          </cell>
          <cell r="G2705">
            <v>40007115</v>
          </cell>
        </row>
        <row r="2706">
          <cell r="E2706" t="str">
            <v>226553-3</v>
          </cell>
          <cell r="F2706">
            <v>10001019</v>
          </cell>
          <cell r="G2706">
            <v>40008283</v>
          </cell>
        </row>
        <row r="2707">
          <cell r="E2707" t="str">
            <v>158387-5</v>
          </cell>
          <cell r="F2707">
            <v>10102730</v>
          </cell>
          <cell r="G2707">
            <v>40006470</v>
          </cell>
        </row>
        <row r="2708">
          <cell r="E2708" t="str">
            <v>221781-5</v>
          </cell>
          <cell r="F2708">
            <v>10002229</v>
          </cell>
        </row>
        <row r="2709">
          <cell r="E2709" t="str">
            <v>226427-8</v>
          </cell>
          <cell r="F2709">
            <v>10090074</v>
          </cell>
        </row>
        <row r="2710">
          <cell r="E2710" t="str">
            <v>226610-7</v>
          </cell>
          <cell r="F2710">
            <v>10102731</v>
          </cell>
          <cell r="G2710">
            <v>40006473</v>
          </cell>
        </row>
        <row r="2711">
          <cell r="E2711" t="str">
            <v>226523-2</v>
          </cell>
          <cell r="F2711">
            <v>10001022</v>
          </cell>
        </row>
        <row r="2712">
          <cell r="E2712" t="str">
            <v>221647-9</v>
          </cell>
          <cell r="F2712">
            <v>10001145</v>
          </cell>
          <cell r="G2712">
            <v>40007398</v>
          </cell>
        </row>
        <row r="2713">
          <cell r="E2713" t="str">
            <v>226637-7</v>
          </cell>
          <cell r="F2713">
            <v>10102733</v>
          </cell>
          <cell r="G2713">
            <v>40006476</v>
          </cell>
        </row>
        <row r="2714">
          <cell r="E2714" t="str">
            <v>226684-8</v>
          </cell>
          <cell r="F2714">
            <v>10002260</v>
          </cell>
          <cell r="G2714">
            <v>40007702</v>
          </cell>
        </row>
        <row r="2715">
          <cell r="E2715" t="str">
            <v>221669-9</v>
          </cell>
          <cell r="F2715">
            <v>10001016</v>
          </cell>
          <cell r="G2715">
            <v>40008281</v>
          </cell>
        </row>
        <row r="2716">
          <cell r="E2716" t="str">
            <v>226465-0</v>
          </cell>
          <cell r="F2716">
            <v>10001014</v>
          </cell>
          <cell r="G2716">
            <v>40008279</v>
          </cell>
        </row>
        <row r="2717">
          <cell r="E2717" t="str">
            <v>221687-7</v>
          </cell>
          <cell r="F2717">
            <v>10001011</v>
          </cell>
          <cell r="G2717">
            <v>40008277</v>
          </cell>
        </row>
        <row r="2718">
          <cell r="E2718" t="str">
            <v>221462-1</v>
          </cell>
          <cell r="F2718">
            <v>10100503</v>
          </cell>
          <cell r="G2718">
            <v>40005932</v>
          </cell>
        </row>
        <row r="2719">
          <cell r="E2719" t="str">
            <v>221013-0</v>
          </cell>
          <cell r="F2719">
            <v>10035321</v>
          </cell>
          <cell r="G2719">
            <v>40007966</v>
          </cell>
        </row>
        <row r="2720">
          <cell r="E2720" t="str">
            <v>227737-6</v>
          </cell>
          <cell r="F2720">
            <v>10045839</v>
          </cell>
          <cell r="G2720">
            <v>40006850</v>
          </cell>
        </row>
        <row r="2721">
          <cell r="E2721" t="str">
            <v>226461-8</v>
          </cell>
          <cell r="F2721">
            <v>10001024</v>
          </cell>
          <cell r="G2721">
            <v>40007331</v>
          </cell>
        </row>
        <row r="2722">
          <cell r="E2722" t="str">
            <v>226572-9</v>
          </cell>
          <cell r="F2722">
            <v>10002237</v>
          </cell>
          <cell r="G2722">
            <v>40007688</v>
          </cell>
        </row>
        <row r="2723">
          <cell r="E2723" t="str">
            <v>158913-0</v>
          </cell>
          <cell r="F2723">
            <v>10050977</v>
          </cell>
          <cell r="G2723">
            <v>40006896</v>
          </cell>
        </row>
        <row r="2724">
          <cell r="E2724" t="str">
            <v>221160-7</v>
          </cell>
          <cell r="F2724">
            <v>10022540</v>
          </cell>
          <cell r="G2724">
            <v>40007569</v>
          </cell>
        </row>
        <row r="2725">
          <cell r="E2725" t="str">
            <v>221273-4</v>
          </cell>
          <cell r="F2725">
            <v>10001305</v>
          </cell>
          <cell r="G2725">
            <v>40007085</v>
          </cell>
        </row>
        <row r="2726">
          <cell r="E2726" t="str">
            <v>221188-5</v>
          </cell>
          <cell r="F2726">
            <v>10002223</v>
          </cell>
          <cell r="G2726">
            <v>40007682</v>
          </cell>
        </row>
        <row r="2727">
          <cell r="E2727" t="str">
            <v>226495-1</v>
          </cell>
          <cell r="F2727">
            <v>10001018</v>
          </cell>
          <cell r="G2727">
            <v>40008282</v>
          </cell>
        </row>
        <row r="2728">
          <cell r="E2728" t="str">
            <v>226671-7</v>
          </cell>
          <cell r="F2728">
            <v>10080358</v>
          </cell>
          <cell r="G2728">
            <v>40006205</v>
          </cell>
        </row>
        <row r="2729">
          <cell r="E2729" t="str">
            <v>221739-4</v>
          </cell>
          <cell r="F2729">
            <v>10002240</v>
          </cell>
          <cell r="G2729">
            <v>40007690</v>
          </cell>
        </row>
        <row r="2730">
          <cell r="E2730" t="str">
            <v>221159-2</v>
          </cell>
          <cell r="F2730">
            <v>10001021</v>
          </cell>
          <cell r="G2730">
            <v>40008285</v>
          </cell>
        </row>
        <row r="2731">
          <cell r="E2731" t="str">
            <v>227735-0</v>
          </cell>
          <cell r="F2731">
            <v>10045840</v>
          </cell>
          <cell r="G2731">
            <v>40006852</v>
          </cell>
        </row>
        <row r="2732">
          <cell r="E2732" t="str">
            <v>221712-4</v>
          </cell>
          <cell r="F2732">
            <v>10001012</v>
          </cell>
          <cell r="G2732">
            <v>40008278</v>
          </cell>
        </row>
        <row r="2733">
          <cell r="E2733" t="str">
            <v>227702-5</v>
          </cell>
          <cell r="F2733">
            <v>10044746</v>
          </cell>
          <cell r="G2733">
            <v>40006784</v>
          </cell>
        </row>
        <row r="2734">
          <cell r="E2734" t="str">
            <v>227703-3</v>
          </cell>
          <cell r="F2734">
            <v>10044751</v>
          </cell>
          <cell r="G2734">
            <v>40006789</v>
          </cell>
        </row>
        <row r="2735">
          <cell r="E2735" t="str">
            <v>266819-9</v>
          </cell>
          <cell r="F2735">
            <v>10062576</v>
          </cell>
          <cell r="G2735">
            <v>40005617</v>
          </cell>
        </row>
        <row r="2736">
          <cell r="E2736" t="str">
            <v>925146-0</v>
          </cell>
          <cell r="F2736">
            <v>10057231</v>
          </cell>
          <cell r="G2736">
            <v>40005684</v>
          </cell>
        </row>
        <row r="2737">
          <cell r="E2737" t="str">
            <v>251668-7</v>
          </cell>
          <cell r="F2737">
            <v>10060974</v>
          </cell>
          <cell r="G2737">
            <v>40006329</v>
          </cell>
        </row>
        <row r="2738">
          <cell r="E2738" t="str">
            <v>265324-3</v>
          </cell>
          <cell r="F2738">
            <v>10001338</v>
          </cell>
          <cell r="G2738">
            <v>40007109</v>
          </cell>
        </row>
        <row r="2739">
          <cell r="E2739" t="str">
            <v>B-65894</v>
          </cell>
          <cell r="F2739">
            <v>10089678</v>
          </cell>
        </row>
        <row r="2740">
          <cell r="E2740" t="str">
            <v>252014-7</v>
          </cell>
          <cell r="F2740">
            <v>10057147</v>
          </cell>
          <cell r="G2740">
            <v>40005673</v>
          </cell>
        </row>
        <row r="2741">
          <cell r="E2741" t="str">
            <v>252186-8</v>
          </cell>
          <cell r="F2741">
            <v>10054003</v>
          </cell>
          <cell r="G2741">
            <v>40006073</v>
          </cell>
        </row>
        <row r="2742">
          <cell r="E2742" t="str">
            <v>JM27100070</v>
          </cell>
          <cell r="F2742">
            <v>10097350</v>
          </cell>
          <cell r="G2742">
            <v>40005895</v>
          </cell>
        </row>
        <row r="2743">
          <cell r="E2743" t="str">
            <v>252144-4</v>
          </cell>
          <cell r="F2743">
            <v>10001339</v>
          </cell>
        </row>
        <row r="2744">
          <cell r="E2744" t="str">
            <v>931202-6</v>
          </cell>
          <cell r="F2744">
            <v>10044755</v>
          </cell>
          <cell r="G2744">
            <v>40006793</v>
          </cell>
        </row>
        <row r="2745">
          <cell r="E2745" t="str">
            <v>252003-2</v>
          </cell>
          <cell r="F2745">
            <v>10001376</v>
          </cell>
          <cell r="G2745">
            <v>40007639</v>
          </cell>
        </row>
        <row r="2746">
          <cell r="E2746" t="str">
            <v>265984-1</v>
          </cell>
          <cell r="F2746">
            <v>10001350</v>
          </cell>
          <cell r="G2746">
            <v>40007116</v>
          </cell>
        </row>
        <row r="2747">
          <cell r="E2747" t="str">
            <v>265985-9</v>
          </cell>
          <cell r="F2747">
            <v>10061303</v>
          </cell>
          <cell r="G2747">
            <v>40006341</v>
          </cell>
        </row>
        <row r="2748">
          <cell r="E2748" t="str">
            <v>251612-4</v>
          </cell>
          <cell r="F2748">
            <v>10001170</v>
          </cell>
          <cell r="G2748">
            <v>40007408</v>
          </cell>
        </row>
        <row r="2749">
          <cell r="E2749" t="str">
            <v>265226-3</v>
          </cell>
          <cell r="F2749">
            <v>10001038</v>
          </cell>
          <cell r="G2749">
            <v>40007339</v>
          </cell>
        </row>
        <row r="2750">
          <cell r="E2750" t="str">
            <v>652113-9</v>
          </cell>
          <cell r="F2750">
            <v>10054794</v>
          </cell>
          <cell r="G2750">
            <v>40006103</v>
          </cell>
        </row>
        <row r="2751">
          <cell r="E2751" t="str">
            <v>252155-9</v>
          </cell>
          <cell r="F2751">
            <v>10055991</v>
          </cell>
          <cell r="G2751">
            <v>40005653</v>
          </cell>
        </row>
        <row r="2752">
          <cell r="E2752" t="str">
            <v>931402-8</v>
          </cell>
          <cell r="F2752">
            <v>10002276</v>
          </cell>
          <cell r="G2752">
            <v>40007715</v>
          </cell>
        </row>
        <row r="2753">
          <cell r="E2753" t="str">
            <v>922136-4</v>
          </cell>
          <cell r="F2753">
            <v>10001098</v>
          </cell>
        </row>
        <row r="2754">
          <cell r="E2754" t="str">
            <v>266010-9</v>
          </cell>
          <cell r="F2754">
            <v>10084262</v>
          </cell>
          <cell r="G2754">
            <v>40006275</v>
          </cell>
        </row>
        <row r="2755">
          <cell r="E2755" t="str">
            <v>266080-8</v>
          </cell>
          <cell r="F2755">
            <v>10002138</v>
          </cell>
          <cell r="G2755">
            <v>40007611</v>
          </cell>
        </row>
        <row r="2756">
          <cell r="E2756" t="str">
            <v>922451-6</v>
          </cell>
          <cell r="F2756">
            <v>10002149</v>
          </cell>
          <cell r="G2756">
            <v>40007626</v>
          </cell>
        </row>
        <row r="2757">
          <cell r="E2757" t="str">
            <v>266308-4</v>
          </cell>
          <cell r="F2757">
            <v>10060291</v>
          </cell>
          <cell r="G2757">
            <v>40006312</v>
          </cell>
        </row>
        <row r="2758">
          <cell r="E2758" t="str">
            <v>783203-8</v>
          </cell>
          <cell r="F2758">
            <v>10027524</v>
          </cell>
          <cell r="G2758">
            <v>40007309</v>
          </cell>
        </row>
        <row r="2759">
          <cell r="E2759" t="str">
            <v>251680-7</v>
          </cell>
          <cell r="F2759">
            <v>10033983</v>
          </cell>
          <cell r="G2759">
            <v>40007721</v>
          </cell>
        </row>
        <row r="2760">
          <cell r="E2760" t="str">
            <v>265461-3</v>
          </cell>
          <cell r="F2760">
            <v>10002158</v>
          </cell>
          <cell r="G2760">
            <v>40007644</v>
          </cell>
        </row>
        <row r="2761">
          <cell r="E2761" t="str">
            <v>265265-3</v>
          </cell>
          <cell r="F2761">
            <v>10038748</v>
          </cell>
          <cell r="G2761">
            <v>40008018</v>
          </cell>
        </row>
        <row r="2762">
          <cell r="E2762" t="str">
            <v>265355-2</v>
          </cell>
          <cell r="F2762">
            <v>10048341</v>
          </cell>
          <cell r="G2762">
            <v>40007006</v>
          </cell>
        </row>
        <row r="2763">
          <cell r="E2763" t="str">
            <v>251697-0</v>
          </cell>
          <cell r="F2763">
            <v>10001324</v>
          </cell>
          <cell r="G2763">
            <v>40007100</v>
          </cell>
        </row>
        <row r="2764">
          <cell r="E2764" t="str">
            <v>265405-3</v>
          </cell>
          <cell r="F2764">
            <v>10022748</v>
          </cell>
          <cell r="G2764">
            <v>40007605</v>
          </cell>
        </row>
        <row r="2765">
          <cell r="E2765" t="str">
            <v>252103-8</v>
          </cell>
          <cell r="F2765">
            <v>10047931</v>
          </cell>
          <cell r="G2765">
            <v>40007000</v>
          </cell>
        </row>
        <row r="2766">
          <cell r="E2766" t="str">
            <v>264010-3</v>
          </cell>
          <cell r="F2766">
            <v>10062459</v>
          </cell>
          <cell r="G2766">
            <v>40005580</v>
          </cell>
        </row>
        <row r="2767">
          <cell r="E2767" t="str">
            <v>252094-3</v>
          </cell>
          <cell r="F2767">
            <v>10015451</v>
          </cell>
          <cell r="G2767">
            <v>40007516</v>
          </cell>
        </row>
        <row r="2768">
          <cell r="E2768" t="str">
            <v>252134-7</v>
          </cell>
          <cell r="F2768">
            <v>10054807</v>
          </cell>
          <cell r="G2768">
            <v>40006115</v>
          </cell>
        </row>
        <row r="2769">
          <cell r="E2769" t="str">
            <v>252199-9</v>
          </cell>
          <cell r="F2769">
            <v>10049603</v>
          </cell>
          <cell r="G2769">
            <v>40007877</v>
          </cell>
        </row>
        <row r="2770">
          <cell r="E2770" t="str">
            <v>265880-3</v>
          </cell>
          <cell r="F2770">
            <v>10103479</v>
          </cell>
        </row>
        <row r="2771">
          <cell r="E2771" t="str">
            <v>922261-1</v>
          </cell>
          <cell r="F2771">
            <v>10062725</v>
          </cell>
          <cell r="G2771">
            <v>40005942</v>
          </cell>
        </row>
        <row r="2772">
          <cell r="E2772" t="str">
            <v>265473-6</v>
          </cell>
          <cell r="F2772">
            <v>10062720</v>
          </cell>
          <cell r="G2772">
            <v>40006178</v>
          </cell>
        </row>
        <row r="2773">
          <cell r="E2773" t="str">
            <v>922211-6</v>
          </cell>
          <cell r="F2773">
            <v>10103494</v>
          </cell>
          <cell r="G2773">
            <v>40006491</v>
          </cell>
        </row>
        <row r="2774">
          <cell r="E2774" t="str">
            <v>266783-4</v>
          </cell>
          <cell r="F2774">
            <v>10050951</v>
          </cell>
          <cell r="G2774">
            <v>40006879</v>
          </cell>
        </row>
        <row r="2775">
          <cell r="E2775" t="str">
            <v>265894-2</v>
          </cell>
          <cell r="F2775">
            <v>10002321</v>
          </cell>
          <cell r="G2775">
            <v>40008269</v>
          </cell>
        </row>
        <row r="2776">
          <cell r="E2776" t="str">
            <v>265408-7</v>
          </cell>
          <cell r="F2776">
            <v>10001351</v>
          </cell>
          <cell r="G2776">
            <v>40007117</v>
          </cell>
        </row>
        <row r="2777">
          <cell r="E2777" t="str">
            <v>265812-0</v>
          </cell>
          <cell r="F2777">
            <v>10001180</v>
          </cell>
          <cell r="G2777">
            <v>40007415</v>
          </cell>
        </row>
        <row r="2778">
          <cell r="E2778" t="str">
            <v>922331-6</v>
          </cell>
          <cell r="F2778">
            <v>10001310</v>
          </cell>
          <cell r="G2778">
            <v>40007088</v>
          </cell>
        </row>
        <row r="2779">
          <cell r="E2779" t="str">
            <v>266024-8</v>
          </cell>
          <cell r="F2779">
            <v>10001184</v>
          </cell>
          <cell r="G2779">
            <v>40007419</v>
          </cell>
        </row>
        <row r="2780">
          <cell r="E2780" t="str">
            <v>922111-0</v>
          </cell>
          <cell r="F2780">
            <v>10002146</v>
          </cell>
          <cell r="G2780">
            <v>40007624</v>
          </cell>
        </row>
        <row r="2781">
          <cell r="E2781" t="str">
            <v>266286-8</v>
          </cell>
          <cell r="F2781">
            <v>10022562</v>
          </cell>
          <cell r="G2781">
            <v>40007578</v>
          </cell>
        </row>
        <row r="2782">
          <cell r="E2782" t="str">
            <v>922107-1</v>
          </cell>
          <cell r="F2782">
            <v>10001181</v>
          </cell>
          <cell r="G2782">
            <v>40007416</v>
          </cell>
        </row>
        <row r="2783">
          <cell r="E2783">
            <v>923208004</v>
          </cell>
          <cell r="F2783">
            <v>10001182</v>
          </cell>
          <cell r="G2783">
            <v>40007417</v>
          </cell>
        </row>
        <row r="2784">
          <cell r="E2784">
            <v>920308024</v>
          </cell>
          <cell r="F2784">
            <v>10058944</v>
          </cell>
        </row>
        <row r="2785">
          <cell r="E2785" t="str">
            <v>251690-4</v>
          </cell>
          <cell r="F2785">
            <v>10034453</v>
          </cell>
          <cell r="G2785">
            <v>40008071</v>
          </cell>
        </row>
        <row r="2786">
          <cell r="E2786" t="str">
            <v>343540-8</v>
          </cell>
          <cell r="F2786">
            <v>10050991</v>
          </cell>
          <cell r="G2786">
            <v>40006908</v>
          </cell>
        </row>
        <row r="2787">
          <cell r="E2787" t="str">
            <v>322932-4</v>
          </cell>
          <cell r="F2787">
            <v>10057158</v>
          </cell>
          <cell r="G2787">
            <v>40005679</v>
          </cell>
        </row>
        <row r="2788">
          <cell r="E2788" t="str">
            <v>687085-9</v>
          </cell>
          <cell r="F2788">
            <v>10050914</v>
          </cell>
          <cell r="G2788">
            <v>40006861</v>
          </cell>
        </row>
        <row r="2789">
          <cell r="E2789">
            <v>203245001</v>
          </cell>
          <cell r="F2789">
            <v>10001122</v>
          </cell>
        </row>
        <row r="2790">
          <cell r="E2790">
            <v>203245002</v>
          </cell>
          <cell r="F2790">
            <v>10065740</v>
          </cell>
          <cell r="G2790">
            <v>40006409</v>
          </cell>
        </row>
        <row r="2791">
          <cell r="E2791" t="str">
            <v>256510-7</v>
          </cell>
          <cell r="F2791">
            <v>10035095</v>
          </cell>
          <cell r="G2791">
            <v>40008110</v>
          </cell>
        </row>
        <row r="2792">
          <cell r="E2792" t="str">
            <v>442139-7</v>
          </cell>
          <cell r="F2792">
            <v>10050093</v>
          </cell>
          <cell r="G2792">
            <v>40007909</v>
          </cell>
        </row>
        <row r="2793">
          <cell r="E2793" t="str">
            <v>643929-3</v>
          </cell>
          <cell r="F2793">
            <v>10001302</v>
          </cell>
          <cell r="G2793">
            <v>40007083</v>
          </cell>
        </row>
        <row r="2794">
          <cell r="E2794" t="str">
            <v>B-52691</v>
          </cell>
          <cell r="F2794">
            <v>10072750</v>
          </cell>
          <cell r="G2794">
            <v>40006158</v>
          </cell>
        </row>
        <row r="2795">
          <cell r="E2795">
            <v>36118012</v>
          </cell>
          <cell r="F2795">
            <v>10035320</v>
          </cell>
          <cell r="G2795">
            <v>40007965</v>
          </cell>
        </row>
        <row r="2796">
          <cell r="E2796" t="str">
            <v>187714-9</v>
          </cell>
          <cell r="F2796">
            <v>10061641</v>
          </cell>
          <cell r="G2796">
            <v>40005549</v>
          </cell>
        </row>
        <row r="2797">
          <cell r="E2797" t="str">
            <v>181758-1</v>
          </cell>
          <cell r="F2797">
            <v>10035290</v>
          </cell>
        </row>
        <row r="2798">
          <cell r="E2798" t="str">
            <v>182305-1</v>
          </cell>
          <cell r="F2798">
            <v>10001304</v>
          </cell>
          <cell r="G2798">
            <v>40007084</v>
          </cell>
        </row>
        <row r="2799">
          <cell r="E2799" t="str">
            <v>182400-7</v>
          </cell>
          <cell r="F2799">
            <v>10025867</v>
          </cell>
          <cell r="G2799">
            <v>40007294</v>
          </cell>
        </row>
        <row r="2800">
          <cell r="E2800" t="str">
            <v>183209-0</v>
          </cell>
          <cell r="F2800">
            <v>10077259</v>
          </cell>
          <cell r="G2800">
            <v>40006199</v>
          </cell>
        </row>
        <row r="2801">
          <cell r="E2801" t="str">
            <v>188664-1</v>
          </cell>
          <cell r="F2801">
            <v>10062464</v>
          </cell>
          <cell r="G2801">
            <v>40005585</v>
          </cell>
        </row>
        <row r="2802">
          <cell r="E2802" t="str">
            <v>187138-9</v>
          </cell>
          <cell r="F2802">
            <v>10097873</v>
          </cell>
          <cell r="G2802">
            <v>40005909</v>
          </cell>
        </row>
        <row r="2803">
          <cell r="E2803" t="str">
            <v>187430-3</v>
          </cell>
          <cell r="F2803">
            <v>10054692</v>
          </cell>
          <cell r="G2803">
            <v>40006087</v>
          </cell>
        </row>
        <row r="2804">
          <cell r="E2804" t="str">
            <v>187921-4</v>
          </cell>
          <cell r="F2804">
            <v>10061624</v>
          </cell>
          <cell r="G2804">
            <v>40006365</v>
          </cell>
        </row>
        <row r="2805">
          <cell r="E2805" t="str">
            <v>188971-2</v>
          </cell>
          <cell r="F2805">
            <v>10061627</v>
          </cell>
          <cell r="G2805">
            <v>40006715</v>
          </cell>
        </row>
        <row r="2806">
          <cell r="E2806" t="str">
            <v>266338-5</v>
          </cell>
          <cell r="F2806">
            <v>10042022</v>
          </cell>
          <cell r="G2806">
            <v>40006746</v>
          </cell>
        </row>
        <row r="2807">
          <cell r="E2807" t="str">
            <v>324492-2</v>
          </cell>
          <cell r="F2807">
            <v>10050085</v>
          </cell>
          <cell r="G2807">
            <v>40007901</v>
          </cell>
        </row>
        <row r="2808">
          <cell r="E2808" t="str">
            <v>324824-3</v>
          </cell>
          <cell r="F2808">
            <v>10075341</v>
          </cell>
          <cell r="G2808">
            <v>40006189</v>
          </cell>
        </row>
        <row r="2809">
          <cell r="E2809">
            <v>28142021</v>
          </cell>
          <cell r="F2809">
            <v>10001218</v>
          </cell>
          <cell r="G2809">
            <v>40007020</v>
          </cell>
        </row>
        <row r="2810">
          <cell r="E2810">
            <v>10038143</v>
          </cell>
          <cell r="F2810">
            <v>10044459</v>
          </cell>
        </row>
        <row r="2811">
          <cell r="E2811" t="str">
            <v>125278-5</v>
          </cell>
          <cell r="F2811">
            <v>10035319</v>
          </cell>
          <cell r="G2811">
            <v>40007964</v>
          </cell>
        </row>
        <row r="2812">
          <cell r="E2812" t="str">
            <v>126270-4</v>
          </cell>
          <cell r="F2812">
            <v>10045809</v>
          </cell>
          <cell r="G2812">
            <v>40006829</v>
          </cell>
        </row>
        <row r="2813">
          <cell r="E2813">
            <v>195143200</v>
          </cell>
          <cell r="F2813">
            <v>10058939</v>
          </cell>
          <cell r="G2813">
            <v>40005736</v>
          </cell>
        </row>
        <row r="2814">
          <cell r="E2814">
            <v>20143031</v>
          </cell>
          <cell r="F2814">
            <v>10001032</v>
          </cell>
        </row>
        <row r="2815">
          <cell r="E2815" t="str">
            <v>125808-2</v>
          </cell>
          <cell r="F2815">
            <v>10040958</v>
          </cell>
        </row>
        <row r="2816">
          <cell r="E2816" t="str">
            <v>161357-5</v>
          </cell>
          <cell r="F2816">
            <v>10102725</v>
          </cell>
          <cell r="G2816">
            <v>40005940</v>
          </cell>
        </row>
        <row r="2817">
          <cell r="E2817">
            <v>36143120</v>
          </cell>
          <cell r="F2817">
            <v>10016357</v>
          </cell>
        </row>
        <row r="2818">
          <cell r="E2818" t="str">
            <v>125514-9</v>
          </cell>
          <cell r="F2818">
            <v>10050972</v>
          </cell>
          <cell r="G2818">
            <v>40006891</v>
          </cell>
        </row>
        <row r="2819">
          <cell r="E2819" t="str">
            <v>321495-7</v>
          </cell>
          <cell r="F2819">
            <v>10002151</v>
          </cell>
          <cell r="G2819">
            <v>40007628</v>
          </cell>
        </row>
        <row r="2820">
          <cell r="E2820" t="str">
            <v>324396-8</v>
          </cell>
          <cell r="F2820">
            <v>10034495</v>
          </cell>
          <cell r="G2820">
            <v>40008092</v>
          </cell>
        </row>
        <row r="2821">
          <cell r="E2821" t="str">
            <v>324669-9</v>
          </cell>
          <cell r="F2821">
            <v>10053571</v>
          </cell>
          <cell r="G2821">
            <v>40006701</v>
          </cell>
        </row>
        <row r="2822">
          <cell r="E2822" t="str">
            <v>325789-2</v>
          </cell>
          <cell r="F2822">
            <v>10064433</v>
          </cell>
          <cell r="G2822">
            <v>40006374</v>
          </cell>
        </row>
        <row r="2823">
          <cell r="E2823" t="str">
            <v>142263-3</v>
          </cell>
          <cell r="F2823">
            <v>10061621</v>
          </cell>
          <cell r="G2823">
            <v>40006359</v>
          </cell>
        </row>
        <row r="2824">
          <cell r="E2824">
            <v>957151100</v>
          </cell>
          <cell r="F2824">
            <v>10037629</v>
          </cell>
          <cell r="G2824">
            <v>40008002</v>
          </cell>
        </row>
        <row r="2825">
          <cell r="E2825" t="str">
            <v>224314-5</v>
          </cell>
          <cell r="F2825">
            <v>10001211</v>
          </cell>
          <cell r="G2825">
            <v>40007931</v>
          </cell>
        </row>
        <row r="2826">
          <cell r="E2826" t="str">
            <v>224209-2</v>
          </cell>
          <cell r="F2826">
            <v>10061300</v>
          </cell>
          <cell r="G2826">
            <v>40006338</v>
          </cell>
        </row>
        <row r="2827">
          <cell r="E2827" t="str">
            <v>224370-5</v>
          </cell>
          <cell r="F2827">
            <v>10054012</v>
          </cell>
          <cell r="G2827">
            <v>40006081</v>
          </cell>
        </row>
        <row r="2828">
          <cell r="E2828" t="str">
            <v>224181-8</v>
          </cell>
          <cell r="F2828">
            <v>10023857</v>
          </cell>
          <cell r="G2828">
            <v>40007634</v>
          </cell>
        </row>
        <row r="2829">
          <cell r="E2829" t="str">
            <v>224470-1</v>
          </cell>
          <cell r="F2829">
            <v>10054837</v>
          </cell>
          <cell r="G2829">
            <v>10018132</v>
          </cell>
        </row>
        <row r="2830">
          <cell r="E2830" t="str">
            <v>224397-5</v>
          </cell>
          <cell r="F2830">
            <v>10024033</v>
          </cell>
          <cell r="G2830">
            <v>40007235</v>
          </cell>
        </row>
        <row r="2831">
          <cell r="E2831" t="str">
            <v>224431-1</v>
          </cell>
          <cell r="F2831">
            <v>10044761</v>
          </cell>
          <cell r="G2831">
            <v>40006798</v>
          </cell>
        </row>
        <row r="2832">
          <cell r="E2832" t="str">
            <v>224080-4</v>
          </cell>
          <cell r="F2832">
            <v>10001056</v>
          </cell>
          <cell r="G2832">
            <v>40007348</v>
          </cell>
        </row>
        <row r="2833">
          <cell r="E2833" t="str">
            <v>224180-0</v>
          </cell>
          <cell r="F2833">
            <v>10050871</v>
          </cell>
          <cell r="G2833">
            <v>40007957</v>
          </cell>
        </row>
        <row r="2834">
          <cell r="E2834" t="str">
            <v>224182-6</v>
          </cell>
          <cell r="F2834">
            <v>10057823</v>
          </cell>
        </row>
        <row r="2835">
          <cell r="E2835" t="str">
            <v>JM27000171</v>
          </cell>
          <cell r="F2835">
            <v>10050398</v>
          </cell>
          <cell r="G2835">
            <v>40007941</v>
          </cell>
        </row>
        <row r="2836">
          <cell r="E2836" t="str">
            <v>154879-2</v>
          </cell>
          <cell r="F2836">
            <v>10049789</v>
          </cell>
          <cell r="G2836">
            <v>40007883</v>
          </cell>
        </row>
        <row r="2837">
          <cell r="E2837" t="str">
            <v>158215-4</v>
          </cell>
          <cell r="F2837">
            <v>10064598</v>
          </cell>
        </row>
        <row r="2838">
          <cell r="E2838" t="str">
            <v>317553-5</v>
          </cell>
          <cell r="F2838">
            <v>10049024</v>
          </cell>
          <cell r="G2838">
            <v>40007015</v>
          </cell>
        </row>
        <row r="2839">
          <cell r="E2839" t="str">
            <v>141574-3</v>
          </cell>
          <cell r="F2839">
            <v>10061299</v>
          </cell>
          <cell r="G2839">
            <v>40006337</v>
          </cell>
        </row>
        <row r="2840">
          <cell r="E2840" t="str">
            <v>154481-1</v>
          </cell>
          <cell r="F2840">
            <v>10035287</v>
          </cell>
          <cell r="G2840">
            <v>40008147</v>
          </cell>
        </row>
        <row r="2841">
          <cell r="E2841" t="str">
            <v>412073-5</v>
          </cell>
          <cell r="F2841">
            <v>10001086</v>
          </cell>
          <cell r="G2841">
            <v>40010260</v>
          </cell>
        </row>
        <row r="2842">
          <cell r="E2842" t="str">
            <v>321514-9</v>
          </cell>
          <cell r="F2842">
            <v>10031030</v>
          </cell>
          <cell r="G2842">
            <v>40007172</v>
          </cell>
        </row>
        <row r="2843">
          <cell r="E2843" t="str">
            <v>681613-2</v>
          </cell>
          <cell r="F2843">
            <v>10098930</v>
          </cell>
          <cell r="G2843">
            <v>40005924</v>
          </cell>
        </row>
        <row r="2844">
          <cell r="E2844" t="str">
            <v>681636-0</v>
          </cell>
          <cell r="F2844">
            <v>10016350</v>
          </cell>
          <cell r="G2844">
            <v>40011887</v>
          </cell>
        </row>
        <row r="2845">
          <cell r="E2845" t="str">
            <v>421950-0</v>
          </cell>
          <cell r="F2845">
            <v>10051006</v>
          </cell>
          <cell r="G2845">
            <v>40006913</v>
          </cell>
        </row>
        <row r="2846">
          <cell r="E2846" t="str">
            <v>424340-6</v>
          </cell>
          <cell r="F2846">
            <v>10047912</v>
          </cell>
          <cell r="G2846">
            <v>40006982</v>
          </cell>
        </row>
        <row r="2847">
          <cell r="E2847">
            <v>20131043</v>
          </cell>
          <cell r="F2847">
            <v>10055996</v>
          </cell>
          <cell r="G2847">
            <v>40005655</v>
          </cell>
        </row>
        <row r="2848">
          <cell r="E2848" t="str">
            <v>227215-6</v>
          </cell>
          <cell r="F2848">
            <v>10050922</v>
          </cell>
          <cell r="G2848">
            <v>40006868</v>
          </cell>
        </row>
        <row r="2849">
          <cell r="E2849" t="str">
            <v>415209-5</v>
          </cell>
          <cell r="F2849">
            <v>10001294</v>
          </cell>
          <cell r="G2849">
            <v>40007077</v>
          </cell>
        </row>
        <row r="2850">
          <cell r="E2850" t="str">
            <v>451013-8</v>
          </cell>
          <cell r="F2850">
            <v>10027864</v>
          </cell>
          <cell r="G2850">
            <v>40007322</v>
          </cell>
        </row>
        <row r="2851">
          <cell r="E2851" t="str">
            <v>451201-7</v>
          </cell>
          <cell r="F2851">
            <v>10033740</v>
          </cell>
        </row>
        <row r="2852">
          <cell r="E2852" t="str">
            <v>JM23000020</v>
          </cell>
          <cell r="F2852">
            <v>10021221</v>
          </cell>
          <cell r="G2852">
            <v>40007543</v>
          </cell>
        </row>
        <row r="2853">
          <cell r="E2853" t="str">
            <v>JM23200018</v>
          </cell>
          <cell r="F2853">
            <v>10063048</v>
          </cell>
          <cell r="G2853">
            <v>40006020</v>
          </cell>
        </row>
        <row r="2854">
          <cell r="E2854" t="str">
            <v>254202-2</v>
          </cell>
          <cell r="F2854">
            <v>10033980</v>
          </cell>
          <cell r="G2854">
            <v>40007717</v>
          </cell>
        </row>
        <row r="2855">
          <cell r="E2855" t="str">
            <v>JM27000159</v>
          </cell>
          <cell r="F2855">
            <v>10050403</v>
          </cell>
          <cell r="G2855">
            <v>40007946</v>
          </cell>
        </row>
        <row r="2856">
          <cell r="E2856" t="str">
            <v>254211-1</v>
          </cell>
          <cell r="F2856">
            <v>10047474</v>
          </cell>
          <cell r="G2856">
            <v>40006970</v>
          </cell>
        </row>
        <row r="2857">
          <cell r="E2857" t="str">
            <v>JM23000085</v>
          </cell>
          <cell r="F2857">
            <v>10050113</v>
          </cell>
          <cell r="G2857">
            <v>40007932</v>
          </cell>
        </row>
        <row r="2858">
          <cell r="E2858" t="str">
            <v>766015-4</v>
          </cell>
          <cell r="F2858">
            <v>10054816</v>
          </cell>
        </row>
        <row r="2859">
          <cell r="E2859" t="str">
            <v>763182-6</v>
          </cell>
          <cell r="F2859">
            <v>10054843</v>
          </cell>
          <cell r="G2859">
            <v>40006139</v>
          </cell>
        </row>
        <row r="2860">
          <cell r="E2860" t="str">
            <v>766002-3</v>
          </cell>
          <cell r="F2860">
            <v>10049606</v>
          </cell>
          <cell r="G2860">
            <v>40007880</v>
          </cell>
        </row>
        <row r="2861">
          <cell r="E2861" t="str">
            <v>763228-8</v>
          </cell>
          <cell r="F2861">
            <v>10075346</v>
          </cell>
          <cell r="G2861">
            <v>40006191</v>
          </cell>
        </row>
        <row r="2862">
          <cell r="E2862" t="str">
            <v>763248-2</v>
          </cell>
          <cell r="F2862">
            <v>10093996</v>
          </cell>
        </row>
        <row r="2863">
          <cell r="E2863" t="str">
            <v>763185-0</v>
          </cell>
          <cell r="F2863">
            <v>10001067</v>
          </cell>
          <cell r="G2863">
            <v>40007354</v>
          </cell>
        </row>
        <row r="2864">
          <cell r="E2864" t="str">
            <v>415071-8</v>
          </cell>
          <cell r="F2864">
            <v>10053341</v>
          </cell>
          <cell r="G2864">
            <v>40006680</v>
          </cell>
        </row>
        <row r="2865">
          <cell r="E2865" t="str">
            <v>271408-7</v>
          </cell>
          <cell r="F2865">
            <v>10050083</v>
          </cell>
          <cell r="G2865">
            <v>40007899</v>
          </cell>
        </row>
        <row r="2866">
          <cell r="E2866" t="str">
            <v>271601-3</v>
          </cell>
          <cell r="F2866">
            <v>10035489</v>
          </cell>
          <cell r="G2866">
            <v>40007985</v>
          </cell>
        </row>
        <row r="2867">
          <cell r="E2867" t="str">
            <v>271314-6</v>
          </cell>
          <cell r="F2867">
            <v>10001367</v>
          </cell>
          <cell r="G2867">
            <v>40007128</v>
          </cell>
        </row>
        <row r="2868">
          <cell r="E2868" t="str">
            <v>410127-2</v>
          </cell>
          <cell r="F2868">
            <v>10049569</v>
          </cell>
          <cell r="G2868">
            <v>40007845</v>
          </cell>
        </row>
        <row r="2869">
          <cell r="E2869" t="str">
            <v>411623-3</v>
          </cell>
          <cell r="F2869">
            <v>10018101</v>
          </cell>
          <cell r="G2869">
            <v>40007536</v>
          </cell>
        </row>
        <row r="2870">
          <cell r="E2870" t="str">
            <v>152541-3</v>
          </cell>
          <cell r="F2870">
            <v>10002265</v>
          </cell>
          <cell r="G2870">
            <v>40007705</v>
          </cell>
        </row>
        <row r="2871">
          <cell r="E2871" t="str">
            <v>271226-3</v>
          </cell>
          <cell r="F2871">
            <v>10049551</v>
          </cell>
          <cell r="G2871">
            <v>40007040</v>
          </cell>
        </row>
        <row r="2872">
          <cell r="E2872" t="str">
            <v>153764-6</v>
          </cell>
          <cell r="F2872">
            <v>10035217</v>
          </cell>
          <cell r="G2872">
            <v>40008133</v>
          </cell>
        </row>
        <row r="2873">
          <cell r="E2873" t="str">
            <v>JM27000168</v>
          </cell>
          <cell r="F2873">
            <v>10097882</v>
          </cell>
          <cell r="G2873">
            <v>40005917</v>
          </cell>
        </row>
        <row r="2874">
          <cell r="E2874" t="str">
            <v>410126-4</v>
          </cell>
          <cell r="F2874">
            <v>10053186</v>
          </cell>
          <cell r="G2874">
            <v>40006659</v>
          </cell>
        </row>
        <row r="2875">
          <cell r="E2875" t="str">
            <v>344381-5</v>
          </cell>
          <cell r="F2875">
            <v>10031858</v>
          </cell>
          <cell r="G2875">
            <v>40007185</v>
          </cell>
        </row>
        <row r="2876">
          <cell r="E2876" t="str">
            <v>232053-3</v>
          </cell>
          <cell r="F2876">
            <v>10001096</v>
          </cell>
          <cell r="G2876">
            <v>40007371</v>
          </cell>
        </row>
        <row r="2877">
          <cell r="E2877" t="str">
            <v>AL00000012</v>
          </cell>
          <cell r="F2877">
            <v>10040954</v>
          </cell>
        </row>
        <row r="2878">
          <cell r="E2878">
            <v>3641150</v>
          </cell>
          <cell r="F2878">
            <v>10045949</v>
          </cell>
          <cell r="G2878">
            <v>40006923</v>
          </cell>
        </row>
        <row r="2879">
          <cell r="E2879" t="str">
            <v>JM23100390</v>
          </cell>
          <cell r="F2879">
            <v>10039229</v>
          </cell>
        </row>
        <row r="2880">
          <cell r="E2880" t="str">
            <v>232110-7</v>
          </cell>
          <cell r="F2880">
            <v>10002367</v>
          </cell>
          <cell r="G2880">
            <v>40008178</v>
          </cell>
        </row>
        <row r="2881">
          <cell r="E2881" t="str">
            <v>232154-7</v>
          </cell>
          <cell r="F2881">
            <v>10084058</v>
          </cell>
          <cell r="G2881">
            <v>40006225</v>
          </cell>
        </row>
        <row r="2882">
          <cell r="E2882" t="str">
            <v>232182-2</v>
          </cell>
          <cell r="F2882">
            <v>10018098</v>
          </cell>
          <cell r="G2882">
            <v>40010386</v>
          </cell>
        </row>
        <row r="2883">
          <cell r="E2883" t="str">
            <v>232183-0</v>
          </cell>
          <cell r="F2883">
            <v>10059969</v>
          </cell>
          <cell r="G2883">
            <v>40006298</v>
          </cell>
        </row>
        <row r="2884">
          <cell r="E2884" t="str">
            <v>232207-2</v>
          </cell>
          <cell r="F2884">
            <v>10015102</v>
          </cell>
          <cell r="G2884">
            <v>40008319</v>
          </cell>
        </row>
        <row r="2885">
          <cell r="E2885" t="str">
            <v>232239-9</v>
          </cell>
          <cell r="F2885">
            <v>10049577</v>
          </cell>
          <cell r="G2885">
            <v>40007857</v>
          </cell>
        </row>
        <row r="2886">
          <cell r="E2886" t="str">
            <v>232190-3</v>
          </cell>
          <cell r="F2886">
            <v>10002616</v>
          </cell>
          <cell r="G2886">
            <v>40008203</v>
          </cell>
        </row>
        <row r="2887">
          <cell r="E2887" t="str">
            <v>620283-2</v>
          </cell>
          <cell r="F2887">
            <v>10061637</v>
          </cell>
          <cell r="G2887">
            <v>40005541</v>
          </cell>
        </row>
        <row r="2888">
          <cell r="E2888" t="str">
            <v>620388-8</v>
          </cell>
          <cell r="F2888">
            <v>10061631</v>
          </cell>
          <cell r="G2888">
            <v>40005527</v>
          </cell>
        </row>
        <row r="2889">
          <cell r="E2889" t="str">
            <v>631813-4</v>
          </cell>
          <cell r="F2889">
            <v>10035475</v>
          </cell>
          <cell r="G2889">
            <v>40007976</v>
          </cell>
        </row>
        <row r="2890">
          <cell r="E2890">
            <v>3320120</v>
          </cell>
          <cell r="F2890">
            <v>10065775</v>
          </cell>
          <cell r="G2890">
            <v>40010268</v>
          </cell>
        </row>
        <row r="2891">
          <cell r="E2891" t="str">
            <v>321869-2</v>
          </cell>
          <cell r="F2891">
            <v>10002141</v>
          </cell>
          <cell r="G2891">
            <v>40007614</v>
          </cell>
        </row>
        <row r="2892">
          <cell r="E2892" t="str">
            <v>416006-2</v>
          </cell>
          <cell r="F2892">
            <v>10001315</v>
          </cell>
          <cell r="G2892">
            <v>40007092</v>
          </cell>
        </row>
        <row r="2893">
          <cell r="E2893" t="str">
            <v>451019-6</v>
          </cell>
          <cell r="F2893">
            <v>10062952</v>
          </cell>
          <cell r="G2893">
            <v>40005955</v>
          </cell>
        </row>
        <row r="2894">
          <cell r="E2894" t="str">
            <v>272237-1</v>
          </cell>
          <cell r="F2894">
            <v>10049574</v>
          </cell>
          <cell r="G2894">
            <v>40007853</v>
          </cell>
        </row>
        <row r="2895">
          <cell r="E2895" t="str">
            <v>272262-2</v>
          </cell>
          <cell r="F2895">
            <v>10084095</v>
          </cell>
          <cell r="G2895">
            <v>40006267</v>
          </cell>
        </row>
        <row r="2896">
          <cell r="E2896" t="str">
            <v>324781-5</v>
          </cell>
          <cell r="F2896">
            <v>10053338</v>
          </cell>
          <cell r="G2896">
            <v>40006675</v>
          </cell>
        </row>
        <row r="2897">
          <cell r="E2897" t="str">
            <v>272221-6</v>
          </cell>
          <cell r="F2897">
            <v>10003831</v>
          </cell>
          <cell r="G2897">
            <v>40008237</v>
          </cell>
        </row>
        <row r="2898">
          <cell r="E2898" t="str">
            <v>272261-4</v>
          </cell>
          <cell r="F2898">
            <v>10058949</v>
          </cell>
          <cell r="G2898">
            <v>40005742</v>
          </cell>
        </row>
        <row r="2899">
          <cell r="E2899" t="str">
            <v>272253-3</v>
          </cell>
          <cell r="F2899">
            <v>10049602</v>
          </cell>
          <cell r="G2899">
            <v>40007876</v>
          </cell>
        </row>
        <row r="2900">
          <cell r="E2900" t="str">
            <v>272230-5</v>
          </cell>
          <cell r="F2900">
            <v>10054805</v>
          </cell>
          <cell r="G2900">
            <v>40006113</v>
          </cell>
        </row>
        <row r="2901">
          <cell r="E2901" t="str">
            <v>126289-3</v>
          </cell>
          <cell r="F2901">
            <v>10061630</v>
          </cell>
          <cell r="G2901">
            <v>40006718</v>
          </cell>
        </row>
        <row r="2902">
          <cell r="E2902" t="str">
            <v>126411-2</v>
          </cell>
          <cell r="F2902">
            <v>10061628</v>
          </cell>
          <cell r="G2902">
            <v>40006716</v>
          </cell>
        </row>
        <row r="2903">
          <cell r="E2903" t="str">
            <v>417802-1</v>
          </cell>
          <cell r="F2903">
            <v>10002183</v>
          </cell>
          <cell r="G2903">
            <v>40007667</v>
          </cell>
        </row>
        <row r="2904">
          <cell r="E2904" t="str">
            <v>417820-9</v>
          </cell>
          <cell r="F2904">
            <v>10050901</v>
          </cell>
          <cell r="G2904">
            <v>40006843</v>
          </cell>
        </row>
        <row r="2905">
          <cell r="E2905" t="str">
            <v>450621-2</v>
          </cell>
          <cell r="F2905">
            <v>10050905</v>
          </cell>
          <cell r="G2905">
            <v>40006851</v>
          </cell>
        </row>
        <row r="2906">
          <cell r="E2906" t="str">
            <v>154763-1</v>
          </cell>
          <cell r="F2906">
            <v>10034457</v>
          </cell>
        </row>
        <row r="2907">
          <cell r="E2907" t="str">
            <v>162259-8</v>
          </cell>
          <cell r="F2907">
            <v>10002269</v>
          </cell>
          <cell r="G2907">
            <v>40007708</v>
          </cell>
        </row>
        <row r="2908">
          <cell r="E2908" t="str">
            <v>346311-2</v>
          </cell>
          <cell r="F2908">
            <v>10062575</v>
          </cell>
          <cell r="G2908">
            <v>40005616</v>
          </cell>
        </row>
        <row r="2909">
          <cell r="E2909">
            <v>671010730</v>
          </cell>
          <cell r="F2909">
            <v>10097357</v>
          </cell>
          <cell r="G2909">
            <v>40005902</v>
          </cell>
        </row>
        <row r="2910">
          <cell r="E2910" t="str">
            <v>620138-1</v>
          </cell>
          <cell r="F2910">
            <v>10054815</v>
          </cell>
          <cell r="G2910">
            <v>40006121</v>
          </cell>
        </row>
        <row r="2911">
          <cell r="E2911" t="str">
            <v>631693-8</v>
          </cell>
          <cell r="F2911">
            <v>10035303</v>
          </cell>
          <cell r="G2911">
            <v>40008304</v>
          </cell>
        </row>
        <row r="2912">
          <cell r="E2912" t="str">
            <v>631873-6</v>
          </cell>
          <cell r="F2912">
            <v>10102724</v>
          </cell>
          <cell r="G2912">
            <v>40005939</v>
          </cell>
        </row>
        <row r="2913">
          <cell r="E2913" t="str">
            <v>JM23100051</v>
          </cell>
          <cell r="F2913">
            <v>10053982</v>
          </cell>
          <cell r="G2913">
            <v>40006057</v>
          </cell>
        </row>
        <row r="2914">
          <cell r="E2914" t="str">
            <v>345240-6</v>
          </cell>
          <cell r="F2914">
            <v>10032151</v>
          </cell>
          <cell r="G2914">
            <v>40007190</v>
          </cell>
        </row>
        <row r="2915">
          <cell r="E2915" t="str">
            <v>454338-9</v>
          </cell>
          <cell r="F2915">
            <v>10065773</v>
          </cell>
          <cell r="G2915">
            <v>40006420</v>
          </cell>
        </row>
        <row r="2916">
          <cell r="E2916" t="str">
            <v>162256-4</v>
          </cell>
          <cell r="F2916">
            <v>10075698</v>
          </cell>
          <cell r="G2916">
            <v>40006195</v>
          </cell>
        </row>
        <row r="2917">
          <cell r="E2917" t="str">
            <v>450427-8</v>
          </cell>
          <cell r="F2917">
            <v>10103489</v>
          </cell>
          <cell r="G2917">
            <v>40006488</v>
          </cell>
        </row>
        <row r="2918">
          <cell r="E2918" t="str">
            <v>344415-4</v>
          </cell>
          <cell r="F2918">
            <v>10022057</v>
          </cell>
          <cell r="G2918">
            <v>40007558</v>
          </cell>
        </row>
        <row r="2919">
          <cell r="E2919" t="str">
            <v>344472-2</v>
          </cell>
          <cell r="F2919">
            <v>10023849</v>
          </cell>
          <cell r="G2919">
            <v>40007627</v>
          </cell>
        </row>
        <row r="2920">
          <cell r="E2920" t="str">
            <v>345411-5</v>
          </cell>
          <cell r="F2920">
            <v>10062938</v>
          </cell>
        </row>
        <row r="2921">
          <cell r="E2921" t="str">
            <v>346671-2</v>
          </cell>
          <cell r="F2921">
            <v>10065767</v>
          </cell>
          <cell r="G2921">
            <v>40006414</v>
          </cell>
        </row>
        <row r="2922">
          <cell r="E2922" t="str">
            <v>158047-9</v>
          </cell>
          <cell r="F2922">
            <v>10062556</v>
          </cell>
          <cell r="G2922">
            <v>40005604</v>
          </cell>
        </row>
        <row r="2923">
          <cell r="E2923" t="str">
            <v>345582-8</v>
          </cell>
          <cell r="F2923">
            <v>10065796</v>
          </cell>
          <cell r="G2923">
            <v>40006425</v>
          </cell>
        </row>
        <row r="2924">
          <cell r="E2924" t="str">
            <v>419019-2</v>
          </cell>
          <cell r="F2924">
            <v>10064619</v>
          </cell>
          <cell r="G2924">
            <v>40006396</v>
          </cell>
        </row>
        <row r="2925">
          <cell r="E2925" t="str">
            <v>419874-2</v>
          </cell>
          <cell r="F2925">
            <v>10060973</v>
          </cell>
          <cell r="G2925">
            <v>40006328</v>
          </cell>
        </row>
        <row r="2926">
          <cell r="E2926" t="str">
            <v>345814-3</v>
          </cell>
          <cell r="F2926">
            <v>10074948</v>
          </cell>
          <cell r="G2926">
            <v>40006186</v>
          </cell>
        </row>
        <row r="2927">
          <cell r="E2927" t="str">
            <v>151726-8</v>
          </cell>
          <cell r="F2927">
            <v>10051508</v>
          </cell>
          <cell r="G2927">
            <v>40006941</v>
          </cell>
        </row>
        <row r="2928">
          <cell r="E2928" t="str">
            <v>419192-8</v>
          </cell>
          <cell r="F2928">
            <v>10027875</v>
          </cell>
          <cell r="G2928">
            <v>40007330</v>
          </cell>
        </row>
        <row r="2929">
          <cell r="E2929" t="str">
            <v>416450-3</v>
          </cell>
          <cell r="F2929">
            <v>10025866</v>
          </cell>
          <cell r="G2929">
            <v>40007293</v>
          </cell>
        </row>
        <row r="2930">
          <cell r="E2930" t="str">
            <v>451010-4</v>
          </cell>
          <cell r="F2930">
            <v>10045947</v>
          </cell>
          <cell r="G2930">
            <v>40006919</v>
          </cell>
        </row>
        <row r="2931">
          <cell r="E2931" t="str">
            <v>224543-0</v>
          </cell>
          <cell r="F2931">
            <v>10024510</v>
          </cell>
          <cell r="G2931">
            <v>40007254</v>
          </cell>
        </row>
        <row r="2932">
          <cell r="E2932" t="str">
            <v>JM23100110</v>
          </cell>
          <cell r="F2932">
            <v>10063038</v>
          </cell>
          <cell r="G2932">
            <v>40006015</v>
          </cell>
        </row>
        <row r="2933">
          <cell r="E2933" t="str">
            <v>416000-4</v>
          </cell>
          <cell r="F2933">
            <v>10025852</v>
          </cell>
        </row>
        <row r="2934">
          <cell r="E2934" t="str">
            <v>322909-9</v>
          </cell>
          <cell r="F2934">
            <v>10022600</v>
          </cell>
          <cell r="G2934">
            <v>40007600</v>
          </cell>
        </row>
        <row r="2935">
          <cell r="E2935" t="str">
            <v>323741-4</v>
          </cell>
          <cell r="F2935">
            <v>10054811</v>
          </cell>
          <cell r="G2935">
            <v>40006117</v>
          </cell>
        </row>
        <row r="2936">
          <cell r="E2936" t="str">
            <v>325649-8</v>
          </cell>
          <cell r="F2936">
            <v>10058959</v>
          </cell>
          <cell r="G2936">
            <v>40006237</v>
          </cell>
        </row>
        <row r="2937">
          <cell r="E2937" t="str">
            <v>344178-2</v>
          </cell>
          <cell r="F2937">
            <v>10057156</v>
          </cell>
          <cell r="G2937">
            <v>40005678</v>
          </cell>
        </row>
        <row r="2938">
          <cell r="E2938" t="str">
            <v>346831-6</v>
          </cell>
          <cell r="F2938">
            <v>10074927</v>
          </cell>
          <cell r="G2938">
            <v>40006171</v>
          </cell>
        </row>
        <row r="2939">
          <cell r="E2939" t="str">
            <v>416994-3</v>
          </cell>
          <cell r="F2939">
            <v>10051511</v>
          </cell>
          <cell r="G2939">
            <v>40006947</v>
          </cell>
        </row>
        <row r="2940">
          <cell r="E2940" t="str">
            <v>JM23100026</v>
          </cell>
          <cell r="F2940">
            <v>10063025</v>
          </cell>
          <cell r="G2940">
            <v>40006008</v>
          </cell>
        </row>
        <row r="2941">
          <cell r="E2941" t="str">
            <v>JM23100024</v>
          </cell>
          <cell r="F2941">
            <v>10063024</v>
          </cell>
          <cell r="G2941">
            <v>40006007</v>
          </cell>
        </row>
        <row r="2942">
          <cell r="E2942" t="str">
            <v>165633-9</v>
          </cell>
          <cell r="F2942">
            <v>10060972</v>
          </cell>
          <cell r="G2942">
            <v>40006327</v>
          </cell>
        </row>
        <row r="2943">
          <cell r="E2943" t="str">
            <v>419986-1</v>
          </cell>
          <cell r="F2943">
            <v>10059199</v>
          </cell>
          <cell r="G2943">
            <v>40006278</v>
          </cell>
        </row>
        <row r="2944">
          <cell r="E2944" t="str">
            <v>454337-1</v>
          </cell>
          <cell r="F2944">
            <v>10065765</v>
          </cell>
          <cell r="G2944">
            <v>40006411</v>
          </cell>
        </row>
        <row r="2945">
          <cell r="E2945" t="str">
            <v>419760-7</v>
          </cell>
          <cell r="F2945">
            <v>10064623</v>
          </cell>
          <cell r="G2945">
            <v>40006399</v>
          </cell>
        </row>
        <row r="2946">
          <cell r="E2946" t="str">
            <v>JM23000066</v>
          </cell>
          <cell r="F2946">
            <v>10002267</v>
          </cell>
        </row>
        <row r="2947">
          <cell r="E2947" t="str">
            <v>416178-3</v>
          </cell>
          <cell r="F2947">
            <v>10047007</v>
          </cell>
          <cell r="G2947">
            <v>40006960</v>
          </cell>
        </row>
        <row r="2948">
          <cell r="E2948" t="str">
            <v>417116-8</v>
          </cell>
          <cell r="F2948">
            <v>10002169</v>
          </cell>
          <cell r="G2948">
            <v>40007661</v>
          </cell>
        </row>
        <row r="2949">
          <cell r="E2949" t="str">
            <v>411478-6</v>
          </cell>
          <cell r="F2949">
            <v>10001094</v>
          </cell>
          <cell r="G2949">
            <v>40010339</v>
          </cell>
        </row>
        <row r="2950">
          <cell r="E2950" t="str">
            <v>163430-7</v>
          </cell>
          <cell r="F2950">
            <v>10035110</v>
          </cell>
          <cell r="G2950">
            <v>40008125</v>
          </cell>
        </row>
        <row r="2951">
          <cell r="E2951" t="str">
            <v>A-50120</v>
          </cell>
          <cell r="F2951">
            <v>10054790</v>
          </cell>
          <cell r="G2951">
            <v>40006101</v>
          </cell>
        </row>
        <row r="2952">
          <cell r="E2952" t="str">
            <v>688174-3</v>
          </cell>
          <cell r="F2952">
            <v>10050963</v>
          </cell>
          <cell r="G2952">
            <v>40006886</v>
          </cell>
        </row>
        <row r="2953">
          <cell r="E2953" t="str">
            <v>161057-7</v>
          </cell>
          <cell r="F2953">
            <v>10051620</v>
          </cell>
          <cell r="G2953">
            <v>40007490</v>
          </cell>
        </row>
        <row r="2954">
          <cell r="E2954" t="str">
            <v>151848-4</v>
          </cell>
          <cell r="F2954">
            <v>10030422</v>
          </cell>
          <cell r="G2954">
            <v>40007147</v>
          </cell>
        </row>
        <row r="2955">
          <cell r="E2955" t="str">
            <v>153536-9</v>
          </cell>
          <cell r="F2955">
            <v>10034206</v>
          </cell>
          <cell r="G2955">
            <v>40008055</v>
          </cell>
        </row>
        <row r="2956">
          <cell r="E2956" t="str">
            <v>156592-8</v>
          </cell>
          <cell r="F2956">
            <v>10001269</v>
          </cell>
          <cell r="G2956">
            <v>40007064</v>
          </cell>
        </row>
        <row r="2957">
          <cell r="E2957" t="str">
            <v>159336-5</v>
          </cell>
          <cell r="F2957">
            <v>10001204</v>
          </cell>
          <cell r="G2957">
            <v>40007430</v>
          </cell>
        </row>
        <row r="2958">
          <cell r="E2958" t="str">
            <v>159983-2</v>
          </cell>
          <cell r="F2958">
            <v>10024034</v>
          </cell>
          <cell r="G2958">
            <v>40007236</v>
          </cell>
        </row>
        <row r="2959">
          <cell r="E2959" t="str">
            <v>183232-5</v>
          </cell>
          <cell r="F2959">
            <v>10033759</v>
          </cell>
          <cell r="G2959">
            <v>40007214</v>
          </cell>
        </row>
        <row r="2960">
          <cell r="E2960" t="str">
            <v>418725-6</v>
          </cell>
          <cell r="F2960">
            <v>10027526</v>
          </cell>
          <cell r="G2960">
            <v>40007310</v>
          </cell>
        </row>
        <row r="2961">
          <cell r="E2961" t="str">
            <v>159681-8</v>
          </cell>
          <cell r="F2961">
            <v>10001224</v>
          </cell>
          <cell r="G2961">
            <v>40007032</v>
          </cell>
        </row>
        <row r="2962">
          <cell r="E2962" t="str">
            <v>317762-6</v>
          </cell>
          <cell r="F2962">
            <v>10057831</v>
          </cell>
          <cell r="G2962">
            <v>40005717</v>
          </cell>
        </row>
        <row r="2963">
          <cell r="E2963" t="str">
            <v>183768-4</v>
          </cell>
          <cell r="F2963">
            <v>10014404</v>
          </cell>
          <cell r="G2963">
            <v>40008315</v>
          </cell>
        </row>
        <row r="2964">
          <cell r="E2964">
            <v>119.578</v>
          </cell>
          <cell r="F2964">
            <v>10002170</v>
          </cell>
          <cell r="G2964">
            <v>40007662</v>
          </cell>
        </row>
        <row r="2965">
          <cell r="E2965" t="str">
            <v>512654-6</v>
          </cell>
          <cell r="F2965">
            <v>10068820</v>
          </cell>
          <cell r="G2965">
            <v>40006459</v>
          </cell>
        </row>
        <row r="2966">
          <cell r="E2966">
            <v>965531131</v>
          </cell>
          <cell r="F2966">
            <v>10044463</v>
          </cell>
          <cell r="G2966">
            <v>40010340</v>
          </cell>
        </row>
        <row r="2967">
          <cell r="E2967" t="str">
            <v>182630-0</v>
          </cell>
          <cell r="F2967">
            <v>10068818</v>
          </cell>
          <cell r="G2967">
            <v>40006457</v>
          </cell>
        </row>
        <row r="2968">
          <cell r="E2968">
            <v>225222010</v>
          </cell>
          <cell r="F2968">
            <v>10038951</v>
          </cell>
          <cell r="G2968">
            <v>40008035</v>
          </cell>
        </row>
        <row r="2969">
          <cell r="E2969" t="str">
            <v>417388-5</v>
          </cell>
          <cell r="F2969">
            <v>10068817</v>
          </cell>
          <cell r="G2969">
            <v>40006456</v>
          </cell>
        </row>
        <row r="2970">
          <cell r="E2970" t="str">
            <v>341685-6</v>
          </cell>
          <cell r="F2970">
            <v>10002194</v>
          </cell>
          <cell r="G2970">
            <v>40007670</v>
          </cell>
        </row>
        <row r="2971">
          <cell r="E2971" t="str">
            <v>JM23100027</v>
          </cell>
          <cell r="F2971">
            <v>10063026</v>
          </cell>
          <cell r="G2971">
            <v>40006009</v>
          </cell>
        </row>
        <row r="2972">
          <cell r="E2972" t="str">
            <v>183521-8</v>
          </cell>
          <cell r="F2972">
            <v>10038967</v>
          </cell>
          <cell r="G2972">
            <v>40008048</v>
          </cell>
        </row>
        <row r="2973">
          <cell r="E2973" t="str">
            <v>346094-4</v>
          </cell>
          <cell r="F2973">
            <v>10103484</v>
          </cell>
          <cell r="G2973">
            <v>40006483</v>
          </cell>
        </row>
        <row r="2974">
          <cell r="E2974" t="str">
            <v>JM23100049</v>
          </cell>
          <cell r="F2974">
            <v>10053981</v>
          </cell>
          <cell r="G2974">
            <v>40006056</v>
          </cell>
        </row>
        <row r="2975">
          <cell r="E2975" t="str">
            <v>125867-6</v>
          </cell>
          <cell r="F2975">
            <v>10097352</v>
          </cell>
          <cell r="G2975">
            <v>40005897</v>
          </cell>
        </row>
        <row r="2976">
          <cell r="E2976" t="str">
            <v>JM27100001</v>
          </cell>
          <cell r="F2976">
            <v>10068024</v>
          </cell>
          <cell r="G2976">
            <v>40006454</v>
          </cell>
        </row>
        <row r="2977">
          <cell r="E2977" t="str">
            <v>JM27100157</v>
          </cell>
          <cell r="F2977">
            <v>10089675</v>
          </cell>
          <cell r="G2977">
            <v>40005849</v>
          </cell>
        </row>
        <row r="2978">
          <cell r="E2978" t="str">
            <v>TP00000095</v>
          </cell>
          <cell r="F2978">
            <v>10049581</v>
          </cell>
          <cell r="G2978">
            <v>40007863</v>
          </cell>
        </row>
        <row r="2979">
          <cell r="E2979" t="str">
            <v>316294-0</v>
          </cell>
          <cell r="F2979">
            <v>10030447</v>
          </cell>
          <cell r="G2979">
            <v>40007159</v>
          </cell>
        </row>
        <row r="2980">
          <cell r="E2980" t="str">
            <v>152869-9</v>
          </cell>
          <cell r="F2980">
            <v>10001137</v>
          </cell>
          <cell r="G2980">
            <v>40007393</v>
          </cell>
        </row>
        <row r="2981">
          <cell r="E2981" t="str">
            <v>JM27000298</v>
          </cell>
          <cell r="F2981">
            <v>10034205</v>
          </cell>
          <cell r="G2981">
            <v>40008053</v>
          </cell>
        </row>
        <row r="2982">
          <cell r="E2982" t="str">
            <v>183464-4</v>
          </cell>
          <cell r="F2982">
            <v>10038968</v>
          </cell>
          <cell r="G2982">
            <v>40008050</v>
          </cell>
        </row>
        <row r="2983">
          <cell r="E2983" t="str">
            <v>450795-9</v>
          </cell>
          <cell r="F2983">
            <v>10038969</v>
          </cell>
          <cell r="G2983">
            <v>40008051</v>
          </cell>
        </row>
        <row r="2984">
          <cell r="E2984" t="str">
            <v>141717-7</v>
          </cell>
          <cell r="F2984">
            <v>10053350</v>
          </cell>
          <cell r="G2984">
            <v>40006694</v>
          </cell>
        </row>
        <row r="2985">
          <cell r="E2985" t="str">
            <v>151625-4</v>
          </cell>
          <cell r="F2985">
            <v>10059972</v>
          </cell>
          <cell r="G2985">
            <v>40006301</v>
          </cell>
        </row>
        <row r="2986">
          <cell r="E2986" t="str">
            <v>152937-8</v>
          </cell>
          <cell r="F2986">
            <v>10035097</v>
          </cell>
          <cell r="G2986">
            <v>40008112</v>
          </cell>
        </row>
        <row r="2987">
          <cell r="E2987" t="str">
            <v>154989-5</v>
          </cell>
          <cell r="F2987">
            <v>10062465</v>
          </cell>
          <cell r="G2987">
            <v>40005586</v>
          </cell>
        </row>
        <row r="2988">
          <cell r="E2988" t="str">
            <v>156600-5</v>
          </cell>
          <cell r="F2988">
            <v>10034456</v>
          </cell>
          <cell r="G2988">
            <v>40008074</v>
          </cell>
        </row>
        <row r="2989">
          <cell r="E2989" t="str">
            <v>158100-1</v>
          </cell>
          <cell r="F2989">
            <v>10033967</v>
          </cell>
          <cell r="G2989">
            <v>40007224</v>
          </cell>
        </row>
        <row r="2990">
          <cell r="E2990" t="str">
            <v>159767-8</v>
          </cell>
          <cell r="F2990">
            <v>10053352</v>
          </cell>
          <cell r="G2990">
            <v>40006697</v>
          </cell>
        </row>
        <row r="2991">
          <cell r="E2991" t="str">
            <v>159998-9</v>
          </cell>
          <cell r="F2991">
            <v>10034996</v>
          </cell>
          <cell r="G2991">
            <v>40008105</v>
          </cell>
        </row>
        <row r="2992">
          <cell r="E2992" t="str">
            <v>418794-7</v>
          </cell>
          <cell r="F2992">
            <v>10031032</v>
          </cell>
          <cell r="G2992">
            <v>40007174</v>
          </cell>
        </row>
        <row r="2993">
          <cell r="E2993" t="str">
            <v>418838-3</v>
          </cell>
          <cell r="F2993">
            <v>10039224</v>
          </cell>
          <cell r="G2993">
            <v>40008052</v>
          </cell>
        </row>
        <row r="2994">
          <cell r="E2994" t="str">
            <v>453366-1</v>
          </cell>
          <cell r="F2994">
            <v>10062962</v>
          </cell>
          <cell r="G2994">
            <v>40005958</v>
          </cell>
        </row>
        <row r="2995">
          <cell r="E2995" t="str">
            <v>454120-6</v>
          </cell>
          <cell r="F2995">
            <v>10047921</v>
          </cell>
          <cell r="G2995">
            <v>40006990</v>
          </cell>
        </row>
        <row r="2996">
          <cell r="E2996" t="str">
            <v>157753-3</v>
          </cell>
          <cell r="F2996">
            <v>10045358</v>
          </cell>
          <cell r="G2996">
            <v>40006803</v>
          </cell>
        </row>
        <row r="2997">
          <cell r="E2997" t="str">
            <v>159909-4</v>
          </cell>
          <cell r="F2997">
            <v>10001206</v>
          </cell>
          <cell r="G2997">
            <v>40007433</v>
          </cell>
        </row>
        <row r="2998">
          <cell r="E2998" t="str">
            <v>154671-6</v>
          </cell>
          <cell r="F2998">
            <v>10067598</v>
          </cell>
        </row>
        <row r="2999">
          <cell r="E2999" t="str">
            <v>159246-6</v>
          </cell>
          <cell r="F2999">
            <v>10062604</v>
          </cell>
          <cell r="G2999">
            <v>40005643</v>
          </cell>
        </row>
        <row r="3000">
          <cell r="E3000" t="str">
            <v>152675-2</v>
          </cell>
          <cell r="F3000">
            <v>10016351</v>
          </cell>
          <cell r="G3000">
            <v>40007525</v>
          </cell>
        </row>
        <row r="3001">
          <cell r="E3001" t="str">
            <v>154952-8</v>
          </cell>
          <cell r="F3001">
            <v>10002273</v>
          </cell>
          <cell r="G3001">
            <v>40007711</v>
          </cell>
        </row>
        <row r="3002">
          <cell r="E3002" t="str">
            <v>140621-7</v>
          </cell>
          <cell r="F3002">
            <v>10090073</v>
          </cell>
        </row>
        <row r="3003">
          <cell r="E3003" t="str">
            <v>159634-7</v>
          </cell>
          <cell r="F3003">
            <v>10097872</v>
          </cell>
          <cell r="G3003">
            <v>40005908</v>
          </cell>
        </row>
        <row r="3004">
          <cell r="E3004" t="str">
            <v>457478-2</v>
          </cell>
          <cell r="F3004">
            <v>10093978</v>
          </cell>
          <cell r="G3004">
            <v>40005876</v>
          </cell>
        </row>
        <row r="3005">
          <cell r="E3005" t="str">
            <v>415601-5</v>
          </cell>
          <cell r="F3005">
            <v>10002271</v>
          </cell>
          <cell r="G3005">
            <v>40007710</v>
          </cell>
        </row>
        <row r="3006">
          <cell r="E3006" t="str">
            <v>419731-4</v>
          </cell>
          <cell r="F3006">
            <v>10097355</v>
          </cell>
          <cell r="G3006">
            <v>40005900</v>
          </cell>
        </row>
        <row r="3007">
          <cell r="E3007" t="str">
            <v>457125-5</v>
          </cell>
          <cell r="F3007">
            <v>10084261</v>
          </cell>
          <cell r="G3007">
            <v>40006273</v>
          </cell>
        </row>
        <row r="3008">
          <cell r="E3008" t="str">
            <v>183951-3</v>
          </cell>
          <cell r="F3008">
            <v>10002272</v>
          </cell>
        </row>
        <row r="3009">
          <cell r="E3009" t="str">
            <v>187998-9</v>
          </cell>
          <cell r="F3009">
            <v>10063082</v>
          </cell>
          <cell r="G3009">
            <v>40006039</v>
          </cell>
        </row>
        <row r="3010">
          <cell r="E3010" t="str">
            <v>151737-3</v>
          </cell>
          <cell r="F3010">
            <v>10090070</v>
          </cell>
        </row>
        <row r="3011">
          <cell r="E3011">
            <v>38174200</v>
          </cell>
          <cell r="F3011">
            <v>10024482</v>
          </cell>
          <cell r="G3011">
            <v>40007241</v>
          </cell>
        </row>
        <row r="3012">
          <cell r="E3012" t="str">
            <v>168604-5</v>
          </cell>
          <cell r="F3012">
            <v>10062931</v>
          </cell>
          <cell r="G3012">
            <v>40005947</v>
          </cell>
        </row>
        <row r="3013">
          <cell r="E3013">
            <v>38174811</v>
          </cell>
          <cell r="F3013">
            <v>10059484</v>
          </cell>
          <cell r="G3013">
            <v>40006297</v>
          </cell>
        </row>
        <row r="3014">
          <cell r="E3014" t="str">
            <v>S-593819</v>
          </cell>
          <cell r="F3014">
            <v>10090098</v>
          </cell>
          <cell r="G3014">
            <v>40005868</v>
          </cell>
        </row>
        <row r="3015">
          <cell r="E3015" t="str">
            <v>212063-6</v>
          </cell>
          <cell r="F3015">
            <v>10023845</v>
          </cell>
          <cell r="G3015">
            <v>40007623</v>
          </cell>
        </row>
        <row r="3016">
          <cell r="E3016" t="str">
            <v>212260-4</v>
          </cell>
          <cell r="F3016">
            <v>10001195</v>
          </cell>
          <cell r="G3016">
            <v>40007426</v>
          </cell>
        </row>
        <row r="3017">
          <cell r="E3017" t="str">
            <v>212309-0</v>
          </cell>
          <cell r="F3017">
            <v>10001190</v>
          </cell>
          <cell r="G3017">
            <v>40007421</v>
          </cell>
        </row>
        <row r="3018">
          <cell r="E3018" t="str">
            <v>212003-4</v>
          </cell>
          <cell r="F3018">
            <v>10042332</v>
          </cell>
          <cell r="G3018">
            <v>40006754</v>
          </cell>
        </row>
        <row r="3019">
          <cell r="E3019" t="str">
            <v>212108-0</v>
          </cell>
          <cell r="F3019">
            <v>10056259</v>
          </cell>
          <cell r="G3019">
            <v>40005663</v>
          </cell>
        </row>
        <row r="3020">
          <cell r="E3020" t="str">
            <v>212014-9</v>
          </cell>
          <cell r="F3020">
            <v>10050982</v>
          </cell>
          <cell r="G3020">
            <v>40006900</v>
          </cell>
        </row>
        <row r="3021">
          <cell r="E3021" t="str">
            <v>212960-6</v>
          </cell>
          <cell r="F3021">
            <v>10050975</v>
          </cell>
          <cell r="G3021">
            <v>40006894</v>
          </cell>
        </row>
        <row r="3022">
          <cell r="E3022" t="str">
            <v>212049-0</v>
          </cell>
          <cell r="F3022">
            <v>10000970</v>
          </cell>
          <cell r="G3022">
            <v>40003869</v>
          </cell>
        </row>
        <row r="3023">
          <cell r="E3023" t="str">
            <v>212012-3</v>
          </cell>
          <cell r="F3023">
            <v>10047477</v>
          </cell>
          <cell r="G3023">
            <v>40006973</v>
          </cell>
        </row>
        <row r="3024">
          <cell r="E3024" t="str">
            <v>212004-2</v>
          </cell>
          <cell r="F3024">
            <v>10047476</v>
          </cell>
          <cell r="G3024">
            <v>40006972</v>
          </cell>
        </row>
        <row r="3025">
          <cell r="E3025" t="str">
            <v>212005-0</v>
          </cell>
          <cell r="F3025">
            <v>10000972</v>
          </cell>
          <cell r="G3025">
            <v>40003871</v>
          </cell>
        </row>
        <row r="3026">
          <cell r="E3026" t="str">
            <v>153290-5</v>
          </cell>
          <cell r="F3026">
            <v>10034472</v>
          </cell>
          <cell r="G3026">
            <v>40008076</v>
          </cell>
        </row>
        <row r="3027">
          <cell r="E3027">
            <v>962210019</v>
          </cell>
          <cell r="F3027">
            <v>10021211</v>
          </cell>
        </row>
        <row r="3028">
          <cell r="E3028" t="str">
            <v>212077-5</v>
          </cell>
          <cell r="F3028">
            <v>10051001</v>
          </cell>
          <cell r="G3028">
            <v>40006910</v>
          </cell>
        </row>
        <row r="3029">
          <cell r="E3029" t="str">
            <v>212965-6</v>
          </cell>
          <cell r="F3029">
            <v>10049435</v>
          </cell>
          <cell r="G3029">
            <v>40007019</v>
          </cell>
        </row>
        <row r="3030">
          <cell r="E3030">
            <v>962210015</v>
          </cell>
          <cell r="F3030">
            <v>10002176</v>
          </cell>
        </row>
        <row r="3031">
          <cell r="E3031" t="str">
            <v>212086-4</v>
          </cell>
          <cell r="F3031">
            <v>10051012</v>
          </cell>
          <cell r="G3031">
            <v>40006918</v>
          </cell>
        </row>
        <row r="3032">
          <cell r="E3032">
            <v>962210024</v>
          </cell>
          <cell r="F3032">
            <v>10024496</v>
          </cell>
          <cell r="G3032">
            <v>40007248</v>
          </cell>
        </row>
        <row r="3033">
          <cell r="E3033">
            <v>962210025</v>
          </cell>
          <cell r="F3033">
            <v>10022541</v>
          </cell>
          <cell r="G3033">
            <v>40007570</v>
          </cell>
        </row>
        <row r="3034">
          <cell r="E3034">
            <v>962210121</v>
          </cell>
          <cell r="F3034">
            <v>10070788</v>
          </cell>
        </row>
        <row r="3035">
          <cell r="E3035">
            <v>962210092</v>
          </cell>
          <cell r="F3035">
            <v>10103495</v>
          </cell>
          <cell r="G3035">
            <v>40006492</v>
          </cell>
        </row>
        <row r="3036">
          <cell r="E3036">
            <v>962210026</v>
          </cell>
          <cell r="F3036">
            <v>10002275</v>
          </cell>
          <cell r="G3036">
            <v>40007713</v>
          </cell>
        </row>
        <row r="3037">
          <cell r="E3037" t="str">
            <v>212263-8</v>
          </cell>
          <cell r="F3037">
            <v>10063006</v>
          </cell>
          <cell r="G3037">
            <v>40005993</v>
          </cell>
        </row>
        <row r="3038">
          <cell r="E3038">
            <v>965451185</v>
          </cell>
          <cell r="F3038">
            <v>10051028</v>
          </cell>
          <cell r="G3038">
            <v>40006933</v>
          </cell>
        </row>
        <row r="3039">
          <cell r="E3039" t="str">
            <v>A0310-0241</v>
          </cell>
          <cell r="F3039">
            <v>10050102</v>
          </cell>
          <cell r="G3039">
            <v>40007917</v>
          </cell>
        </row>
        <row r="3040">
          <cell r="E3040" t="str">
            <v>132025-7</v>
          </cell>
          <cell r="F3040">
            <v>10022060</v>
          </cell>
          <cell r="G3040">
            <v>40007560</v>
          </cell>
        </row>
        <row r="3041">
          <cell r="E3041" t="str">
            <v>324621-7</v>
          </cell>
          <cell r="F3041">
            <v>10033971</v>
          </cell>
          <cell r="G3041">
            <v>40007228</v>
          </cell>
        </row>
        <row r="3042">
          <cell r="E3042" t="str">
            <v>142235-8</v>
          </cell>
          <cell r="F3042">
            <v>10062544</v>
          </cell>
          <cell r="G3042">
            <v>40005598</v>
          </cell>
        </row>
        <row r="3043">
          <cell r="E3043" t="str">
            <v>JM27000180</v>
          </cell>
          <cell r="F3043">
            <v>10050400</v>
          </cell>
          <cell r="G3043">
            <v>40007943</v>
          </cell>
        </row>
        <row r="3044">
          <cell r="E3044" t="str">
            <v>252625-8</v>
          </cell>
          <cell r="F3044">
            <v>10049567</v>
          </cell>
          <cell r="G3044">
            <v>40007841</v>
          </cell>
        </row>
        <row r="3045">
          <cell r="E3045" t="str">
            <v>252168-0</v>
          </cell>
          <cell r="F3045">
            <v>10025854</v>
          </cell>
          <cell r="G3045">
            <v>40007286</v>
          </cell>
        </row>
        <row r="3046">
          <cell r="E3046" t="str">
            <v>410129-8</v>
          </cell>
          <cell r="F3046">
            <v>10060643</v>
          </cell>
          <cell r="G3046">
            <v>40006322</v>
          </cell>
        </row>
        <row r="3047">
          <cell r="E3047" t="str">
            <v>261108-7</v>
          </cell>
          <cell r="F3047">
            <v>10050886</v>
          </cell>
          <cell r="G3047">
            <v>40006818</v>
          </cell>
        </row>
        <row r="3048">
          <cell r="E3048" t="str">
            <v>261140-1</v>
          </cell>
          <cell r="F3048">
            <v>10050917</v>
          </cell>
          <cell r="G3048">
            <v>40006864</v>
          </cell>
        </row>
        <row r="3049">
          <cell r="E3049" t="str">
            <v>213604-1</v>
          </cell>
          <cell r="F3049">
            <v>10053582</v>
          </cell>
          <cell r="G3049">
            <v>40006051</v>
          </cell>
        </row>
        <row r="3050">
          <cell r="E3050" t="str">
            <v>213180-5</v>
          </cell>
          <cell r="F3050">
            <v>10053343</v>
          </cell>
          <cell r="G3050">
            <v>40006684</v>
          </cell>
        </row>
        <row r="3051">
          <cell r="E3051" t="str">
            <v>213278-8</v>
          </cell>
          <cell r="F3051">
            <v>10001342</v>
          </cell>
          <cell r="G3051">
            <v>40007111</v>
          </cell>
        </row>
        <row r="3052">
          <cell r="E3052" t="str">
            <v>213258-4</v>
          </cell>
          <cell r="F3052">
            <v>10090080</v>
          </cell>
          <cell r="G3052">
            <v>40005862</v>
          </cell>
        </row>
        <row r="3053">
          <cell r="E3053" t="str">
            <v>213304-3</v>
          </cell>
          <cell r="F3053">
            <v>10059200</v>
          </cell>
          <cell r="G3053">
            <v>40006279</v>
          </cell>
        </row>
        <row r="3054">
          <cell r="E3054" t="str">
            <v>213310-8</v>
          </cell>
          <cell r="F3054">
            <v>10051515</v>
          </cell>
          <cell r="G3054">
            <v>40007481</v>
          </cell>
        </row>
        <row r="3055">
          <cell r="E3055" t="str">
            <v>213317-4</v>
          </cell>
          <cell r="F3055">
            <v>10059201</v>
          </cell>
          <cell r="G3055">
            <v>40006280</v>
          </cell>
        </row>
        <row r="3056">
          <cell r="E3056" t="str">
            <v>213379-2</v>
          </cell>
          <cell r="F3056">
            <v>10053581</v>
          </cell>
        </row>
        <row r="3057">
          <cell r="E3057" t="str">
            <v>213105-9</v>
          </cell>
          <cell r="F3057">
            <v>10065739</v>
          </cell>
          <cell r="G3057">
            <v>40006407</v>
          </cell>
        </row>
        <row r="3058">
          <cell r="E3058" t="str">
            <v>213255-0</v>
          </cell>
          <cell r="F3058">
            <v>10057230</v>
          </cell>
        </row>
        <row r="3059">
          <cell r="E3059" t="str">
            <v>213407-3</v>
          </cell>
          <cell r="F3059">
            <v>10049790</v>
          </cell>
        </row>
        <row r="3060">
          <cell r="E3060" t="str">
            <v>213423-5</v>
          </cell>
          <cell r="F3060">
            <v>10050082</v>
          </cell>
          <cell r="G3060">
            <v>40007898</v>
          </cell>
        </row>
        <row r="3061">
          <cell r="E3061" t="str">
            <v>213504-5</v>
          </cell>
          <cell r="F3061">
            <v>10058411</v>
          </cell>
          <cell r="G3061">
            <v>40005729</v>
          </cell>
        </row>
        <row r="3062">
          <cell r="E3062" t="str">
            <v>213507-9</v>
          </cell>
          <cell r="F3062">
            <v>10050889</v>
          </cell>
          <cell r="G3062">
            <v>40006824</v>
          </cell>
        </row>
        <row r="3063">
          <cell r="E3063" t="str">
            <v>213695-2</v>
          </cell>
          <cell r="F3063">
            <v>10065770</v>
          </cell>
          <cell r="G3063">
            <v>40006417</v>
          </cell>
        </row>
        <row r="3064">
          <cell r="E3064" t="str">
            <v>213806-9</v>
          </cell>
          <cell r="F3064">
            <v>10058408</v>
          </cell>
          <cell r="G3064">
            <v>40005727</v>
          </cell>
        </row>
        <row r="3065">
          <cell r="E3065" t="str">
            <v>213983-7</v>
          </cell>
          <cell r="F3065">
            <v>10046805</v>
          </cell>
          <cell r="G3065">
            <v>40006958</v>
          </cell>
        </row>
        <row r="3066">
          <cell r="E3066" t="str">
            <v>213370-0</v>
          </cell>
          <cell r="F3066">
            <v>10059202</v>
          </cell>
          <cell r="G3066">
            <v>40006281</v>
          </cell>
        </row>
        <row r="3067">
          <cell r="E3067" t="str">
            <v>213373-4</v>
          </cell>
          <cell r="F3067">
            <v>10051510</v>
          </cell>
          <cell r="G3067">
            <v>40006945</v>
          </cell>
        </row>
        <row r="3068">
          <cell r="E3068" t="str">
            <v>213961-7</v>
          </cell>
          <cell r="F3068">
            <v>10050913</v>
          </cell>
          <cell r="G3068">
            <v>40006860</v>
          </cell>
        </row>
        <row r="3069">
          <cell r="E3069" t="str">
            <v>213388-1</v>
          </cell>
          <cell r="F3069">
            <v>10001128</v>
          </cell>
          <cell r="G3069">
            <v>40007385</v>
          </cell>
        </row>
        <row r="3070">
          <cell r="E3070" t="str">
            <v>A0200-0081</v>
          </cell>
          <cell r="F3070">
            <v>10025673</v>
          </cell>
          <cell r="G3070">
            <v>40007272</v>
          </cell>
        </row>
        <row r="3071">
          <cell r="E3071" t="str">
            <v>213435-8</v>
          </cell>
          <cell r="F3071">
            <v>10045843</v>
          </cell>
          <cell r="G3071">
            <v>40007507</v>
          </cell>
        </row>
        <row r="3072">
          <cell r="E3072" t="str">
            <v>213411-2</v>
          </cell>
          <cell r="F3072">
            <v>10002307</v>
          </cell>
          <cell r="G3072">
            <v>40007735</v>
          </cell>
        </row>
        <row r="3073">
          <cell r="E3073" t="str">
            <v>213406-5</v>
          </cell>
          <cell r="F3073">
            <v>10059203</v>
          </cell>
          <cell r="G3073">
            <v>40006282</v>
          </cell>
        </row>
        <row r="3074">
          <cell r="E3074" t="str">
            <v>213473-0</v>
          </cell>
          <cell r="F3074">
            <v>10058403</v>
          </cell>
        </row>
        <row r="3075">
          <cell r="E3075" t="str">
            <v>213479-8</v>
          </cell>
          <cell r="F3075">
            <v>10050953</v>
          </cell>
          <cell r="G3075">
            <v>40006881</v>
          </cell>
        </row>
        <row r="3076">
          <cell r="E3076" t="str">
            <v>213508-7</v>
          </cell>
          <cell r="F3076">
            <v>10002308</v>
          </cell>
          <cell r="G3076">
            <v>40007736</v>
          </cell>
        </row>
        <row r="3077">
          <cell r="E3077" t="str">
            <v>213047-7</v>
          </cell>
          <cell r="F3077">
            <v>10001245</v>
          </cell>
          <cell r="G3077">
            <v>40007047</v>
          </cell>
        </row>
        <row r="3078">
          <cell r="E3078" t="str">
            <v>213554-0</v>
          </cell>
          <cell r="F3078">
            <v>10074934</v>
          </cell>
        </row>
        <row r="3079">
          <cell r="E3079" t="str">
            <v>213564-7</v>
          </cell>
          <cell r="F3079">
            <v>10001111</v>
          </cell>
        </row>
        <row r="3080">
          <cell r="E3080" t="str">
            <v>213620-3</v>
          </cell>
          <cell r="F3080">
            <v>10040778</v>
          </cell>
          <cell r="G3080">
            <v>40008297</v>
          </cell>
        </row>
        <row r="3081">
          <cell r="E3081" t="str">
            <v>213960-9</v>
          </cell>
          <cell r="F3081">
            <v>10025125</v>
          </cell>
          <cell r="G3081">
            <v>40007259</v>
          </cell>
        </row>
        <row r="3082">
          <cell r="E3082" t="str">
            <v>213656-2</v>
          </cell>
          <cell r="F3082">
            <v>10046040</v>
          </cell>
          <cell r="G3082">
            <v>40006934</v>
          </cell>
        </row>
        <row r="3083">
          <cell r="E3083" t="str">
            <v>213017-6</v>
          </cell>
          <cell r="F3083">
            <v>10061623</v>
          </cell>
          <cell r="G3083">
            <v>40006363</v>
          </cell>
        </row>
        <row r="3084">
          <cell r="E3084" t="str">
            <v>213003-7</v>
          </cell>
          <cell r="F3084">
            <v>10001124</v>
          </cell>
          <cell r="G3084">
            <v>40007381</v>
          </cell>
        </row>
        <row r="3085">
          <cell r="E3085" t="str">
            <v>213654-6</v>
          </cell>
          <cell r="F3085">
            <v>10053579</v>
          </cell>
        </row>
        <row r="3086">
          <cell r="E3086" t="str">
            <v>213668-5</v>
          </cell>
          <cell r="F3086">
            <v>10050091</v>
          </cell>
          <cell r="G3086">
            <v>40007907</v>
          </cell>
        </row>
        <row r="3087">
          <cell r="E3087" t="str">
            <v>213727-5</v>
          </cell>
          <cell r="F3087">
            <v>10063020</v>
          </cell>
          <cell r="G3087">
            <v>40006003</v>
          </cell>
        </row>
        <row r="3088">
          <cell r="E3088" t="str">
            <v>213701-3</v>
          </cell>
          <cell r="F3088">
            <v>10074919</v>
          </cell>
          <cell r="G3088">
            <v>40006165</v>
          </cell>
        </row>
        <row r="3089">
          <cell r="E3089" t="str">
            <v>213977-2</v>
          </cell>
          <cell r="F3089">
            <v>10047467</v>
          </cell>
          <cell r="G3089">
            <v>40006965</v>
          </cell>
        </row>
        <row r="3090">
          <cell r="E3090" t="str">
            <v>213755-0</v>
          </cell>
          <cell r="F3090">
            <v>10058402</v>
          </cell>
          <cell r="G3090">
            <v>40005723</v>
          </cell>
        </row>
        <row r="3091">
          <cell r="E3091">
            <v>963206018</v>
          </cell>
          <cell r="F3091">
            <v>10025120</v>
          </cell>
          <cell r="G3091">
            <v>40007258</v>
          </cell>
        </row>
        <row r="3092">
          <cell r="E3092" t="str">
            <v>A0200-0231</v>
          </cell>
          <cell r="F3092">
            <v>10050097</v>
          </cell>
          <cell r="G3092">
            <v>40007912</v>
          </cell>
        </row>
        <row r="3093">
          <cell r="E3093" t="str">
            <v>A0200-0911</v>
          </cell>
          <cell r="F3093">
            <v>10050100</v>
          </cell>
          <cell r="G3093">
            <v>40007915</v>
          </cell>
        </row>
        <row r="3094">
          <cell r="E3094" t="str">
            <v>213962-5</v>
          </cell>
          <cell r="F3094">
            <v>10053580</v>
          </cell>
          <cell r="G3094">
            <v>40006050</v>
          </cell>
        </row>
        <row r="3095">
          <cell r="E3095" t="str">
            <v>JM27000121</v>
          </cell>
          <cell r="F3095">
            <v>10035492</v>
          </cell>
          <cell r="G3095">
            <v>40007987</v>
          </cell>
        </row>
        <row r="3096">
          <cell r="E3096" t="str">
            <v>242502-2</v>
          </cell>
          <cell r="F3096">
            <v>10063011</v>
          </cell>
          <cell r="G3096">
            <v>40005997</v>
          </cell>
        </row>
        <row r="3097">
          <cell r="E3097">
            <v>38245061</v>
          </cell>
          <cell r="F3097">
            <v>10030371</v>
          </cell>
          <cell r="G3097">
            <v>40007139</v>
          </cell>
        </row>
        <row r="3098">
          <cell r="E3098">
            <v>21245003</v>
          </cell>
          <cell r="F3098">
            <v>10049592</v>
          </cell>
        </row>
        <row r="3099">
          <cell r="E3099" t="str">
            <v>142156-4</v>
          </cell>
          <cell r="F3099">
            <v>10064416</v>
          </cell>
          <cell r="G3099">
            <v>40006358</v>
          </cell>
        </row>
        <row r="3100">
          <cell r="E3100" t="str">
            <v>168393-2</v>
          </cell>
          <cell r="F3100">
            <v>10046048</v>
          </cell>
          <cell r="G3100">
            <v>40006946</v>
          </cell>
        </row>
        <row r="3101">
          <cell r="E3101" t="str">
            <v>168503-1</v>
          </cell>
          <cell r="F3101">
            <v>10047843</v>
          </cell>
          <cell r="G3101">
            <v>40006977</v>
          </cell>
        </row>
        <row r="3102">
          <cell r="E3102">
            <v>21245007</v>
          </cell>
          <cell r="F3102">
            <v>10002302</v>
          </cell>
          <cell r="G3102">
            <v>40007732</v>
          </cell>
        </row>
        <row r="3103">
          <cell r="E3103">
            <v>38245011</v>
          </cell>
          <cell r="F3103">
            <v>10030451</v>
          </cell>
          <cell r="G3103">
            <v>40007161</v>
          </cell>
        </row>
        <row r="3104">
          <cell r="E3104" t="str">
            <v>161346-0</v>
          </cell>
          <cell r="F3104">
            <v>10050221</v>
          </cell>
          <cell r="G3104">
            <v>40007938</v>
          </cell>
        </row>
        <row r="3105">
          <cell r="E3105" t="str">
            <v>140089-7</v>
          </cell>
          <cell r="F3105">
            <v>10017064</v>
          </cell>
          <cell r="G3105">
            <v>40007534</v>
          </cell>
        </row>
        <row r="3106">
          <cell r="E3106" t="str">
            <v>213314-0</v>
          </cell>
          <cell r="F3106">
            <v>10002370</v>
          </cell>
          <cell r="G3106">
            <v>40008179</v>
          </cell>
        </row>
        <row r="3107">
          <cell r="E3107" t="str">
            <v>181118-7</v>
          </cell>
          <cell r="F3107">
            <v>10002328</v>
          </cell>
          <cell r="G3107">
            <v>40008273</v>
          </cell>
        </row>
        <row r="3108">
          <cell r="E3108" t="str">
            <v>182229-1</v>
          </cell>
          <cell r="F3108">
            <v>10002326</v>
          </cell>
          <cell r="G3108">
            <v>40008272</v>
          </cell>
        </row>
        <row r="3109">
          <cell r="E3109">
            <v>225244010</v>
          </cell>
          <cell r="F3109">
            <v>10001200</v>
          </cell>
        </row>
        <row r="3110">
          <cell r="E3110" t="str">
            <v>419407-3</v>
          </cell>
          <cell r="F3110">
            <v>10032737</v>
          </cell>
          <cell r="G3110">
            <v>40007199</v>
          </cell>
        </row>
        <row r="3111">
          <cell r="E3111" t="str">
            <v>454826-6</v>
          </cell>
          <cell r="F3111">
            <v>10057272</v>
          </cell>
          <cell r="G3111">
            <v>40005712</v>
          </cell>
        </row>
        <row r="3112">
          <cell r="E3112" t="str">
            <v>421958-4</v>
          </cell>
          <cell r="F3112">
            <v>10002266</v>
          </cell>
          <cell r="G3112">
            <v>40007706</v>
          </cell>
        </row>
        <row r="3113">
          <cell r="E3113" t="str">
            <v>155812-7</v>
          </cell>
          <cell r="F3113">
            <v>10022263</v>
          </cell>
          <cell r="G3113">
            <v>40007563</v>
          </cell>
        </row>
        <row r="3114">
          <cell r="E3114" t="str">
            <v>213445-5</v>
          </cell>
          <cell r="F3114">
            <v>10054002</v>
          </cell>
          <cell r="G3114">
            <v>40006072</v>
          </cell>
        </row>
        <row r="3115">
          <cell r="E3115" t="str">
            <v>213581-7</v>
          </cell>
          <cell r="F3115">
            <v>10063071</v>
          </cell>
          <cell r="G3115">
            <v>40006035</v>
          </cell>
        </row>
        <row r="3116">
          <cell r="E3116" t="str">
            <v>A0200-1091</v>
          </cell>
          <cell r="F3116">
            <v>10055018</v>
          </cell>
          <cell r="G3116">
            <v>40006145</v>
          </cell>
        </row>
        <row r="3117">
          <cell r="E3117" t="str">
            <v>213128-7</v>
          </cell>
          <cell r="F3117">
            <v>10034489</v>
          </cell>
        </row>
        <row r="3118">
          <cell r="E3118" t="str">
            <v>213232-2</v>
          </cell>
          <cell r="F3118">
            <v>10034491</v>
          </cell>
        </row>
        <row r="3119">
          <cell r="E3119" t="str">
            <v>213021-5</v>
          </cell>
          <cell r="F3119">
            <v>10047913</v>
          </cell>
          <cell r="G3119">
            <v>40006983</v>
          </cell>
        </row>
        <row r="3120">
          <cell r="E3120" t="str">
            <v>213038-8</v>
          </cell>
          <cell r="F3120">
            <v>10033756</v>
          </cell>
          <cell r="G3120">
            <v>40007211</v>
          </cell>
        </row>
        <row r="3121">
          <cell r="E3121" t="str">
            <v>213039-6</v>
          </cell>
          <cell r="F3121">
            <v>10035313</v>
          </cell>
          <cell r="G3121">
            <v>40007959</v>
          </cell>
        </row>
        <row r="3122">
          <cell r="E3122" t="str">
            <v>213149-9</v>
          </cell>
          <cell r="F3122">
            <v>10062440</v>
          </cell>
          <cell r="G3122">
            <v>40005569</v>
          </cell>
        </row>
        <row r="3123">
          <cell r="E3123" t="str">
            <v>213227-5</v>
          </cell>
          <cell r="F3123">
            <v>10039241</v>
          </cell>
          <cell r="G3123">
            <v>40008062</v>
          </cell>
        </row>
        <row r="3124">
          <cell r="E3124" t="str">
            <v>213279-6</v>
          </cell>
          <cell r="F3124">
            <v>10045952</v>
          </cell>
          <cell r="G3124">
            <v>40006925</v>
          </cell>
        </row>
        <row r="3125">
          <cell r="E3125" t="str">
            <v>213510-0</v>
          </cell>
          <cell r="F3125">
            <v>10047915</v>
          </cell>
          <cell r="G3125">
            <v>40010390</v>
          </cell>
        </row>
        <row r="3126">
          <cell r="E3126" t="str">
            <v>213606-7</v>
          </cell>
          <cell r="F3126">
            <v>10057833</v>
          </cell>
          <cell r="G3126">
            <v>40005718</v>
          </cell>
        </row>
        <row r="3127">
          <cell r="E3127" t="str">
            <v>213662-7</v>
          </cell>
          <cell r="F3127">
            <v>10063086</v>
          </cell>
          <cell r="G3127">
            <v>40006043</v>
          </cell>
        </row>
        <row r="3128">
          <cell r="E3128" t="str">
            <v>213045-1</v>
          </cell>
          <cell r="F3128">
            <v>10038682</v>
          </cell>
          <cell r="G3128">
            <v>40008014</v>
          </cell>
        </row>
        <row r="3129">
          <cell r="E3129" t="str">
            <v>213026-5</v>
          </cell>
          <cell r="F3129">
            <v>10030439</v>
          </cell>
          <cell r="G3129">
            <v>40007156</v>
          </cell>
        </row>
        <row r="3130">
          <cell r="E3130" t="str">
            <v>213073-6</v>
          </cell>
          <cell r="F3130">
            <v>10034493</v>
          </cell>
          <cell r="G3130">
            <v>40008090</v>
          </cell>
        </row>
        <row r="3131">
          <cell r="E3131" t="str">
            <v>A0200-0131</v>
          </cell>
          <cell r="F3131">
            <v>10054820</v>
          </cell>
        </row>
        <row r="3132">
          <cell r="E3132" t="str">
            <v>324216-6</v>
          </cell>
          <cell r="F3132">
            <v>10034492</v>
          </cell>
          <cell r="G3132">
            <v>40008089</v>
          </cell>
        </row>
        <row r="3133">
          <cell r="E3133" t="str">
            <v>325793-1</v>
          </cell>
          <cell r="F3133">
            <v>10064436</v>
          </cell>
        </row>
        <row r="3134">
          <cell r="E3134" t="str">
            <v>224301-4</v>
          </cell>
          <cell r="F3134">
            <v>10022543</v>
          </cell>
          <cell r="G3134">
            <v>40007572</v>
          </cell>
        </row>
        <row r="3135">
          <cell r="E3135" t="str">
            <v>224208-4</v>
          </cell>
          <cell r="F3135">
            <v>10061301</v>
          </cell>
          <cell r="G3135">
            <v>40006339</v>
          </cell>
        </row>
        <row r="3136">
          <cell r="E3136" t="str">
            <v>224455-7</v>
          </cell>
          <cell r="F3136">
            <v>10050952</v>
          </cell>
          <cell r="G3136">
            <v>40006880</v>
          </cell>
        </row>
        <row r="3137">
          <cell r="E3137" t="str">
            <v>224282-2</v>
          </cell>
          <cell r="F3137">
            <v>10024032</v>
          </cell>
          <cell r="G3137">
            <v>40007234</v>
          </cell>
        </row>
        <row r="3138">
          <cell r="E3138" t="str">
            <v>224432-9</v>
          </cell>
          <cell r="F3138">
            <v>10044762</v>
          </cell>
          <cell r="G3138">
            <v>40006799</v>
          </cell>
        </row>
        <row r="3139">
          <cell r="E3139" t="str">
            <v>224482-4</v>
          </cell>
          <cell r="F3139">
            <v>10063521</v>
          </cell>
          <cell r="G3139">
            <v>40006586</v>
          </cell>
        </row>
        <row r="3140">
          <cell r="E3140" t="str">
            <v>224479-3</v>
          </cell>
          <cell r="F3140">
            <v>10102723</v>
          </cell>
          <cell r="G3140">
            <v>40005937</v>
          </cell>
        </row>
        <row r="3141">
          <cell r="E3141" t="str">
            <v>224081-2</v>
          </cell>
          <cell r="F3141">
            <v>10001057</v>
          </cell>
          <cell r="G3141">
            <v>40007349</v>
          </cell>
        </row>
        <row r="3142">
          <cell r="E3142" t="str">
            <v>224329-2</v>
          </cell>
          <cell r="F3142">
            <v>10001183</v>
          </cell>
          <cell r="G3142">
            <v>40007418</v>
          </cell>
        </row>
        <row r="3143">
          <cell r="E3143" t="str">
            <v>224429-8</v>
          </cell>
          <cell r="F3143">
            <v>10062601</v>
          </cell>
        </row>
        <row r="3144">
          <cell r="E3144" t="str">
            <v>224074-9</v>
          </cell>
          <cell r="F3144">
            <v>10057822</v>
          </cell>
          <cell r="G3144">
            <v>40005714</v>
          </cell>
        </row>
        <row r="3145">
          <cell r="E3145" t="str">
            <v>JM27000179</v>
          </cell>
          <cell r="F3145">
            <v>10050399</v>
          </cell>
          <cell r="G3145">
            <v>40007942</v>
          </cell>
        </row>
        <row r="3146">
          <cell r="E3146" t="str">
            <v>JM23200017</v>
          </cell>
          <cell r="F3146">
            <v>10063047</v>
          </cell>
          <cell r="G3146">
            <v>40006018</v>
          </cell>
        </row>
        <row r="3147">
          <cell r="E3147" t="str">
            <v>911111-5</v>
          </cell>
          <cell r="F3147">
            <v>10001099</v>
          </cell>
          <cell r="G3147">
            <v>40007372</v>
          </cell>
        </row>
        <row r="3148">
          <cell r="E3148" t="str">
            <v>421934-8</v>
          </cell>
          <cell r="F3148">
            <v>10062553</v>
          </cell>
          <cell r="G3148">
            <v>40005603</v>
          </cell>
        </row>
        <row r="3149">
          <cell r="E3149" t="str">
            <v>743081-8</v>
          </cell>
          <cell r="F3149">
            <v>10003832</v>
          </cell>
          <cell r="G3149">
            <v>40008238</v>
          </cell>
        </row>
        <row r="3150">
          <cell r="E3150" t="str">
            <v>158796-8</v>
          </cell>
          <cell r="F3150">
            <v>10026314</v>
          </cell>
          <cell r="G3150">
            <v>40007307</v>
          </cell>
        </row>
        <row r="3151">
          <cell r="E3151" t="str">
            <v>743025-8</v>
          </cell>
          <cell r="F3151">
            <v>10033758</v>
          </cell>
          <cell r="G3151">
            <v>40007213</v>
          </cell>
        </row>
        <row r="3152">
          <cell r="E3152" t="str">
            <v>158324-9</v>
          </cell>
          <cell r="F3152">
            <v>10002627</v>
          </cell>
          <cell r="G3152">
            <v>40008211</v>
          </cell>
        </row>
        <row r="3153">
          <cell r="E3153" t="str">
            <v>158595-8</v>
          </cell>
          <cell r="F3153">
            <v>10024023</v>
          </cell>
          <cell r="G3153">
            <v>40008266</v>
          </cell>
        </row>
        <row r="3154">
          <cell r="E3154" t="str">
            <v>911226-8</v>
          </cell>
          <cell r="F3154">
            <v>10001154</v>
          </cell>
          <cell r="G3154">
            <v>40007400</v>
          </cell>
        </row>
        <row r="3155">
          <cell r="E3155" t="str">
            <v>265131-4</v>
          </cell>
          <cell r="F3155">
            <v>10077258</v>
          </cell>
          <cell r="G3155">
            <v>40006198</v>
          </cell>
        </row>
        <row r="3156">
          <cell r="E3156" t="str">
            <v>911153-9</v>
          </cell>
          <cell r="F3156">
            <v>10001179</v>
          </cell>
          <cell r="G3156">
            <v>40007414</v>
          </cell>
        </row>
        <row r="3157">
          <cell r="E3157" t="str">
            <v>911123-8</v>
          </cell>
          <cell r="F3157">
            <v>10053987</v>
          </cell>
          <cell r="G3157">
            <v>40006062</v>
          </cell>
        </row>
        <row r="3158">
          <cell r="E3158" t="str">
            <v>911148-2</v>
          </cell>
          <cell r="F3158">
            <v>10050409</v>
          </cell>
          <cell r="G3158">
            <v>40007950</v>
          </cell>
        </row>
        <row r="3159">
          <cell r="E3159" t="str">
            <v>911373-5</v>
          </cell>
          <cell r="F3159">
            <v>10023848</v>
          </cell>
          <cell r="G3159">
            <v>40007625</v>
          </cell>
        </row>
        <row r="3160">
          <cell r="E3160" t="str">
            <v>251228-5</v>
          </cell>
          <cell r="F3160">
            <v>10049568</v>
          </cell>
          <cell r="G3160">
            <v>40007843</v>
          </cell>
        </row>
        <row r="3161">
          <cell r="E3161" t="str">
            <v>251246-3</v>
          </cell>
          <cell r="F3161">
            <v>10002325</v>
          </cell>
          <cell r="G3161">
            <v>40008271</v>
          </cell>
        </row>
        <row r="3162">
          <cell r="E3162" t="str">
            <v>251448-1</v>
          </cell>
          <cell r="F3162">
            <v>10084091</v>
          </cell>
          <cell r="G3162">
            <v>40006259</v>
          </cell>
        </row>
        <row r="3163">
          <cell r="E3163" t="str">
            <v>265099-4</v>
          </cell>
          <cell r="F3163">
            <v>10047840</v>
          </cell>
          <cell r="G3163">
            <v>40006975</v>
          </cell>
        </row>
        <row r="3164">
          <cell r="E3164" t="str">
            <v>265101-3</v>
          </cell>
          <cell r="F3164">
            <v>10045849</v>
          </cell>
          <cell r="G3164">
            <v>40007511</v>
          </cell>
        </row>
        <row r="3165">
          <cell r="E3165" t="str">
            <v>265104-7</v>
          </cell>
          <cell r="F3165">
            <v>10062569</v>
          </cell>
          <cell r="G3165">
            <v>40005613</v>
          </cell>
        </row>
        <row r="3166">
          <cell r="E3166" t="str">
            <v>265118-6</v>
          </cell>
          <cell r="F3166">
            <v>10049439</v>
          </cell>
          <cell r="G3166">
            <v>40007023</v>
          </cell>
        </row>
        <row r="3167">
          <cell r="E3167" t="str">
            <v>265180-1</v>
          </cell>
          <cell r="F3167">
            <v>10054788</v>
          </cell>
          <cell r="G3167">
            <v>40006098</v>
          </cell>
        </row>
        <row r="3168">
          <cell r="E3168" t="str">
            <v>266455-1</v>
          </cell>
          <cell r="F3168">
            <v>10054846</v>
          </cell>
          <cell r="G3168">
            <v>40006142</v>
          </cell>
        </row>
        <row r="3169">
          <cell r="E3169" t="str">
            <v>911136-9</v>
          </cell>
          <cell r="F3169">
            <v>10038649</v>
          </cell>
          <cell r="G3169">
            <v>40008011</v>
          </cell>
        </row>
        <row r="3170">
          <cell r="E3170" t="str">
            <v>911207-2</v>
          </cell>
          <cell r="F3170">
            <v>10054804</v>
          </cell>
          <cell r="G3170">
            <v>40006112</v>
          </cell>
        </row>
        <row r="3171">
          <cell r="E3171" t="str">
            <v>911218-7</v>
          </cell>
          <cell r="F3171">
            <v>10022593</v>
          </cell>
          <cell r="G3171">
            <v>40007589</v>
          </cell>
        </row>
        <row r="3172">
          <cell r="E3172" t="str">
            <v>911221-8</v>
          </cell>
          <cell r="F3172">
            <v>10068819</v>
          </cell>
          <cell r="G3172">
            <v>40006458</v>
          </cell>
        </row>
        <row r="3173">
          <cell r="E3173" t="str">
            <v>911223-4</v>
          </cell>
          <cell r="F3173">
            <v>10002320</v>
          </cell>
          <cell r="G3173">
            <v>40008268</v>
          </cell>
        </row>
        <row r="3174">
          <cell r="E3174" t="str">
            <v>911233-1</v>
          </cell>
          <cell r="F3174">
            <v>10062443</v>
          </cell>
          <cell r="G3174">
            <v>40005572</v>
          </cell>
        </row>
        <row r="3175">
          <cell r="E3175" t="str">
            <v>911248-8</v>
          </cell>
          <cell r="F3175">
            <v>10064609</v>
          </cell>
          <cell r="G3175">
            <v>40006389</v>
          </cell>
        </row>
        <row r="3176">
          <cell r="E3176" t="str">
            <v>911273-9</v>
          </cell>
          <cell r="F3176">
            <v>10033753</v>
          </cell>
          <cell r="G3176">
            <v>40007208</v>
          </cell>
        </row>
        <row r="3177">
          <cell r="E3177" t="str">
            <v>911363-8</v>
          </cell>
          <cell r="F3177">
            <v>10022751</v>
          </cell>
          <cell r="G3177">
            <v>40007607</v>
          </cell>
        </row>
        <row r="3178">
          <cell r="E3178" t="str">
            <v>911942-2</v>
          </cell>
          <cell r="F3178">
            <v>10066229</v>
          </cell>
          <cell r="G3178">
            <v>40006434</v>
          </cell>
        </row>
        <row r="3179">
          <cell r="E3179" t="str">
            <v>911121-2</v>
          </cell>
          <cell r="F3179">
            <v>10001178</v>
          </cell>
          <cell r="G3179">
            <v>40007413</v>
          </cell>
        </row>
        <row r="3180">
          <cell r="E3180" t="str">
            <v>911113-1</v>
          </cell>
          <cell r="F3180">
            <v>10002323</v>
          </cell>
          <cell r="G3180">
            <v>40008270</v>
          </cell>
        </row>
        <row r="3181">
          <cell r="E3181" t="str">
            <v>911146-6</v>
          </cell>
          <cell r="F3181">
            <v>10046044</v>
          </cell>
          <cell r="G3181">
            <v>40006940</v>
          </cell>
        </row>
        <row r="3182">
          <cell r="E3182" t="str">
            <v>911118-1</v>
          </cell>
          <cell r="F3182">
            <v>10032696</v>
          </cell>
        </row>
        <row r="3183">
          <cell r="E3183" t="str">
            <v>265062-7</v>
          </cell>
          <cell r="F3183">
            <v>10002622</v>
          </cell>
          <cell r="G3183">
            <v>40008208</v>
          </cell>
        </row>
        <row r="3184">
          <cell r="E3184" t="str">
            <v>911213-7</v>
          </cell>
          <cell r="F3184">
            <v>10002329</v>
          </cell>
          <cell r="G3184">
            <v>40008274</v>
          </cell>
        </row>
        <row r="3185">
          <cell r="E3185" t="str">
            <v>265103-9</v>
          </cell>
          <cell r="F3185">
            <v>10054008</v>
          </cell>
          <cell r="G3185">
            <v>40006078</v>
          </cell>
        </row>
        <row r="3186">
          <cell r="E3186" t="str">
            <v>265120-9</v>
          </cell>
          <cell r="F3186">
            <v>10060292</v>
          </cell>
          <cell r="G3186">
            <v>40006313</v>
          </cell>
        </row>
        <row r="3187">
          <cell r="E3187" t="str">
            <v>911228-4</v>
          </cell>
          <cell r="F3187">
            <v>10002350</v>
          </cell>
          <cell r="G3187">
            <v>40008168</v>
          </cell>
        </row>
        <row r="3188">
          <cell r="E3188" t="str">
            <v>911203-0</v>
          </cell>
          <cell r="F3188">
            <v>10002366</v>
          </cell>
          <cell r="G3188">
            <v>40008177</v>
          </cell>
        </row>
        <row r="3189">
          <cell r="E3189" t="str">
            <v>251267-5</v>
          </cell>
          <cell r="F3189">
            <v>10001316</v>
          </cell>
          <cell r="G3189">
            <v>40007093</v>
          </cell>
        </row>
        <row r="3190">
          <cell r="E3190" t="str">
            <v>251247-1</v>
          </cell>
          <cell r="F3190">
            <v>10053985</v>
          </cell>
          <cell r="G3190">
            <v>40006060</v>
          </cell>
        </row>
        <row r="3191">
          <cell r="E3191" t="str">
            <v>265117-8</v>
          </cell>
          <cell r="F3191">
            <v>10060293</v>
          </cell>
          <cell r="G3191">
            <v>40006314</v>
          </cell>
        </row>
        <row r="3192">
          <cell r="E3192" t="str">
            <v>345342-8</v>
          </cell>
          <cell r="F3192">
            <v>10001210</v>
          </cell>
          <cell r="G3192">
            <v>40007929</v>
          </cell>
        </row>
        <row r="3193">
          <cell r="E3193" t="str">
            <v>346102-1</v>
          </cell>
          <cell r="F3193">
            <v>10038683</v>
          </cell>
          <cell r="G3193">
            <v>40008015</v>
          </cell>
        </row>
        <row r="3194">
          <cell r="E3194">
            <v>671001137</v>
          </cell>
          <cell r="F3194">
            <v>10065801</v>
          </cell>
          <cell r="G3194">
            <v>40006429</v>
          </cell>
        </row>
        <row r="3195">
          <cell r="E3195" t="str">
            <v>191A62-6</v>
          </cell>
          <cell r="F3195">
            <v>10098926</v>
          </cell>
        </row>
        <row r="3196">
          <cell r="E3196" t="str">
            <v>251391-4</v>
          </cell>
          <cell r="F3196">
            <v>10049178</v>
          </cell>
          <cell r="G3196">
            <v>40007017</v>
          </cell>
        </row>
        <row r="3197">
          <cell r="E3197" t="str">
            <v>256651-9</v>
          </cell>
          <cell r="F3197">
            <v>10057140</v>
          </cell>
        </row>
        <row r="3198">
          <cell r="E3198" t="str">
            <v>268119-3</v>
          </cell>
          <cell r="F3198">
            <v>10050089</v>
          </cell>
          <cell r="G3198">
            <v>40007905</v>
          </cell>
        </row>
        <row r="3199">
          <cell r="E3199" t="str">
            <v>256238-7</v>
          </cell>
          <cell r="F3199">
            <v>10074918</v>
          </cell>
          <cell r="G3199">
            <v>40006164</v>
          </cell>
        </row>
        <row r="3200">
          <cell r="E3200" t="str">
            <v>256197-5</v>
          </cell>
          <cell r="F3200">
            <v>10064614</v>
          </cell>
          <cell r="G3200">
            <v>40006392</v>
          </cell>
        </row>
        <row r="3201">
          <cell r="E3201" t="str">
            <v>256644-6</v>
          </cell>
          <cell r="F3201">
            <v>10002280</v>
          </cell>
          <cell r="G3201">
            <v>40007716</v>
          </cell>
        </row>
        <row r="3202">
          <cell r="E3202" t="str">
            <v>256158-5</v>
          </cell>
          <cell r="F3202">
            <v>10054812</v>
          </cell>
          <cell r="G3202">
            <v>40006118</v>
          </cell>
        </row>
        <row r="3203">
          <cell r="E3203" t="str">
            <v>268217-3</v>
          </cell>
          <cell r="F3203">
            <v>10050921</v>
          </cell>
          <cell r="G3203">
            <v>40006867</v>
          </cell>
        </row>
        <row r="3204">
          <cell r="E3204" t="str">
            <v>256117-9</v>
          </cell>
          <cell r="F3204">
            <v>10032153</v>
          </cell>
          <cell r="G3204">
            <v>40007191</v>
          </cell>
        </row>
        <row r="3205">
          <cell r="E3205" t="str">
            <v>256122-6</v>
          </cell>
          <cell r="F3205">
            <v>10059205</v>
          </cell>
          <cell r="G3205">
            <v>40006283</v>
          </cell>
        </row>
        <row r="3206">
          <cell r="E3206" t="str">
            <v>256251-5</v>
          </cell>
          <cell r="F3206">
            <v>10036575</v>
          </cell>
          <cell r="G3206">
            <v>40007993</v>
          </cell>
        </row>
        <row r="3207">
          <cell r="E3207" t="str">
            <v>268090-1</v>
          </cell>
          <cell r="F3207">
            <v>10002293</v>
          </cell>
          <cell r="G3207">
            <v>40007728</v>
          </cell>
        </row>
        <row r="3208">
          <cell r="E3208" t="str">
            <v>256219-1</v>
          </cell>
          <cell r="F3208">
            <v>10002279</v>
          </cell>
        </row>
        <row r="3209">
          <cell r="E3209" t="str">
            <v>256196-7</v>
          </cell>
          <cell r="F3209">
            <v>10002286</v>
          </cell>
          <cell r="G3209">
            <v>40007718</v>
          </cell>
        </row>
        <row r="3210">
          <cell r="E3210" t="str">
            <v>256266-2</v>
          </cell>
          <cell r="F3210">
            <v>10051618</v>
          </cell>
          <cell r="G3210">
            <v>40007488</v>
          </cell>
        </row>
        <row r="3211">
          <cell r="E3211" t="str">
            <v>256633-1</v>
          </cell>
          <cell r="F3211">
            <v>10103478</v>
          </cell>
          <cell r="G3211">
            <v>40006478</v>
          </cell>
        </row>
        <row r="3212">
          <cell r="E3212" t="str">
            <v>268031-7</v>
          </cell>
          <cell r="F3212">
            <v>10022594</v>
          </cell>
          <cell r="G3212">
            <v>40007591</v>
          </cell>
        </row>
        <row r="3213">
          <cell r="E3213" t="str">
            <v>453369-5</v>
          </cell>
          <cell r="F3213">
            <v>10062967</v>
          </cell>
          <cell r="G3213">
            <v>40005962</v>
          </cell>
        </row>
        <row r="3214">
          <cell r="E3214" t="str">
            <v>417771-6</v>
          </cell>
          <cell r="F3214">
            <v>10025126</v>
          </cell>
          <cell r="G3214">
            <v>40007260</v>
          </cell>
        </row>
        <row r="3215">
          <cell r="E3215" t="str">
            <v>418517-3</v>
          </cell>
          <cell r="F3215">
            <v>10030435</v>
          </cell>
          <cell r="G3215">
            <v>40007154</v>
          </cell>
        </row>
        <row r="3216">
          <cell r="E3216" t="str">
            <v>419133-4</v>
          </cell>
          <cell r="F3216">
            <v>10062986</v>
          </cell>
          <cell r="G3216">
            <v>40005976</v>
          </cell>
        </row>
        <row r="3217">
          <cell r="E3217" t="str">
            <v>452502-6</v>
          </cell>
          <cell r="F3217">
            <v>10062582</v>
          </cell>
          <cell r="G3217">
            <v>40005622</v>
          </cell>
        </row>
        <row r="3218">
          <cell r="E3218" t="str">
            <v>316882-3</v>
          </cell>
          <cell r="F3218">
            <v>10023886</v>
          </cell>
          <cell r="G3218">
            <v>40008260</v>
          </cell>
        </row>
        <row r="3219">
          <cell r="E3219" t="str">
            <v>318410-0</v>
          </cell>
          <cell r="F3219">
            <v>10058957</v>
          </cell>
          <cell r="G3219">
            <v>40006231</v>
          </cell>
        </row>
        <row r="3220">
          <cell r="E3220" t="str">
            <v>331719-3</v>
          </cell>
          <cell r="F3220">
            <v>10049599</v>
          </cell>
          <cell r="G3220">
            <v>40007873</v>
          </cell>
        </row>
        <row r="3221">
          <cell r="E3221" t="str">
            <v>331568-8</v>
          </cell>
          <cell r="F3221">
            <v>10054808</v>
          </cell>
          <cell r="G3221">
            <v>40006116</v>
          </cell>
        </row>
        <row r="3222">
          <cell r="E3222" t="str">
            <v>331491-7</v>
          </cell>
          <cell r="F3222">
            <v>10001319</v>
          </cell>
          <cell r="G3222">
            <v>40007096</v>
          </cell>
        </row>
        <row r="3223">
          <cell r="E3223" t="str">
            <v>331776-1</v>
          </cell>
          <cell r="F3223">
            <v>10034210</v>
          </cell>
          <cell r="G3223">
            <v>40008063</v>
          </cell>
        </row>
        <row r="3224">
          <cell r="E3224" t="str">
            <v>419004-5</v>
          </cell>
          <cell r="F3224">
            <v>10065769</v>
          </cell>
          <cell r="G3224">
            <v>40006416</v>
          </cell>
        </row>
        <row r="3225">
          <cell r="E3225" t="str">
            <v>331446-2</v>
          </cell>
          <cell r="F3225">
            <v>10002180</v>
          </cell>
          <cell r="G3225">
            <v>40007666</v>
          </cell>
        </row>
        <row r="3226">
          <cell r="E3226">
            <v>37132110</v>
          </cell>
          <cell r="F3226">
            <v>10039236</v>
          </cell>
        </row>
        <row r="3227">
          <cell r="E3227" t="str">
            <v>317811-9</v>
          </cell>
          <cell r="F3227">
            <v>10042026</v>
          </cell>
          <cell r="G3227">
            <v>40006748</v>
          </cell>
        </row>
        <row r="3228">
          <cell r="E3228" t="str">
            <v>317828-2</v>
          </cell>
          <cell r="F3228">
            <v>10050088</v>
          </cell>
          <cell r="G3228">
            <v>40007904</v>
          </cell>
        </row>
        <row r="3229">
          <cell r="E3229" t="str">
            <v>318193-2</v>
          </cell>
          <cell r="F3229">
            <v>10053574</v>
          </cell>
          <cell r="G3229">
            <v>40006704</v>
          </cell>
        </row>
        <row r="3230">
          <cell r="E3230" t="str">
            <v>322813-2</v>
          </cell>
          <cell r="F3230">
            <v>10059206</v>
          </cell>
          <cell r="G3230">
            <v>40006284</v>
          </cell>
        </row>
        <row r="3231">
          <cell r="E3231" t="str">
            <v>324536-8</v>
          </cell>
          <cell r="F3231">
            <v>10063087</v>
          </cell>
          <cell r="G3231">
            <v>40006044</v>
          </cell>
        </row>
        <row r="3232">
          <cell r="E3232" t="str">
            <v>416122-0</v>
          </cell>
          <cell r="F3232">
            <v>10059207</v>
          </cell>
          <cell r="G3232">
            <v>40006285</v>
          </cell>
        </row>
        <row r="3233">
          <cell r="E3233" t="str">
            <v>418349-8</v>
          </cell>
          <cell r="F3233">
            <v>10097354</v>
          </cell>
          <cell r="G3233">
            <v>40005899</v>
          </cell>
        </row>
        <row r="3234">
          <cell r="E3234" t="str">
            <v>450961-8</v>
          </cell>
          <cell r="F3234">
            <v>10062439</v>
          </cell>
          <cell r="G3234">
            <v>40005568</v>
          </cell>
        </row>
        <row r="3235">
          <cell r="E3235">
            <v>32132011</v>
          </cell>
          <cell r="F3235">
            <v>10084054</v>
          </cell>
          <cell r="G3235">
            <v>40006221</v>
          </cell>
        </row>
        <row r="3236">
          <cell r="E3236" t="str">
            <v>143332-3</v>
          </cell>
          <cell r="F3236">
            <v>10077612</v>
          </cell>
          <cell r="G3236">
            <v>40006201</v>
          </cell>
        </row>
        <row r="3237">
          <cell r="E3237">
            <v>325132034</v>
          </cell>
          <cell r="F3237">
            <v>10039539</v>
          </cell>
        </row>
        <row r="3238">
          <cell r="E3238" t="str">
            <v>317517-9</v>
          </cell>
          <cell r="F3238">
            <v>10080582</v>
          </cell>
          <cell r="G3238">
            <v>40006216</v>
          </cell>
        </row>
        <row r="3239">
          <cell r="E3239" t="str">
            <v>318132-2</v>
          </cell>
          <cell r="F3239">
            <v>10047466</v>
          </cell>
          <cell r="G3239">
            <v>40006964</v>
          </cell>
        </row>
        <row r="3240">
          <cell r="E3240" t="str">
            <v>310345-1</v>
          </cell>
          <cell r="F3240">
            <v>10090075</v>
          </cell>
          <cell r="G3240">
            <v>40005859</v>
          </cell>
        </row>
        <row r="3241">
          <cell r="E3241" t="str">
            <v>324215-8</v>
          </cell>
          <cell r="F3241">
            <v>10063019</v>
          </cell>
          <cell r="G3241">
            <v>40006002</v>
          </cell>
        </row>
        <row r="3242">
          <cell r="E3242">
            <v>21132020</v>
          </cell>
          <cell r="F3242">
            <v>10002301</v>
          </cell>
          <cell r="G3242">
            <v>40007731</v>
          </cell>
        </row>
        <row r="3243">
          <cell r="E3243" t="str">
            <v>324463-9</v>
          </cell>
          <cell r="F3243">
            <v>10042029</v>
          </cell>
          <cell r="G3243">
            <v>40006749</v>
          </cell>
        </row>
        <row r="3244">
          <cell r="E3244">
            <v>195132020</v>
          </cell>
          <cell r="F3244">
            <v>10065779</v>
          </cell>
          <cell r="G3244">
            <v>40006422</v>
          </cell>
        </row>
        <row r="3245">
          <cell r="E3245" t="str">
            <v>412053-1</v>
          </cell>
          <cell r="F3245">
            <v>10001087</v>
          </cell>
          <cell r="G3245">
            <v>40007366</v>
          </cell>
        </row>
        <row r="3246">
          <cell r="E3246" t="str">
            <v>195760-8</v>
          </cell>
          <cell r="F3246">
            <v>10098924</v>
          </cell>
          <cell r="G3246">
            <v>40010271</v>
          </cell>
        </row>
        <row r="3247">
          <cell r="E3247" t="str">
            <v>K0600-1761</v>
          </cell>
          <cell r="F3247">
            <v>10050104</v>
          </cell>
          <cell r="G3247">
            <v>40007919</v>
          </cell>
        </row>
        <row r="3248">
          <cell r="E3248" t="str">
            <v>214114-1</v>
          </cell>
          <cell r="F3248">
            <v>10002143</v>
          </cell>
          <cell r="G3248">
            <v>40007618</v>
          </cell>
        </row>
        <row r="3249">
          <cell r="E3249" t="str">
            <v>214152-3</v>
          </cell>
          <cell r="F3249">
            <v>10015110</v>
          </cell>
        </row>
        <row r="3250">
          <cell r="E3250" t="str">
            <v>214251-1</v>
          </cell>
          <cell r="F3250">
            <v>10022758</v>
          </cell>
          <cell r="G3250">
            <v>40007612</v>
          </cell>
        </row>
        <row r="3251">
          <cell r="E3251" t="str">
            <v>214004-8</v>
          </cell>
          <cell r="F3251">
            <v>10044460</v>
          </cell>
          <cell r="G3251">
            <v>40006778</v>
          </cell>
        </row>
        <row r="3252">
          <cell r="E3252" t="str">
            <v>214014-5</v>
          </cell>
          <cell r="F3252">
            <v>10065738</v>
          </cell>
          <cell r="G3252">
            <v>40006406</v>
          </cell>
        </row>
        <row r="3253">
          <cell r="E3253" t="str">
            <v>214031-5</v>
          </cell>
          <cell r="F3253">
            <v>10032154</v>
          </cell>
          <cell r="G3253">
            <v>40007192</v>
          </cell>
        </row>
        <row r="3254">
          <cell r="E3254" t="str">
            <v>341397-1</v>
          </cell>
          <cell r="F3254">
            <v>10002285</v>
          </cell>
        </row>
        <row r="3255">
          <cell r="E3255">
            <v>21245100</v>
          </cell>
          <cell r="F3255">
            <v>10002291</v>
          </cell>
          <cell r="G3255">
            <v>40007724</v>
          </cell>
        </row>
        <row r="3256">
          <cell r="E3256">
            <v>957604260</v>
          </cell>
          <cell r="F3256">
            <v>10058945</v>
          </cell>
          <cell r="G3256">
            <v>40005739</v>
          </cell>
        </row>
        <row r="3257">
          <cell r="E3257" t="str">
            <v>321261-2</v>
          </cell>
          <cell r="F3257">
            <v>10001123</v>
          </cell>
          <cell r="G3257">
            <v>40007380</v>
          </cell>
        </row>
        <row r="3258">
          <cell r="E3258" t="str">
            <v>225021-3</v>
          </cell>
          <cell r="F3258">
            <v>10025676</v>
          </cell>
          <cell r="G3258">
            <v>40007273</v>
          </cell>
        </row>
        <row r="3259">
          <cell r="E3259" t="str">
            <v>225091-2</v>
          </cell>
          <cell r="F3259">
            <v>10084067</v>
          </cell>
          <cell r="G3259">
            <v>40006229</v>
          </cell>
        </row>
        <row r="3260">
          <cell r="E3260" t="str">
            <v>225006-9</v>
          </cell>
          <cell r="F3260">
            <v>10000954</v>
          </cell>
          <cell r="G3260">
            <v>40010584</v>
          </cell>
        </row>
        <row r="3261">
          <cell r="E3261" t="str">
            <v>225042-5</v>
          </cell>
          <cell r="F3261">
            <v>10000951</v>
          </cell>
          <cell r="G3261">
            <v>40007802</v>
          </cell>
        </row>
        <row r="3262">
          <cell r="E3262" t="str">
            <v>225007-7</v>
          </cell>
          <cell r="F3262">
            <v>10000950</v>
          </cell>
          <cell r="G3262">
            <v>40007801</v>
          </cell>
        </row>
        <row r="3263">
          <cell r="E3263" t="str">
            <v>225069-5</v>
          </cell>
          <cell r="F3263">
            <v>10000957</v>
          </cell>
          <cell r="G3263">
            <v>40007806</v>
          </cell>
        </row>
        <row r="3264">
          <cell r="E3264" t="str">
            <v>225071-8</v>
          </cell>
          <cell r="F3264">
            <v>10002145</v>
          </cell>
          <cell r="G3264">
            <v>40007622</v>
          </cell>
        </row>
        <row r="3265">
          <cell r="E3265" t="str">
            <v>225001-9</v>
          </cell>
          <cell r="F3265">
            <v>10000953</v>
          </cell>
          <cell r="G3265">
            <v>40007804</v>
          </cell>
        </row>
        <row r="3266">
          <cell r="E3266" t="str">
            <v>225043-3</v>
          </cell>
          <cell r="F3266">
            <v>10000955</v>
          </cell>
          <cell r="G3266">
            <v>40007805</v>
          </cell>
        </row>
        <row r="3267">
          <cell r="E3267" t="str">
            <v>225083-1</v>
          </cell>
          <cell r="F3267">
            <v>10001300</v>
          </cell>
          <cell r="G3267">
            <v>40007082</v>
          </cell>
        </row>
        <row r="3268">
          <cell r="E3268" t="str">
            <v>225049-1</v>
          </cell>
          <cell r="F3268">
            <v>10000958</v>
          </cell>
          <cell r="G3268">
            <v>40003867</v>
          </cell>
        </row>
        <row r="3269">
          <cell r="E3269" t="str">
            <v>225046-7</v>
          </cell>
          <cell r="F3269">
            <v>10084089</v>
          </cell>
        </row>
        <row r="3270">
          <cell r="E3270" t="str">
            <v>225044-1</v>
          </cell>
          <cell r="F3270">
            <v>10000952</v>
          </cell>
          <cell r="G3270">
            <v>40007803</v>
          </cell>
        </row>
        <row r="3271">
          <cell r="E3271" t="str">
            <v>424175-5</v>
          </cell>
          <cell r="F3271">
            <v>10050981</v>
          </cell>
          <cell r="G3271">
            <v>40006899</v>
          </cell>
        </row>
        <row r="3272">
          <cell r="E3272">
            <v>38114190</v>
          </cell>
          <cell r="F3272">
            <v>10021216</v>
          </cell>
          <cell r="G3272">
            <v>40007540</v>
          </cell>
        </row>
        <row r="3273">
          <cell r="E3273" t="str">
            <v>692006-8</v>
          </cell>
          <cell r="F3273">
            <v>10004531</v>
          </cell>
        </row>
        <row r="3274">
          <cell r="E3274" t="str">
            <v>692527-0</v>
          </cell>
          <cell r="F3274">
            <v>10035307</v>
          </cell>
          <cell r="G3274">
            <v>40008308</v>
          </cell>
        </row>
        <row r="3275">
          <cell r="E3275" t="str">
            <v>692021-2</v>
          </cell>
          <cell r="F3275">
            <v>10050878</v>
          </cell>
          <cell r="G3275">
            <v>40008291</v>
          </cell>
        </row>
        <row r="3276">
          <cell r="E3276" t="str">
            <v>S-00002</v>
          </cell>
          <cell r="F3276">
            <v>10045847</v>
          </cell>
          <cell r="G3276">
            <v>40007510</v>
          </cell>
        </row>
        <row r="3277">
          <cell r="E3277">
            <v>225271010</v>
          </cell>
          <cell r="F3277">
            <v>10053996</v>
          </cell>
        </row>
        <row r="3278">
          <cell r="E3278" t="str">
            <v>S-00003</v>
          </cell>
          <cell r="F3278">
            <v>10049782</v>
          </cell>
          <cell r="G3278">
            <v>40007882</v>
          </cell>
        </row>
        <row r="3279">
          <cell r="E3279" t="str">
            <v>451208-3</v>
          </cell>
          <cell r="F3279">
            <v>10090076</v>
          </cell>
          <cell r="G3279">
            <v>40005860</v>
          </cell>
        </row>
        <row r="3280">
          <cell r="E3280">
            <v>20245020</v>
          </cell>
          <cell r="F3280">
            <v>10058946</v>
          </cell>
          <cell r="G3280">
            <v>40005740</v>
          </cell>
        </row>
        <row r="3281">
          <cell r="E3281">
            <v>225184012</v>
          </cell>
          <cell r="F3281">
            <v>10029206</v>
          </cell>
          <cell r="G3281">
            <v>40007135</v>
          </cell>
        </row>
        <row r="3282">
          <cell r="E3282">
            <v>369155010</v>
          </cell>
          <cell r="F3282">
            <v>10032161</v>
          </cell>
          <cell r="G3282">
            <v>40007196</v>
          </cell>
        </row>
        <row r="3283">
          <cell r="E3283" t="str">
            <v>168398-2</v>
          </cell>
          <cell r="F3283">
            <v>10042020</v>
          </cell>
          <cell r="G3283">
            <v>40006744</v>
          </cell>
        </row>
        <row r="3284">
          <cell r="E3284" t="str">
            <v>222061-2</v>
          </cell>
          <cell r="F3284">
            <v>10022761</v>
          </cell>
          <cell r="G3284">
            <v>40007615</v>
          </cell>
        </row>
        <row r="3285">
          <cell r="E3285" t="str">
            <v>222062-0</v>
          </cell>
          <cell r="F3285">
            <v>10022760</v>
          </cell>
          <cell r="G3285">
            <v>40007613</v>
          </cell>
        </row>
        <row r="3286">
          <cell r="E3286">
            <v>27245010</v>
          </cell>
          <cell r="F3286">
            <v>10035099</v>
          </cell>
          <cell r="G3286">
            <v>40008114</v>
          </cell>
        </row>
        <row r="3287">
          <cell r="E3287" t="str">
            <v>450956-1</v>
          </cell>
          <cell r="F3287">
            <v>10084085</v>
          </cell>
          <cell r="G3287">
            <v>40006251</v>
          </cell>
        </row>
        <row r="3288">
          <cell r="E3288" t="str">
            <v>452035-1</v>
          </cell>
          <cell r="F3288">
            <v>10103490</v>
          </cell>
          <cell r="G3288">
            <v>40006489</v>
          </cell>
        </row>
        <row r="3289">
          <cell r="E3289" t="str">
            <v>A-83951</v>
          </cell>
          <cell r="F3289">
            <v>10001175</v>
          </cell>
          <cell r="G3289">
            <v>40007411</v>
          </cell>
        </row>
        <row r="3290">
          <cell r="E3290" t="str">
            <v>322702-1</v>
          </cell>
          <cell r="F3290">
            <v>10103482</v>
          </cell>
          <cell r="G3290">
            <v>40006481</v>
          </cell>
        </row>
        <row r="3291">
          <cell r="E3291" t="str">
            <v>792728-1</v>
          </cell>
          <cell r="F3291">
            <v>10006491</v>
          </cell>
          <cell r="G3291">
            <v>40008250</v>
          </cell>
        </row>
        <row r="3292">
          <cell r="E3292">
            <v>975001200</v>
          </cell>
          <cell r="F3292">
            <v>10001199</v>
          </cell>
          <cell r="G3292">
            <v>40007428</v>
          </cell>
        </row>
        <row r="3293">
          <cell r="E3293" t="str">
            <v>417804-7</v>
          </cell>
          <cell r="F3293">
            <v>10065733</v>
          </cell>
        </row>
        <row r="3294">
          <cell r="E3294" t="str">
            <v>JM27000142</v>
          </cell>
          <cell r="F3294">
            <v>10050397</v>
          </cell>
          <cell r="G3294">
            <v>40007940</v>
          </cell>
        </row>
        <row r="3295">
          <cell r="E3295" t="str">
            <v>416333-7</v>
          </cell>
          <cell r="F3295">
            <v>10025370</v>
          </cell>
          <cell r="G3295">
            <v>40007267</v>
          </cell>
        </row>
        <row r="3296">
          <cell r="E3296">
            <v>962900061</v>
          </cell>
          <cell r="F3296">
            <v>10084075</v>
          </cell>
          <cell r="G3296">
            <v>40006239</v>
          </cell>
        </row>
        <row r="3297">
          <cell r="E3297" t="str">
            <v>961052-5</v>
          </cell>
          <cell r="F3297">
            <v>10001089</v>
          </cell>
          <cell r="G3297">
            <v>40007368</v>
          </cell>
        </row>
        <row r="3298">
          <cell r="E3298" t="str">
            <v>452205-2</v>
          </cell>
          <cell r="F3298">
            <v>10061639</v>
          </cell>
          <cell r="G3298">
            <v>40005545</v>
          </cell>
        </row>
        <row r="3299">
          <cell r="E3299" t="str">
            <v>284067-8</v>
          </cell>
          <cell r="F3299">
            <v>10063005</v>
          </cell>
          <cell r="G3299">
            <v>40005992</v>
          </cell>
        </row>
        <row r="3300">
          <cell r="E3300" t="str">
            <v>418726-4</v>
          </cell>
          <cell r="F3300">
            <v>10084071</v>
          </cell>
          <cell r="G3300">
            <v>40006233</v>
          </cell>
        </row>
        <row r="3301">
          <cell r="E3301" t="str">
            <v>418981-8</v>
          </cell>
          <cell r="F3301">
            <v>10066780</v>
          </cell>
          <cell r="G3301">
            <v>40006438</v>
          </cell>
        </row>
        <row r="3302">
          <cell r="E3302" t="str">
            <v>453394-6</v>
          </cell>
          <cell r="F3302">
            <v>10054694</v>
          </cell>
          <cell r="G3302">
            <v>40006088</v>
          </cell>
        </row>
        <row r="3303">
          <cell r="E3303" t="str">
            <v>455011-4</v>
          </cell>
          <cell r="F3303">
            <v>10061636</v>
          </cell>
          <cell r="G3303">
            <v>40005539</v>
          </cell>
        </row>
        <row r="3304">
          <cell r="E3304" t="str">
            <v>411425-7</v>
          </cell>
          <cell r="F3304">
            <v>10001326</v>
          </cell>
          <cell r="G3304">
            <v>40007102</v>
          </cell>
        </row>
        <row r="3305">
          <cell r="E3305" t="str">
            <v>A0711-0344</v>
          </cell>
          <cell r="F3305">
            <v>10050103</v>
          </cell>
          <cell r="G3305">
            <v>40007918</v>
          </cell>
        </row>
        <row r="3306">
          <cell r="E3306" t="str">
            <v>681666-1</v>
          </cell>
          <cell r="F3306">
            <v>10056253</v>
          </cell>
        </row>
        <row r="3307">
          <cell r="E3307" t="str">
            <v>285802-7</v>
          </cell>
          <cell r="F3307">
            <v>10057247</v>
          </cell>
          <cell r="G3307">
            <v>40005694</v>
          </cell>
        </row>
        <row r="3308">
          <cell r="E3308" t="str">
            <v>344871-8</v>
          </cell>
          <cell r="F3308">
            <v>10065736</v>
          </cell>
          <cell r="G3308">
            <v>40006404</v>
          </cell>
        </row>
        <row r="3309">
          <cell r="E3309" t="str">
            <v>141028-0</v>
          </cell>
          <cell r="F3309">
            <v>10059971</v>
          </cell>
          <cell r="G3309">
            <v>40006300</v>
          </cell>
        </row>
        <row r="3310">
          <cell r="E3310" t="str">
            <v>158869-7</v>
          </cell>
          <cell r="F3310">
            <v>10046801</v>
          </cell>
          <cell r="G3310">
            <v>40006956</v>
          </cell>
        </row>
        <row r="3311">
          <cell r="E3311" t="str">
            <v>152947-5</v>
          </cell>
          <cell r="F3311">
            <v>10001047</v>
          </cell>
          <cell r="G3311">
            <v>40007344</v>
          </cell>
        </row>
        <row r="3312">
          <cell r="E3312" t="str">
            <v>153334-1</v>
          </cell>
          <cell r="F3312">
            <v>10001270</v>
          </cell>
          <cell r="G3312">
            <v>40007065</v>
          </cell>
        </row>
        <row r="3313">
          <cell r="E3313" t="str">
            <v>322699-4</v>
          </cell>
          <cell r="F3313">
            <v>10002313</v>
          </cell>
        </row>
        <row r="3314">
          <cell r="E3314" t="str">
            <v>322987-9</v>
          </cell>
          <cell r="F3314">
            <v>10059208</v>
          </cell>
          <cell r="G3314">
            <v>40006286</v>
          </cell>
        </row>
        <row r="3315">
          <cell r="E3315" t="str">
            <v>324135-6</v>
          </cell>
          <cell r="F3315">
            <v>10034208</v>
          </cell>
          <cell r="G3315">
            <v>40008059</v>
          </cell>
        </row>
        <row r="3316">
          <cell r="E3316" t="str">
            <v>961002-0</v>
          </cell>
          <cell r="F3316">
            <v>10074923</v>
          </cell>
          <cell r="G3316">
            <v>40006169</v>
          </cell>
        </row>
        <row r="3317">
          <cell r="E3317" t="str">
            <v>962151-6</v>
          </cell>
          <cell r="F3317">
            <v>10054006</v>
          </cell>
          <cell r="G3317">
            <v>40006076</v>
          </cell>
        </row>
        <row r="3318">
          <cell r="E3318" t="str">
            <v>961006-2</v>
          </cell>
          <cell r="F3318">
            <v>10061640</v>
          </cell>
          <cell r="G3318">
            <v>40005547</v>
          </cell>
        </row>
        <row r="3319">
          <cell r="E3319" t="str">
            <v>JM23100043</v>
          </cell>
          <cell r="F3319">
            <v>10084260</v>
          </cell>
          <cell r="G3319">
            <v>40006272</v>
          </cell>
        </row>
        <row r="3320">
          <cell r="E3320" t="str">
            <v>JM23200022</v>
          </cell>
          <cell r="F3320">
            <v>10063050</v>
          </cell>
          <cell r="G3320">
            <v>40006023</v>
          </cell>
        </row>
        <row r="3321">
          <cell r="E3321" t="str">
            <v>961003-8</v>
          </cell>
          <cell r="F3321">
            <v>10047470</v>
          </cell>
          <cell r="G3321">
            <v>40006967</v>
          </cell>
        </row>
        <row r="3322">
          <cell r="E3322" t="str">
            <v>961055-9</v>
          </cell>
          <cell r="F3322">
            <v>10044750</v>
          </cell>
          <cell r="G3322">
            <v>40006788</v>
          </cell>
        </row>
        <row r="3323">
          <cell r="E3323" t="str">
            <v>259033-4</v>
          </cell>
          <cell r="F3323">
            <v>10051023</v>
          </cell>
          <cell r="G3323">
            <v>40006928</v>
          </cell>
        </row>
        <row r="3324">
          <cell r="E3324" t="str">
            <v>961057-5</v>
          </cell>
          <cell r="F3324">
            <v>10062948</v>
          </cell>
          <cell r="G3324">
            <v>40005953</v>
          </cell>
        </row>
        <row r="3325">
          <cell r="E3325" t="str">
            <v>961108-4</v>
          </cell>
          <cell r="F3325">
            <v>10063001</v>
          </cell>
          <cell r="G3325">
            <v>40005989</v>
          </cell>
        </row>
        <row r="3326">
          <cell r="E3326" t="str">
            <v>961155-5</v>
          </cell>
          <cell r="F3326">
            <v>10060290</v>
          </cell>
          <cell r="G3326">
            <v>40006311</v>
          </cell>
        </row>
        <row r="3327">
          <cell r="E3327" t="str">
            <v>961005-4</v>
          </cell>
          <cell r="F3327">
            <v>10062969</v>
          </cell>
          <cell r="G3327">
            <v>40005964</v>
          </cell>
        </row>
        <row r="3328">
          <cell r="E3328" t="str">
            <v>154530-4</v>
          </cell>
          <cell r="F3328">
            <v>10001205</v>
          </cell>
          <cell r="G3328">
            <v>40007432</v>
          </cell>
        </row>
        <row r="3329">
          <cell r="E3329">
            <v>36163010</v>
          </cell>
          <cell r="F3329">
            <v>10021676</v>
          </cell>
          <cell r="G3329">
            <v>40007553</v>
          </cell>
        </row>
        <row r="3330">
          <cell r="E3330">
            <v>20224070</v>
          </cell>
          <cell r="F3330">
            <v>10022542</v>
          </cell>
          <cell r="G3330">
            <v>40007571</v>
          </cell>
        </row>
        <row r="3331">
          <cell r="E3331">
            <v>119224070</v>
          </cell>
          <cell r="F3331">
            <v>10002336</v>
          </cell>
          <cell r="G3331">
            <v>40008146</v>
          </cell>
        </row>
        <row r="3332">
          <cell r="E3332" t="str">
            <v>324402-9</v>
          </cell>
          <cell r="F3332">
            <v>10053572</v>
          </cell>
          <cell r="G3332">
            <v>40006702</v>
          </cell>
        </row>
        <row r="3333">
          <cell r="E3333" t="str">
            <v>257010-0</v>
          </cell>
          <cell r="F3333">
            <v>10023865</v>
          </cell>
          <cell r="G3333">
            <v>40007653</v>
          </cell>
        </row>
        <row r="3334">
          <cell r="E3334" t="str">
            <v>257173-2</v>
          </cell>
          <cell r="F3334">
            <v>10050904</v>
          </cell>
          <cell r="G3334">
            <v>40006849</v>
          </cell>
        </row>
        <row r="3335">
          <cell r="E3335" t="str">
            <v>257018-4</v>
          </cell>
          <cell r="F3335">
            <v>10047475</v>
          </cell>
          <cell r="G3335">
            <v>40006971</v>
          </cell>
        </row>
        <row r="3336">
          <cell r="E3336" t="str">
            <v>257060-5</v>
          </cell>
          <cell r="F3336">
            <v>10022599</v>
          </cell>
          <cell r="G3336">
            <v>40007598</v>
          </cell>
        </row>
        <row r="3337">
          <cell r="E3337" t="str">
            <v>257022-3</v>
          </cell>
          <cell r="F3337">
            <v>10001334</v>
          </cell>
          <cell r="G3337">
            <v>40007106</v>
          </cell>
        </row>
        <row r="3338">
          <cell r="E3338" t="str">
            <v>257185-5</v>
          </cell>
          <cell r="F3338">
            <v>10037139</v>
          </cell>
          <cell r="G3338">
            <v>40008000</v>
          </cell>
        </row>
        <row r="3339">
          <cell r="E3339" t="str">
            <v>257279-6</v>
          </cell>
          <cell r="F3339">
            <v>10046808</v>
          </cell>
          <cell r="G3339">
            <v>40006959</v>
          </cell>
        </row>
        <row r="3340">
          <cell r="E3340" t="str">
            <v>257288-5</v>
          </cell>
          <cell r="F3340">
            <v>10062452</v>
          </cell>
          <cell r="G3340">
            <v>40005577</v>
          </cell>
        </row>
        <row r="3341">
          <cell r="E3341" t="str">
            <v>257241-1</v>
          </cell>
          <cell r="F3341">
            <v>10001317</v>
          </cell>
          <cell r="G3341">
            <v>40007094</v>
          </cell>
        </row>
        <row r="3342">
          <cell r="E3342" t="str">
            <v>257104-1</v>
          </cell>
          <cell r="F3342">
            <v>10057228</v>
          </cell>
          <cell r="G3342">
            <v>40005682</v>
          </cell>
        </row>
        <row r="3343">
          <cell r="E3343" t="str">
            <v>257268-1</v>
          </cell>
          <cell r="F3343">
            <v>10064617</v>
          </cell>
          <cell r="G3343">
            <v>40006395</v>
          </cell>
        </row>
        <row r="3344">
          <cell r="E3344" t="str">
            <v>257206-3</v>
          </cell>
          <cell r="F3344">
            <v>10063000</v>
          </cell>
          <cell r="G3344">
            <v>40005988</v>
          </cell>
        </row>
        <row r="3345">
          <cell r="E3345" t="str">
            <v>152841-1</v>
          </cell>
          <cell r="F3345">
            <v>10031413</v>
          </cell>
          <cell r="G3345">
            <v>40007181</v>
          </cell>
        </row>
        <row r="3346">
          <cell r="E3346" t="str">
            <v>257163-5</v>
          </cell>
          <cell r="F3346">
            <v>10001197</v>
          </cell>
          <cell r="G3346">
            <v>40007427</v>
          </cell>
        </row>
        <row r="3347">
          <cell r="E3347" t="str">
            <v>257162-7</v>
          </cell>
          <cell r="F3347">
            <v>10002110</v>
          </cell>
          <cell r="G3347">
            <v>40007648</v>
          </cell>
        </row>
        <row r="3348">
          <cell r="E3348" t="str">
            <v>324218-2</v>
          </cell>
          <cell r="F3348">
            <v>10034490</v>
          </cell>
        </row>
        <row r="3349">
          <cell r="E3349" t="str">
            <v>231951-8</v>
          </cell>
          <cell r="F3349">
            <v>10050882</v>
          </cell>
          <cell r="G3349">
            <v>40006808</v>
          </cell>
        </row>
        <row r="3350">
          <cell r="E3350" t="str">
            <v>233940-9</v>
          </cell>
          <cell r="F3350">
            <v>10025681</v>
          </cell>
          <cell r="G3350">
            <v>40007278</v>
          </cell>
        </row>
        <row r="3351">
          <cell r="E3351" t="str">
            <v>231940-3</v>
          </cell>
          <cell r="F3351">
            <v>10002671</v>
          </cell>
          <cell r="G3351">
            <v>40008221</v>
          </cell>
        </row>
        <row r="3352">
          <cell r="E3352" t="str">
            <v>231985-1</v>
          </cell>
          <cell r="F3352">
            <v>10066222</v>
          </cell>
          <cell r="G3352">
            <v>40006431</v>
          </cell>
        </row>
        <row r="3353">
          <cell r="E3353" t="str">
            <v>233929-7</v>
          </cell>
          <cell r="F3353">
            <v>10058413</v>
          </cell>
          <cell r="G3353">
            <v>40005731</v>
          </cell>
        </row>
        <row r="3354">
          <cell r="E3354" t="str">
            <v>233937-8</v>
          </cell>
          <cell r="F3354">
            <v>10064616</v>
          </cell>
          <cell r="G3354">
            <v>40006394</v>
          </cell>
        </row>
        <row r="3355">
          <cell r="E3355" t="str">
            <v>233950-6</v>
          </cell>
          <cell r="F3355">
            <v>10054786</v>
          </cell>
          <cell r="G3355">
            <v>40006095</v>
          </cell>
        </row>
        <row r="3356">
          <cell r="E3356" t="str">
            <v>233979-2</v>
          </cell>
          <cell r="F3356">
            <v>10064437</v>
          </cell>
          <cell r="G3356">
            <v>40006376</v>
          </cell>
        </row>
        <row r="3357">
          <cell r="E3357" t="str">
            <v>233917-4</v>
          </cell>
          <cell r="F3357">
            <v>10034494</v>
          </cell>
          <cell r="G3357">
            <v>40008091</v>
          </cell>
        </row>
        <row r="3358">
          <cell r="E3358" t="str">
            <v>233918-2</v>
          </cell>
          <cell r="F3358">
            <v>10034483</v>
          </cell>
          <cell r="G3358">
            <v>40008084</v>
          </cell>
        </row>
        <row r="3359">
          <cell r="E3359" t="str">
            <v>231936-4</v>
          </cell>
          <cell r="F3359">
            <v>10002330</v>
          </cell>
          <cell r="G3359">
            <v>40008275</v>
          </cell>
        </row>
        <row r="3360">
          <cell r="E3360" t="str">
            <v>231955-0</v>
          </cell>
          <cell r="F3360">
            <v>10054806</v>
          </cell>
          <cell r="G3360">
            <v>40006114</v>
          </cell>
        </row>
        <row r="3361">
          <cell r="E3361" t="str">
            <v>231928-3</v>
          </cell>
          <cell r="F3361">
            <v>10103477</v>
          </cell>
          <cell r="G3361">
            <v>40006477</v>
          </cell>
        </row>
        <row r="3362">
          <cell r="E3362" t="str">
            <v>654020-2</v>
          </cell>
          <cell r="F3362">
            <v>10004533</v>
          </cell>
          <cell r="G3362">
            <v>40008241</v>
          </cell>
        </row>
        <row r="3363">
          <cell r="E3363" t="str">
            <v>654018-9</v>
          </cell>
          <cell r="F3363">
            <v>10002380</v>
          </cell>
          <cell r="G3363">
            <v>40008184</v>
          </cell>
        </row>
        <row r="3364">
          <cell r="E3364" t="str">
            <v>JM27000202</v>
          </cell>
          <cell r="F3364">
            <v>10050402</v>
          </cell>
          <cell r="G3364">
            <v>40007945</v>
          </cell>
        </row>
        <row r="3365">
          <cell r="E3365" t="str">
            <v>JM27000150</v>
          </cell>
          <cell r="F3365">
            <v>10103498</v>
          </cell>
          <cell r="G3365">
            <v>40006495</v>
          </cell>
        </row>
        <row r="3366">
          <cell r="E3366" t="str">
            <v>454825-8</v>
          </cell>
          <cell r="F3366">
            <v>10061625</v>
          </cell>
          <cell r="G3366">
            <v>40006367</v>
          </cell>
        </row>
        <row r="3367">
          <cell r="E3367" t="str">
            <v>419413-8</v>
          </cell>
          <cell r="F3367">
            <v>10053994</v>
          </cell>
          <cell r="G3367">
            <v>40006066</v>
          </cell>
        </row>
        <row r="3368">
          <cell r="E3368" t="str">
            <v>168282-1</v>
          </cell>
          <cell r="F3368">
            <v>10001048</v>
          </cell>
        </row>
        <row r="3369">
          <cell r="E3369" t="str">
            <v>312956-8</v>
          </cell>
          <cell r="F3369">
            <v>10062445</v>
          </cell>
          <cell r="G3369">
            <v>40005574</v>
          </cell>
        </row>
        <row r="3370">
          <cell r="E3370" t="str">
            <v>416123-8</v>
          </cell>
          <cell r="F3370">
            <v>10064615</v>
          </cell>
          <cell r="G3370">
            <v>40006393</v>
          </cell>
        </row>
        <row r="3371">
          <cell r="E3371" t="str">
            <v>135482-8</v>
          </cell>
          <cell r="F3371">
            <v>10049434</v>
          </cell>
          <cell r="G3371">
            <v>40007018</v>
          </cell>
        </row>
        <row r="3372">
          <cell r="E3372" t="str">
            <v>135060-4</v>
          </cell>
          <cell r="F3372">
            <v>10032155</v>
          </cell>
          <cell r="G3372">
            <v>40007193</v>
          </cell>
        </row>
        <row r="3373">
          <cell r="E3373" t="str">
            <v>162216-6</v>
          </cell>
          <cell r="F3373">
            <v>10103473</v>
          </cell>
          <cell r="G3373">
            <v>40006469</v>
          </cell>
        </row>
        <row r="3374">
          <cell r="E3374" t="str">
            <v>424193-3</v>
          </cell>
          <cell r="F3374">
            <v>10064415</v>
          </cell>
          <cell r="G3374">
            <v>40006356</v>
          </cell>
        </row>
        <row r="3375">
          <cell r="E3375" t="str">
            <v>JM27000309</v>
          </cell>
          <cell r="F3375">
            <v>10002319</v>
          </cell>
          <cell r="G3375">
            <v>40007741</v>
          </cell>
        </row>
        <row r="3376">
          <cell r="E3376">
            <v>3640940</v>
          </cell>
          <cell r="F3376">
            <v>10103485</v>
          </cell>
          <cell r="G3376">
            <v>40006484</v>
          </cell>
        </row>
        <row r="3377">
          <cell r="E3377" t="str">
            <v>619336-2</v>
          </cell>
          <cell r="F3377">
            <v>10061629</v>
          </cell>
          <cell r="G3377">
            <v>40006717</v>
          </cell>
        </row>
        <row r="3378">
          <cell r="E3378" t="str">
            <v>AL00000020</v>
          </cell>
          <cell r="F3378">
            <v>10040955</v>
          </cell>
        </row>
        <row r="3379">
          <cell r="E3379" t="str">
            <v>AL00000070</v>
          </cell>
          <cell r="F3379">
            <v>10040952</v>
          </cell>
        </row>
        <row r="3380">
          <cell r="E3380" t="str">
            <v>510329-1</v>
          </cell>
          <cell r="F3380">
            <v>10103491</v>
          </cell>
        </row>
        <row r="3381">
          <cell r="E3381" t="str">
            <v>619393-0</v>
          </cell>
          <cell r="F3381">
            <v>10098927</v>
          </cell>
          <cell r="G3381">
            <v>40005921</v>
          </cell>
        </row>
        <row r="3382">
          <cell r="E3382" t="str">
            <v>619415-6</v>
          </cell>
          <cell r="F3382">
            <v>10098928</v>
          </cell>
          <cell r="G3382">
            <v>40005922</v>
          </cell>
        </row>
        <row r="3383">
          <cell r="E3383">
            <v>965403430</v>
          </cell>
          <cell r="F3383">
            <v>10038465</v>
          </cell>
          <cell r="G3383">
            <v>40008008</v>
          </cell>
        </row>
        <row r="3384">
          <cell r="E3384">
            <v>965403491</v>
          </cell>
          <cell r="F3384">
            <v>10002160</v>
          </cell>
          <cell r="G3384">
            <v>40007649</v>
          </cell>
        </row>
        <row r="3385">
          <cell r="E3385">
            <v>27213150</v>
          </cell>
          <cell r="F3385">
            <v>10038688</v>
          </cell>
          <cell r="G3385">
            <v>40008016</v>
          </cell>
        </row>
        <row r="3386">
          <cell r="E3386" t="str">
            <v>421763-9</v>
          </cell>
          <cell r="F3386">
            <v>10024501</v>
          </cell>
          <cell r="G3386">
            <v>40007250</v>
          </cell>
        </row>
        <row r="3387">
          <cell r="E3387" t="str">
            <v>421007-7</v>
          </cell>
          <cell r="F3387">
            <v>10001085</v>
          </cell>
        </row>
        <row r="3388">
          <cell r="E3388" t="str">
            <v>421147-1</v>
          </cell>
          <cell r="F3388">
            <v>10066774</v>
          </cell>
        </row>
        <row r="3389">
          <cell r="E3389" t="str">
            <v>743002-0</v>
          </cell>
          <cell r="F3389">
            <v>10001131</v>
          </cell>
          <cell r="G3389">
            <v>40007388</v>
          </cell>
        </row>
        <row r="3390">
          <cell r="E3390" t="str">
            <v>743009-6</v>
          </cell>
          <cell r="F3390">
            <v>10001130</v>
          </cell>
          <cell r="G3390">
            <v>40007387</v>
          </cell>
        </row>
        <row r="3391">
          <cell r="E3391" t="str">
            <v>263002-9</v>
          </cell>
          <cell r="F3391">
            <v>10026308</v>
          </cell>
          <cell r="G3391">
            <v>40007303</v>
          </cell>
        </row>
        <row r="3392">
          <cell r="E3392" t="str">
            <v>263005-3</v>
          </cell>
          <cell r="F3392">
            <v>10035221</v>
          </cell>
          <cell r="G3392">
            <v>40008137</v>
          </cell>
        </row>
        <row r="3393">
          <cell r="E3393" t="str">
            <v>424058-9</v>
          </cell>
          <cell r="F3393">
            <v>10066224</v>
          </cell>
          <cell r="G3393">
            <v>40006432</v>
          </cell>
        </row>
        <row r="3394">
          <cell r="E3394" t="str">
            <v>421868-5</v>
          </cell>
          <cell r="F3394">
            <v>10038961</v>
          </cell>
          <cell r="G3394">
            <v>40010344</v>
          </cell>
        </row>
        <row r="3395">
          <cell r="E3395" t="str">
            <v>421479-6</v>
          </cell>
          <cell r="F3395">
            <v>10043512</v>
          </cell>
          <cell r="G3395">
            <v>40006770</v>
          </cell>
        </row>
        <row r="3396">
          <cell r="E3396" t="str">
            <v>262074-1</v>
          </cell>
          <cell r="F3396">
            <v>10033978</v>
          </cell>
          <cell r="G3396">
            <v>40007712</v>
          </cell>
        </row>
        <row r="3397">
          <cell r="E3397" t="str">
            <v>421490-8</v>
          </cell>
          <cell r="F3397">
            <v>10057238</v>
          </cell>
          <cell r="G3397">
            <v>40005688</v>
          </cell>
        </row>
        <row r="3398">
          <cell r="E3398" t="str">
            <v>421738-8</v>
          </cell>
          <cell r="F3398">
            <v>10054832</v>
          </cell>
          <cell r="G3398">
            <v>40006132</v>
          </cell>
        </row>
        <row r="3399">
          <cell r="E3399" t="str">
            <v>421808-3</v>
          </cell>
          <cell r="F3399">
            <v>10021680</v>
          </cell>
          <cell r="G3399">
            <v>40007555</v>
          </cell>
        </row>
        <row r="3400">
          <cell r="E3400" t="str">
            <v>262502-6</v>
          </cell>
          <cell r="F3400">
            <v>10057248</v>
          </cell>
          <cell r="G3400">
            <v>40005695</v>
          </cell>
        </row>
        <row r="3401">
          <cell r="E3401" t="str">
            <v>262556-3</v>
          </cell>
          <cell r="F3401">
            <v>10060294</v>
          </cell>
          <cell r="G3401">
            <v>40006315</v>
          </cell>
        </row>
        <row r="3402">
          <cell r="E3402" t="str">
            <v>262536-9</v>
          </cell>
          <cell r="F3402">
            <v>10001142</v>
          </cell>
          <cell r="G3402">
            <v>40007396</v>
          </cell>
        </row>
        <row r="3403">
          <cell r="E3403" t="str">
            <v>262557-1</v>
          </cell>
          <cell r="F3403">
            <v>10050086</v>
          </cell>
          <cell r="G3403">
            <v>40007902</v>
          </cell>
        </row>
        <row r="3404">
          <cell r="E3404" t="str">
            <v>261109-5</v>
          </cell>
          <cell r="F3404">
            <v>10016347</v>
          </cell>
          <cell r="G3404">
            <v>40007523</v>
          </cell>
        </row>
        <row r="3405">
          <cell r="E3405" t="str">
            <v>424364-2</v>
          </cell>
          <cell r="F3405">
            <v>10064426</v>
          </cell>
          <cell r="G3405">
            <v>40006370</v>
          </cell>
        </row>
        <row r="3406">
          <cell r="E3406" t="str">
            <v>421494-0</v>
          </cell>
          <cell r="F3406">
            <v>10001084</v>
          </cell>
          <cell r="G3406">
            <v>40007365</v>
          </cell>
        </row>
        <row r="3407">
          <cell r="E3407" t="str">
            <v>227424-7</v>
          </cell>
          <cell r="F3407">
            <v>10001223</v>
          </cell>
          <cell r="G3407">
            <v>40007030</v>
          </cell>
        </row>
        <row r="3408">
          <cell r="E3408" t="str">
            <v>418150-1</v>
          </cell>
          <cell r="F3408">
            <v>10053185</v>
          </cell>
          <cell r="G3408">
            <v>40006657</v>
          </cell>
        </row>
        <row r="3409">
          <cell r="E3409" t="str">
            <v>450131-9</v>
          </cell>
          <cell r="F3409">
            <v>10002195</v>
          </cell>
        </row>
        <row r="3410">
          <cell r="E3410" t="str">
            <v>164744-7</v>
          </cell>
          <cell r="F3410">
            <v>10030433</v>
          </cell>
          <cell r="G3410">
            <v>40007153</v>
          </cell>
        </row>
        <row r="3411">
          <cell r="E3411" t="str">
            <v>165367-4</v>
          </cell>
          <cell r="F3411">
            <v>10023859</v>
          </cell>
          <cell r="G3411">
            <v>40007637</v>
          </cell>
        </row>
        <row r="3412">
          <cell r="E3412" t="str">
            <v>165368-2</v>
          </cell>
          <cell r="F3412">
            <v>10053986</v>
          </cell>
          <cell r="G3412">
            <v>40006061</v>
          </cell>
        </row>
        <row r="3413">
          <cell r="E3413" t="str">
            <v>418326-0</v>
          </cell>
          <cell r="F3413">
            <v>10053983</v>
          </cell>
          <cell r="G3413">
            <v>40006058</v>
          </cell>
        </row>
        <row r="3414">
          <cell r="E3414" t="str">
            <v>450130-1</v>
          </cell>
          <cell r="F3414">
            <v>10001280</v>
          </cell>
        </row>
        <row r="3415">
          <cell r="E3415" t="str">
            <v>453297-4</v>
          </cell>
          <cell r="F3415">
            <v>10029207</v>
          </cell>
        </row>
        <row r="3416">
          <cell r="E3416" t="str">
            <v>458785-6</v>
          </cell>
          <cell r="F3416">
            <v>10097879</v>
          </cell>
          <cell r="G3416">
            <v>40005914</v>
          </cell>
        </row>
        <row r="3417">
          <cell r="E3417" t="str">
            <v>451754-6</v>
          </cell>
          <cell r="F3417">
            <v>10062951</v>
          </cell>
          <cell r="G3417">
            <v>40005954</v>
          </cell>
        </row>
        <row r="3418">
          <cell r="E3418" t="str">
            <v>JM2300006</v>
          </cell>
          <cell r="F3418">
            <v>10002191</v>
          </cell>
        </row>
        <row r="3419">
          <cell r="E3419" t="str">
            <v>416003-8</v>
          </cell>
          <cell r="F3419">
            <v>10002661</v>
          </cell>
          <cell r="G3419">
            <v>40008214</v>
          </cell>
        </row>
        <row r="3420">
          <cell r="E3420" t="str">
            <v>451197-2</v>
          </cell>
          <cell r="F3420">
            <v>10097878</v>
          </cell>
          <cell r="G3420">
            <v>40005913</v>
          </cell>
        </row>
        <row r="3421">
          <cell r="E3421" t="str">
            <v>450047-8</v>
          </cell>
          <cell r="F3421">
            <v>10014410</v>
          </cell>
          <cell r="G3421">
            <v>40008316</v>
          </cell>
        </row>
        <row r="3422">
          <cell r="E3422" t="str">
            <v>165125-8</v>
          </cell>
          <cell r="F3422">
            <v>10045946</v>
          </cell>
          <cell r="G3422">
            <v>40006917</v>
          </cell>
        </row>
        <row r="3423">
          <cell r="E3423">
            <v>927304000</v>
          </cell>
          <cell r="F3423">
            <v>10058940</v>
          </cell>
          <cell r="G3423">
            <v>40005737</v>
          </cell>
        </row>
        <row r="3424">
          <cell r="E3424">
            <v>927306000</v>
          </cell>
          <cell r="F3424">
            <v>10024492</v>
          </cell>
          <cell r="G3424">
            <v>40007247</v>
          </cell>
        </row>
        <row r="3425">
          <cell r="E3425" t="str">
            <v>JM23000072</v>
          </cell>
          <cell r="F3425">
            <v>10090077</v>
          </cell>
        </row>
        <row r="3426">
          <cell r="E3426">
            <v>930110120</v>
          </cell>
          <cell r="F3426">
            <v>10001104</v>
          </cell>
          <cell r="G3426">
            <v>40007373</v>
          </cell>
        </row>
        <row r="3427">
          <cell r="E3427" t="str">
            <v>416540-2</v>
          </cell>
          <cell r="F3427">
            <v>10002175</v>
          </cell>
          <cell r="G3427">
            <v>40007664</v>
          </cell>
        </row>
        <row r="3428">
          <cell r="E3428" t="str">
            <v>251897-2</v>
          </cell>
          <cell r="F3428">
            <v>10054015</v>
          </cell>
          <cell r="G3428">
            <v>40006083</v>
          </cell>
        </row>
        <row r="3429">
          <cell r="E3429" t="str">
            <v>317977-5</v>
          </cell>
          <cell r="F3429">
            <v>10033970</v>
          </cell>
          <cell r="G3429">
            <v>40010368</v>
          </cell>
        </row>
        <row r="3430">
          <cell r="E3430">
            <v>320266007</v>
          </cell>
          <cell r="F3430">
            <v>10032871</v>
          </cell>
          <cell r="G3430">
            <v>40007201</v>
          </cell>
        </row>
        <row r="3431">
          <cell r="E3431" t="str">
            <v>251426-1</v>
          </cell>
          <cell r="F3431">
            <v>10025402</v>
          </cell>
          <cell r="G3431">
            <v>40007271</v>
          </cell>
        </row>
        <row r="3432">
          <cell r="E3432">
            <v>901505354</v>
          </cell>
          <cell r="F3432">
            <v>10002347</v>
          </cell>
          <cell r="G3432">
            <v>40008162</v>
          </cell>
        </row>
        <row r="3433">
          <cell r="E3433">
            <v>908305405</v>
          </cell>
          <cell r="F3433">
            <v>10024485</v>
          </cell>
          <cell r="G3433">
            <v>40007243</v>
          </cell>
        </row>
        <row r="3434">
          <cell r="E3434">
            <v>908405205</v>
          </cell>
          <cell r="F3434">
            <v>10024486</v>
          </cell>
          <cell r="G3434">
            <v>40007244</v>
          </cell>
        </row>
        <row r="3435">
          <cell r="E3435" t="str">
            <v>915106-0</v>
          </cell>
          <cell r="F3435">
            <v>10033976</v>
          </cell>
          <cell r="G3435">
            <v>40007233</v>
          </cell>
        </row>
        <row r="3436">
          <cell r="E3436">
            <v>915835100</v>
          </cell>
          <cell r="F3436">
            <v>10002344</v>
          </cell>
        </row>
        <row r="3437">
          <cell r="E3437" t="str">
            <v>D-31011</v>
          </cell>
          <cell r="F3437">
            <v>10093979</v>
          </cell>
          <cell r="G3437">
            <v>40005877</v>
          </cell>
        </row>
        <row r="3438">
          <cell r="E3438" t="str">
            <v>JM27000169</v>
          </cell>
          <cell r="F3438">
            <v>10097880</v>
          </cell>
          <cell r="G3438">
            <v>40005915</v>
          </cell>
        </row>
        <row r="3439">
          <cell r="E3439">
            <v>3640830</v>
          </cell>
          <cell r="F3439">
            <v>10062592</v>
          </cell>
          <cell r="G3439">
            <v>40005631</v>
          </cell>
        </row>
        <row r="3440">
          <cell r="E3440" t="str">
            <v>911211-1</v>
          </cell>
          <cell r="F3440">
            <v>10033827</v>
          </cell>
          <cell r="G3440">
            <v>40007218</v>
          </cell>
        </row>
        <row r="3441">
          <cell r="E3441" t="str">
            <v>251887-5</v>
          </cell>
          <cell r="F3441">
            <v>10057149</v>
          </cell>
          <cell r="G3441">
            <v>40005675</v>
          </cell>
        </row>
        <row r="3442">
          <cell r="E3442" t="str">
            <v>266132-5</v>
          </cell>
          <cell r="F3442">
            <v>10002349</v>
          </cell>
          <cell r="G3442">
            <v>40008166</v>
          </cell>
        </row>
        <row r="3443">
          <cell r="E3443" t="str">
            <v>D-00175</v>
          </cell>
          <cell r="F3443">
            <v>10001215</v>
          </cell>
          <cell r="G3443">
            <v>40007937</v>
          </cell>
        </row>
        <row r="3444">
          <cell r="E3444" t="str">
            <v>D-17784</v>
          </cell>
          <cell r="F3444">
            <v>10001266</v>
          </cell>
          <cell r="G3444">
            <v>40007061</v>
          </cell>
        </row>
        <row r="3445">
          <cell r="E3445" t="str">
            <v>324821-9</v>
          </cell>
          <cell r="F3445">
            <v>10074915</v>
          </cell>
          <cell r="G3445">
            <v>40006161</v>
          </cell>
        </row>
        <row r="3446">
          <cell r="E3446" t="str">
            <v>346470-2</v>
          </cell>
          <cell r="F3446">
            <v>10049445</v>
          </cell>
          <cell r="G3446">
            <v>40007029</v>
          </cell>
        </row>
        <row r="3447">
          <cell r="E3447" t="str">
            <v>421886-3</v>
          </cell>
          <cell r="F3447">
            <v>10050094</v>
          </cell>
          <cell r="G3447">
            <v>40007910</v>
          </cell>
        </row>
        <row r="3448">
          <cell r="E3448" t="str">
            <v>424048-2</v>
          </cell>
          <cell r="F3448">
            <v>10063007</v>
          </cell>
          <cell r="G3448">
            <v>40005994</v>
          </cell>
        </row>
        <row r="3449">
          <cell r="E3449" t="str">
            <v>421887-1</v>
          </cell>
          <cell r="F3449">
            <v>10050095</v>
          </cell>
        </row>
        <row r="3450">
          <cell r="E3450" t="str">
            <v>424049-0</v>
          </cell>
          <cell r="F3450">
            <v>10063008</v>
          </cell>
          <cell r="G3450">
            <v>40005995</v>
          </cell>
        </row>
        <row r="3451">
          <cell r="E3451" t="str">
            <v>421888-9</v>
          </cell>
          <cell r="F3451">
            <v>10063013</v>
          </cell>
          <cell r="G3451">
            <v>40005999</v>
          </cell>
        </row>
        <row r="3452">
          <cell r="E3452" t="str">
            <v>421731-2</v>
          </cell>
          <cell r="F3452">
            <v>10061302</v>
          </cell>
          <cell r="G3452">
            <v>40006340</v>
          </cell>
        </row>
        <row r="3453">
          <cell r="E3453" t="str">
            <v>259039-2</v>
          </cell>
          <cell r="F3453">
            <v>10050964</v>
          </cell>
          <cell r="G3453">
            <v>40006887</v>
          </cell>
        </row>
        <row r="3454">
          <cell r="E3454">
            <v>957150100</v>
          </cell>
          <cell r="F3454">
            <v>10025874</v>
          </cell>
          <cell r="G3454">
            <v>40007297</v>
          </cell>
        </row>
        <row r="3455">
          <cell r="E3455" t="str">
            <v>193540-6</v>
          </cell>
          <cell r="F3455">
            <v>10103474</v>
          </cell>
          <cell r="G3455">
            <v>40006471</v>
          </cell>
        </row>
        <row r="3456">
          <cell r="E3456" t="str">
            <v>343692-5</v>
          </cell>
          <cell r="F3456">
            <v>10001177</v>
          </cell>
          <cell r="G3456">
            <v>40007412</v>
          </cell>
        </row>
        <row r="3457">
          <cell r="E3457" t="str">
            <v>343682-8</v>
          </cell>
          <cell r="F3457">
            <v>10003834</v>
          </cell>
          <cell r="G3457">
            <v>40008239</v>
          </cell>
        </row>
        <row r="3458">
          <cell r="E3458" t="str">
            <v>168349-5</v>
          </cell>
          <cell r="F3458">
            <v>10098936</v>
          </cell>
          <cell r="G3458">
            <v>40005929</v>
          </cell>
        </row>
        <row r="3459">
          <cell r="E3459" t="str">
            <v>344317-4</v>
          </cell>
          <cell r="F3459">
            <v>10057249</v>
          </cell>
          <cell r="G3459">
            <v>40005696</v>
          </cell>
        </row>
        <row r="3460">
          <cell r="E3460" t="str">
            <v>345317-7</v>
          </cell>
          <cell r="F3460">
            <v>10053347</v>
          </cell>
          <cell r="G3460">
            <v>40006689</v>
          </cell>
        </row>
        <row r="3461">
          <cell r="E3461" t="str">
            <v>345717-1</v>
          </cell>
          <cell r="F3461">
            <v>10057242</v>
          </cell>
          <cell r="G3461">
            <v>40005690</v>
          </cell>
        </row>
        <row r="3462">
          <cell r="E3462" t="str">
            <v>JM23000067</v>
          </cell>
          <cell r="F3462">
            <v>10002268</v>
          </cell>
          <cell r="G3462">
            <v>40007707</v>
          </cell>
        </row>
        <row r="3463">
          <cell r="E3463">
            <v>225221020</v>
          </cell>
          <cell r="F3463">
            <v>10001217</v>
          </cell>
          <cell r="G3463">
            <v>40007939</v>
          </cell>
        </row>
        <row r="3464">
          <cell r="E3464" t="str">
            <v>JM23200021</v>
          </cell>
          <cell r="F3464">
            <v>10063049</v>
          </cell>
          <cell r="G3464">
            <v>40006021</v>
          </cell>
        </row>
        <row r="3465">
          <cell r="E3465" t="str">
            <v>123004-6</v>
          </cell>
          <cell r="F3465">
            <v>10001091</v>
          </cell>
          <cell r="G3465">
            <v>40007369</v>
          </cell>
        </row>
        <row r="3466">
          <cell r="E3466">
            <v>21224011</v>
          </cell>
          <cell r="F3466">
            <v>10038179</v>
          </cell>
          <cell r="G3466">
            <v>40008007</v>
          </cell>
        </row>
        <row r="3467">
          <cell r="E3467" t="str">
            <v>163451-9</v>
          </cell>
          <cell r="F3467">
            <v>10046384</v>
          </cell>
          <cell r="G3467">
            <v>40006950</v>
          </cell>
        </row>
        <row r="3468">
          <cell r="E3468" t="str">
            <v>256505-0</v>
          </cell>
          <cell r="F3468">
            <v>10034997</v>
          </cell>
          <cell r="G3468">
            <v>40008106</v>
          </cell>
        </row>
        <row r="3469">
          <cell r="E3469">
            <v>957605112</v>
          </cell>
          <cell r="F3469">
            <v>10058942</v>
          </cell>
        </row>
        <row r="3470">
          <cell r="E3470" t="str">
            <v>256491-5</v>
          </cell>
          <cell r="F3470">
            <v>10062990</v>
          </cell>
          <cell r="G3470">
            <v>40005980</v>
          </cell>
        </row>
        <row r="3471">
          <cell r="E3471" t="str">
            <v>256535-1</v>
          </cell>
          <cell r="F3471">
            <v>10062968</v>
          </cell>
          <cell r="G3471">
            <v>40005963</v>
          </cell>
        </row>
        <row r="3472">
          <cell r="E3472" t="str">
            <v>256546-6</v>
          </cell>
          <cell r="F3472">
            <v>10053183</v>
          </cell>
          <cell r="G3472">
            <v>40006656</v>
          </cell>
        </row>
        <row r="3473">
          <cell r="E3473" t="str">
            <v>268228-8</v>
          </cell>
          <cell r="F3473">
            <v>10049585</v>
          </cell>
          <cell r="G3473">
            <v>40007865</v>
          </cell>
        </row>
        <row r="3474">
          <cell r="E3474" t="str">
            <v>256486-8</v>
          </cell>
          <cell r="F3474">
            <v>10025128</v>
          </cell>
          <cell r="G3474">
            <v>40007262</v>
          </cell>
        </row>
        <row r="3475">
          <cell r="E3475" t="str">
            <v>256482-6</v>
          </cell>
          <cell r="F3475">
            <v>10002296</v>
          </cell>
          <cell r="G3475">
            <v>40007729</v>
          </cell>
        </row>
        <row r="3476">
          <cell r="E3476" t="str">
            <v>266306-8</v>
          </cell>
          <cell r="F3476">
            <v>10058958</v>
          </cell>
          <cell r="G3476">
            <v>40006235</v>
          </cell>
        </row>
        <row r="3477">
          <cell r="E3477" t="str">
            <v>257804-3</v>
          </cell>
          <cell r="F3477">
            <v>10049437</v>
          </cell>
          <cell r="G3477">
            <v>40007022</v>
          </cell>
        </row>
        <row r="3478">
          <cell r="E3478" t="str">
            <v>188622-7</v>
          </cell>
          <cell r="F3478">
            <v>10054839</v>
          </cell>
          <cell r="G3478">
            <v>40006136</v>
          </cell>
        </row>
        <row r="3479">
          <cell r="E3479" t="str">
            <v>451036-6</v>
          </cell>
          <cell r="F3479">
            <v>10054691</v>
          </cell>
          <cell r="G3479">
            <v>40006086</v>
          </cell>
        </row>
        <row r="3480">
          <cell r="E3480" t="str">
            <v>257504-5</v>
          </cell>
          <cell r="F3480">
            <v>10042330</v>
          </cell>
          <cell r="G3480">
            <v>40006752</v>
          </cell>
        </row>
        <row r="3481">
          <cell r="E3481" t="str">
            <v>324420-7</v>
          </cell>
          <cell r="F3481">
            <v>10050884</v>
          </cell>
          <cell r="G3481">
            <v>40006814</v>
          </cell>
        </row>
        <row r="3482">
          <cell r="E3482" t="str">
            <v>325783-4</v>
          </cell>
          <cell r="F3482">
            <v>10064432</v>
          </cell>
        </row>
        <row r="3483">
          <cell r="E3483" t="str">
            <v>331797-3</v>
          </cell>
          <cell r="F3483">
            <v>10074945</v>
          </cell>
          <cell r="G3483">
            <v>40006183</v>
          </cell>
        </row>
        <row r="3484">
          <cell r="E3484" t="str">
            <v>331769-8</v>
          </cell>
          <cell r="F3484">
            <v>10053570</v>
          </cell>
          <cell r="G3484">
            <v>40006700</v>
          </cell>
        </row>
        <row r="3485">
          <cell r="E3485" t="str">
            <v>325782-6</v>
          </cell>
          <cell r="F3485">
            <v>10090081</v>
          </cell>
          <cell r="G3485">
            <v>40005863</v>
          </cell>
        </row>
        <row r="3486">
          <cell r="E3486" t="str">
            <v>416289-4</v>
          </cell>
          <cell r="F3486">
            <v>10059209</v>
          </cell>
          <cell r="G3486">
            <v>40006287</v>
          </cell>
        </row>
        <row r="3487">
          <cell r="E3487" t="str">
            <v>416282-8</v>
          </cell>
          <cell r="F3487">
            <v>10064613</v>
          </cell>
          <cell r="G3487">
            <v>40006391</v>
          </cell>
        </row>
        <row r="3488">
          <cell r="E3488" t="str">
            <v>344411-2</v>
          </cell>
          <cell r="F3488">
            <v>10002352</v>
          </cell>
          <cell r="G3488">
            <v>40008172</v>
          </cell>
        </row>
        <row r="3489">
          <cell r="E3489" t="str">
            <v>168514-6</v>
          </cell>
          <cell r="F3489">
            <v>10035100</v>
          </cell>
          <cell r="G3489">
            <v>40008115</v>
          </cell>
        </row>
        <row r="3490">
          <cell r="E3490" t="str">
            <v>310134-4</v>
          </cell>
          <cell r="F3490">
            <v>10032156</v>
          </cell>
          <cell r="G3490">
            <v>40007194</v>
          </cell>
        </row>
        <row r="3491">
          <cell r="E3491" t="str">
            <v>310484-7</v>
          </cell>
          <cell r="F3491">
            <v>10049442</v>
          </cell>
          <cell r="G3491">
            <v>40007025</v>
          </cell>
        </row>
        <row r="3492">
          <cell r="E3492" t="str">
            <v>344613-0</v>
          </cell>
          <cell r="F3492">
            <v>10050988</v>
          </cell>
          <cell r="G3492">
            <v>40006906</v>
          </cell>
        </row>
        <row r="3493">
          <cell r="E3493" t="str">
            <v>313082-6</v>
          </cell>
          <cell r="F3493">
            <v>10033757</v>
          </cell>
          <cell r="G3493">
            <v>40007212</v>
          </cell>
        </row>
        <row r="3494">
          <cell r="E3494" t="str">
            <v>346473-6</v>
          </cell>
          <cell r="F3494">
            <v>10059970</v>
          </cell>
          <cell r="G3494">
            <v>40006299</v>
          </cell>
        </row>
        <row r="3495">
          <cell r="E3495" t="str">
            <v>313215-3</v>
          </cell>
          <cell r="F3495">
            <v>10049443</v>
          </cell>
          <cell r="G3495">
            <v>40007027</v>
          </cell>
        </row>
        <row r="3496">
          <cell r="E3496">
            <v>21166040</v>
          </cell>
          <cell r="F3496">
            <v>10022266</v>
          </cell>
        </row>
        <row r="3497">
          <cell r="E3497" t="str">
            <v>922312-0</v>
          </cell>
          <cell r="F3497">
            <v>10077262</v>
          </cell>
        </row>
        <row r="3498">
          <cell r="E3498" t="str">
            <v>JM23300085</v>
          </cell>
          <cell r="F3498">
            <v>10093995</v>
          </cell>
          <cell r="G3498">
            <v>40005891</v>
          </cell>
        </row>
        <row r="3499">
          <cell r="E3499" t="str">
            <v>JM23100186</v>
          </cell>
          <cell r="F3499">
            <v>10021856</v>
          </cell>
          <cell r="G3499">
            <v>40007556</v>
          </cell>
        </row>
        <row r="3500">
          <cell r="E3500" t="str">
            <v>1R349</v>
          </cell>
          <cell r="F3500">
            <v>10055053</v>
          </cell>
        </row>
        <row r="3501">
          <cell r="E3501" t="str">
            <v>418729-8</v>
          </cell>
          <cell r="F3501">
            <v>10046389</v>
          </cell>
          <cell r="G3501">
            <v>40006953</v>
          </cell>
        </row>
        <row r="3502">
          <cell r="E3502" t="str">
            <v>A0800-0311</v>
          </cell>
          <cell r="F3502">
            <v>10054824</v>
          </cell>
          <cell r="G3502">
            <v>40006124</v>
          </cell>
        </row>
        <row r="3503">
          <cell r="E3503" t="str">
            <v>A0800-0381</v>
          </cell>
          <cell r="F3503">
            <v>10050101</v>
          </cell>
          <cell r="G3503">
            <v>40007916</v>
          </cell>
        </row>
        <row r="3504">
          <cell r="E3504">
            <v>965603018</v>
          </cell>
          <cell r="F3504">
            <v>10001115</v>
          </cell>
          <cell r="G3504">
            <v>40007376</v>
          </cell>
        </row>
        <row r="3505">
          <cell r="E3505" t="str">
            <v>168648-5</v>
          </cell>
          <cell r="F3505">
            <v>10070765</v>
          </cell>
          <cell r="G3505">
            <v>40006722</v>
          </cell>
        </row>
        <row r="3506">
          <cell r="E3506" t="str">
            <v>168401-9</v>
          </cell>
          <cell r="F3506">
            <v>10046042</v>
          </cell>
          <cell r="G3506">
            <v>40006938</v>
          </cell>
        </row>
        <row r="3507">
          <cell r="E3507" t="str">
            <v>168517-0</v>
          </cell>
          <cell r="F3507">
            <v>10089682</v>
          </cell>
          <cell r="G3507">
            <v>40005858</v>
          </cell>
        </row>
        <row r="3508">
          <cell r="E3508">
            <v>965603021</v>
          </cell>
          <cell r="F3508">
            <v>10004539</v>
          </cell>
        </row>
        <row r="3509">
          <cell r="E3509" t="str">
            <v>S-797434</v>
          </cell>
          <cell r="F3509">
            <v>10090101</v>
          </cell>
          <cell r="G3509">
            <v>40005871</v>
          </cell>
        </row>
        <row r="3510">
          <cell r="E3510" t="str">
            <v>S-591868</v>
          </cell>
          <cell r="F3510">
            <v>10063157</v>
          </cell>
          <cell r="G3510">
            <v>40006046</v>
          </cell>
        </row>
        <row r="3511">
          <cell r="E3511" t="str">
            <v>168599-2</v>
          </cell>
          <cell r="F3511">
            <v>10086188</v>
          </cell>
          <cell r="G3511">
            <v>40006714</v>
          </cell>
        </row>
        <row r="3512">
          <cell r="E3512">
            <v>1111011</v>
          </cell>
          <cell r="F3512">
            <v>10044456</v>
          </cell>
        </row>
        <row r="3513">
          <cell r="E3513">
            <v>1111012</v>
          </cell>
          <cell r="F3513">
            <v>10050115</v>
          </cell>
          <cell r="G3513">
            <v>40007936</v>
          </cell>
        </row>
        <row r="3514">
          <cell r="E3514" t="str">
            <v>126180-5</v>
          </cell>
          <cell r="F3514">
            <v>10062585</v>
          </cell>
          <cell r="G3514">
            <v>40005625</v>
          </cell>
        </row>
        <row r="3515">
          <cell r="E3515" t="str">
            <v>125366-8</v>
          </cell>
          <cell r="F3515">
            <v>10050880</v>
          </cell>
          <cell r="G3515">
            <v>40008293</v>
          </cell>
        </row>
        <row r="3516">
          <cell r="E3516" t="str">
            <v>126100-9</v>
          </cell>
          <cell r="F3516">
            <v>10054814</v>
          </cell>
          <cell r="G3516">
            <v>40006120</v>
          </cell>
        </row>
        <row r="3517">
          <cell r="E3517">
            <v>226221020</v>
          </cell>
          <cell r="F3517">
            <v>10016352</v>
          </cell>
          <cell r="G3517">
            <v>40007526</v>
          </cell>
        </row>
        <row r="3518">
          <cell r="E3518" t="str">
            <v>345651-5</v>
          </cell>
          <cell r="F3518">
            <v>10084090</v>
          </cell>
          <cell r="G3518">
            <v>40006257</v>
          </cell>
        </row>
        <row r="3519">
          <cell r="E3519" t="str">
            <v>325983-6</v>
          </cell>
          <cell r="F3519">
            <v>10045845</v>
          </cell>
          <cell r="G3519">
            <v>40007509</v>
          </cell>
        </row>
        <row r="3520">
          <cell r="E3520" t="str">
            <v>JM23000084</v>
          </cell>
          <cell r="F3520">
            <v>10023856</v>
          </cell>
          <cell r="G3520">
            <v>40007632</v>
          </cell>
        </row>
        <row r="3521">
          <cell r="E3521" t="str">
            <v>321082-2</v>
          </cell>
          <cell r="F3521">
            <v>10045359</v>
          </cell>
          <cell r="G3521">
            <v>40006804</v>
          </cell>
        </row>
        <row r="3522">
          <cell r="E3522" t="str">
            <v>322865-3</v>
          </cell>
          <cell r="F3522">
            <v>10025375</v>
          </cell>
          <cell r="G3522">
            <v>40007270</v>
          </cell>
        </row>
        <row r="3523">
          <cell r="E3523" t="str">
            <v>322899-6</v>
          </cell>
          <cell r="F3523">
            <v>10002358</v>
          </cell>
          <cell r="G3523">
            <v>40008174</v>
          </cell>
        </row>
        <row r="3524">
          <cell r="E3524" t="str">
            <v>323685-8</v>
          </cell>
          <cell r="F3524">
            <v>10032143</v>
          </cell>
          <cell r="G3524">
            <v>40007187</v>
          </cell>
        </row>
        <row r="3525">
          <cell r="E3525" t="str">
            <v>323798-5</v>
          </cell>
          <cell r="F3525">
            <v>10023863</v>
          </cell>
          <cell r="G3525">
            <v>40007646</v>
          </cell>
        </row>
        <row r="3526">
          <cell r="E3526" t="str">
            <v>324223-9</v>
          </cell>
          <cell r="F3526">
            <v>10023898</v>
          </cell>
          <cell r="G3526">
            <v>40008263</v>
          </cell>
        </row>
        <row r="3527">
          <cell r="E3527" t="str">
            <v>324246-7</v>
          </cell>
          <cell r="F3527">
            <v>10054000</v>
          </cell>
          <cell r="G3527">
            <v>40006071</v>
          </cell>
        </row>
        <row r="3528">
          <cell r="E3528" t="str">
            <v>324247-5</v>
          </cell>
          <cell r="F3528">
            <v>10038747</v>
          </cell>
          <cell r="G3528">
            <v>40008017</v>
          </cell>
        </row>
        <row r="3529">
          <cell r="E3529" t="str">
            <v>324312-0</v>
          </cell>
          <cell r="F3529">
            <v>10030871</v>
          </cell>
          <cell r="G3529">
            <v>40007166</v>
          </cell>
        </row>
        <row r="3530">
          <cell r="E3530" t="str">
            <v>324320-1</v>
          </cell>
          <cell r="F3530">
            <v>10047469</v>
          </cell>
          <cell r="G3530">
            <v>40006966</v>
          </cell>
        </row>
        <row r="3531">
          <cell r="E3531" t="str">
            <v>324321-9</v>
          </cell>
          <cell r="F3531">
            <v>10066776</v>
          </cell>
          <cell r="G3531">
            <v>40006437</v>
          </cell>
        </row>
        <row r="3532">
          <cell r="E3532" t="str">
            <v>324488-3</v>
          </cell>
          <cell r="F3532">
            <v>10039225</v>
          </cell>
          <cell r="G3532">
            <v>40008054</v>
          </cell>
        </row>
        <row r="3533">
          <cell r="E3533" t="str">
            <v>324552-0</v>
          </cell>
          <cell r="F3533">
            <v>10050888</v>
          </cell>
          <cell r="G3533">
            <v>40006822</v>
          </cell>
        </row>
        <row r="3534">
          <cell r="E3534" t="str">
            <v>324662-3</v>
          </cell>
          <cell r="F3534">
            <v>10023897</v>
          </cell>
          <cell r="G3534">
            <v>40008262</v>
          </cell>
        </row>
        <row r="3535">
          <cell r="E3535" t="str">
            <v>324897-6</v>
          </cell>
          <cell r="F3535">
            <v>10035298</v>
          </cell>
          <cell r="G3535">
            <v>40008167</v>
          </cell>
        </row>
        <row r="3536">
          <cell r="E3536" t="str">
            <v>324956-6</v>
          </cell>
          <cell r="F3536">
            <v>10054787</v>
          </cell>
          <cell r="G3536">
            <v>40006096</v>
          </cell>
        </row>
        <row r="3537">
          <cell r="E3537" t="str">
            <v>325550-7</v>
          </cell>
          <cell r="F3537">
            <v>10035218</v>
          </cell>
          <cell r="G3537">
            <v>40008134</v>
          </cell>
        </row>
        <row r="3538">
          <cell r="E3538" t="str">
            <v>325644-8</v>
          </cell>
          <cell r="F3538">
            <v>10044758</v>
          </cell>
          <cell r="G3538">
            <v>40006795</v>
          </cell>
        </row>
        <row r="3539">
          <cell r="E3539" t="str">
            <v>325978-9</v>
          </cell>
          <cell r="F3539">
            <v>10062980</v>
          </cell>
          <cell r="G3539">
            <v>40005971</v>
          </cell>
        </row>
        <row r="3540">
          <cell r="E3540" t="str">
            <v>326373-6</v>
          </cell>
          <cell r="F3540">
            <v>10061634</v>
          </cell>
          <cell r="G3540">
            <v>40005535</v>
          </cell>
        </row>
        <row r="3541">
          <cell r="E3541" t="str">
            <v>326454-6</v>
          </cell>
          <cell r="F3541">
            <v>10062981</v>
          </cell>
          <cell r="G3541">
            <v>40005972</v>
          </cell>
        </row>
        <row r="3542">
          <cell r="E3542" t="str">
            <v>143484-0</v>
          </cell>
          <cell r="F3542">
            <v>10084056</v>
          </cell>
          <cell r="G3542">
            <v>40006223</v>
          </cell>
        </row>
        <row r="3543">
          <cell r="E3543" t="str">
            <v>325183-8</v>
          </cell>
          <cell r="F3543">
            <v>10002337</v>
          </cell>
          <cell r="G3543">
            <v>40008148</v>
          </cell>
        </row>
        <row r="3544">
          <cell r="E3544" t="str">
            <v>326555-0</v>
          </cell>
          <cell r="F3544">
            <v>10102726</v>
          </cell>
          <cell r="G3544">
            <v>40005941</v>
          </cell>
        </row>
        <row r="3545">
          <cell r="E3545" t="str">
            <v>326828-1</v>
          </cell>
          <cell r="F3545">
            <v>10093992</v>
          </cell>
          <cell r="G3545">
            <v>40005888</v>
          </cell>
        </row>
        <row r="3546">
          <cell r="E3546" t="str">
            <v>324282-3</v>
          </cell>
          <cell r="F3546">
            <v>10060642</v>
          </cell>
          <cell r="G3546">
            <v>40006321</v>
          </cell>
        </row>
        <row r="3547">
          <cell r="E3547" t="str">
            <v>221475-2</v>
          </cell>
          <cell r="F3547">
            <v>10093986</v>
          </cell>
          <cell r="G3547">
            <v>40005883</v>
          </cell>
        </row>
        <row r="3548">
          <cell r="E3548" t="str">
            <v>226750-1</v>
          </cell>
          <cell r="F3548">
            <v>10001059</v>
          </cell>
          <cell r="G3548">
            <v>40007350</v>
          </cell>
        </row>
        <row r="3549">
          <cell r="E3549" t="str">
            <v>221476-0</v>
          </cell>
          <cell r="F3549">
            <v>10093987</v>
          </cell>
          <cell r="G3549">
            <v>40005884</v>
          </cell>
        </row>
        <row r="3550">
          <cell r="E3550" t="str">
            <v>227505-7</v>
          </cell>
          <cell r="F3550">
            <v>10001063</v>
          </cell>
          <cell r="G3550">
            <v>40010360</v>
          </cell>
        </row>
        <row r="3551">
          <cell r="E3551" t="str">
            <v>183053-5</v>
          </cell>
          <cell r="F3551">
            <v>10080359</v>
          </cell>
          <cell r="G3551">
            <v>40006206</v>
          </cell>
        </row>
        <row r="3552">
          <cell r="E3552" t="str">
            <v>227488-1</v>
          </cell>
          <cell r="F3552">
            <v>10062988</v>
          </cell>
          <cell r="G3552">
            <v>40005978</v>
          </cell>
        </row>
        <row r="3553">
          <cell r="E3553" t="str">
            <v>226712-9</v>
          </cell>
          <cell r="F3553">
            <v>10002225</v>
          </cell>
          <cell r="G3553">
            <v>40007684</v>
          </cell>
        </row>
        <row r="3554">
          <cell r="E3554" t="str">
            <v>227464-5</v>
          </cell>
          <cell r="F3554">
            <v>10002626</v>
          </cell>
          <cell r="G3554">
            <v>40008210</v>
          </cell>
        </row>
        <row r="3555">
          <cell r="E3555" t="str">
            <v>227591-8</v>
          </cell>
          <cell r="F3555">
            <v>10063159</v>
          </cell>
          <cell r="G3555">
            <v>40006578</v>
          </cell>
        </row>
        <row r="3556">
          <cell r="E3556" t="str">
            <v>226756-9</v>
          </cell>
          <cell r="F3556">
            <v>10001161</v>
          </cell>
          <cell r="G3556">
            <v>40007404</v>
          </cell>
        </row>
        <row r="3557">
          <cell r="E3557" t="str">
            <v>227451-4</v>
          </cell>
          <cell r="F3557">
            <v>10002241</v>
          </cell>
          <cell r="G3557">
            <v>40007691</v>
          </cell>
        </row>
        <row r="3558">
          <cell r="E3558" t="str">
            <v>227452-2</v>
          </cell>
          <cell r="F3558">
            <v>10002238</v>
          </cell>
          <cell r="G3558">
            <v>40007689</v>
          </cell>
        </row>
        <row r="3559">
          <cell r="E3559" t="str">
            <v>227471-8</v>
          </cell>
          <cell r="F3559">
            <v>10021220</v>
          </cell>
          <cell r="G3559">
            <v>40007542</v>
          </cell>
        </row>
        <row r="3560">
          <cell r="E3560" t="str">
            <v>221318-8</v>
          </cell>
          <cell r="F3560">
            <v>10004537</v>
          </cell>
          <cell r="G3560">
            <v>40008245</v>
          </cell>
        </row>
        <row r="3561">
          <cell r="E3561" t="str">
            <v>227438-6</v>
          </cell>
          <cell r="F3561">
            <v>10050873</v>
          </cell>
          <cell r="G3561">
            <v>40008286</v>
          </cell>
        </row>
        <row r="3562">
          <cell r="E3562" t="str">
            <v>227440-9</v>
          </cell>
          <cell r="F3562">
            <v>10050874</v>
          </cell>
          <cell r="G3562">
            <v>40008287</v>
          </cell>
        </row>
        <row r="3563">
          <cell r="E3563" t="str">
            <v>227456-4</v>
          </cell>
          <cell r="F3563">
            <v>10062983</v>
          </cell>
          <cell r="G3563">
            <v>40005974</v>
          </cell>
        </row>
        <row r="3564">
          <cell r="E3564" t="str">
            <v>227457-2</v>
          </cell>
          <cell r="F3564">
            <v>10062982</v>
          </cell>
          <cell r="G3564">
            <v>40005973</v>
          </cell>
        </row>
        <row r="3565">
          <cell r="E3565" t="str">
            <v>227517-0</v>
          </cell>
          <cell r="F3565">
            <v>10056257</v>
          </cell>
          <cell r="G3565">
            <v>40005661</v>
          </cell>
        </row>
        <row r="3566">
          <cell r="E3566" t="str">
            <v>227518-8</v>
          </cell>
          <cell r="F3566">
            <v>10056258</v>
          </cell>
          <cell r="G3566">
            <v>40005662</v>
          </cell>
        </row>
        <row r="3567">
          <cell r="E3567" t="str">
            <v>227524-3</v>
          </cell>
          <cell r="F3567">
            <v>10074940</v>
          </cell>
          <cell r="G3567">
            <v>40006176</v>
          </cell>
        </row>
        <row r="3568">
          <cell r="E3568" t="str">
            <v>227532-4</v>
          </cell>
          <cell r="F3568">
            <v>10074947</v>
          </cell>
          <cell r="G3568">
            <v>40006185</v>
          </cell>
        </row>
        <row r="3569">
          <cell r="E3569" t="str">
            <v>227578-0</v>
          </cell>
          <cell r="F3569">
            <v>10062584</v>
          </cell>
          <cell r="G3569">
            <v>40005624</v>
          </cell>
        </row>
        <row r="3570">
          <cell r="E3570" t="str">
            <v>227579-8</v>
          </cell>
          <cell r="F3570">
            <v>10062580</v>
          </cell>
          <cell r="G3570">
            <v>40005620</v>
          </cell>
        </row>
        <row r="3571">
          <cell r="E3571" t="str">
            <v>227613-4</v>
          </cell>
          <cell r="F3571">
            <v>10065772</v>
          </cell>
          <cell r="G3571">
            <v>40006419</v>
          </cell>
        </row>
        <row r="3572">
          <cell r="E3572" t="str">
            <v>227626-5</v>
          </cell>
          <cell r="F3572">
            <v>10061620</v>
          </cell>
          <cell r="G3572">
            <v>40006357</v>
          </cell>
        </row>
        <row r="3573">
          <cell r="E3573" t="str">
            <v>227641-9</v>
          </cell>
          <cell r="F3573">
            <v>10063081</v>
          </cell>
          <cell r="G3573">
            <v>40006038</v>
          </cell>
        </row>
        <row r="3574">
          <cell r="E3574" t="str">
            <v>226754-3</v>
          </cell>
          <cell r="F3574">
            <v>10002233</v>
          </cell>
          <cell r="G3574">
            <v>40007686</v>
          </cell>
        </row>
        <row r="3575">
          <cell r="E3575" t="str">
            <v>227449-1</v>
          </cell>
          <cell r="F3575">
            <v>10001345</v>
          </cell>
          <cell r="G3575">
            <v>40007113</v>
          </cell>
        </row>
        <row r="3576">
          <cell r="E3576" t="str">
            <v>227506-5</v>
          </cell>
          <cell r="F3576">
            <v>10021219</v>
          </cell>
          <cell r="G3576">
            <v>40007541</v>
          </cell>
        </row>
        <row r="3577">
          <cell r="E3577" t="str">
            <v>227592-6</v>
          </cell>
          <cell r="F3577">
            <v>10062973</v>
          </cell>
          <cell r="G3577">
            <v>40005967</v>
          </cell>
        </row>
        <row r="3578">
          <cell r="E3578" t="str">
            <v>226742-0</v>
          </cell>
          <cell r="F3578">
            <v>10001075</v>
          </cell>
          <cell r="G3578">
            <v>40007358</v>
          </cell>
        </row>
        <row r="3579">
          <cell r="E3579" t="str">
            <v>231934-8</v>
          </cell>
          <cell r="F3579">
            <v>10002340</v>
          </cell>
          <cell r="G3579">
            <v>40008152</v>
          </cell>
        </row>
        <row r="3580">
          <cell r="E3580" t="str">
            <v>221353-6</v>
          </cell>
          <cell r="F3580">
            <v>10057235</v>
          </cell>
          <cell r="G3580">
            <v>40005687</v>
          </cell>
        </row>
        <row r="3581">
          <cell r="E3581" t="str">
            <v>423469-5</v>
          </cell>
          <cell r="F3581">
            <v>10046046</v>
          </cell>
          <cell r="G3581">
            <v>40006944</v>
          </cell>
        </row>
        <row r="3582">
          <cell r="E3582" t="str">
            <v>421959-2</v>
          </cell>
          <cell r="F3582">
            <v>10035314</v>
          </cell>
          <cell r="G3582">
            <v>40007960</v>
          </cell>
        </row>
        <row r="3583">
          <cell r="E3583" t="str">
            <v>424023-8</v>
          </cell>
          <cell r="F3583">
            <v>10047929</v>
          </cell>
          <cell r="G3583">
            <v>40006998</v>
          </cell>
        </row>
        <row r="3584">
          <cell r="E3584" t="str">
            <v>424056-3</v>
          </cell>
          <cell r="F3584">
            <v>10046041</v>
          </cell>
          <cell r="G3584">
            <v>40006936</v>
          </cell>
        </row>
        <row r="3585">
          <cell r="E3585" t="str">
            <v>231965-7</v>
          </cell>
          <cell r="F3585">
            <v>10038962</v>
          </cell>
          <cell r="G3585">
            <v>40008043</v>
          </cell>
        </row>
        <row r="3586">
          <cell r="E3586">
            <v>28213521</v>
          </cell>
          <cell r="F3586">
            <v>10001331</v>
          </cell>
        </row>
        <row r="3587">
          <cell r="E3587">
            <v>170213690</v>
          </cell>
          <cell r="F3587">
            <v>10033972</v>
          </cell>
          <cell r="G3587">
            <v>40007230</v>
          </cell>
        </row>
        <row r="3588">
          <cell r="E3588">
            <v>170213730</v>
          </cell>
          <cell r="F3588">
            <v>10002372</v>
          </cell>
          <cell r="G3588">
            <v>40008180</v>
          </cell>
        </row>
        <row r="3589">
          <cell r="E3589" t="str">
            <v>231025-5</v>
          </cell>
          <cell r="F3589">
            <v>10045374</v>
          </cell>
          <cell r="G3589">
            <v>40006821</v>
          </cell>
        </row>
        <row r="3590">
          <cell r="E3590" t="str">
            <v>233142-7</v>
          </cell>
          <cell r="F3590">
            <v>10059210</v>
          </cell>
          <cell r="G3590">
            <v>40006288</v>
          </cell>
        </row>
        <row r="3591">
          <cell r="E3591" t="str">
            <v>A0100-0221</v>
          </cell>
          <cell r="F3591">
            <v>10050096</v>
          </cell>
          <cell r="G3591">
            <v>40007911</v>
          </cell>
        </row>
        <row r="3592">
          <cell r="E3592">
            <v>38114130</v>
          </cell>
          <cell r="F3592">
            <v>10021215</v>
          </cell>
          <cell r="G3592">
            <v>40007539</v>
          </cell>
        </row>
        <row r="3593">
          <cell r="E3593" t="str">
            <v>323819-3</v>
          </cell>
          <cell r="F3593">
            <v>10002613</v>
          </cell>
          <cell r="G3593">
            <v>40008200</v>
          </cell>
        </row>
        <row r="3594">
          <cell r="E3594" t="str">
            <v>310300-3</v>
          </cell>
          <cell r="F3594">
            <v>10038680</v>
          </cell>
          <cell r="G3594">
            <v>40008012</v>
          </cell>
        </row>
        <row r="3595">
          <cell r="E3595">
            <v>225213060</v>
          </cell>
          <cell r="F3595">
            <v>10001308</v>
          </cell>
          <cell r="G3595">
            <v>40007086</v>
          </cell>
        </row>
        <row r="3596">
          <cell r="E3596" t="str">
            <v>JM23100078</v>
          </cell>
          <cell r="F3596">
            <v>10064666</v>
          </cell>
          <cell r="G3596">
            <v>40006401</v>
          </cell>
        </row>
        <row r="3597">
          <cell r="E3597" t="str">
            <v>951222-4</v>
          </cell>
          <cell r="F3597">
            <v>10049448</v>
          </cell>
          <cell r="G3597">
            <v>40007034</v>
          </cell>
        </row>
        <row r="3598">
          <cell r="E3598" t="str">
            <v>951116-3</v>
          </cell>
          <cell r="F3598">
            <v>10022592</v>
          </cell>
          <cell r="G3598">
            <v>40007587</v>
          </cell>
        </row>
        <row r="3599">
          <cell r="E3599" t="str">
            <v>951122-8</v>
          </cell>
          <cell r="F3599">
            <v>10045372</v>
          </cell>
          <cell r="G3599">
            <v>40006817</v>
          </cell>
        </row>
        <row r="3600">
          <cell r="E3600" t="str">
            <v>654168-0</v>
          </cell>
          <cell r="F3600">
            <v>10027527</v>
          </cell>
          <cell r="G3600">
            <v>40007311</v>
          </cell>
        </row>
        <row r="3601">
          <cell r="E3601" t="str">
            <v>654169-8</v>
          </cell>
          <cell r="F3601">
            <v>10027528</v>
          </cell>
          <cell r="G3601">
            <v>40007312</v>
          </cell>
        </row>
        <row r="3602">
          <cell r="E3602">
            <v>21245060</v>
          </cell>
          <cell r="F3602">
            <v>10002348</v>
          </cell>
          <cell r="G3602">
            <v>40008164</v>
          </cell>
        </row>
        <row r="3603">
          <cell r="E3603" t="str">
            <v>942201-3</v>
          </cell>
          <cell r="F3603">
            <v>10001132</v>
          </cell>
          <cell r="G3603">
            <v>40007389</v>
          </cell>
        </row>
        <row r="3604">
          <cell r="E3604" t="str">
            <v>942101-7</v>
          </cell>
          <cell r="F3604">
            <v>10044754</v>
          </cell>
          <cell r="G3604">
            <v>40006792</v>
          </cell>
        </row>
        <row r="3605">
          <cell r="E3605" t="str">
            <v>942151-2</v>
          </cell>
          <cell r="F3605">
            <v>10001155</v>
          </cell>
          <cell r="G3605">
            <v>40007401</v>
          </cell>
        </row>
        <row r="3606">
          <cell r="E3606" t="str">
            <v>221503-3</v>
          </cell>
          <cell r="F3606">
            <v>10015111</v>
          </cell>
          <cell r="G3606">
            <v>40007515</v>
          </cell>
        </row>
        <row r="3607">
          <cell r="E3607" t="str">
            <v>221525-3</v>
          </cell>
          <cell r="F3607">
            <v>10003822</v>
          </cell>
          <cell r="G3607">
            <v>40008236</v>
          </cell>
        </row>
        <row r="3608">
          <cell r="E3608" t="str">
            <v>221526-1</v>
          </cell>
          <cell r="F3608">
            <v>10062564</v>
          </cell>
          <cell r="G3608">
            <v>40005610</v>
          </cell>
        </row>
        <row r="3609">
          <cell r="E3609" t="str">
            <v>221514-8</v>
          </cell>
          <cell r="F3609">
            <v>10001050</v>
          </cell>
          <cell r="G3609">
            <v>40003875</v>
          </cell>
        </row>
        <row r="3610">
          <cell r="E3610" t="str">
            <v>183B54-5</v>
          </cell>
          <cell r="F3610">
            <v>10062542</v>
          </cell>
          <cell r="G3610">
            <v>40005597</v>
          </cell>
        </row>
        <row r="3611">
          <cell r="E3611">
            <v>225213102</v>
          </cell>
          <cell r="F3611">
            <v>10004540</v>
          </cell>
          <cell r="G3611">
            <v>40008246</v>
          </cell>
        </row>
        <row r="3612">
          <cell r="E3612" t="str">
            <v>140510-6</v>
          </cell>
          <cell r="F3612">
            <v>10051024</v>
          </cell>
          <cell r="G3612">
            <v>40006929</v>
          </cell>
        </row>
        <row r="3613">
          <cell r="E3613" t="str">
            <v>142783-7</v>
          </cell>
          <cell r="F3613">
            <v>10063520</v>
          </cell>
          <cell r="G3613">
            <v>40006583</v>
          </cell>
        </row>
        <row r="3614">
          <cell r="E3614">
            <v>170213780</v>
          </cell>
          <cell r="F3614">
            <v>10025856</v>
          </cell>
          <cell r="G3614">
            <v>40007287</v>
          </cell>
        </row>
        <row r="3615">
          <cell r="E3615">
            <v>445045651</v>
          </cell>
          <cell r="F3615">
            <v>10097881</v>
          </cell>
          <cell r="G3615">
            <v>40005916</v>
          </cell>
        </row>
        <row r="3616">
          <cell r="E3616" t="str">
            <v>154869-5</v>
          </cell>
          <cell r="F3616">
            <v>10028600</v>
          </cell>
          <cell r="G3616">
            <v>40007827</v>
          </cell>
        </row>
        <row r="3617">
          <cell r="E3617" t="str">
            <v>154761-5</v>
          </cell>
          <cell r="F3617">
            <v>10062567</v>
          </cell>
          <cell r="G3617">
            <v>40005611</v>
          </cell>
        </row>
        <row r="3618">
          <cell r="E3618" t="str">
            <v>226399-7</v>
          </cell>
          <cell r="F3618">
            <v>10103475</v>
          </cell>
          <cell r="G3618">
            <v>40006472</v>
          </cell>
        </row>
        <row r="3619">
          <cell r="E3619" t="str">
            <v>227153-2</v>
          </cell>
          <cell r="F3619">
            <v>10062551</v>
          </cell>
          <cell r="G3619">
            <v>40005601</v>
          </cell>
        </row>
        <row r="3620">
          <cell r="E3620" t="str">
            <v>226217-9</v>
          </cell>
          <cell r="F3620">
            <v>10080360</v>
          </cell>
          <cell r="G3620">
            <v>40006207</v>
          </cell>
        </row>
        <row r="3621">
          <cell r="E3621" t="str">
            <v>226336-1</v>
          </cell>
          <cell r="F3621">
            <v>10050887</v>
          </cell>
          <cell r="G3621">
            <v>40006820</v>
          </cell>
        </row>
        <row r="3622">
          <cell r="E3622" t="str">
            <v>221019-8</v>
          </cell>
          <cell r="F3622">
            <v>10034454</v>
          </cell>
          <cell r="G3622">
            <v>40008072</v>
          </cell>
        </row>
        <row r="3623">
          <cell r="E3623" t="str">
            <v>227019-6</v>
          </cell>
          <cell r="F3623">
            <v>10051614</v>
          </cell>
          <cell r="G3623">
            <v>40007486</v>
          </cell>
        </row>
        <row r="3624">
          <cell r="E3624" t="str">
            <v>226331-1</v>
          </cell>
          <cell r="F3624">
            <v>10001311</v>
          </cell>
          <cell r="G3624">
            <v>40007089</v>
          </cell>
        </row>
        <row r="3625">
          <cell r="E3625" t="str">
            <v>227119-2</v>
          </cell>
          <cell r="F3625">
            <v>10047473</v>
          </cell>
          <cell r="G3625">
            <v>40006969</v>
          </cell>
        </row>
        <row r="3626">
          <cell r="E3626" t="str">
            <v>451018-8</v>
          </cell>
          <cell r="F3626">
            <v>10058960</v>
          </cell>
          <cell r="G3626">
            <v>40006238</v>
          </cell>
        </row>
        <row r="3627">
          <cell r="E3627" t="str">
            <v>221261-1</v>
          </cell>
          <cell r="F3627">
            <v>10002228</v>
          </cell>
          <cell r="G3627">
            <v>40007685</v>
          </cell>
        </row>
        <row r="3628">
          <cell r="E3628" t="str">
            <v>227360-7</v>
          </cell>
          <cell r="F3628">
            <v>10103476</v>
          </cell>
          <cell r="G3628">
            <v>40006474</v>
          </cell>
        </row>
        <row r="3629">
          <cell r="E3629" t="str">
            <v>266396-1</v>
          </cell>
          <cell r="F3629">
            <v>10062574</v>
          </cell>
          <cell r="G3629">
            <v>40005615</v>
          </cell>
        </row>
        <row r="3630">
          <cell r="E3630" t="str">
            <v>JM23100106</v>
          </cell>
          <cell r="F3630">
            <v>10063034</v>
          </cell>
          <cell r="G3630">
            <v>40006011</v>
          </cell>
        </row>
        <row r="3631">
          <cell r="E3631" t="str">
            <v>226747-0</v>
          </cell>
          <cell r="F3631">
            <v>10001261</v>
          </cell>
          <cell r="G3631">
            <v>40007059</v>
          </cell>
        </row>
        <row r="3632">
          <cell r="E3632" t="str">
            <v>221317-0</v>
          </cell>
          <cell r="F3632">
            <v>10039235</v>
          </cell>
        </row>
        <row r="3633">
          <cell r="E3633" t="str">
            <v>B-14124</v>
          </cell>
          <cell r="F3633">
            <v>10059217</v>
          </cell>
          <cell r="G3633">
            <v>40006295</v>
          </cell>
        </row>
        <row r="3634">
          <cell r="E3634" t="str">
            <v>B-65028</v>
          </cell>
          <cell r="F3634">
            <v>10097347</v>
          </cell>
        </row>
        <row r="3635">
          <cell r="E3635">
            <v>26160640</v>
          </cell>
          <cell r="F3635">
            <v>10027530</v>
          </cell>
          <cell r="G3635">
            <v>40007314</v>
          </cell>
        </row>
        <row r="3636">
          <cell r="E3636">
            <v>38160603</v>
          </cell>
          <cell r="F3636">
            <v>10048283</v>
          </cell>
        </row>
        <row r="3637">
          <cell r="E3637">
            <v>195160600</v>
          </cell>
          <cell r="F3637">
            <v>10058412</v>
          </cell>
          <cell r="G3637">
            <v>40005730</v>
          </cell>
        </row>
        <row r="3638">
          <cell r="E3638">
            <v>195160601</v>
          </cell>
          <cell r="F3638">
            <v>10070756</v>
          </cell>
          <cell r="G3638">
            <v>40006720</v>
          </cell>
        </row>
        <row r="3639">
          <cell r="E3639" t="str">
            <v>168608-7</v>
          </cell>
          <cell r="F3639">
            <v>10047841</v>
          </cell>
        </row>
        <row r="3640">
          <cell r="E3640" t="str">
            <v>161328-2</v>
          </cell>
          <cell r="F3640">
            <v>10086187</v>
          </cell>
          <cell r="G3640">
            <v>40006713</v>
          </cell>
        </row>
        <row r="3641">
          <cell r="E3641" t="str">
            <v>161365-6</v>
          </cell>
          <cell r="F3641">
            <v>10090079</v>
          </cell>
          <cell r="G3641">
            <v>40005861</v>
          </cell>
        </row>
        <row r="3642">
          <cell r="E3642">
            <v>28166030</v>
          </cell>
          <cell r="F3642">
            <v>10002332</v>
          </cell>
          <cell r="G3642">
            <v>40008276</v>
          </cell>
        </row>
        <row r="3643">
          <cell r="E3643" t="str">
            <v>S-593959</v>
          </cell>
          <cell r="F3643">
            <v>10087913</v>
          </cell>
          <cell r="G3643">
            <v>40005839</v>
          </cell>
        </row>
        <row r="3644">
          <cell r="E3644">
            <v>195160020</v>
          </cell>
          <cell r="F3644">
            <v>10053583</v>
          </cell>
          <cell r="G3644">
            <v>40006052</v>
          </cell>
        </row>
        <row r="3645">
          <cell r="E3645">
            <v>21160001</v>
          </cell>
          <cell r="F3645">
            <v>10001243</v>
          </cell>
          <cell r="G3645">
            <v>40007046</v>
          </cell>
        </row>
        <row r="3646">
          <cell r="E3646">
            <v>38160615</v>
          </cell>
          <cell r="F3646">
            <v>10098934</v>
          </cell>
          <cell r="G3646">
            <v>40005928</v>
          </cell>
        </row>
        <row r="3647">
          <cell r="E3647" t="str">
            <v>629116-8</v>
          </cell>
          <cell r="F3647">
            <v>10060971</v>
          </cell>
          <cell r="G3647">
            <v>40006326</v>
          </cell>
        </row>
        <row r="3648">
          <cell r="E3648" t="str">
            <v>629225-3</v>
          </cell>
          <cell r="F3648">
            <v>10080365</v>
          </cell>
          <cell r="G3648">
            <v>40006211</v>
          </cell>
        </row>
        <row r="3649">
          <cell r="E3649" t="str">
            <v>629224-5</v>
          </cell>
          <cell r="F3649">
            <v>10103762</v>
          </cell>
          <cell r="G3649">
            <v>40006497</v>
          </cell>
        </row>
        <row r="3650">
          <cell r="E3650" t="str">
            <v>629217-2</v>
          </cell>
          <cell r="F3650">
            <v>10093991</v>
          </cell>
          <cell r="G3650">
            <v>40005887</v>
          </cell>
        </row>
        <row r="3651">
          <cell r="E3651" t="str">
            <v>AL00000021</v>
          </cell>
          <cell r="F3651">
            <v>10040956</v>
          </cell>
        </row>
        <row r="3652">
          <cell r="E3652" t="str">
            <v>AL00000071</v>
          </cell>
          <cell r="F3652">
            <v>10040953</v>
          </cell>
          <cell r="G3652">
            <v>40006741</v>
          </cell>
        </row>
        <row r="3653">
          <cell r="E3653" t="str">
            <v>629134-6</v>
          </cell>
          <cell r="F3653">
            <v>10063077</v>
          </cell>
        </row>
        <row r="3654">
          <cell r="E3654" t="str">
            <v>629201-7</v>
          </cell>
          <cell r="F3654">
            <v>10103493</v>
          </cell>
        </row>
        <row r="3655">
          <cell r="E3655" t="str">
            <v>629232-6</v>
          </cell>
          <cell r="F3655">
            <v>10075347</v>
          </cell>
          <cell r="G3655">
            <v>40006192</v>
          </cell>
        </row>
        <row r="3656">
          <cell r="E3656" t="str">
            <v>629178-6</v>
          </cell>
          <cell r="F3656">
            <v>10097876</v>
          </cell>
          <cell r="G3656">
            <v>40005912</v>
          </cell>
        </row>
        <row r="3657">
          <cell r="E3657" t="str">
            <v>JM27000302</v>
          </cell>
          <cell r="F3657">
            <v>10002376</v>
          </cell>
          <cell r="G3657">
            <v>40010587</v>
          </cell>
        </row>
        <row r="3658">
          <cell r="E3658" t="str">
            <v>632A40-2</v>
          </cell>
          <cell r="F3658">
            <v>10064430</v>
          </cell>
          <cell r="G3658">
            <v>40006372</v>
          </cell>
        </row>
        <row r="3659">
          <cell r="E3659" t="str">
            <v>341381-6</v>
          </cell>
          <cell r="F3659">
            <v>10040775</v>
          </cell>
          <cell r="G3659">
            <v>40008295</v>
          </cell>
        </row>
        <row r="3660">
          <cell r="E3660" t="str">
            <v>216001-0</v>
          </cell>
          <cell r="F3660">
            <v>10001127</v>
          </cell>
          <cell r="G3660">
            <v>40007384</v>
          </cell>
        </row>
        <row r="3661">
          <cell r="E3661" t="str">
            <v>216019-1</v>
          </cell>
          <cell r="F3661">
            <v>10038957</v>
          </cell>
          <cell r="G3661">
            <v>40008040</v>
          </cell>
        </row>
        <row r="3662">
          <cell r="E3662" t="str">
            <v>216003-6</v>
          </cell>
          <cell r="F3662">
            <v>10000971</v>
          </cell>
          <cell r="G3662">
            <v>40003870</v>
          </cell>
        </row>
        <row r="3663">
          <cell r="E3663" t="str">
            <v>216008-6</v>
          </cell>
          <cell r="F3663">
            <v>10045371</v>
          </cell>
          <cell r="G3663">
            <v>40006815</v>
          </cell>
        </row>
        <row r="3664">
          <cell r="E3664" t="str">
            <v>216024-8</v>
          </cell>
          <cell r="F3664">
            <v>10044747</v>
          </cell>
          <cell r="G3664">
            <v>40006785</v>
          </cell>
        </row>
        <row r="3665">
          <cell r="E3665" t="str">
            <v>216002-8</v>
          </cell>
          <cell r="F3665">
            <v>10047464</v>
          </cell>
          <cell r="G3665">
            <v>40006962</v>
          </cell>
        </row>
        <row r="3666">
          <cell r="E3666" t="str">
            <v>216022-2</v>
          </cell>
          <cell r="F3666">
            <v>10046050</v>
          </cell>
          <cell r="G3666">
            <v>40006948</v>
          </cell>
        </row>
        <row r="3667">
          <cell r="E3667" t="str">
            <v>216004-4</v>
          </cell>
          <cell r="F3667">
            <v>10062997</v>
          </cell>
          <cell r="G3667">
            <v>40005985</v>
          </cell>
        </row>
        <row r="3668">
          <cell r="E3668" t="str">
            <v>164496-0</v>
          </cell>
          <cell r="F3668">
            <v>10046045</v>
          </cell>
          <cell r="G3668">
            <v>40006942</v>
          </cell>
        </row>
        <row r="3669">
          <cell r="E3669" t="str">
            <v>324733-6</v>
          </cell>
          <cell r="F3669">
            <v>10034214</v>
          </cell>
          <cell r="G3669">
            <v>40008068</v>
          </cell>
        </row>
        <row r="3670">
          <cell r="E3670">
            <v>30224010</v>
          </cell>
          <cell r="F3670">
            <v>10001333</v>
          </cell>
        </row>
        <row r="3671">
          <cell r="E3671" t="str">
            <v>961017-7</v>
          </cell>
          <cell r="F3671">
            <v>10035108</v>
          </cell>
          <cell r="G3671">
            <v>40008123</v>
          </cell>
        </row>
        <row r="3672">
          <cell r="E3672" t="str">
            <v>257953-6</v>
          </cell>
          <cell r="F3672">
            <v>10033969</v>
          </cell>
          <cell r="G3672">
            <v>40007227</v>
          </cell>
        </row>
        <row r="3673">
          <cell r="E3673" t="str">
            <v>961011-9</v>
          </cell>
          <cell r="F3673">
            <v>10058962</v>
          </cell>
          <cell r="G3673">
            <v>40006242</v>
          </cell>
        </row>
        <row r="3674">
          <cell r="E3674" t="str">
            <v>961018-5</v>
          </cell>
          <cell r="F3674">
            <v>10001194</v>
          </cell>
          <cell r="G3674">
            <v>40007424</v>
          </cell>
        </row>
        <row r="3675">
          <cell r="E3675" t="str">
            <v>961013-5</v>
          </cell>
          <cell r="F3675">
            <v>10058954</v>
          </cell>
          <cell r="G3675">
            <v>40006304</v>
          </cell>
        </row>
        <row r="3676">
          <cell r="E3676" t="str">
            <v>344412-0</v>
          </cell>
          <cell r="F3676">
            <v>10002256</v>
          </cell>
          <cell r="G3676">
            <v>40007699</v>
          </cell>
        </row>
        <row r="3677">
          <cell r="E3677" t="str">
            <v>322629-5</v>
          </cell>
          <cell r="F3677">
            <v>10035488</v>
          </cell>
        </row>
        <row r="3678">
          <cell r="E3678" t="str">
            <v>324183-5</v>
          </cell>
          <cell r="F3678">
            <v>10029208</v>
          </cell>
          <cell r="G3678">
            <v>40007136</v>
          </cell>
        </row>
        <row r="3679">
          <cell r="E3679" t="str">
            <v>226746-2</v>
          </cell>
          <cell r="F3679">
            <v>10059211</v>
          </cell>
          <cell r="G3679">
            <v>40006289</v>
          </cell>
        </row>
        <row r="3680">
          <cell r="E3680" t="str">
            <v>226725-0</v>
          </cell>
          <cell r="F3680">
            <v>10002234</v>
          </cell>
          <cell r="G3680">
            <v>40007687</v>
          </cell>
        </row>
        <row r="3681">
          <cell r="E3681" t="str">
            <v>226791-7</v>
          </cell>
          <cell r="F3681">
            <v>10077263</v>
          </cell>
          <cell r="G3681">
            <v>40006200</v>
          </cell>
        </row>
        <row r="3682">
          <cell r="E3682" t="str">
            <v>227418-2</v>
          </cell>
          <cell r="F3682">
            <v>10018094</v>
          </cell>
        </row>
        <row r="3683">
          <cell r="E3683" t="str">
            <v>227495-4</v>
          </cell>
          <cell r="F3683">
            <v>10045367</v>
          </cell>
        </row>
        <row r="3684">
          <cell r="E3684" t="str">
            <v>227509-9</v>
          </cell>
          <cell r="F3684">
            <v>10030747</v>
          </cell>
          <cell r="G3684">
            <v>40007163</v>
          </cell>
        </row>
        <row r="3685">
          <cell r="E3685" t="str">
            <v>D-09173</v>
          </cell>
          <cell r="F3685">
            <v>10024499</v>
          </cell>
          <cell r="G3685">
            <v>40007249</v>
          </cell>
        </row>
        <row r="3686">
          <cell r="E3686" t="str">
            <v>123029-0</v>
          </cell>
          <cell r="F3686">
            <v>10022539</v>
          </cell>
          <cell r="G3686">
            <v>40007568</v>
          </cell>
        </row>
        <row r="3687">
          <cell r="E3687" t="str">
            <v>341079-5</v>
          </cell>
          <cell r="F3687">
            <v>10025114</v>
          </cell>
          <cell r="G3687">
            <v>40007255</v>
          </cell>
        </row>
        <row r="3688">
          <cell r="E3688" t="str">
            <v>322740-3</v>
          </cell>
          <cell r="F3688">
            <v>10002362</v>
          </cell>
          <cell r="G3688">
            <v>40008175</v>
          </cell>
        </row>
        <row r="3689">
          <cell r="E3689" t="str">
            <v>325784-2</v>
          </cell>
          <cell r="F3689">
            <v>10090082</v>
          </cell>
          <cell r="G3689">
            <v>40005864</v>
          </cell>
        </row>
        <row r="3690">
          <cell r="E3690" t="str">
            <v>324214-0</v>
          </cell>
          <cell r="F3690">
            <v>10097353</v>
          </cell>
          <cell r="G3690">
            <v>40005898</v>
          </cell>
        </row>
        <row r="3691">
          <cell r="E3691" t="str">
            <v>JM23200110</v>
          </cell>
          <cell r="F3691">
            <v>10057829</v>
          </cell>
          <cell r="G3691">
            <v>40005716</v>
          </cell>
        </row>
        <row r="3692">
          <cell r="E3692" t="str">
            <v>150710-0</v>
          </cell>
          <cell r="F3692">
            <v>10001074</v>
          </cell>
          <cell r="G3692">
            <v>40007357</v>
          </cell>
        </row>
        <row r="3693">
          <cell r="E3693" t="str">
            <v>JM23100320</v>
          </cell>
          <cell r="F3693">
            <v>10097349</v>
          </cell>
          <cell r="G3693">
            <v>40005894</v>
          </cell>
        </row>
        <row r="3694">
          <cell r="E3694" t="str">
            <v>344463-3</v>
          </cell>
          <cell r="F3694">
            <v>10057148</v>
          </cell>
          <cell r="G3694">
            <v>40005674</v>
          </cell>
        </row>
        <row r="3695">
          <cell r="E3695">
            <v>10114010</v>
          </cell>
          <cell r="F3695">
            <v>10058391</v>
          </cell>
          <cell r="G3695">
            <v>40005721</v>
          </cell>
        </row>
        <row r="3696">
          <cell r="E3696">
            <v>963601120</v>
          </cell>
          <cell r="F3696">
            <v>10027529</v>
          </cell>
          <cell r="G3696">
            <v>40007313</v>
          </cell>
        </row>
        <row r="3697">
          <cell r="E3697">
            <v>38131011</v>
          </cell>
          <cell r="F3697">
            <v>10027866</v>
          </cell>
          <cell r="G3697">
            <v>40007324</v>
          </cell>
        </row>
        <row r="3698">
          <cell r="E3698">
            <v>20245041</v>
          </cell>
          <cell r="F3698">
            <v>10060260</v>
          </cell>
          <cell r="G3698">
            <v>40006308</v>
          </cell>
        </row>
        <row r="3699">
          <cell r="E3699">
            <v>181245100</v>
          </cell>
          <cell r="F3699">
            <v>10050078</v>
          </cell>
          <cell r="G3699">
            <v>40007895</v>
          </cell>
        </row>
        <row r="3700">
          <cell r="E3700">
            <v>965402402</v>
          </cell>
          <cell r="F3700">
            <v>10051029</v>
          </cell>
        </row>
        <row r="3701">
          <cell r="E3701">
            <v>38245020</v>
          </cell>
          <cell r="F3701">
            <v>10030443</v>
          </cell>
          <cell r="G3701">
            <v>40007157</v>
          </cell>
        </row>
        <row r="3702">
          <cell r="E3702" t="str">
            <v>227179-4</v>
          </cell>
          <cell r="F3702">
            <v>10035113</v>
          </cell>
          <cell r="G3702">
            <v>40008128</v>
          </cell>
        </row>
        <row r="3703">
          <cell r="E3703" t="str">
            <v>227182-5</v>
          </cell>
          <cell r="F3703">
            <v>10035105</v>
          </cell>
          <cell r="G3703">
            <v>40008120</v>
          </cell>
        </row>
        <row r="3704">
          <cell r="E3704" t="str">
            <v>226293-3</v>
          </cell>
          <cell r="F3704">
            <v>10034476</v>
          </cell>
          <cell r="G3704">
            <v>40008079</v>
          </cell>
        </row>
        <row r="3705">
          <cell r="E3705" t="str">
            <v>227213-0</v>
          </cell>
          <cell r="F3705">
            <v>10035297</v>
          </cell>
          <cell r="G3705">
            <v>40008165</v>
          </cell>
        </row>
        <row r="3706">
          <cell r="E3706" t="str">
            <v>227030-8</v>
          </cell>
          <cell r="F3706">
            <v>10001374</v>
          </cell>
          <cell r="G3706">
            <v>40007636</v>
          </cell>
        </row>
        <row r="3707">
          <cell r="E3707" t="str">
            <v>227188-3</v>
          </cell>
          <cell r="F3707">
            <v>10062719</v>
          </cell>
          <cell r="G3707">
            <v>40006175</v>
          </cell>
        </row>
        <row r="3708">
          <cell r="E3708" t="str">
            <v>227028-5</v>
          </cell>
          <cell r="F3708">
            <v>10034486</v>
          </cell>
          <cell r="G3708">
            <v>40008087</v>
          </cell>
        </row>
        <row r="3709">
          <cell r="E3709" t="str">
            <v>227109-5</v>
          </cell>
          <cell r="F3709">
            <v>10035112</v>
          </cell>
          <cell r="G3709">
            <v>40008127</v>
          </cell>
        </row>
        <row r="3710">
          <cell r="E3710" t="str">
            <v>135486-0</v>
          </cell>
          <cell r="F3710">
            <v>10038952</v>
          </cell>
        </row>
        <row r="3711">
          <cell r="E3711" t="str">
            <v>515613-9</v>
          </cell>
          <cell r="F3711">
            <v>10000844</v>
          </cell>
          <cell r="G3711">
            <v>40007497</v>
          </cell>
        </row>
        <row r="3712">
          <cell r="E3712" t="str">
            <v>638360-6</v>
          </cell>
          <cell r="F3712">
            <v>10049588</v>
          </cell>
          <cell r="G3712">
            <v>40007867</v>
          </cell>
        </row>
        <row r="3713">
          <cell r="E3713" t="str">
            <v>219014-0</v>
          </cell>
          <cell r="F3713">
            <v>10058399</v>
          </cell>
          <cell r="G3713">
            <v>40006091</v>
          </cell>
        </row>
        <row r="3714">
          <cell r="E3714" t="str">
            <v>650101-0</v>
          </cell>
          <cell r="F3714">
            <v>10062989</v>
          </cell>
          <cell r="G3714">
            <v>40005979</v>
          </cell>
        </row>
        <row r="3715">
          <cell r="E3715" t="str">
            <v>650518-7</v>
          </cell>
          <cell r="F3715">
            <v>10001250</v>
          </cell>
          <cell r="G3715">
            <v>40007050</v>
          </cell>
        </row>
        <row r="3716">
          <cell r="E3716" t="str">
            <v>650616-7</v>
          </cell>
          <cell r="F3716">
            <v>10049547</v>
          </cell>
          <cell r="G3716">
            <v>40007036</v>
          </cell>
        </row>
        <row r="3717">
          <cell r="E3717" t="str">
            <v>650677-7</v>
          </cell>
          <cell r="F3717">
            <v>10063009</v>
          </cell>
        </row>
        <row r="3718">
          <cell r="E3718" t="str">
            <v>651184-3</v>
          </cell>
          <cell r="F3718">
            <v>10049555</v>
          </cell>
          <cell r="G3718">
            <v>40007581</v>
          </cell>
        </row>
        <row r="3719">
          <cell r="E3719" t="str">
            <v>AL00000168</v>
          </cell>
          <cell r="F3719">
            <v>10088134</v>
          </cell>
          <cell r="G3719">
            <v>40005845</v>
          </cell>
        </row>
        <row r="3720">
          <cell r="E3720" t="str">
            <v>183121-4</v>
          </cell>
          <cell r="F3720">
            <v>10035474</v>
          </cell>
        </row>
        <row r="3721">
          <cell r="E3721" t="str">
            <v>651481-7</v>
          </cell>
          <cell r="F3721">
            <v>10001212</v>
          </cell>
          <cell r="G3721">
            <v>40007933</v>
          </cell>
        </row>
        <row r="3722">
          <cell r="E3722" t="str">
            <v>651242-5</v>
          </cell>
          <cell r="F3722">
            <v>10000999</v>
          </cell>
          <cell r="G3722">
            <v>40007846</v>
          </cell>
        </row>
        <row r="3723">
          <cell r="E3723" t="str">
            <v>651023-7</v>
          </cell>
          <cell r="F3723">
            <v>10001213</v>
          </cell>
          <cell r="G3723">
            <v>40007935</v>
          </cell>
        </row>
        <row r="3724">
          <cell r="E3724" t="str">
            <v>632F43-6</v>
          </cell>
          <cell r="F3724">
            <v>10062610</v>
          </cell>
        </row>
        <row r="3725">
          <cell r="E3725" t="str">
            <v>638470-9</v>
          </cell>
          <cell r="F3725">
            <v>10036579</v>
          </cell>
          <cell r="G3725">
            <v>40007996</v>
          </cell>
        </row>
        <row r="3726">
          <cell r="E3726" t="str">
            <v>638605-2</v>
          </cell>
          <cell r="F3726">
            <v>10036580</v>
          </cell>
          <cell r="G3726">
            <v>40007997</v>
          </cell>
        </row>
        <row r="3727">
          <cell r="E3727" t="str">
            <v>638886-8</v>
          </cell>
          <cell r="F3727">
            <v>10054842</v>
          </cell>
          <cell r="G3727">
            <v>40006138</v>
          </cell>
        </row>
        <row r="3728">
          <cell r="E3728" t="str">
            <v>650202-4</v>
          </cell>
          <cell r="F3728">
            <v>10035469</v>
          </cell>
          <cell r="G3728">
            <v>40007971</v>
          </cell>
        </row>
        <row r="3729">
          <cell r="E3729" t="str">
            <v>650215-5</v>
          </cell>
          <cell r="F3729">
            <v>10037137</v>
          </cell>
          <cell r="G3729">
            <v>40007999</v>
          </cell>
        </row>
        <row r="3730">
          <cell r="E3730" t="str">
            <v>650226-0</v>
          </cell>
          <cell r="F3730">
            <v>10033761</v>
          </cell>
          <cell r="G3730">
            <v>40007216</v>
          </cell>
        </row>
        <row r="3731">
          <cell r="E3731" t="str">
            <v>650508-0</v>
          </cell>
          <cell r="F3731">
            <v>10001254</v>
          </cell>
          <cell r="G3731">
            <v>40007054</v>
          </cell>
        </row>
        <row r="3732">
          <cell r="E3732" t="str">
            <v>650514-5</v>
          </cell>
          <cell r="F3732">
            <v>10026309</v>
          </cell>
          <cell r="G3732">
            <v>40007304</v>
          </cell>
        </row>
        <row r="3733">
          <cell r="E3733" t="str">
            <v>650524-2</v>
          </cell>
          <cell r="F3733">
            <v>10024026</v>
          </cell>
          <cell r="G3733">
            <v>40007225</v>
          </cell>
        </row>
        <row r="3734">
          <cell r="E3734" t="str">
            <v>650555-1</v>
          </cell>
          <cell r="F3734">
            <v>10047845</v>
          </cell>
          <cell r="G3734">
            <v>40010346</v>
          </cell>
        </row>
        <row r="3735">
          <cell r="E3735" t="str">
            <v>650564-0</v>
          </cell>
          <cell r="F3735">
            <v>10034576</v>
          </cell>
          <cell r="G3735">
            <v>40008097</v>
          </cell>
        </row>
        <row r="3736">
          <cell r="E3736" t="str">
            <v>650569-0</v>
          </cell>
          <cell r="F3736">
            <v>10066772</v>
          </cell>
          <cell r="G3736">
            <v>40006435</v>
          </cell>
        </row>
        <row r="3737">
          <cell r="E3737" t="str">
            <v>650573-9</v>
          </cell>
          <cell r="F3737">
            <v>10030416</v>
          </cell>
          <cell r="G3737">
            <v>40007145</v>
          </cell>
        </row>
        <row r="3738">
          <cell r="E3738" t="str">
            <v>650579-7</v>
          </cell>
          <cell r="F3738">
            <v>10063084</v>
          </cell>
          <cell r="G3738">
            <v>40006041</v>
          </cell>
        </row>
        <row r="3739">
          <cell r="E3739" t="str">
            <v>650583-6</v>
          </cell>
          <cell r="F3739">
            <v>10035484</v>
          </cell>
          <cell r="G3739">
            <v>40007981</v>
          </cell>
        </row>
        <row r="3740">
          <cell r="E3740" t="str">
            <v>650591-7</v>
          </cell>
          <cell r="F3740">
            <v>10049560</v>
          </cell>
          <cell r="G3740">
            <v>40007590</v>
          </cell>
        </row>
        <row r="3741">
          <cell r="E3741" t="str">
            <v>650613-3</v>
          </cell>
          <cell r="F3741">
            <v>10035299</v>
          </cell>
          <cell r="G3741">
            <v>40008169</v>
          </cell>
        </row>
        <row r="3742">
          <cell r="E3742" t="str">
            <v>650614-1</v>
          </cell>
          <cell r="F3742">
            <v>10064601</v>
          </cell>
          <cell r="G3742">
            <v>40006383</v>
          </cell>
        </row>
        <row r="3743">
          <cell r="E3743" t="str">
            <v>650615-9</v>
          </cell>
          <cell r="F3743">
            <v>10029209</v>
          </cell>
          <cell r="G3743">
            <v>40007137</v>
          </cell>
        </row>
        <row r="3744">
          <cell r="E3744" t="str">
            <v>650618-3</v>
          </cell>
          <cell r="F3744">
            <v>10050067</v>
          </cell>
          <cell r="G3744">
            <v>40007886</v>
          </cell>
        </row>
        <row r="3745">
          <cell r="E3745" t="str">
            <v>650620-6</v>
          </cell>
          <cell r="F3745">
            <v>10046385</v>
          </cell>
          <cell r="G3745">
            <v>40006951</v>
          </cell>
        </row>
        <row r="3746">
          <cell r="E3746" t="str">
            <v>650621-4</v>
          </cell>
          <cell r="F3746">
            <v>10034575</v>
          </cell>
          <cell r="G3746">
            <v>40008096</v>
          </cell>
        </row>
        <row r="3747">
          <cell r="E3747" t="str">
            <v>650626-4</v>
          </cell>
          <cell r="F3747">
            <v>10050112</v>
          </cell>
          <cell r="G3747">
            <v>40007930</v>
          </cell>
        </row>
        <row r="3748">
          <cell r="E3748" t="str">
            <v>650645-0</v>
          </cell>
          <cell r="F3748">
            <v>10033837</v>
          </cell>
          <cell r="G3748">
            <v>40007223</v>
          </cell>
        </row>
        <row r="3749">
          <cell r="E3749" t="str">
            <v>650656-5</v>
          </cell>
          <cell r="F3749">
            <v>10033835</v>
          </cell>
          <cell r="G3749">
            <v>40007221</v>
          </cell>
        </row>
        <row r="3750">
          <cell r="E3750" t="str">
            <v>650672-7</v>
          </cell>
          <cell r="F3750">
            <v>10035310</v>
          </cell>
          <cell r="G3750">
            <v>40008311</v>
          </cell>
        </row>
        <row r="3751">
          <cell r="E3751" t="str">
            <v>650710-5</v>
          </cell>
          <cell r="F3751">
            <v>10054696</v>
          </cell>
          <cell r="G3751">
            <v>40006090</v>
          </cell>
        </row>
        <row r="3752">
          <cell r="E3752" t="str">
            <v>650716-3</v>
          </cell>
          <cell r="F3752">
            <v>10070799</v>
          </cell>
          <cell r="G3752">
            <v>40006155</v>
          </cell>
        </row>
        <row r="3753">
          <cell r="E3753" t="str">
            <v>650724-4</v>
          </cell>
          <cell r="F3753">
            <v>10057824</v>
          </cell>
          <cell r="G3753">
            <v>40005715</v>
          </cell>
        </row>
        <row r="3754">
          <cell r="E3754" t="str">
            <v>650753-7</v>
          </cell>
          <cell r="F3754">
            <v>10066773</v>
          </cell>
          <cell r="G3754">
            <v>40006436</v>
          </cell>
        </row>
        <row r="3755">
          <cell r="E3755" t="str">
            <v>651018-0</v>
          </cell>
          <cell r="F3755">
            <v>10042331</v>
          </cell>
          <cell r="G3755">
            <v>40006753</v>
          </cell>
        </row>
        <row r="3756">
          <cell r="E3756" t="str">
            <v>651131-4</v>
          </cell>
          <cell r="F3756">
            <v>10063089</v>
          </cell>
          <cell r="G3756">
            <v>40006045</v>
          </cell>
        </row>
        <row r="3757">
          <cell r="E3757" t="str">
            <v>651145-3</v>
          </cell>
          <cell r="F3757">
            <v>10058405</v>
          </cell>
          <cell r="G3757">
            <v>40005725</v>
          </cell>
        </row>
        <row r="3758">
          <cell r="E3758" t="str">
            <v>651159-2</v>
          </cell>
          <cell r="F3758">
            <v>10054801</v>
          </cell>
          <cell r="G3758">
            <v>40006110</v>
          </cell>
        </row>
        <row r="3759">
          <cell r="E3759" t="str">
            <v>651193-2</v>
          </cell>
          <cell r="F3759">
            <v>10014761</v>
          </cell>
          <cell r="G3759">
            <v>40008317</v>
          </cell>
        </row>
        <row r="3760">
          <cell r="E3760" t="str">
            <v>651280-7</v>
          </cell>
          <cell r="F3760">
            <v>10001008</v>
          </cell>
          <cell r="G3760">
            <v>40007858</v>
          </cell>
        </row>
        <row r="3761">
          <cell r="E3761" t="str">
            <v>651282-3</v>
          </cell>
          <cell r="F3761">
            <v>10050073</v>
          </cell>
          <cell r="G3761">
            <v>40007891</v>
          </cell>
        </row>
        <row r="3762">
          <cell r="E3762" t="str">
            <v>651285-7</v>
          </cell>
          <cell r="F3762">
            <v>10044461</v>
          </cell>
          <cell r="G3762">
            <v>40006779</v>
          </cell>
        </row>
        <row r="3763">
          <cell r="E3763" t="str">
            <v>651298-8</v>
          </cell>
          <cell r="F3763">
            <v>10001258</v>
          </cell>
          <cell r="G3763">
            <v>40007056</v>
          </cell>
        </row>
        <row r="3764">
          <cell r="E3764" t="str">
            <v>651315-4</v>
          </cell>
          <cell r="F3764">
            <v>10036576</v>
          </cell>
          <cell r="G3764">
            <v>40007994</v>
          </cell>
        </row>
        <row r="3765">
          <cell r="E3765" t="str">
            <v>651478-6</v>
          </cell>
          <cell r="F3765">
            <v>10015106</v>
          </cell>
          <cell r="G3765">
            <v>40008321</v>
          </cell>
        </row>
        <row r="3766">
          <cell r="E3766" t="str">
            <v>651600-5</v>
          </cell>
          <cell r="F3766">
            <v>10001209</v>
          </cell>
          <cell r="G3766">
            <v>40007927</v>
          </cell>
        </row>
        <row r="3767">
          <cell r="E3767" t="str">
            <v>651941-9</v>
          </cell>
          <cell r="F3767">
            <v>10035487</v>
          </cell>
          <cell r="G3767">
            <v>40007984</v>
          </cell>
        </row>
        <row r="3768">
          <cell r="E3768" t="str">
            <v>651947-7</v>
          </cell>
          <cell r="F3768">
            <v>10044764</v>
          </cell>
        </row>
        <row r="3769">
          <cell r="E3769" t="str">
            <v>651962-1</v>
          </cell>
          <cell r="F3769">
            <v>10001343</v>
          </cell>
        </row>
        <row r="3770">
          <cell r="E3770" t="str">
            <v>651986-7</v>
          </cell>
          <cell r="F3770">
            <v>10001216</v>
          </cell>
          <cell r="G3770">
            <v>40010235</v>
          </cell>
        </row>
        <row r="3771">
          <cell r="E3771" t="str">
            <v>651989-1</v>
          </cell>
          <cell r="F3771">
            <v>10000991</v>
          </cell>
          <cell r="G3771">
            <v>40007836</v>
          </cell>
        </row>
        <row r="3772">
          <cell r="E3772" t="str">
            <v>651262-9</v>
          </cell>
          <cell r="F3772">
            <v>10002662</v>
          </cell>
          <cell r="G3772">
            <v>40008215</v>
          </cell>
        </row>
        <row r="3773">
          <cell r="E3773" t="str">
            <v>651914-2</v>
          </cell>
          <cell r="F3773">
            <v>10001301</v>
          </cell>
        </row>
        <row r="3774">
          <cell r="E3774" t="str">
            <v>651568-5</v>
          </cell>
          <cell r="F3774">
            <v>10025679</v>
          </cell>
          <cell r="G3774">
            <v>40007276</v>
          </cell>
        </row>
        <row r="3775">
          <cell r="E3775" t="str">
            <v>651233-6</v>
          </cell>
          <cell r="F3775">
            <v>10000987</v>
          </cell>
          <cell r="G3775">
            <v>40007835</v>
          </cell>
        </row>
        <row r="3776">
          <cell r="E3776" t="str">
            <v>651607-1</v>
          </cell>
          <cell r="F3776">
            <v>10000988</v>
          </cell>
          <cell r="G3776">
            <v>40003872</v>
          </cell>
        </row>
        <row r="3777">
          <cell r="E3777" t="str">
            <v>531057-5</v>
          </cell>
          <cell r="F3777">
            <v>10002338</v>
          </cell>
          <cell r="G3777">
            <v>40008150</v>
          </cell>
        </row>
        <row r="3778">
          <cell r="E3778" t="str">
            <v>638950-5</v>
          </cell>
          <cell r="F3778">
            <v>10062963</v>
          </cell>
          <cell r="G3778">
            <v>40005959</v>
          </cell>
        </row>
        <row r="3779">
          <cell r="E3779" t="str">
            <v>421778-6</v>
          </cell>
          <cell r="F3779">
            <v>10084064</v>
          </cell>
        </row>
        <row r="3780">
          <cell r="E3780" t="str">
            <v>417113-4</v>
          </cell>
          <cell r="F3780">
            <v>10070800</v>
          </cell>
          <cell r="G3780">
            <v>40006156</v>
          </cell>
        </row>
        <row r="3781">
          <cell r="E3781" t="str">
            <v>651128-3</v>
          </cell>
          <cell r="F3781">
            <v>10000996</v>
          </cell>
          <cell r="G3781">
            <v>40007844</v>
          </cell>
        </row>
        <row r="3782">
          <cell r="E3782" t="str">
            <v>650691-3</v>
          </cell>
          <cell r="F3782">
            <v>10049548</v>
          </cell>
          <cell r="G3782">
            <v>40007038</v>
          </cell>
        </row>
        <row r="3783">
          <cell r="E3783" t="str">
            <v>650699-7</v>
          </cell>
          <cell r="F3783">
            <v>10051507</v>
          </cell>
          <cell r="G3783">
            <v>40006939</v>
          </cell>
        </row>
        <row r="3784">
          <cell r="E3784" t="str">
            <v>650673-5</v>
          </cell>
          <cell r="F3784">
            <v>10097875</v>
          </cell>
          <cell r="G3784">
            <v>40005911</v>
          </cell>
        </row>
        <row r="3785">
          <cell r="E3785" t="str">
            <v>650689-0</v>
          </cell>
          <cell r="F3785">
            <v>10075348</v>
          </cell>
          <cell r="G3785">
            <v>40010348</v>
          </cell>
        </row>
        <row r="3786">
          <cell r="E3786" t="str">
            <v>651978-6</v>
          </cell>
          <cell r="F3786">
            <v>10001336</v>
          </cell>
          <cell r="G3786">
            <v>40007108</v>
          </cell>
        </row>
        <row r="3787">
          <cell r="E3787" t="str">
            <v>650589-4</v>
          </cell>
          <cell r="F3787">
            <v>10002373</v>
          </cell>
          <cell r="G3787">
            <v>40008181</v>
          </cell>
        </row>
        <row r="3788">
          <cell r="E3788" t="str">
            <v>650562-4</v>
          </cell>
          <cell r="F3788">
            <v>10000984</v>
          </cell>
          <cell r="G3788">
            <v>40007833</v>
          </cell>
        </row>
        <row r="3789">
          <cell r="E3789" t="str">
            <v>650685-8</v>
          </cell>
          <cell r="F3789">
            <v>10050911</v>
          </cell>
          <cell r="G3789">
            <v>40006858</v>
          </cell>
        </row>
        <row r="3790">
          <cell r="E3790" t="str">
            <v>JM27100112</v>
          </cell>
          <cell r="F3790">
            <v>10064417</v>
          </cell>
          <cell r="G3790">
            <v>40006360</v>
          </cell>
        </row>
        <row r="3791">
          <cell r="E3791" t="str">
            <v>411852-8</v>
          </cell>
          <cell r="F3791">
            <v>10044374</v>
          </cell>
          <cell r="G3791">
            <v>40006772</v>
          </cell>
        </row>
        <row r="3792">
          <cell r="E3792" t="str">
            <v>424086-4</v>
          </cell>
          <cell r="F3792">
            <v>10049570</v>
          </cell>
          <cell r="G3792">
            <v>40007847</v>
          </cell>
        </row>
        <row r="3793">
          <cell r="E3793" t="str">
            <v>650586-0</v>
          </cell>
          <cell r="F3793">
            <v>10002607</v>
          </cell>
          <cell r="G3793">
            <v>40008194</v>
          </cell>
        </row>
        <row r="3794">
          <cell r="E3794" t="str">
            <v>650233-3</v>
          </cell>
          <cell r="F3794">
            <v>10050910</v>
          </cell>
          <cell r="G3794">
            <v>40006857</v>
          </cell>
        </row>
        <row r="3795">
          <cell r="E3795" t="str">
            <v>651256-4</v>
          </cell>
          <cell r="F3795">
            <v>10000989</v>
          </cell>
          <cell r="G3795">
            <v>40003873</v>
          </cell>
        </row>
        <row r="3796">
          <cell r="E3796" t="str">
            <v>651416-8</v>
          </cell>
          <cell r="F3796">
            <v>10053342</v>
          </cell>
          <cell r="G3796">
            <v>40006682</v>
          </cell>
        </row>
        <row r="3797">
          <cell r="E3797" t="str">
            <v>650235-9</v>
          </cell>
          <cell r="F3797">
            <v>10054010</v>
          </cell>
          <cell r="G3797">
            <v>40006080</v>
          </cell>
        </row>
        <row r="3798">
          <cell r="E3798" t="str">
            <v>651189-3</v>
          </cell>
          <cell r="F3798">
            <v>10038945</v>
          </cell>
          <cell r="G3798">
            <v>40008031</v>
          </cell>
        </row>
        <row r="3799">
          <cell r="E3799" t="str">
            <v>650217-1</v>
          </cell>
          <cell r="F3799">
            <v>10000981</v>
          </cell>
          <cell r="G3799">
            <v>40007830</v>
          </cell>
        </row>
        <row r="3800">
          <cell r="E3800" t="str">
            <v>651433-8</v>
          </cell>
          <cell r="F3800">
            <v>10002880</v>
          </cell>
          <cell r="G3800">
            <v>40008234</v>
          </cell>
        </row>
        <row r="3801">
          <cell r="E3801" t="str">
            <v>650751-1</v>
          </cell>
          <cell r="F3801">
            <v>10093977</v>
          </cell>
          <cell r="G3801">
            <v>40010236</v>
          </cell>
        </row>
        <row r="3802">
          <cell r="E3802" t="str">
            <v>651260-3</v>
          </cell>
          <cell r="F3802">
            <v>10000993</v>
          </cell>
          <cell r="G3802">
            <v>40007839</v>
          </cell>
        </row>
        <row r="3803">
          <cell r="E3803" t="str">
            <v>651016-4</v>
          </cell>
          <cell r="F3803">
            <v>10000992</v>
          </cell>
          <cell r="G3803">
            <v>40007838</v>
          </cell>
        </row>
        <row r="3804">
          <cell r="E3804" t="str">
            <v>651033-4</v>
          </cell>
          <cell r="F3804">
            <v>10057237</v>
          </cell>
        </row>
        <row r="3805">
          <cell r="E3805" t="str">
            <v>JM23000112</v>
          </cell>
          <cell r="F3805">
            <v>10000982</v>
          </cell>
          <cell r="G3805">
            <v>40007831</v>
          </cell>
        </row>
        <row r="3806">
          <cell r="E3806" t="str">
            <v>JM27000130</v>
          </cell>
          <cell r="F3806">
            <v>10035491</v>
          </cell>
          <cell r="G3806">
            <v>40007986</v>
          </cell>
        </row>
        <row r="3807">
          <cell r="E3807" t="str">
            <v>453368-7</v>
          </cell>
          <cell r="F3807">
            <v>10062966</v>
          </cell>
          <cell r="G3807">
            <v>40005961</v>
          </cell>
        </row>
        <row r="3808">
          <cell r="E3808" t="str">
            <v>419566-3</v>
          </cell>
          <cell r="F3808">
            <v>10001002</v>
          </cell>
          <cell r="G3808">
            <v>40007850</v>
          </cell>
        </row>
        <row r="3809">
          <cell r="E3809" t="str">
            <v>452503-4</v>
          </cell>
          <cell r="F3809">
            <v>10062586</v>
          </cell>
          <cell r="G3809">
            <v>40005626</v>
          </cell>
        </row>
        <row r="3810">
          <cell r="E3810" t="str">
            <v>455447-7</v>
          </cell>
          <cell r="F3810">
            <v>10063083</v>
          </cell>
          <cell r="G3810">
            <v>40006040</v>
          </cell>
        </row>
        <row r="3811">
          <cell r="E3811" t="str">
            <v>418016-5</v>
          </cell>
          <cell r="F3811">
            <v>10001327</v>
          </cell>
          <cell r="G3811">
            <v>40007103</v>
          </cell>
        </row>
        <row r="3812">
          <cell r="E3812" t="str">
            <v>414157-5</v>
          </cell>
          <cell r="F3812">
            <v>10022754</v>
          </cell>
        </row>
        <row r="3813">
          <cell r="E3813" t="str">
            <v>415120-1</v>
          </cell>
          <cell r="F3813">
            <v>10047471</v>
          </cell>
        </row>
        <row r="3814">
          <cell r="E3814" t="str">
            <v>418141-2</v>
          </cell>
          <cell r="F3814">
            <v>10035292</v>
          </cell>
          <cell r="G3814">
            <v>40008155</v>
          </cell>
        </row>
        <row r="3815">
          <cell r="E3815" t="str">
            <v>452501-8</v>
          </cell>
          <cell r="F3815">
            <v>10062587</v>
          </cell>
          <cell r="G3815">
            <v>40005627</v>
          </cell>
        </row>
        <row r="3816">
          <cell r="E3816" t="str">
            <v>418728-0</v>
          </cell>
          <cell r="F3816">
            <v>10001378</v>
          </cell>
          <cell r="G3816">
            <v>40007645</v>
          </cell>
        </row>
        <row r="3817">
          <cell r="E3817" t="str">
            <v>418796-3</v>
          </cell>
          <cell r="F3817">
            <v>10001003</v>
          </cell>
          <cell r="G3817">
            <v>40007852</v>
          </cell>
        </row>
        <row r="3818">
          <cell r="E3818" t="str">
            <v>152448-3</v>
          </cell>
          <cell r="F3818">
            <v>10000994</v>
          </cell>
          <cell r="G3818">
            <v>40007840</v>
          </cell>
        </row>
        <row r="3819">
          <cell r="E3819" t="str">
            <v>457129-7</v>
          </cell>
          <cell r="F3819">
            <v>10093976</v>
          </cell>
          <cell r="G3819">
            <v>40005875</v>
          </cell>
        </row>
        <row r="3820">
          <cell r="E3820" t="str">
            <v>417115-0</v>
          </cell>
          <cell r="F3820">
            <v>10002375</v>
          </cell>
          <cell r="G3820">
            <v>40008182</v>
          </cell>
        </row>
        <row r="3821">
          <cell r="E3821" t="str">
            <v>415366-9</v>
          </cell>
          <cell r="F3821">
            <v>10035294</v>
          </cell>
          <cell r="G3821">
            <v>40008159</v>
          </cell>
        </row>
        <row r="3822">
          <cell r="E3822" t="str">
            <v>418139-9</v>
          </cell>
          <cell r="F3822">
            <v>10033752</v>
          </cell>
        </row>
        <row r="3823">
          <cell r="E3823" t="str">
            <v>651923-1</v>
          </cell>
          <cell r="F3823">
            <v>10001242</v>
          </cell>
          <cell r="G3823">
            <v>40007045</v>
          </cell>
        </row>
        <row r="3824">
          <cell r="E3824" t="str">
            <v>140963-9</v>
          </cell>
          <cell r="F3824">
            <v>10061612</v>
          </cell>
          <cell r="G3824">
            <v>40006346</v>
          </cell>
        </row>
        <row r="3825">
          <cell r="E3825" t="str">
            <v>650577-1</v>
          </cell>
          <cell r="F3825">
            <v>10057270</v>
          </cell>
          <cell r="G3825">
            <v>40005710</v>
          </cell>
        </row>
        <row r="3826">
          <cell r="E3826" t="str">
            <v>651281-5</v>
          </cell>
          <cell r="F3826">
            <v>10001207</v>
          </cell>
          <cell r="G3826">
            <v>40007922</v>
          </cell>
        </row>
        <row r="3827">
          <cell r="E3827" t="str">
            <v>651286-5</v>
          </cell>
          <cell r="F3827">
            <v>10002343</v>
          </cell>
          <cell r="G3827">
            <v>40008158</v>
          </cell>
        </row>
        <row r="3828">
          <cell r="E3828" t="str">
            <v>651204-3</v>
          </cell>
          <cell r="F3828">
            <v>10061468</v>
          </cell>
          <cell r="G3828">
            <v>40010234</v>
          </cell>
        </row>
        <row r="3829">
          <cell r="E3829" t="str">
            <v>651564-3</v>
          </cell>
          <cell r="F3829">
            <v>10001354</v>
          </cell>
          <cell r="G3829">
            <v>40007120</v>
          </cell>
        </row>
        <row r="3830">
          <cell r="E3830" t="str">
            <v>651609-7</v>
          </cell>
          <cell r="F3830">
            <v>10050969</v>
          </cell>
          <cell r="G3830">
            <v>40006889</v>
          </cell>
        </row>
        <row r="3831">
          <cell r="E3831" t="str">
            <v>651418-4</v>
          </cell>
          <cell r="F3831">
            <v>10062964</v>
          </cell>
          <cell r="G3831">
            <v>40005960</v>
          </cell>
        </row>
        <row r="3832">
          <cell r="E3832" t="str">
            <v>651424-9</v>
          </cell>
          <cell r="F3832">
            <v>10001234</v>
          </cell>
          <cell r="G3832">
            <v>40007039</v>
          </cell>
        </row>
        <row r="3833">
          <cell r="E3833" t="str">
            <v>650568-2</v>
          </cell>
          <cell r="F3833">
            <v>10050971</v>
          </cell>
          <cell r="G3833">
            <v>40006890</v>
          </cell>
        </row>
        <row r="3834">
          <cell r="E3834" t="str">
            <v>651984-1</v>
          </cell>
          <cell r="F3834">
            <v>10053576</v>
          </cell>
          <cell r="G3834">
            <v>40006706</v>
          </cell>
        </row>
        <row r="3835">
          <cell r="E3835" t="str">
            <v>650597-5</v>
          </cell>
          <cell r="F3835">
            <v>10057260</v>
          </cell>
          <cell r="G3835">
            <v>40005701</v>
          </cell>
        </row>
        <row r="3836">
          <cell r="E3836" t="str">
            <v>651359-4</v>
          </cell>
          <cell r="F3836">
            <v>10001322</v>
          </cell>
          <cell r="G3836">
            <v>40010349</v>
          </cell>
        </row>
        <row r="3837">
          <cell r="E3837" t="str">
            <v>650212-1</v>
          </cell>
          <cell r="F3837">
            <v>10000985</v>
          </cell>
          <cell r="G3837">
            <v>40007834</v>
          </cell>
        </row>
        <row r="3838">
          <cell r="E3838" t="str">
            <v>650543-8</v>
          </cell>
          <cell r="F3838">
            <v>10001346</v>
          </cell>
          <cell r="G3838">
            <v>40007114</v>
          </cell>
        </row>
        <row r="3839">
          <cell r="E3839" t="str">
            <v>650717-1</v>
          </cell>
          <cell r="F3839">
            <v>10057271</v>
          </cell>
          <cell r="G3839">
            <v>40005711</v>
          </cell>
        </row>
        <row r="3840">
          <cell r="E3840" t="str">
            <v>TL00000005</v>
          </cell>
          <cell r="F3840">
            <v>10050896</v>
          </cell>
        </row>
        <row r="3841">
          <cell r="E3841" t="str">
            <v>650246-4</v>
          </cell>
          <cell r="F3841">
            <v>10054802</v>
          </cell>
          <cell r="G3841">
            <v>40006111</v>
          </cell>
        </row>
        <row r="3842">
          <cell r="E3842" t="str">
            <v>651922-3</v>
          </cell>
          <cell r="F3842">
            <v>10001001</v>
          </cell>
          <cell r="G3842">
            <v>40007848</v>
          </cell>
        </row>
        <row r="3843">
          <cell r="E3843">
            <v>970001200</v>
          </cell>
          <cell r="F3843">
            <v>10001005</v>
          </cell>
          <cell r="G3843">
            <v>40007854</v>
          </cell>
        </row>
        <row r="3844">
          <cell r="E3844" t="str">
            <v>638503-0</v>
          </cell>
          <cell r="F3844">
            <v>10050926</v>
          </cell>
          <cell r="G3844">
            <v>40006872</v>
          </cell>
        </row>
        <row r="3845">
          <cell r="E3845" t="str">
            <v>638630-3</v>
          </cell>
          <cell r="F3845">
            <v>10053992</v>
          </cell>
          <cell r="G3845">
            <v>40006065</v>
          </cell>
        </row>
        <row r="3846">
          <cell r="E3846" t="str">
            <v>638887-6</v>
          </cell>
          <cell r="F3846">
            <v>10035480</v>
          </cell>
          <cell r="G3846">
            <v>40007979</v>
          </cell>
        </row>
        <row r="3847">
          <cell r="E3847" t="str">
            <v>632J77-3</v>
          </cell>
          <cell r="F3847">
            <v>10067207</v>
          </cell>
          <cell r="G3847">
            <v>40006450</v>
          </cell>
        </row>
        <row r="3848">
          <cell r="E3848" t="str">
            <v>651891-8</v>
          </cell>
          <cell r="F3848">
            <v>10045836</v>
          </cell>
          <cell r="G3848">
            <v>40006844</v>
          </cell>
        </row>
        <row r="3849">
          <cell r="E3849" t="str">
            <v>650559-3</v>
          </cell>
          <cell r="F3849">
            <v>10001009</v>
          </cell>
          <cell r="G3849">
            <v>40007861</v>
          </cell>
        </row>
        <row r="3850">
          <cell r="E3850" t="str">
            <v>650556-9</v>
          </cell>
          <cell r="F3850">
            <v>10000983</v>
          </cell>
          <cell r="G3850">
            <v>40007832</v>
          </cell>
        </row>
        <row r="3851">
          <cell r="E3851" t="str">
            <v>344816-6</v>
          </cell>
          <cell r="F3851">
            <v>10067242</v>
          </cell>
          <cell r="G3851">
            <v>40006451</v>
          </cell>
        </row>
        <row r="3852">
          <cell r="E3852">
            <v>30114631</v>
          </cell>
          <cell r="F3852">
            <v>10051026</v>
          </cell>
        </row>
        <row r="3853">
          <cell r="E3853" t="str">
            <v>142282-9</v>
          </cell>
          <cell r="F3853">
            <v>10061632</v>
          </cell>
          <cell r="G3853">
            <v>40005531</v>
          </cell>
        </row>
        <row r="3854">
          <cell r="E3854" t="str">
            <v>168507-3</v>
          </cell>
          <cell r="F3854">
            <v>10051017</v>
          </cell>
          <cell r="G3854">
            <v>40006922</v>
          </cell>
        </row>
        <row r="3855">
          <cell r="E3855" t="str">
            <v>168823-3</v>
          </cell>
          <cell r="F3855">
            <v>10102729</v>
          </cell>
          <cell r="G3855">
            <v>40005948</v>
          </cell>
        </row>
        <row r="3856">
          <cell r="E3856" t="str">
            <v>154870-0</v>
          </cell>
          <cell r="F3856">
            <v>10035301</v>
          </cell>
          <cell r="G3856">
            <v>40008173</v>
          </cell>
        </row>
        <row r="3857">
          <cell r="E3857" t="str">
            <v>266361-0</v>
          </cell>
          <cell r="F3857">
            <v>10054004</v>
          </cell>
          <cell r="G3857">
            <v>40006074</v>
          </cell>
        </row>
        <row r="3858">
          <cell r="E3858" t="str">
            <v>266427-6</v>
          </cell>
          <cell r="F3858">
            <v>10062540</v>
          </cell>
          <cell r="G3858">
            <v>40005595</v>
          </cell>
        </row>
        <row r="3859">
          <cell r="E3859" t="str">
            <v>266385-6</v>
          </cell>
          <cell r="F3859">
            <v>10058952</v>
          </cell>
          <cell r="G3859">
            <v>40006302</v>
          </cell>
        </row>
        <row r="3860">
          <cell r="E3860" t="str">
            <v>265875-6</v>
          </cell>
          <cell r="F3860">
            <v>10062467</v>
          </cell>
          <cell r="G3860">
            <v>40005588</v>
          </cell>
        </row>
        <row r="3861">
          <cell r="E3861" t="str">
            <v>265876-4</v>
          </cell>
          <cell r="F3861">
            <v>10062468</v>
          </cell>
          <cell r="G3861">
            <v>40005589</v>
          </cell>
        </row>
        <row r="3862">
          <cell r="E3862" t="str">
            <v>266020-6</v>
          </cell>
          <cell r="F3862">
            <v>10047916</v>
          </cell>
          <cell r="G3862">
            <v>40006985</v>
          </cell>
        </row>
        <row r="3863">
          <cell r="E3863" t="str">
            <v>266026-4</v>
          </cell>
          <cell r="F3863">
            <v>10027863</v>
          </cell>
          <cell r="G3863">
            <v>40007321</v>
          </cell>
        </row>
        <row r="3864">
          <cell r="E3864" t="str">
            <v>266041-8</v>
          </cell>
          <cell r="F3864">
            <v>10062442</v>
          </cell>
          <cell r="G3864">
            <v>40005571</v>
          </cell>
        </row>
        <row r="3865">
          <cell r="E3865" t="str">
            <v>266046-8</v>
          </cell>
          <cell r="F3865">
            <v>10084060</v>
          </cell>
        </row>
        <row r="3866">
          <cell r="E3866" t="str">
            <v>266059-9</v>
          </cell>
          <cell r="F3866">
            <v>10059974</v>
          </cell>
          <cell r="G3866">
            <v>40006303</v>
          </cell>
        </row>
        <row r="3867">
          <cell r="E3867" t="str">
            <v>266130-9</v>
          </cell>
          <cell r="F3867">
            <v>10036571</v>
          </cell>
          <cell r="G3867">
            <v>40007990</v>
          </cell>
        </row>
        <row r="3868">
          <cell r="E3868" t="str">
            <v>266334-8</v>
          </cell>
          <cell r="F3868">
            <v>10065735</v>
          </cell>
          <cell r="G3868">
            <v>40006403</v>
          </cell>
        </row>
        <row r="3869">
          <cell r="E3869" t="str">
            <v>266429-2</v>
          </cell>
          <cell r="F3869">
            <v>10084065</v>
          </cell>
        </row>
        <row r="3870">
          <cell r="E3870" t="str">
            <v>266329-6</v>
          </cell>
          <cell r="F3870">
            <v>10060297</v>
          </cell>
          <cell r="G3870">
            <v>40006318</v>
          </cell>
        </row>
        <row r="3871">
          <cell r="E3871" t="str">
            <v>266034-5</v>
          </cell>
          <cell r="F3871">
            <v>10001120</v>
          </cell>
          <cell r="G3871">
            <v>40007379</v>
          </cell>
        </row>
        <row r="3872">
          <cell r="E3872" t="str">
            <v>266007-8</v>
          </cell>
          <cell r="F3872">
            <v>10034450</v>
          </cell>
          <cell r="G3872">
            <v>40008069</v>
          </cell>
        </row>
        <row r="3873">
          <cell r="E3873" t="str">
            <v>266326-2</v>
          </cell>
          <cell r="F3873">
            <v>10054838</v>
          </cell>
          <cell r="G3873">
            <v>40006135</v>
          </cell>
        </row>
        <row r="3874">
          <cell r="E3874" t="str">
            <v>346859-4</v>
          </cell>
          <cell r="F3874">
            <v>10070764</v>
          </cell>
          <cell r="G3874">
            <v>40006721</v>
          </cell>
        </row>
        <row r="3875">
          <cell r="E3875" t="str">
            <v>231781-7</v>
          </cell>
          <cell r="F3875">
            <v>10057243</v>
          </cell>
          <cell r="G3875">
            <v>40005691</v>
          </cell>
        </row>
        <row r="3876">
          <cell r="E3876" t="str">
            <v>231848-1</v>
          </cell>
          <cell r="F3876">
            <v>10038963</v>
          </cell>
          <cell r="G3876">
            <v>40008044</v>
          </cell>
        </row>
        <row r="3877">
          <cell r="E3877" t="str">
            <v>231808-3</v>
          </cell>
          <cell r="F3877">
            <v>10053189</v>
          </cell>
          <cell r="G3877">
            <v>40006665</v>
          </cell>
        </row>
        <row r="3878">
          <cell r="E3878" t="str">
            <v>231730-4</v>
          </cell>
          <cell r="F3878">
            <v>10080357</v>
          </cell>
          <cell r="G3878">
            <v>40006204</v>
          </cell>
        </row>
        <row r="3879">
          <cell r="E3879">
            <v>24184021</v>
          </cell>
          <cell r="F3879">
            <v>10001202</v>
          </cell>
        </row>
        <row r="3880">
          <cell r="E3880" t="str">
            <v>231817-2</v>
          </cell>
          <cell r="F3880">
            <v>10062560</v>
          </cell>
          <cell r="G3880">
            <v>40005608</v>
          </cell>
        </row>
        <row r="3881">
          <cell r="E3881" t="str">
            <v>231833-4</v>
          </cell>
          <cell r="F3881">
            <v>10048339</v>
          </cell>
          <cell r="G3881">
            <v>40007005</v>
          </cell>
        </row>
        <row r="3882">
          <cell r="E3882" t="str">
            <v>231834-2</v>
          </cell>
          <cell r="F3882">
            <v>10048336</v>
          </cell>
          <cell r="G3882">
            <v>40007002</v>
          </cell>
        </row>
        <row r="3883">
          <cell r="E3883" t="str">
            <v>644808-8</v>
          </cell>
          <cell r="F3883">
            <v>10061635</v>
          </cell>
          <cell r="G3883">
            <v>40005537</v>
          </cell>
        </row>
        <row r="3884">
          <cell r="E3884" t="str">
            <v>643852-2</v>
          </cell>
          <cell r="F3884">
            <v>10061626</v>
          </cell>
          <cell r="G3884">
            <v>40006369</v>
          </cell>
        </row>
        <row r="3885">
          <cell r="E3885" t="str">
            <v>643899-6</v>
          </cell>
          <cell r="F3885">
            <v>10061638</v>
          </cell>
          <cell r="G3885">
            <v>40005543</v>
          </cell>
        </row>
        <row r="3886">
          <cell r="E3886">
            <v>130.43100000000001</v>
          </cell>
          <cell r="F3886">
            <v>10049595</v>
          </cell>
          <cell r="G3886">
            <v>40007870</v>
          </cell>
        </row>
        <row r="3887">
          <cell r="E3887" t="str">
            <v>643830-2</v>
          </cell>
          <cell r="F3887">
            <v>10035477</v>
          </cell>
          <cell r="G3887">
            <v>40007978</v>
          </cell>
        </row>
        <row r="3888">
          <cell r="E3888" t="str">
            <v>643844-1</v>
          </cell>
          <cell r="F3888">
            <v>10035282</v>
          </cell>
          <cell r="G3888">
            <v>40008141</v>
          </cell>
        </row>
        <row r="3889">
          <cell r="E3889" t="str">
            <v>643862-9</v>
          </cell>
          <cell r="F3889">
            <v>10035481</v>
          </cell>
          <cell r="G3889">
            <v>40007980</v>
          </cell>
        </row>
        <row r="3890">
          <cell r="E3890" t="str">
            <v>643869-5</v>
          </cell>
          <cell r="F3890">
            <v>10050075</v>
          </cell>
          <cell r="G3890">
            <v>40007893</v>
          </cell>
        </row>
        <row r="3891">
          <cell r="E3891" t="str">
            <v>345391-5</v>
          </cell>
          <cell r="F3891">
            <v>10060298</v>
          </cell>
          <cell r="G3891">
            <v>40006319</v>
          </cell>
        </row>
        <row r="3892">
          <cell r="E3892" t="str">
            <v>452022-0</v>
          </cell>
          <cell r="F3892">
            <v>10058961</v>
          </cell>
          <cell r="G3892">
            <v>40006240</v>
          </cell>
        </row>
        <row r="3893">
          <cell r="E3893" t="str">
            <v>344615-6</v>
          </cell>
          <cell r="F3893">
            <v>10050986</v>
          </cell>
          <cell r="G3893">
            <v>40006904</v>
          </cell>
        </row>
        <row r="3894">
          <cell r="E3894" t="str">
            <v>252649-4</v>
          </cell>
          <cell r="F3894">
            <v>10045360</v>
          </cell>
          <cell r="G3894">
            <v>40010266</v>
          </cell>
        </row>
        <row r="3895">
          <cell r="E3895" t="str">
            <v>252652-5</v>
          </cell>
          <cell r="F3895">
            <v>10080362</v>
          </cell>
          <cell r="G3895">
            <v>40006209</v>
          </cell>
        </row>
        <row r="3896">
          <cell r="E3896" t="str">
            <v>265754-8</v>
          </cell>
          <cell r="F3896">
            <v>10048338</v>
          </cell>
          <cell r="G3896">
            <v>40007004</v>
          </cell>
        </row>
        <row r="3897">
          <cell r="E3897" t="str">
            <v>265762-9</v>
          </cell>
          <cell r="F3897">
            <v>10022741</v>
          </cell>
        </row>
        <row r="3898">
          <cell r="E3898" t="str">
            <v>265771-8</v>
          </cell>
          <cell r="F3898">
            <v>10084087</v>
          </cell>
          <cell r="G3898">
            <v>40006255</v>
          </cell>
        </row>
        <row r="3899">
          <cell r="E3899" t="str">
            <v>265783-1</v>
          </cell>
          <cell r="F3899">
            <v>10058950</v>
          </cell>
          <cell r="G3899">
            <v>40005744</v>
          </cell>
        </row>
        <row r="3900">
          <cell r="E3900" t="str">
            <v>JM21000047</v>
          </cell>
          <cell r="F3900">
            <v>10103496</v>
          </cell>
          <cell r="G3900">
            <v>40006493</v>
          </cell>
        </row>
        <row r="3901">
          <cell r="E3901" t="str">
            <v>638107-8</v>
          </cell>
          <cell r="F3901">
            <v>10050929</v>
          </cell>
          <cell r="G3901">
            <v>40006875</v>
          </cell>
        </row>
        <row r="3902">
          <cell r="E3902" t="str">
            <v>123191-1</v>
          </cell>
          <cell r="F3902">
            <v>10040779</v>
          </cell>
          <cell r="G3902">
            <v>40008298</v>
          </cell>
        </row>
        <row r="3903">
          <cell r="E3903" t="str">
            <v>140265-3</v>
          </cell>
          <cell r="F3903">
            <v>10064431</v>
          </cell>
          <cell r="G3903">
            <v>40006373</v>
          </cell>
        </row>
        <row r="3904">
          <cell r="E3904" t="str">
            <v>158575-4</v>
          </cell>
          <cell r="F3904">
            <v>10059212</v>
          </cell>
          <cell r="G3904">
            <v>40006290</v>
          </cell>
        </row>
        <row r="3905">
          <cell r="E3905" t="str">
            <v>324820-1</v>
          </cell>
          <cell r="F3905">
            <v>10038946</v>
          </cell>
          <cell r="G3905">
            <v>40008032</v>
          </cell>
        </row>
        <row r="3906">
          <cell r="E3906" t="str">
            <v>324985-9</v>
          </cell>
          <cell r="F3906">
            <v>10065798</v>
          </cell>
          <cell r="G3906">
            <v>40006427</v>
          </cell>
        </row>
        <row r="3907">
          <cell r="E3907" t="str">
            <v>424165-8</v>
          </cell>
          <cell r="F3907">
            <v>10062432</v>
          </cell>
          <cell r="G3907">
            <v>40005564</v>
          </cell>
        </row>
        <row r="3908">
          <cell r="E3908" t="str">
            <v>158574-6</v>
          </cell>
          <cell r="F3908">
            <v>10038173</v>
          </cell>
          <cell r="G3908">
            <v>40008004</v>
          </cell>
        </row>
        <row r="3909">
          <cell r="E3909" t="str">
            <v>193004-0</v>
          </cell>
          <cell r="F3909">
            <v>10062996</v>
          </cell>
          <cell r="G3909">
            <v>40005984</v>
          </cell>
        </row>
        <row r="3910">
          <cell r="E3910" t="str">
            <v>193003-2</v>
          </cell>
          <cell r="F3910">
            <v>10002250</v>
          </cell>
          <cell r="G3910">
            <v>40007695</v>
          </cell>
        </row>
        <row r="3911">
          <cell r="E3911" t="str">
            <v>310279-8</v>
          </cell>
          <cell r="F3911">
            <v>10062433</v>
          </cell>
          <cell r="G3911">
            <v>40005565</v>
          </cell>
        </row>
        <row r="3912">
          <cell r="E3912" t="str">
            <v>322986-1</v>
          </cell>
          <cell r="F3912">
            <v>10059213</v>
          </cell>
          <cell r="G3912">
            <v>40006291</v>
          </cell>
        </row>
        <row r="3913">
          <cell r="E3913" t="str">
            <v>324942-7</v>
          </cell>
          <cell r="F3913">
            <v>10034204</v>
          </cell>
          <cell r="G3913">
            <v>40008049</v>
          </cell>
        </row>
        <row r="3914">
          <cell r="E3914" t="str">
            <v>165071-5</v>
          </cell>
          <cell r="F3914">
            <v>10002309</v>
          </cell>
          <cell r="G3914">
            <v>40007737</v>
          </cell>
        </row>
        <row r="3915">
          <cell r="E3915" t="str">
            <v>125421-6</v>
          </cell>
          <cell r="F3915">
            <v>10023900</v>
          </cell>
          <cell r="G3915">
            <v>40008264</v>
          </cell>
        </row>
        <row r="3916">
          <cell r="E3916" t="str">
            <v>135508-6</v>
          </cell>
          <cell r="F3916">
            <v>10032163</v>
          </cell>
          <cell r="G3916">
            <v>40007197</v>
          </cell>
        </row>
        <row r="3917">
          <cell r="E3917" t="str">
            <v>125386-2</v>
          </cell>
          <cell r="F3917">
            <v>10074941</v>
          </cell>
          <cell r="G3917">
            <v>40006177</v>
          </cell>
        </row>
        <row r="3918">
          <cell r="E3918" t="str">
            <v>231504-3</v>
          </cell>
          <cell r="F3918">
            <v>10049554</v>
          </cell>
          <cell r="G3918">
            <v>40007579</v>
          </cell>
        </row>
        <row r="3919">
          <cell r="E3919" t="str">
            <v>231588-1</v>
          </cell>
          <cell r="F3919">
            <v>10054695</v>
          </cell>
          <cell r="G3919">
            <v>40006089</v>
          </cell>
        </row>
        <row r="3920">
          <cell r="E3920" t="str">
            <v>231593-8</v>
          </cell>
          <cell r="F3920">
            <v>10001191</v>
          </cell>
          <cell r="G3920">
            <v>40007422</v>
          </cell>
        </row>
        <row r="3921">
          <cell r="E3921" t="str">
            <v>231613-8</v>
          </cell>
          <cell r="F3921">
            <v>10002339</v>
          </cell>
        </row>
        <row r="3922">
          <cell r="E3922" t="str">
            <v>231634-0</v>
          </cell>
          <cell r="F3922">
            <v>10057145</v>
          </cell>
          <cell r="G3922">
            <v>40005671</v>
          </cell>
        </row>
        <row r="3923">
          <cell r="E3923" t="str">
            <v>231677-2</v>
          </cell>
          <cell r="F3923">
            <v>10045850</v>
          </cell>
        </row>
        <row r="3924">
          <cell r="E3924" t="str">
            <v>649233-8</v>
          </cell>
          <cell r="F3924">
            <v>10057257</v>
          </cell>
        </row>
        <row r="3925">
          <cell r="E3925" t="str">
            <v>122238-8</v>
          </cell>
          <cell r="F3925">
            <v>10103469</v>
          </cell>
          <cell r="G3925">
            <v>40006466</v>
          </cell>
        </row>
        <row r="3926">
          <cell r="E3926" t="str">
            <v>123022-4</v>
          </cell>
          <cell r="F3926">
            <v>10002378</v>
          </cell>
          <cell r="G3926">
            <v>40008183</v>
          </cell>
        </row>
        <row r="3927">
          <cell r="E3927">
            <v>3640720</v>
          </cell>
          <cell r="F3927">
            <v>10062594</v>
          </cell>
          <cell r="G3927">
            <v>40005633</v>
          </cell>
        </row>
        <row r="3928">
          <cell r="E3928">
            <v>965452660</v>
          </cell>
          <cell r="F3928">
            <v>10035311</v>
          </cell>
          <cell r="G3928">
            <v>40008312</v>
          </cell>
        </row>
        <row r="3929">
          <cell r="E3929">
            <v>225242010</v>
          </cell>
          <cell r="F3929">
            <v>10001143</v>
          </cell>
        </row>
        <row r="3930">
          <cell r="E3930">
            <v>225310021</v>
          </cell>
          <cell r="F3930">
            <v>10001172</v>
          </cell>
          <cell r="G3930">
            <v>40007409</v>
          </cell>
        </row>
        <row r="3931">
          <cell r="E3931" t="str">
            <v>154659-6</v>
          </cell>
          <cell r="F3931">
            <v>10022598</v>
          </cell>
          <cell r="G3931">
            <v>40007596</v>
          </cell>
        </row>
        <row r="3932">
          <cell r="E3932" t="str">
            <v>331493-3</v>
          </cell>
          <cell r="F3932">
            <v>10002351</v>
          </cell>
          <cell r="G3932">
            <v>40008170</v>
          </cell>
        </row>
        <row r="3933">
          <cell r="E3933" t="str">
            <v>142814-2</v>
          </cell>
          <cell r="F3933">
            <v>10080578</v>
          </cell>
          <cell r="G3933">
            <v>40006214</v>
          </cell>
        </row>
        <row r="3934">
          <cell r="E3934" t="str">
            <v>142812-6</v>
          </cell>
          <cell r="F3934">
            <v>10084069</v>
          </cell>
          <cell r="G3934">
            <v>40006230</v>
          </cell>
        </row>
        <row r="3935">
          <cell r="E3935" t="str">
            <v>140070-8</v>
          </cell>
          <cell r="F3935">
            <v>10055567</v>
          </cell>
          <cell r="G3935">
            <v>40006146</v>
          </cell>
        </row>
        <row r="3936">
          <cell r="E3936" t="str">
            <v>142813-4</v>
          </cell>
          <cell r="F3936">
            <v>10084066</v>
          </cell>
          <cell r="G3936">
            <v>40006228</v>
          </cell>
        </row>
        <row r="3937">
          <cell r="E3937" t="str">
            <v>262112-9</v>
          </cell>
          <cell r="F3937">
            <v>10002394</v>
          </cell>
          <cell r="G3937">
            <v>40008191</v>
          </cell>
        </row>
        <row r="3938">
          <cell r="E3938" t="str">
            <v>262111-1</v>
          </cell>
          <cell r="F3938">
            <v>10050084</v>
          </cell>
          <cell r="G3938">
            <v>40007900</v>
          </cell>
        </row>
        <row r="3939">
          <cell r="E3939" t="str">
            <v>262137-3</v>
          </cell>
          <cell r="F3939">
            <v>10074914</v>
          </cell>
          <cell r="G3939">
            <v>40006160</v>
          </cell>
        </row>
        <row r="3940">
          <cell r="E3940" t="str">
            <v>262068-6</v>
          </cell>
          <cell r="F3940">
            <v>10074917</v>
          </cell>
          <cell r="G3940">
            <v>40006163</v>
          </cell>
        </row>
        <row r="3941">
          <cell r="E3941" t="str">
            <v>262506-8</v>
          </cell>
          <cell r="F3941">
            <v>10022561</v>
          </cell>
          <cell r="G3941">
            <v>40003879</v>
          </cell>
        </row>
        <row r="3942">
          <cell r="E3942" t="str">
            <v>261110-0</v>
          </cell>
          <cell r="F3942">
            <v>10054014</v>
          </cell>
          <cell r="G3942">
            <v>40006082</v>
          </cell>
        </row>
        <row r="3943">
          <cell r="E3943" t="str">
            <v>222060-4</v>
          </cell>
          <cell r="F3943">
            <v>10036573</v>
          </cell>
          <cell r="G3943">
            <v>40007991</v>
          </cell>
        </row>
        <row r="3944">
          <cell r="E3944" t="str">
            <v>K0300-0671</v>
          </cell>
          <cell r="F3944">
            <v>10050105</v>
          </cell>
          <cell r="G3944">
            <v>40007920</v>
          </cell>
        </row>
        <row r="3945">
          <cell r="E3945" t="str">
            <v>122571-8</v>
          </cell>
          <cell r="F3945">
            <v>10084061</v>
          </cell>
        </row>
        <row r="3946">
          <cell r="E3946" t="str">
            <v>122854-6</v>
          </cell>
          <cell r="F3946">
            <v>10058398</v>
          </cell>
          <cell r="G3946">
            <v>40010402</v>
          </cell>
        </row>
        <row r="3947">
          <cell r="E3947" t="str">
            <v>222059-9</v>
          </cell>
          <cell r="F3947">
            <v>10059215</v>
          </cell>
          <cell r="G3947">
            <v>40006293</v>
          </cell>
        </row>
        <row r="3948">
          <cell r="E3948" t="str">
            <v>222072-7</v>
          </cell>
          <cell r="F3948">
            <v>10025678</v>
          </cell>
          <cell r="G3948">
            <v>40007275</v>
          </cell>
        </row>
        <row r="3949">
          <cell r="E3949" t="str">
            <v>222145-6</v>
          </cell>
          <cell r="F3949">
            <v>10038966</v>
          </cell>
          <cell r="G3949">
            <v>40008047</v>
          </cell>
        </row>
        <row r="3950">
          <cell r="E3950" t="str">
            <v>222146-4</v>
          </cell>
          <cell r="F3950">
            <v>10038965</v>
          </cell>
          <cell r="G3950">
            <v>40008046</v>
          </cell>
        </row>
        <row r="3951">
          <cell r="E3951" t="str">
            <v>222126-0</v>
          </cell>
          <cell r="F3951">
            <v>10038964</v>
          </cell>
          <cell r="G3951">
            <v>40008045</v>
          </cell>
        </row>
        <row r="3952">
          <cell r="E3952" t="str">
            <v>341389-0</v>
          </cell>
          <cell r="F3952">
            <v>10049562</v>
          </cell>
          <cell r="G3952">
            <v>40007593</v>
          </cell>
        </row>
        <row r="3953">
          <cell r="E3953" t="str">
            <v>253951-8</v>
          </cell>
          <cell r="F3953">
            <v>10001186</v>
          </cell>
          <cell r="G3953">
            <v>40007420</v>
          </cell>
        </row>
        <row r="3954">
          <cell r="E3954" t="str">
            <v>341377-7</v>
          </cell>
          <cell r="F3954">
            <v>10049563</v>
          </cell>
          <cell r="G3954">
            <v>40007595</v>
          </cell>
        </row>
        <row r="3955">
          <cell r="E3955" t="str">
            <v>267813-4</v>
          </cell>
          <cell r="F3955">
            <v>10050920</v>
          </cell>
          <cell r="G3955">
            <v>40006866</v>
          </cell>
        </row>
        <row r="3956">
          <cell r="E3956" t="str">
            <v>267460-1</v>
          </cell>
          <cell r="F3956">
            <v>10059216</v>
          </cell>
          <cell r="G3956">
            <v>40006294</v>
          </cell>
        </row>
        <row r="3957">
          <cell r="E3957" t="str">
            <v>267228-5</v>
          </cell>
          <cell r="F3957">
            <v>10034484</v>
          </cell>
          <cell r="G3957">
            <v>40008085</v>
          </cell>
        </row>
        <row r="3958">
          <cell r="E3958" t="str">
            <v>325792-3</v>
          </cell>
          <cell r="F3958">
            <v>10064434</v>
          </cell>
          <cell r="G3958">
            <v>40006375</v>
          </cell>
        </row>
        <row r="3959">
          <cell r="E3959">
            <v>927408000</v>
          </cell>
          <cell r="F3959">
            <v>10021214</v>
          </cell>
          <cell r="G3959">
            <v>40007538</v>
          </cell>
        </row>
        <row r="3960">
          <cell r="E3960">
            <v>30224020</v>
          </cell>
          <cell r="F3960">
            <v>10001359</v>
          </cell>
        </row>
        <row r="3961">
          <cell r="E3961">
            <v>3640960</v>
          </cell>
          <cell r="F3961">
            <v>10061285</v>
          </cell>
          <cell r="G3961">
            <v>40006336</v>
          </cell>
        </row>
        <row r="3962">
          <cell r="E3962">
            <v>40167</v>
          </cell>
          <cell r="F3962">
            <v>10061284</v>
          </cell>
          <cell r="G3962">
            <v>40006335</v>
          </cell>
        </row>
        <row r="3963">
          <cell r="E3963">
            <v>40551</v>
          </cell>
          <cell r="F3963">
            <v>10021291</v>
          </cell>
          <cell r="G3963">
            <v>40007545</v>
          </cell>
        </row>
        <row r="3964">
          <cell r="E3964">
            <v>221229180</v>
          </cell>
          <cell r="F3964">
            <v>10001109</v>
          </cell>
          <cell r="G3964">
            <v>40007375</v>
          </cell>
        </row>
        <row r="3965">
          <cell r="E3965">
            <v>3082130</v>
          </cell>
          <cell r="F3965">
            <v>10062589</v>
          </cell>
          <cell r="G3965">
            <v>40005628</v>
          </cell>
        </row>
        <row r="3966">
          <cell r="E3966">
            <v>3640850</v>
          </cell>
          <cell r="F3966">
            <v>10062596</v>
          </cell>
          <cell r="G3966">
            <v>40005634</v>
          </cell>
        </row>
        <row r="3967">
          <cell r="E3967" t="str">
            <v>267794-2</v>
          </cell>
          <cell r="F3967">
            <v>10054005</v>
          </cell>
          <cell r="G3967">
            <v>40006075</v>
          </cell>
        </row>
        <row r="3968">
          <cell r="E3968" t="str">
            <v>253932-2</v>
          </cell>
          <cell r="F3968">
            <v>10061304</v>
          </cell>
          <cell r="G3968">
            <v>40006342</v>
          </cell>
        </row>
        <row r="3969">
          <cell r="E3969" t="str">
            <v>267804-5</v>
          </cell>
          <cell r="F3969">
            <v>10067193</v>
          </cell>
          <cell r="G3969">
            <v>40006442</v>
          </cell>
        </row>
        <row r="3970">
          <cell r="E3970" t="str">
            <v>267785-3</v>
          </cell>
          <cell r="F3970">
            <v>10045362</v>
          </cell>
          <cell r="G3970">
            <v>40010370</v>
          </cell>
        </row>
        <row r="3971">
          <cell r="E3971">
            <v>226213340</v>
          </cell>
          <cell r="F3971">
            <v>10033974</v>
          </cell>
          <cell r="G3971">
            <v>40007232</v>
          </cell>
        </row>
        <row r="3972">
          <cell r="E3972" t="str">
            <v>154755-0</v>
          </cell>
          <cell r="F3972">
            <v>10054001</v>
          </cell>
        </row>
        <row r="3973">
          <cell r="E3973" t="str">
            <v>125266-2</v>
          </cell>
          <cell r="F3973">
            <v>10054009</v>
          </cell>
          <cell r="G3973">
            <v>40006079</v>
          </cell>
        </row>
        <row r="3974">
          <cell r="E3974" t="str">
            <v>122885-5</v>
          </cell>
          <cell r="F3974">
            <v>10054789</v>
          </cell>
          <cell r="G3974">
            <v>40006099</v>
          </cell>
        </row>
        <row r="3975">
          <cell r="E3975" t="str">
            <v>154672-4</v>
          </cell>
          <cell r="F3975">
            <v>10080363</v>
          </cell>
          <cell r="G3975">
            <v>40006210</v>
          </cell>
        </row>
        <row r="3976">
          <cell r="E3976" t="str">
            <v>JM27000166</v>
          </cell>
          <cell r="F3976">
            <v>10062469</v>
          </cell>
          <cell r="G3976">
            <v>40005590</v>
          </cell>
        </row>
        <row r="3977">
          <cell r="E3977" t="str">
            <v>924316-8</v>
          </cell>
          <cell r="F3977">
            <v>10001156</v>
          </cell>
          <cell r="G3977">
            <v>40007402</v>
          </cell>
        </row>
        <row r="3978">
          <cell r="E3978" t="str">
            <v>924341-9</v>
          </cell>
          <cell r="F3978">
            <v>10057234</v>
          </cell>
          <cell r="G3978">
            <v>40005686</v>
          </cell>
        </row>
        <row r="3979">
          <cell r="E3979" t="str">
            <v>195764-0</v>
          </cell>
          <cell r="F3979">
            <v>10062933</v>
          </cell>
        </row>
        <row r="3980">
          <cell r="E3980" t="str">
            <v>934301-3</v>
          </cell>
          <cell r="F3980">
            <v>10053984</v>
          </cell>
          <cell r="G3980">
            <v>40006059</v>
          </cell>
        </row>
        <row r="3981">
          <cell r="E3981" t="str">
            <v>254002-0</v>
          </cell>
          <cell r="F3981">
            <v>10023861</v>
          </cell>
          <cell r="G3981">
            <v>40007643</v>
          </cell>
        </row>
        <row r="3982">
          <cell r="E3982" t="str">
            <v>254001-2</v>
          </cell>
          <cell r="F3982">
            <v>10044743</v>
          </cell>
        </row>
        <row r="3983">
          <cell r="E3983" t="str">
            <v>254011-9</v>
          </cell>
          <cell r="F3983">
            <v>10049576</v>
          </cell>
          <cell r="G3983">
            <v>40007855</v>
          </cell>
        </row>
        <row r="3984">
          <cell r="E3984" t="str">
            <v>254032-1</v>
          </cell>
          <cell r="F3984">
            <v>10035219</v>
          </cell>
          <cell r="G3984">
            <v>40008135</v>
          </cell>
        </row>
        <row r="3985">
          <cell r="E3985" t="str">
            <v>221422-3</v>
          </cell>
          <cell r="F3985">
            <v>10035317</v>
          </cell>
          <cell r="G3985">
            <v>40007962</v>
          </cell>
        </row>
        <row r="3986">
          <cell r="E3986">
            <v>21245040</v>
          </cell>
          <cell r="F3986">
            <v>10001105</v>
          </cell>
          <cell r="G3986">
            <v>40007374</v>
          </cell>
        </row>
        <row r="3987">
          <cell r="E3987" t="str">
            <v>JM27000087</v>
          </cell>
          <cell r="F3987">
            <v>10103497</v>
          </cell>
          <cell r="G3987">
            <v>40006494</v>
          </cell>
        </row>
        <row r="3988">
          <cell r="E3988" t="str">
            <v>213428-5</v>
          </cell>
          <cell r="F3988">
            <v>10002306</v>
          </cell>
          <cell r="G3988">
            <v>40007734</v>
          </cell>
        </row>
        <row r="3989">
          <cell r="E3989" t="str">
            <v>213477-2</v>
          </cell>
          <cell r="F3989">
            <v>10001129</v>
          </cell>
          <cell r="G3989">
            <v>40007386</v>
          </cell>
        </row>
        <row r="3990">
          <cell r="E3990" t="str">
            <v>213494-2</v>
          </cell>
          <cell r="F3990">
            <v>10053575</v>
          </cell>
          <cell r="G3990">
            <v>40006705</v>
          </cell>
        </row>
        <row r="3991">
          <cell r="E3991" t="str">
            <v>213575-2</v>
          </cell>
          <cell r="F3991">
            <v>10002315</v>
          </cell>
          <cell r="G3991">
            <v>40007738</v>
          </cell>
        </row>
        <row r="3992">
          <cell r="E3992" t="str">
            <v>638423-8</v>
          </cell>
          <cell r="F3992">
            <v>10053989</v>
          </cell>
          <cell r="G3992">
            <v>40006063</v>
          </cell>
        </row>
        <row r="3993">
          <cell r="E3993" t="str">
            <v>638425-4</v>
          </cell>
          <cell r="F3993">
            <v>10049550</v>
          </cell>
        </row>
        <row r="3994">
          <cell r="E3994" t="str">
            <v>632J70-7</v>
          </cell>
          <cell r="F3994">
            <v>10066782</v>
          </cell>
          <cell r="G3994">
            <v>40006440</v>
          </cell>
        </row>
        <row r="3995">
          <cell r="E3995" t="str">
            <v>638396-5</v>
          </cell>
          <cell r="F3995">
            <v>10035283</v>
          </cell>
          <cell r="G3995">
            <v>40010350</v>
          </cell>
        </row>
        <row r="3996">
          <cell r="E3996" t="str">
            <v>638627-2</v>
          </cell>
          <cell r="F3996">
            <v>10050915</v>
          </cell>
          <cell r="G3996">
            <v>40006862</v>
          </cell>
        </row>
        <row r="3997">
          <cell r="E3997" t="str">
            <v>638989-8</v>
          </cell>
          <cell r="F3997">
            <v>10054818</v>
          </cell>
          <cell r="G3997">
            <v>40006123</v>
          </cell>
        </row>
        <row r="3998">
          <cell r="E3998" t="str">
            <v>632J71-5</v>
          </cell>
          <cell r="F3998">
            <v>10100504</v>
          </cell>
          <cell r="G3998">
            <v>40005933</v>
          </cell>
        </row>
        <row r="3999">
          <cell r="E3999" t="str">
            <v>227411-6</v>
          </cell>
          <cell r="F3999">
            <v>10022589</v>
          </cell>
          <cell r="G3999">
            <v>40007582</v>
          </cell>
        </row>
        <row r="4000">
          <cell r="E4000" t="str">
            <v>227412-4</v>
          </cell>
          <cell r="F4000">
            <v>10022590</v>
          </cell>
          <cell r="G4000">
            <v>40007583</v>
          </cell>
        </row>
        <row r="4001">
          <cell r="E4001" t="str">
            <v>629827-5</v>
          </cell>
          <cell r="F4001">
            <v>10000839</v>
          </cell>
          <cell r="G4001">
            <v>40007493</v>
          </cell>
        </row>
        <row r="4002">
          <cell r="E4002" t="str">
            <v>227496-2</v>
          </cell>
          <cell r="F4002">
            <v>10031415</v>
          </cell>
          <cell r="G4002">
            <v>40010264</v>
          </cell>
        </row>
        <row r="4003">
          <cell r="E4003" t="str">
            <v>140441-9</v>
          </cell>
          <cell r="F4003">
            <v>10023143</v>
          </cell>
          <cell r="G4003">
            <v>40007621</v>
          </cell>
        </row>
        <row r="4004">
          <cell r="E4004" t="str">
            <v>227627-3</v>
          </cell>
          <cell r="F4004">
            <v>10061633</v>
          </cell>
          <cell r="G4004">
            <v>40005533</v>
          </cell>
        </row>
        <row r="4005">
          <cell r="E4005" t="str">
            <v>650747-2</v>
          </cell>
          <cell r="F4005">
            <v>10061613</v>
          </cell>
          <cell r="G4005">
            <v>40006347</v>
          </cell>
        </row>
        <row r="4006">
          <cell r="E4006" t="str">
            <v>B0500-0181</v>
          </cell>
          <cell r="F4006">
            <v>10054849</v>
          </cell>
          <cell r="G4006">
            <v>40006144</v>
          </cell>
        </row>
        <row r="4007">
          <cell r="E4007" t="str">
            <v>319351-3</v>
          </cell>
          <cell r="F4007">
            <v>10084055</v>
          </cell>
          <cell r="G4007">
            <v>40006222</v>
          </cell>
        </row>
        <row r="4008">
          <cell r="E4008" t="str">
            <v>628185-6</v>
          </cell>
          <cell r="F4008">
            <v>10084063</v>
          </cell>
          <cell r="G4008">
            <v>40006227</v>
          </cell>
        </row>
        <row r="4009">
          <cell r="E4009" t="str">
            <v>513549-9</v>
          </cell>
          <cell r="F4009">
            <v>10000820</v>
          </cell>
          <cell r="G4009">
            <v>40007469</v>
          </cell>
        </row>
        <row r="4010">
          <cell r="E4010" t="str">
            <v>513549-6</v>
          </cell>
          <cell r="F4010">
            <v>10000824</v>
          </cell>
          <cell r="G4010">
            <v>40007472</v>
          </cell>
        </row>
        <row r="4011">
          <cell r="E4011" t="str">
            <v>517454-9</v>
          </cell>
          <cell r="F4011">
            <v>10000832</v>
          </cell>
          <cell r="G4011">
            <v>40007480</v>
          </cell>
        </row>
        <row r="4012">
          <cell r="E4012" t="str">
            <v>517479-3</v>
          </cell>
          <cell r="F4012">
            <v>10000846</v>
          </cell>
          <cell r="G4012">
            <v>40007499</v>
          </cell>
        </row>
        <row r="4013">
          <cell r="E4013" t="str">
            <v>517409-4</v>
          </cell>
          <cell r="F4013">
            <v>10000858</v>
          </cell>
          <cell r="G4013">
            <v>40007743</v>
          </cell>
        </row>
        <row r="4014">
          <cell r="E4014" t="str">
            <v>JM23000100</v>
          </cell>
          <cell r="F4014">
            <v>10000828</v>
          </cell>
          <cell r="G4014">
            <v>40007475</v>
          </cell>
        </row>
        <row r="4015">
          <cell r="E4015" t="str">
            <v>516909-1</v>
          </cell>
          <cell r="F4015">
            <v>10000867</v>
          </cell>
          <cell r="G4015">
            <v>40007750</v>
          </cell>
        </row>
        <row r="4016">
          <cell r="E4016" t="str">
            <v>411930-4</v>
          </cell>
          <cell r="F4016">
            <v>10033749</v>
          </cell>
        </row>
        <row r="4017">
          <cell r="E4017" t="str">
            <v>410585-2</v>
          </cell>
          <cell r="F4017">
            <v>10033751</v>
          </cell>
          <cell r="G4017">
            <v>40007207</v>
          </cell>
        </row>
        <row r="4018">
          <cell r="E4018">
            <v>1250</v>
          </cell>
          <cell r="F4018">
            <v>10001262</v>
          </cell>
        </row>
        <row r="4019">
          <cell r="E4019">
            <v>7050</v>
          </cell>
          <cell r="F4019">
            <v>10001251</v>
          </cell>
          <cell r="G4019">
            <v>40007051</v>
          </cell>
        </row>
        <row r="4020">
          <cell r="E4020">
            <v>9050</v>
          </cell>
          <cell r="F4020">
            <v>10001238</v>
          </cell>
          <cell r="G4020">
            <v>40007042</v>
          </cell>
        </row>
        <row r="4021">
          <cell r="E4021" t="str">
            <v>325601-6</v>
          </cell>
          <cell r="F4021">
            <v>10032146</v>
          </cell>
          <cell r="G4021">
            <v>40007188</v>
          </cell>
        </row>
        <row r="4022">
          <cell r="E4022" t="str">
            <v>193941-8</v>
          </cell>
          <cell r="F4022">
            <v>10001260</v>
          </cell>
          <cell r="G4022">
            <v>40007058</v>
          </cell>
        </row>
        <row r="4023">
          <cell r="E4023" t="str">
            <v>226586-8</v>
          </cell>
          <cell r="F4023">
            <v>10001252</v>
          </cell>
          <cell r="G4023">
            <v>40007052</v>
          </cell>
        </row>
        <row r="4024">
          <cell r="E4024" t="str">
            <v>252175-3</v>
          </cell>
          <cell r="F4024">
            <v>10033748</v>
          </cell>
        </row>
        <row r="4025">
          <cell r="E4025" t="str">
            <v>258002-2</v>
          </cell>
          <cell r="F4025">
            <v>10032147</v>
          </cell>
          <cell r="G4025">
            <v>40007189</v>
          </cell>
        </row>
        <row r="4026">
          <cell r="E4026" t="str">
            <v>650545-4</v>
          </cell>
          <cell r="F4026">
            <v>10001272</v>
          </cell>
          <cell r="G4026">
            <v>40010351</v>
          </cell>
        </row>
        <row r="4027">
          <cell r="E4027" t="str">
            <v>651527-9</v>
          </cell>
          <cell r="F4027">
            <v>10027871</v>
          </cell>
          <cell r="G4027">
            <v>40007327</v>
          </cell>
        </row>
        <row r="4028">
          <cell r="E4028" t="str">
            <v>256447-8</v>
          </cell>
          <cell r="F4028">
            <v>10002617</v>
          </cell>
          <cell r="G4028">
            <v>40008204</v>
          </cell>
        </row>
        <row r="4029">
          <cell r="E4029" t="str">
            <v>225008-5</v>
          </cell>
          <cell r="F4029">
            <v>10006490</v>
          </cell>
          <cell r="G4029">
            <v>40008249</v>
          </cell>
        </row>
        <row r="4030">
          <cell r="E4030" t="str">
            <v>231979-6</v>
          </cell>
          <cell r="F4030">
            <v>10002615</v>
          </cell>
          <cell r="G4030">
            <v>40008202</v>
          </cell>
        </row>
        <row r="4031">
          <cell r="E4031" t="str">
            <v>651240-9</v>
          </cell>
          <cell r="F4031">
            <v>10000995</v>
          </cell>
          <cell r="G4031">
            <v>40007842</v>
          </cell>
        </row>
        <row r="4032">
          <cell r="E4032" t="str">
            <v>233554-4</v>
          </cell>
          <cell r="F4032">
            <v>10059214</v>
          </cell>
          <cell r="G4032">
            <v>40006292</v>
          </cell>
        </row>
        <row r="4033">
          <cell r="E4033" t="str">
            <v>151158-9</v>
          </cell>
          <cell r="F4033">
            <v>10016353</v>
          </cell>
          <cell r="G4033">
            <v>40007527</v>
          </cell>
        </row>
        <row r="4034">
          <cell r="E4034" t="str">
            <v>233542-1</v>
          </cell>
          <cell r="F4034">
            <v>10058390</v>
          </cell>
          <cell r="G4034">
            <v>40005720</v>
          </cell>
        </row>
        <row r="4035">
          <cell r="E4035" t="str">
            <v>512555-8</v>
          </cell>
          <cell r="F4035">
            <v>10000790</v>
          </cell>
          <cell r="G4035">
            <v>40007448</v>
          </cell>
        </row>
        <row r="4036">
          <cell r="E4036" t="str">
            <v>316883-1</v>
          </cell>
          <cell r="F4036">
            <v>10065777</v>
          </cell>
          <cell r="G4036">
            <v>40011193</v>
          </cell>
        </row>
        <row r="4037">
          <cell r="E4037" t="str">
            <v>233343-7</v>
          </cell>
          <cell r="F4037">
            <v>10049590</v>
          </cell>
          <cell r="G4037">
            <v>40010257</v>
          </cell>
        </row>
        <row r="4038">
          <cell r="E4038" t="str">
            <v>231240-1</v>
          </cell>
          <cell r="F4038">
            <v>10001092</v>
          </cell>
          <cell r="G4038">
            <v>40007370</v>
          </cell>
        </row>
        <row r="4039">
          <cell r="E4039" t="str">
            <v>631239-0</v>
          </cell>
          <cell r="F4039">
            <v>10025119</v>
          </cell>
          <cell r="G4039">
            <v>40007257</v>
          </cell>
        </row>
        <row r="4040">
          <cell r="E4040" t="str">
            <v>633624-3</v>
          </cell>
          <cell r="F4040">
            <v>10025686</v>
          </cell>
          <cell r="G4040">
            <v>40007283</v>
          </cell>
        </row>
        <row r="4041">
          <cell r="E4041" t="str">
            <v>267035-6</v>
          </cell>
          <cell r="F4041">
            <v>10033979</v>
          </cell>
          <cell r="G4041">
            <v>40007714</v>
          </cell>
        </row>
        <row r="4042">
          <cell r="E4042" t="str">
            <v>273515-2</v>
          </cell>
          <cell r="F4042">
            <v>10061306</v>
          </cell>
          <cell r="G4042">
            <v>40006344</v>
          </cell>
        </row>
        <row r="4043">
          <cell r="E4043" t="str">
            <v>221730-2</v>
          </cell>
          <cell r="F4043">
            <v>10001167</v>
          </cell>
          <cell r="G4043">
            <v>40007407</v>
          </cell>
        </row>
        <row r="4044">
          <cell r="E4044" t="str">
            <v>154643-1</v>
          </cell>
          <cell r="F4044">
            <v>10039242</v>
          </cell>
          <cell r="G4044">
            <v>40008064</v>
          </cell>
        </row>
        <row r="4045">
          <cell r="E4045" t="str">
            <v>157109-0</v>
          </cell>
          <cell r="F4045">
            <v>10070801</v>
          </cell>
          <cell r="G4045">
            <v>40006157</v>
          </cell>
        </row>
        <row r="4046">
          <cell r="E4046" t="str">
            <v>961054-1</v>
          </cell>
          <cell r="F4046">
            <v>10033977</v>
          </cell>
          <cell r="G4046">
            <v>40007709</v>
          </cell>
        </row>
        <row r="4047">
          <cell r="E4047" t="str">
            <v>343641-2</v>
          </cell>
          <cell r="F4047">
            <v>10001297</v>
          </cell>
          <cell r="G4047">
            <v>40007080</v>
          </cell>
        </row>
        <row r="4048">
          <cell r="E4048" t="str">
            <v>322989-5</v>
          </cell>
          <cell r="F4048">
            <v>10033747</v>
          </cell>
          <cell r="G4048">
            <v>40007205</v>
          </cell>
        </row>
        <row r="4049">
          <cell r="E4049" t="str">
            <v>924216-2</v>
          </cell>
          <cell r="F4049">
            <v>10053187</v>
          </cell>
          <cell r="G4049">
            <v>40006661</v>
          </cell>
        </row>
        <row r="4050">
          <cell r="E4050" t="str">
            <v>515548-4</v>
          </cell>
          <cell r="F4050">
            <v>10105270</v>
          </cell>
          <cell r="G4050">
            <v>40006499</v>
          </cell>
        </row>
        <row r="4051">
          <cell r="E4051" t="str">
            <v>519268-2</v>
          </cell>
          <cell r="F4051">
            <v>10105271</v>
          </cell>
          <cell r="G4051">
            <v>40006500</v>
          </cell>
        </row>
        <row r="4052">
          <cell r="E4052" t="str">
            <v>643834-4</v>
          </cell>
          <cell r="F4052">
            <v>10105667</v>
          </cell>
          <cell r="G4052">
            <v>40006527</v>
          </cell>
        </row>
        <row r="4053">
          <cell r="E4053" t="str">
            <v>643835-2</v>
          </cell>
          <cell r="F4053">
            <v>10105668</v>
          </cell>
          <cell r="G4053">
            <v>40006528</v>
          </cell>
        </row>
        <row r="4054">
          <cell r="E4054" t="str">
            <v>326849-3</v>
          </cell>
          <cell r="F4054">
            <v>10105666</v>
          </cell>
          <cell r="G4054">
            <v>40006526</v>
          </cell>
        </row>
        <row r="4055">
          <cell r="E4055" t="str">
            <v>231329-5</v>
          </cell>
          <cell r="F4055">
            <v>10105669</v>
          </cell>
          <cell r="G4055">
            <v>40006529</v>
          </cell>
        </row>
        <row r="4056">
          <cell r="E4056" t="str">
            <v>620275-1</v>
          </cell>
          <cell r="F4056">
            <v>10105705</v>
          </cell>
          <cell r="G4056">
            <v>40006533</v>
          </cell>
        </row>
        <row r="4057">
          <cell r="E4057" t="str">
            <v>251423-7</v>
          </cell>
          <cell r="F4057">
            <v>10105277</v>
          </cell>
          <cell r="G4057">
            <v>40006501</v>
          </cell>
        </row>
        <row r="4058">
          <cell r="E4058" t="str">
            <v>265586-3</v>
          </cell>
          <cell r="F4058">
            <v>10105706</v>
          </cell>
          <cell r="G4058">
            <v>40006534</v>
          </cell>
        </row>
        <row r="4059">
          <cell r="E4059" t="str">
            <v>155763-4</v>
          </cell>
          <cell r="F4059">
            <v>10105709</v>
          </cell>
          <cell r="G4059">
            <v>40006535</v>
          </cell>
        </row>
        <row r="4060">
          <cell r="E4060" t="str">
            <v>314062-5</v>
          </cell>
          <cell r="F4060">
            <v>10105710</v>
          </cell>
          <cell r="G4060">
            <v>40006536</v>
          </cell>
        </row>
        <row r="4061">
          <cell r="E4061" t="str">
            <v>421977-0</v>
          </cell>
          <cell r="F4061">
            <v>10105711</v>
          </cell>
          <cell r="G4061">
            <v>40006537</v>
          </cell>
        </row>
        <row r="4062">
          <cell r="E4062" t="str">
            <v>134205-1</v>
          </cell>
          <cell r="F4062">
            <v>10105713</v>
          </cell>
          <cell r="G4062">
            <v>40006538</v>
          </cell>
        </row>
        <row r="4063">
          <cell r="E4063" t="str">
            <v>638020-0</v>
          </cell>
          <cell r="F4063">
            <v>10105714</v>
          </cell>
          <cell r="G4063">
            <v>40006539</v>
          </cell>
        </row>
        <row r="4064">
          <cell r="E4064" t="str">
            <v>619404-1</v>
          </cell>
          <cell r="F4064">
            <v>10105715</v>
          </cell>
          <cell r="G4064">
            <v>40006540</v>
          </cell>
        </row>
        <row r="4065">
          <cell r="E4065" t="str">
            <v>593949-6</v>
          </cell>
          <cell r="F4065">
            <v>10105716</v>
          </cell>
          <cell r="G4065">
            <v>40006541</v>
          </cell>
        </row>
        <row r="4066">
          <cell r="E4066" t="str">
            <v>198885-7</v>
          </cell>
          <cell r="F4066">
            <v>10105698</v>
          </cell>
          <cell r="G4066">
            <v>40006532</v>
          </cell>
        </row>
        <row r="4067">
          <cell r="E4067" t="str">
            <v>126290-8</v>
          </cell>
          <cell r="F4067">
            <v>10105717</v>
          </cell>
          <cell r="G4067">
            <v>40006542</v>
          </cell>
        </row>
        <row r="4068">
          <cell r="E4068" t="str">
            <v>127468-6</v>
          </cell>
          <cell r="F4068">
            <v>10105718</v>
          </cell>
          <cell r="G4068">
            <v>40006543</v>
          </cell>
        </row>
        <row r="4069">
          <cell r="E4069" t="str">
            <v>127729-4</v>
          </cell>
          <cell r="F4069">
            <v>10105730</v>
          </cell>
          <cell r="G4069">
            <v>40006546</v>
          </cell>
        </row>
        <row r="4070">
          <cell r="E4070" t="str">
            <v>127731-7</v>
          </cell>
          <cell r="F4070">
            <v>10105731</v>
          </cell>
          <cell r="G4070">
            <v>40006547</v>
          </cell>
        </row>
        <row r="4071">
          <cell r="E4071" t="str">
            <v>136171-8</v>
          </cell>
          <cell r="F4071">
            <v>10105732</v>
          </cell>
          <cell r="G4071">
            <v>40006548</v>
          </cell>
        </row>
        <row r="4072">
          <cell r="E4072" t="str">
            <v>136190-4</v>
          </cell>
          <cell r="F4072">
            <v>10105733</v>
          </cell>
          <cell r="G4072">
            <v>40006550</v>
          </cell>
        </row>
        <row r="4073">
          <cell r="E4073" t="str">
            <v>136198-8</v>
          </cell>
          <cell r="F4073">
            <v>10105735</v>
          </cell>
          <cell r="G4073">
            <v>40006552</v>
          </cell>
        </row>
        <row r="4074">
          <cell r="E4074" t="str">
            <v>136204-9</v>
          </cell>
          <cell r="F4074">
            <v>10105736</v>
          </cell>
        </row>
        <row r="4075">
          <cell r="E4075" t="str">
            <v>136224-3</v>
          </cell>
          <cell r="F4075">
            <v>10105737</v>
          </cell>
          <cell r="G4075">
            <v>40006554</v>
          </cell>
        </row>
        <row r="4076">
          <cell r="E4076" t="str">
            <v>136249-7</v>
          </cell>
          <cell r="F4076">
            <v>10105738</v>
          </cell>
          <cell r="G4076">
            <v>40006556</v>
          </cell>
        </row>
        <row r="4077">
          <cell r="E4077" t="str">
            <v>136262-5</v>
          </cell>
          <cell r="F4077">
            <v>10105739</v>
          </cell>
          <cell r="G4077">
            <v>40006558</v>
          </cell>
        </row>
        <row r="4078">
          <cell r="E4078" t="str">
            <v>136275-6</v>
          </cell>
          <cell r="F4078">
            <v>10105740</v>
          </cell>
          <cell r="G4078">
            <v>40006560</v>
          </cell>
        </row>
        <row r="4079">
          <cell r="E4079" t="str">
            <v>136279-8</v>
          </cell>
          <cell r="F4079">
            <v>10105741</v>
          </cell>
          <cell r="G4079">
            <v>40006562</v>
          </cell>
        </row>
        <row r="4080">
          <cell r="E4080" t="str">
            <v>136357-4</v>
          </cell>
          <cell r="F4080">
            <v>10105742</v>
          </cell>
          <cell r="G4080">
            <v>40006564</v>
          </cell>
        </row>
        <row r="4081">
          <cell r="E4081" t="str">
            <v>136368-9</v>
          </cell>
          <cell r="F4081">
            <v>10105743</v>
          </cell>
          <cell r="G4081">
            <v>40006566</v>
          </cell>
        </row>
        <row r="4082">
          <cell r="E4082" t="str">
            <v>136377-8</v>
          </cell>
          <cell r="F4082">
            <v>10105744</v>
          </cell>
          <cell r="G4082">
            <v>40006568</v>
          </cell>
        </row>
        <row r="4083">
          <cell r="E4083" t="str">
            <v>136378-6</v>
          </cell>
          <cell r="F4083">
            <v>10105745</v>
          </cell>
          <cell r="G4083">
            <v>40006570</v>
          </cell>
        </row>
        <row r="4084">
          <cell r="E4084" t="str">
            <v>136449-9</v>
          </cell>
          <cell r="F4084">
            <v>10105746</v>
          </cell>
          <cell r="G4084">
            <v>40006572</v>
          </cell>
        </row>
        <row r="4085">
          <cell r="E4085" t="str">
            <v>140F99-0</v>
          </cell>
          <cell r="F4085">
            <v>10105747</v>
          </cell>
          <cell r="G4085">
            <v>40006574</v>
          </cell>
        </row>
        <row r="4086">
          <cell r="E4086" t="str">
            <v>140P50-0</v>
          </cell>
          <cell r="F4086">
            <v>10105748</v>
          </cell>
          <cell r="G4086">
            <v>40006576</v>
          </cell>
        </row>
        <row r="4087">
          <cell r="E4087" t="str">
            <v>140P51-8</v>
          </cell>
          <cell r="F4087">
            <v>10105749</v>
          </cell>
          <cell r="G4087">
            <v>40006579</v>
          </cell>
        </row>
        <row r="4088">
          <cell r="E4088" t="str">
            <v>140P53-4</v>
          </cell>
          <cell r="F4088">
            <v>10105750</v>
          </cell>
          <cell r="G4088">
            <v>40006581</v>
          </cell>
        </row>
        <row r="4089">
          <cell r="E4089" t="str">
            <v>140R47-1</v>
          </cell>
          <cell r="F4089">
            <v>10105751</v>
          </cell>
          <cell r="G4089">
            <v>40006584</v>
          </cell>
        </row>
        <row r="4090">
          <cell r="E4090" t="str">
            <v>140R48-9</v>
          </cell>
          <cell r="F4090">
            <v>10105752</v>
          </cell>
          <cell r="G4090">
            <v>40006588</v>
          </cell>
        </row>
        <row r="4091">
          <cell r="E4091" t="str">
            <v>140R54-4</v>
          </cell>
          <cell r="F4091">
            <v>10105753</v>
          </cell>
          <cell r="G4091">
            <v>40006590</v>
          </cell>
        </row>
        <row r="4092">
          <cell r="E4092" t="str">
            <v>140S46-9</v>
          </cell>
          <cell r="F4092">
            <v>10105754</v>
          </cell>
          <cell r="G4092">
            <v>40006592</v>
          </cell>
        </row>
        <row r="4093">
          <cell r="E4093" t="str">
            <v>140S83-3</v>
          </cell>
          <cell r="F4093">
            <v>10105755</v>
          </cell>
          <cell r="G4093">
            <v>40006723</v>
          </cell>
        </row>
        <row r="4094">
          <cell r="E4094" t="str">
            <v>140T33-4</v>
          </cell>
          <cell r="F4094">
            <v>10105720</v>
          </cell>
          <cell r="G4094">
            <v>40006544</v>
          </cell>
        </row>
        <row r="4095">
          <cell r="E4095" t="str">
            <v>140T99-4</v>
          </cell>
          <cell r="F4095">
            <v>10105756</v>
          </cell>
          <cell r="G4095">
            <v>40006724</v>
          </cell>
        </row>
        <row r="4096">
          <cell r="E4096" t="str">
            <v>140W13-8</v>
          </cell>
          <cell r="F4096">
            <v>10105757</v>
          </cell>
          <cell r="G4096">
            <v>40006725</v>
          </cell>
        </row>
        <row r="4097">
          <cell r="E4097" t="str">
            <v>140W14-6</v>
          </cell>
          <cell r="F4097">
            <v>10105758</v>
          </cell>
          <cell r="G4097">
            <v>40006726</v>
          </cell>
        </row>
        <row r="4098">
          <cell r="E4098" t="str">
            <v>140W19-6</v>
          </cell>
          <cell r="F4098">
            <v>10105759</v>
          </cell>
          <cell r="G4098">
            <v>40006545</v>
          </cell>
        </row>
        <row r="4099">
          <cell r="E4099" t="str">
            <v>140W55-2</v>
          </cell>
          <cell r="F4099">
            <v>10105760</v>
          </cell>
          <cell r="G4099">
            <v>40006549</v>
          </cell>
        </row>
        <row r="4100">
          <cell r="E4100" t="str">
            <v>140W56-0</v>
          </cell>
          <cell r="F4100">
            <v>10105761</v>
          </cell>
          <cell r="G4100">
            <v>40006551</v>
          </cell>
        </row>
        <row r="4101">
          <cell r="E4101" t="str">
            <v>140Y38-4</v>
          </cell>
          <cell r="F4101">
            <v>10105762</v>
          </cell>
          <cell r="G4101">
            <v>40006553</v>
          </cell>
        </row>
        <row r="4102">
          <cell r="E4102" t="str">
            <v>140Y51-2</v>
          </cell>
          <cell r="F4102">
            <v>10105763</v>
          </cell>
          <cell r="G4102">
            <v>40006555</v>
          </cell>
        </row>
        <row r="4103">
          <cell r="E4103" t="str">
            <v>141955-1</v>
          </cell>
          <cell r="F4103">
            <v>10105764</v>
          </cell>
          <cell r="G4103">
            <v>40006557</v>
          </cell>
        </row>
        <row r="4104">
          <cell r="E4104" t="str">
            <v>141956-9</v>
          </cell>
          <cell r="F4104">
            <v>10105765</v>
          </cell>
          <cell r="G4104">
            <v>40006559</v>
          </cell>
        </row>
        <row r="4105">
          <cell r="E4105" t="str">
            <v>141959-3</v>
          </cell>
          <cell r="F4105">
            <v>10105766</v>
          </cell>
          <cell r="G4105">
            <v>40006561</v>
          </cell>
        </row>
        <row r="4106">
          <cell r="E4106" t="str">
            <v>141B54-1</v>
          </cell>
          <cell r="F4106">
            <v>10105767</v>
          </cell>
          <cell r="G4106">
            <v>40006563</v>
          </cell>
        </row>
        <row r="4107">
          <cell r="E4107" t="str">
            <v>141D25-0</v>
          </cell>
          <cell r="F4107">
            <v>10105768</v>
          </cell>
          <cell r="G4107">
            <v>40006565</v>
          </cell>
        </row>
        <row r="4108">
          <cell r="E4108" t="str">
            <v>141E55-7</v>
          </cell>
          <cell r="F4108">
            <v>10105769</v>
          </cell>
          <cell r="G4108">
            <v>40006567</v>
          </cell>
        </row>
        <row r="4109">
          <cell r="E4109" t="str">
            <v>141G57-5</v>
          </cell>
          <cell r="F4109">
            <v>10105770</v>
          </cell>
          <cell r="G4109">
            <v>40006569</v>
          </cell>
        </row>
        <row r="4110">
          <cell r="E4110" t="str">
            <v>141H09-2</v>
          </cell>
          <cell r="F4110">
            <v>10105771</v>
          </cell>
          <cell r="G4110">
            <v>40006571</v>
          </cell>
        </row>
        <row r="4111">
          <cell r="E4111" t="str">
            <v>141K56-1</v>
          </cell>
          <cell r="F4111">
            <v>10105772</v>
          </cell>
          <cell r="G4111">
            <v>40006573</v>
          </cell>
        </row>
        <row r="4112">
          <cell r="E4112" t="str">
            <v>158237-4</v>
          </cell>
          <cell r="F4112">
            <v>10105773</v>
          </cell>
          <cell r="G4112">
            <v>40006575</v>
          </cell>
        </row>
        <row r="4113">
          <cell r="E4113" t="str">
            <v>162739-4</v>
          </cell>
          <cell r="F4113">
            <v>10105774</v>
          </cell>
          <cell r="G4113">
            <v>40006577</v>
          </cell>
        </row>
        <row r="4114">
          <cell r="E4114" t="str">
            <v>183N57-1</v>
          </cell>
          <cell r="F4114">
            <v>10105775</v>
          </cell>
          <cell r="G4114">
            <v>40006580</v>
          </cell>
        </row>
        <row r="4115">
          <cell r="E4115" t="str">
            <v>183N58-9</v>
          </cell>
          <cell r="F4115">
            <v>10105776</v>
          </cell>
          <cell r="G4115">
            <v>40006582</v>
          </cell>
        </row>
        <row r="4116">
          <cell r="E4116" t="str">
            <v>183N63-6</v>
          </cell>
          <cell r="F4116">
            <v>10105777</v>
          </cell>
          <cell r="G4116">
            <v>40006585</v>
          </cell>
        </row>
        <row r="4117">
          <cell r="E4117" t="str">
            <v>183P56-5</v>
          </cell>
          <cell r="F4117">
            <v>10105778</v>
          </cell>
          <cell r="G4117">
            <v>40006587</v>
          </cell>
        </row>
        <row r="4118">
          <cell r="E4118" t="str">
            <v>183P61-2</v>
          </cell>
          <cell r="F4118">
            <v>10105779</v>
          </cell>
          <cell r="G4118">
            <v>40006591</v>
          </cell>
        </row>
        <row r="4119">
          <cell r="E4119" t="str">
            <v>183P78-5</v>
          </cell>
          <cell r="F4119">
            <v>10105780</v>
          </cell>
          <cell r="G4119">
            <v>40006593</v>
          </cell>
        </row>
        <row r="4120">
          <cell r="E4120" t="str">
            <v>183R15-1</v>
          </cell>
          <cell r="F4120">
            <v>10105781</v>
          </cell>
          <cell r="G4120">
            <v>40006594</v>
          </cell>
        </row>
        <row r="4121">
          <cell r="E4121" t="str">
            <v>183R16-9</v>
          </cell>
          <cell r="F4121">
            <v>10105782</v>
          </cell>
          <cell r="G4121">
            <v>40006595</v>
          </cell>
        </row>
        <row r="4122">
          <cell r="E4122" t="str">
            <v>183R84-2</v>
          </cell>
          <cell r="F4122">
            <v>10105783</v>
          </cell>
          <cell r="G4122">
            <v>40006596</v>
          </cell>
        </row>
        <row r="4123">
          <cell r="E4123" t="str">
            <v>183R88-4</v>
          </cell>
          <cell r="F4123">
            <v>10105784</v>
          </cell>
          <cell r="G4123">
            <v>40006597</v>
          </cell>
        </row>
        <row r="4124">
          <cell r="E4124" t="str">
            <v>183S03-4</v>
          </cell>
          <cell r="F4124">
            <v>10105785</v>
          </cell>
          <cell r="G4124">
            <v>40006598</v>
          </cell>
        </row>
        <row r="4125">
          <cell r="E4125" t="str">
            <v>183S36-9</v>
          </cell>
          <cell r="F4125">
            <v>10105786</v>
          </cell>
          <cell r="G4125">
            <v>40006599</v>
          </cell>
        </row>
        <row r="4126">
          <cell r="E4126" t="str">
            <v>183S37-7</v>
          </cell>
          <cell r="F4126">
            <v>10105787</v>
          </cell>
          <cell r="G4126">
            <v>40006600</v>
          </cell>
        </row>
        <row r="4127">
          <cell r="E4127" t="str">
            <v>183S87-2</v>
          </cell>
          <cell r="F4127">
            <v>10105788</v>
          </cell>
          <cell r="G4127">
            <v>40006601</v>
          </cell>
        </row>
        <row r="4128">
          <cell r="E4128" t="str">
            <v>183T43-8</v>
          </cell>
          <cell r="F4128">
            <v>10105789</v>
          </cell>
          <cell r="G4128">
            <v>40006602</v>
          </cell>
        </row>
        <row r="4129">
          <cell r="E4129" t="str">
            <v>191X75-5</v>
          </cell>
          <cell r="F4129">
            <v>10105790</v>
          </cell>
          <cell r="G4129">
            <v>40006603</v>
          </cell>
        </row>
        <row r="4130">
          <cell r="E4130" t="str">
            <v>210005-4</v>
          </cell>
          <cell r="F4130">
            <v>10035471</v>
          </cell>
          <cell r="G4130">
            <v>40007973</v>
          </cell>
        </row>
        <row r="4131">
          <cell r="E4131" t="str">
            <v>216011-7</v>
          </cell>
          <cell r="F4131">
            <v>10105791</v>
          </cell>
          <cell r="G4131">
            <v>40006604</v>
          </cell>
        </row>
        <row r="4132">
          <cell r="E4132" t="str">
            <v>216013-3</v>
          </cell>
          <cell r="F4132">
            <v>10105792</v>
          </cell>
          <cell r="G4132">
            <v>40006605</v>
          </cell>
        </row>
        <row r="4133">
          <cell r="E4133" t="str">
            <v>224409-4</v>
          </cell>
          <cell r="F4133">
            <v>10105802</v>
          </cell>
          <cell r="G4133">
            <v>40010391</v>
          </cell>
        </row>
        <row r="4134">
          <cell r="E4134" t="str">
            <v>224483-2</v>
          </cell>
          <cell r="F4134">
            <v>10105805</v>
          </cell>
          <cell r="G4134">
            <v>40006606</v>
          </cell>
        </row>
        <row r="4135">
          <cell r="E4135" t="str">
            <v>224593-5</v>
          </cell>
          <cell r="F4135">
            <v>10105806</v>
          </cell>
          <cell r="G4135">
            <v>40006607</v>
          </cell>
        </row>
        <row r="4136">
          <cell r="E4136" t="str">
            <v>226862-0</v>
          </cell>
          <cell r="F4136">
            <v>10105807</v>
          </cell>
          <cell r="G4136">
            <v>40006608</v>
          </cell>
        </row>
        <row r="4137">
          <cell r="E4137" t="str">
            <v>226960-0</v>
          </cell>
          <cell r="F4137">
            <v>10105808</v>
          </cell>
          <cell r="G4137">
            <v>40006609</v>
          </cell>
        </row>
        <row r="4138">
          <cell r="E4138" t="str">
            <v>226961-8</v>
          </cell>
          <cell r="F4138">
            <v>10105809</v>
          </cell>
          <cell r="G4138">
            <v>40006610</v>
          </cell>
        </row>
        <row r="4139">
          <cell r="E4139" t="str">
            <v>226976-5</v>
          </cell>
          <cell r="F4139">
            <v>10105810</v>
          </cell>
          <cell r="G4139">
            <v>40006611</v>
          </cell>
        </row>
        <row r="4140">
          <cell r="E4140" t="str">
            <v>226989-6</v>
          </cell>
          <cell r="F4140">
            <v>10105811</v>
          </cell>
          <cell r="G4140">
            <v>40006612</v>
          </cell>
        </row>
        <row r="4141">
          <cell r="E4141" t="str">
            <v>226990-1</v>
          </cell>
          <cell r="F4141">
            <v>10105812</v>
          </cell>
          <cell r="G4141">
            <v>40006613</v>
          </cell>
        </row>
        <row r="4142">
          <cell r="E4142" t="str">
            <v>226991-9</v>
          </cell>
          <cell r="F4142">
            <v>10105813</v>
          </cell>
          <cell r="G4142">
            <v>40006614</v>
          </cell>
        </row>
        <row r="4143">
          <cell r="E4143" t="str">
            <v>227337-2</v>
          </cell>
          <cell r="F4143">
            <v>10105814</v>
          </cell>
          <cell r="G4143">
            <v>40006615</v>
          </cell>
        </row>
        <row r="4144">
          <cell r="E4144" t="str">
            <v>227338-0</v>
          </cell>
          <cell r="F4144">
            <v>10105815</v>
          </cell>
          <cell r="G4144">
            <v>40006616</v>
          </cell>
        </row>
        <row r="4145">
          <cell r="E4145" t="str">
            <v>227612-6</v>
          </cell>
          <cell r="F4145">
            <v>10105816</v>
          </cell>
          <cell r="G4145">
            <v>40006617</v>
          </cell>
        </row>
        <row r="4146">
          <cell r="E4146" t="str">
            <v>227772-4</v>
          </cell>
          <cell r="F4146">
            <v>10105817</v>
          </cell>
          <cell r="G4146">
            <v>40006618</v>
          </cell>
        </row>
        <row r="4147">
          <cell r="E4147" t="str">
            <v>231907-1</v>
          </cell>
          <cell r="F4147">
            <v>10105818</v>
          </cell>
          <cell r="G4147">
            <v>40006619</v>
          </cell>
        </row>
        <row r="4148">
          <cell r="E4148" t="str">
            <v>232152-1</v>
          </cell>
          <cell r="F4148">
            <v>10105819</v>
          </cell>
          <cell r="G4148">
            <v>40006620</v>
          </cell>
        </row>
        <row r="4149">
          <cell r="E4149" t="str">
            <v>232220-0</v>
          </cell>
          <cell r="F4149">
            <v>10105820</v>
          </cell>
          <cell r="G4149">
            <v>40010272</v>
          </cell>
        </row>
        <row r="4150">
          <cell r="E4150" t="str">
            <v>232280-2</v>
          </cell>
          <cell r="F4150">
            <v>10105821</v>
          </cell>
          <cell r="G4150">
            <v>40006621</v>
          </cell>
        </row>
        <row r="4151">
          <cell r="E4151" t="str">
            <v>232411-3</v>
          </cell>
          <cell r="F4151">
            <v>10105822</v>
          </cell>
          <cell r="G4151">
            <v>40006622</v>
          </cell>
        </row>
        <row r="4152">
          <cell r="E4152" t="str">
            <v>232418-9</v>
          </cell>
          <cell r="F4152">
            <v>10105823</v>
          </cell>
          <cell r="G4152">
            <v>40006623</v>
          </cell>
        </row>
        <row r="4153">
          <cell r="E4153" t="str">
            <v>232485-4</v>
          </cell>
          <cell r="F4153">
            <v>10105824</v>
          </cell>
          <cell r="G4153">
            <v>40006624</v>
          </cell>
        </row>
        <row r="4154">
          <cell r="E4154" t="str">
            <v>232493-5</v>
          </cell>
          <cell r="F4154">
            <v>10105825</v>
          </cell>
          <cell r="G4154">
            <v>40006625</v>
          </cell>
        </row>
        <row r="4155">
          <cell r="E4155" t="str">
            <v>232542-8</v>
          </cell>
          <cell r="F4155">
            <v>10105398</v>
          </cell>
          <cell r="G4155">
            <v>40006502</v>
          </cell>
        </row>
        <row r="4156">
          <cell r="E4156" t="str">
            <v>232583-4</v>
          </cell>
          <cell r="F4156">
            <v>10105826</v>
          </cell>
          <cell r="G4156">
            <v>40006626</v>
          </cell>
        </row>
        <row r="4157">
          <cell r="E4157" t="str">
            <v>232591-5</v>
          </cell>
          <cell r="F4157">
            <v>10105827</v>
          </cell>
          <cell r="G4157">
            <v>40006627</v>
          </cell>
        </row>
        <row r="4158">
          <cell r="E4158" t="str">
            <v>232592-3</v>
          </cell>
          <cell r="F4158">
            <v>10105828</v>
          </cell>
          <cell r="G4158">
            <v>40006628</v>
          </cell>
        </row>
        <row r="4159">
          <cell r="E4159" t="str">
            <v>232597-3</v>
          </cell>
          <cell r="F4159">
            <v>10105830</v>
          </cell>
          <cell r="G4159">
            <v>40006629</v>
          </cell>
        </row>
        <row r="4160">
          <cell r="E4160" t="str">
            <v>232615-7</v>
          </cell>
          <cell r="F4160">
            <v>10105831</v>
          </cell>
          <cell r="G4160">
            <v>40006630</v>
          </cell>
        </row>
        <row r="4161">
          <cell r="E4161" t="str">
            <v>232623-8</v>
          </cell>
          <cell r="F4161">
            <v>10105832</v>
          </cell>
          <cell r="G4161">
            <v>40006631</v>
          </cell>
        </row>
        <row r="4162">
          <cell r="E4162" t="str">
            <v>232682-2</v>
          </cell>
          <cell r="F4162">
            <v>10105833</v>
          </cell>
          <cell r="G4162">
            <v>40006632</v>
          </cell>
        </row>
        <row r="4163">
          <cell r="E4163" t="str">
            <v>233314-4</v>
          </cell>
          <cell r="F4163">
            <v>10105834</v>
          </cell>
          <cell r="G4163">
            <v>40006633</v>
          </cell>
        </row>
        <row r="4164">
          <cell r="E4164" t="str">
            <v>233438-6</v>
          </cell>
          <cell r="F4164">
            <v>10105835</v>
          </cell>
          <cell r="G4164">
            <v>40006634</v>
          </cell>
        </row>
        <row r="4165">
          <cell r="E4165" t="str">
            <v>233594-2</v>
          </cell>
          <cell r="F4165">
            <v>10105836</v>
          </cell>
          <cell r="G4165">
            <v>40006635</v>
          </cell>
        </row>
        <row r="4166">
          <cell r="E4166" t="str">
            <v>233603-7</v>
          </cell>
          <cell r="F4166">
            <v>10105837</v>
          </cell>
        </row>
        <row r="4167">
          <cell r="E4167" t="str">
            <v>233622-3</v>
          </cell>
          <cell r="F4167">
            <v>10105838</v>
          </cell>
          <cell r="G4167">
            <v>40006636</v>
          </cell>
        </row>
        <row r="4168">
          <cell r="E4168" t="str">
            <v>233948-3</v>
          </cell>
          <cell r="F4168">
            <v>10105839</v>
          </cell>
          <cell r="G4168">
            <v>40006637</v>
          </cell>
        </row>
        <row r="4169">
          <cell r="E4169" t="str">
            <v>234288-2</v>
          </cell>
          <cell r="F4169">
            <v>10105840</v>
          </cell>
          <cell r="G4169">
            <v>40006638</v>
          </cell>
        </row>
        <row r="4170">
          <cell r="E4170" t="str">
            <v>234289-0</v>
          </cell>
          <cell r="F4170">
            <v>10105841</v>
          </cell>
          <cell r="G4170">
            <v>40006639</v>
          </cell>
        </row>
        <row r="4171">
          <cell r="E4171" t="str">
            <v>234290-5</v>
          </cell>
          <cell r="F4171">
            <v>10105842</v>
          </cell>
          <cell r="G4171">
            <v>40006640</v>
          </cell>
        </row>
        <row r="4172">
          <cell r="E4172" t="str">
            <v>234381-2</v>
          </cell>
          <cell r="F4172">
            <v>10105843</v>
          </cell>
          <cell r="G4172">
            <v>40006641</v>
          </cell>
        </row>
        <row r="4173">
          <cell r="E4173" t="str">
            <v>245041-1</v>
          </cell>
          <cell r="F4173">
            <v>10105844</v>
          </cell>
          <cell r="G4173">
            <v>40006642</v>
          </cell>
        </row>
        <row r="4174">
          <cell r="E4174" t="str">
            <v>251314-2</v>
          </cell>
          <cell r="F4174">
            <v>10105417</v>
          </cell>
          <cell r="G4174">
            <v>40006503</v>
          </cell>
        </row>
        <row r="4175">
          <cell r="E4175" t="str">
            <v>251370-2</v>
          </cell>
          <cell r="F4175">
            <v>10105418</v>
          </cell>
          <cell r="G4175">
            <v>40006504</v>
          </cell>
        </row>
        <row r="4176">
          <cell r="E4176" t="str">
            <v>251497-8</v>
          </cell>
          <cell r="F4176">
            <v>10105419</v>
          </cell>
          <cell r="G4176">
            <v>40006505</v>
          </cell>
        </row>
        <row r="4177">
          <cell r="E4177" t="str">
            <v>251513-6</v>
          </cell>
          <cell r="F4177">
            <v>10105845</v>
          </cell>
          <cell r="G4177">
            <v>40006643</v>
          </cell>
        </row>
        <row r="4178">
          <cell r="E4178" t="str">
            <v>253462-3</v>
          </cell>
          <cell r="F4178">
            <v>10105421</v>
          </cell>
          <cell r="G4178">
            <v>40006506</v>
          </cell>
        </row>
        <row r="4179">
          <cell r="E4179" t="str">
            <v>253463-1</v>
          </cell>
          <cell r="F4179">
            <v>10105422</v>
          </cell>
          <cell r="G4179">
            <v>40006507</v>
          </cell>
        </row>
        <row r="4180">
          <cell r="E4180" t="str">
            <v>253478-8</v>
          </cell>
          <cell r="F4180">
            <v>10105423</v>
          </cell>
          <cell r="G4180">
            <v>40006508</v>
          </cell>
        </row>
        <row r="4181">
          <cell r="E4181" t="str">
            <v>253479-6</v>
          </cell>
          <cell r="F4181">
            <v>10105424</v>
          </cell>
          <cell r="G4181">
            <v>40006509</v>
          </cell>
        </row>
        <row r="4182">
          <cell r="E4182" t="str">
            <v>254239-9</v>
          </cell>
          <cell r="F4182">
            <v>10105846</v>
          </cell>
          <cell r="G4182">
            <v>40006644</v>
          </cell>
        </row>
        <row r="4183">
          <cell r="E4183" t="str">
            <v>256380-4</v>
          </cell>
          <cell r="F4183">
            <v>10105847</v>
          </cell>
          <cell r="G4183">
            <v>40006645</v>
          </cell>
        </row>
        <row r="4184">
          <cell r="E4184" t="str">
            <v>256886-2</v>
          </cell>
          <cell r="F4184">
            <v>10105851</v>
          </cell>
          <cell r="G4184">
            <v>40006646</v>
          </cell>
        </row>
        <row r="4185">
          <cell r="E4185" t="str">
            <v>256945-2</v>
          </cell>
          <cell r="F4185">
            <v>10105856</v>
          </cell>
          <cell r="G4185">
            <v>40006647</v>
          </cell>
        </row>
        <row r="4186">
          <cell r="E4186" t="str">
            <v>257308-5</v>
          </cell>
          <cell r="F4186">
            <v>10105857</v>
          </cell>
          <cell r="G4186">
            <v>40006648</v>
          </cell>
        </row>
        <row r="4187">
          <cell r="E4187" t="str">
            <v>257340-9</v>
          </cell>
          <cell r="F4187">
            <v>10105858</v>
          </cell>
          <cell r="G4187">
            <v>40006649</v>
          </cell>
        </row>
        <row r="4188">
          <cell r="E4188" t="str">
            <v>257430-8</v>
          </cell>
          <cell r="F4188">
            <v>10105859</v>
          </cell>
          <cell r="G4188">
            <v>40006651</v>
          </cell>
        </row>
        <row r="4189">
          <cell r="E4189" t="str">
            <v>257991-8</v>
          </cell>
          <cell r="F4189">
            <v>10105860</v>
          </cell>
          <cell r="G4189">
            <v>40006652</v>
          </cell>
        </row>
        <row r="4190">
          <cell r="E4190" t="str">
            <v>259075-8</v>
          </cell>
          <cell r="F4190">
            <v>10105864</v>
          </cell>
          <cell r="G4190">
            <v>40006653</v>
          </cell>
        </row>
        <row r="4191">
          <cell r="E4191" t="str">
            <v>261154-0</v>
          </cell>
          <cell r="F4191">
            <v>10105434</v>
          </cell>
          <cell r="G4191">
            <v>40006510</v>
          </cell>
        </row>
        <row r="4192">
          <cell r="E4192" t="str">
            <v>261160-5</v>
          </cell>
          <cell r="F4192">
            <v>10105435</v>
          </cell>
          <cell r="G4192">
            <v>40006511</v>
          </cell>
        </row>
        <row r="4193">
          <cell r="E4193" t="str">
            <v>262166-6</v>
          </cell>
          <cell r="F4193">
            <v>10105867</v>
          </cell>
          <cell r="G4193">
            <v>40006655</v>
          </cell>
        </row>
        <row r="4194">
          <cell r="E4194" t="str">
            <v>262167-4</v>
          </cell>
          <cell r="F4194">
            <v>10105868</v>
          </cell>
          <cell r="G4194">
            <v>40006658</v>
          </cell>
        </row>
        <row r="4195">
          <cell r="E4195" t="str">
            <v>262168-2</v>
          </cell>
          <cell r="F4195">
            <v>10105869</v>
          </cell>
          <cell r="G4195">
            <v>40006660</v>
          </cell>
        </row>
        <row r="4196">
          <cell r="E4196" t="str">
            <v>263032-0</v>
          </cell>
          <cell r="F4196">
            <v>10105870</v>
          </cell>
          <cell r="G4196">
            <v>40006662</v>
          </cell>
        </row>
        <row r="4197">
          <cell r="E4197" t="str">
            <v>263036-2</v>
          </cell>
          <cell r="F4197">
            <v>10105871</v>
          </cell>
          <cell r="G4197">
            <v>40006664</v>
          </cell>
        </row>
        <row r="4198">
          <cell r="E4198" t="str">
            <v>263046-9</v>
          </cell>
          <cell r="F4198">
            <v>10105441</v>
          </cell>
          <cell r="G4198">
            <v>40006512</v>
          </cell>
        </row>
        <row r="4199">
          <cell r="E4199" t="str">
            <v>265374-8</v>
          </cell>
          <cell r="F4199">
            <v>10105442</v>
          </cell>
          <cell r="G4199">
            <v>40006513</v>
          </cell>
        </row>
        <row r="4200">
          <cell r="E4200" t="str">
            <v>265701-9</v>
          </cell>
          <cell r="F4200">
            <v>10105443</v>
          </cell>
          <cell r="G4200">
            <v>40006514</v>
          </cell>
        </row>
        <row r="4201">
          <cell r="E4201" t="str">
            <v>265995-6</v>
          </cell>
          <cell r="F4201">
            <v>10030441</v>
          </cell>
        </row>
        <row r="4202">
          <cell r="E4202" t="str">
            <v>265999-8</v>
          </cell>
          <cell r="F4202">
            <v>10105444</v>
          </cell>
          <cell r="G4202">
            <v>40006515</v>
          </cell>
        </row>
        <row r="4203">
          <cell r="E4203" t="str">
            <v>265A78-8</v>
          </cell>
          <cell r="F4203">
            <v>10105876</v>
          </cell>
          <cell r="G4203">
            <v>40006667</v>
          </cell>
        </row>
        <row r="4204">
          <cell r="E4204" t="str">
            <v>265B38-6</v>
          </cell>
          <cell r="F4204">
            <v>10105877</v>
          </cell>
          <cell r="G4204">
            <v>40006669</v>
          </cell>
        </row>
        <row r="4205">
          <cell r="E4205" t="str">
            <v>266048-4</v>
          </cell>
          <cell r="F4205">
            <v>10105447</v>
          </cell>
          <cell r="G4205">
            <v>40006516</v>
          </cell>
        </row>
        <row r="4206">
          <cell r="E4206" t="str">
            <v>266283-4</v>
          </cell>
          <cell r="F4206">
            <v>10105879</v>
          </cell>
          <cell r="G4206">
            <v>40006672</v>
          </cell>
        </row>
        <row r="4207">
          <cell r="E4207" t="str">
            <v>266425-0</v>
          </cell>
          <cell r="F4207">
            <v>10105449</v>
          </cell>
          <cell r="G4207">
            <v>40006517</v>
          </cell>
        </row>
        <row r="4208">
          <cell r="E4208" t="str">
            <v>266459-3</v>
          </cell>
          <cell r="F4208">
            <v>10105450</v>
          </cell>
          <cell r="G4208">
            <v>40006518</v>
          </cell>
        </row>
        <row r="4209">
          <cell r="E4209" t="str">
            <v>267106-9</v>
          </cell>
          <cell r="F4209">
            <v>10105451</v>
          </cell>
          <cell r="G4209">
            <v>40006519</v>
          </cell>
        </row>
        <row r="4210">
          <cell r="E4210" t="str">
            <v>267175-0</v>
          </cell>
          <cell r="F4210">
            <v>10105452</v>
          </cell>
          <cell r="G4210">
            <v>40006520</v>
          </cell>
        </row>
        <row r="4211">
          <cell r="E4211" t="str">
            <v>267194-6</v>
          </cell>
          <cell r="F4211">
            <v>10105453</v>
          </cell>
          <cell r="G4211">
            <v>40006521</v>
          </cell>
        </row>
        <row r="4212">
          <cell r="E4212" t="str">
            <v>267250-2</v>
          </cell>
          <cell r="F4212">
            <v>10105454</v>
          </cell>
          <cell r="G4212">
            <v>40006522</v>
          </cell>
        </row>
        <row r="4213">
          <cell r="E4213" t="str">
            <v>267470-8</v>
          </cell>
          <cell r="F4213">
            <v>10105455</v>
          </cell>
          <cell r="G4213">
            <v>40006523</v>
          </cell>
        </row>
        <row r="4214">
          <cell r="E4214" t="str">
            <v>267721-9</v>
          </cell>
          <cell r="F4214">
            <v>10105456</v>
          </cell>
          <cell r="G4214">
            <v>40006524</v>
          </cell>
        </row>
        <row r="4215">
          <cell r="E4215" t="str">
            <v>268094-3</v>
          </cell>
          <cell r="F4215">
            <v>10105888</v>
          </cell>
          <cell r="G4215">
            <v>40006674</v>
          </cell>
        </row>
        <row r="4216">
          <cell r="E4216" t="str">
            <v>268238-5</v>
          </cell>
          <cell r="F4216">
            <v>10105889</v>
          </cell>
          <cell r="G4216">
            <v>40006676</v>
          </cell>
        </row>
        <row r="4217">
          <cell r="E4217" t="str">
            <v>268311-1</v>
          </cell>
          <cell r="F4217">
            <v>10105890</v>
          </cell>
          <cell r="G4217">
            <v>40006679</v>
          </cell>
        </row>
        <row r="4218">
          <cell r="E4218" t="str">
            <v>271460-5</v>
          </cell>
          <cell r="F4218">
            <v>10105891</v>
          </cell>
          <cell r="G4218">
            <v>40006681</v>
          </cell>
        </row>
        <row r="4219">
          <cell r="E4219" t="str">
            <v>285809-3</v>
          </cell>
          <cell r="F4219">
            <v>10105892</v>
          </cell>
          <cell r="G4219">
            <v>40006683</v>
          </cell>
        </row>
        <row r="4220">
          <cell r="E4220" t="str">
            <v>310848-5</v>
          </cell>
          <cell r="F4220">
            <v>10105893</v>
          </cell>
          <cell r="G4220">
            <v>40006685</v>
          </cell>
        </row>
        <row r="4221">
          <cell r="E4221" t="str">
            <v>310912-2</v>
          </cell>
          <cell r="F4221">
            <v>10105894</v>
          </cell>
          <cell r="G4221">
            <v>40006687</v>
          </cell>
        </row>
        <row r="4222">
          <cell r="E4222" t="str">
            <v>310991-0</v>
          </cell>
          <cell r="F4222">
            <v>10105671</v>
          </cell>
          <cell r="G4222">
            <v>40006530</v>
          </cell>
        </row>
        <row r="4223">
          <cell r="E4223" t="str">
            <v>313288-6</v>
          </cell>
          <cell r="F4223">
            <v>10105672</v>
          </cell>
          <cell r="G4223">
            <v>40006531</v>
          </cell>
        </row>
        <row r="4224">
          <cell r="E4224" t="str">
            <v>319970-5</v>
          </cell>
          <cell r="F4224">
            <v>10105897</v>
          </cell>
          <cell r="G4224">
            <v>40006690</v>
          </cell>
        </row>
        <row r="4225">
          <cell r="E4225" t="str">
            <v>319973-9</v>
          </cell>
          <cell r="F4225">
            <v>10105898</v>
          </cell>
          <cell r="G4225">
            <v>40006691</v>
          </cell>
        </row>
        <row r="4226">
          <cell r="E4226" t="str">
            <v>324727-1</v>
          </cell>
          <cell r="F4226">
            <v>10105899</v>
          </cell>
          <cell r="G4226">
            <v>40006693</v>
          </cell>
        </row>
        <row r="4227">
          <cell r="E4227" t="str">
            <v>326268-3</v>
          </cell>
          <cell r="F4227">
            <v>10105900</v>
          </cell>
          <cell r="G4227">
            <v>40006695</v>
          </cell>
        </row>
        <row r="4228">
          <cell r="E4228" t="str">
            <v>326270-6</v>
          </cell>
          <cell r="F4228">
            <v>10105901</v>
          </cell>
          <cell r="G4228">
            <v>40006727</v>
          </cell>
        </row>
        <row r="4229">
          <cell r="E4229" t="str">
            <v>326272-2</v>
          </cell>
          <cell r="F4229">
            <v>10105902</v>
          </cell>
          <cell r="G4229">
            <v>40006728</v>
          </cell>
        </row>
        <row r="4230">
          <cell r="E4230" t="str">
            <v>326274-8</v>
          </cell>
          <cell r="F4230">
            <v>10105903</v>
          </cell>
          <cell r="G4230">
            <v>40006729</v>
          </cell>
        </row>
        <row r="4231">
          <cell r="E4231" t="str">
            <v>326599-0</v>
          </cell>
          <cell r="F4231">
            <v>10105904</v>
          </cell>
          <cell r="G4231">
            <v>40006730</v>
          </cell>
        </row>
        <row r="4232">
          <cell r="E4232" t="str">
            <v>326669-5</v>
          </cell>
          <cell r="F4232">
            <v>10105905</v>
          </cell>
          <cell r="G4232">
            <v>40005407</v>
          </cell>
        </row>
        <row r="4233">
          <cell r="E4233" t="str">
            <v>327043-0</v>
          </cell>
          <cell r="F4233">
            <v>10105906</v>
          </cell>
          <cell r="G4233">
            <v>40005411</v>
          </cell>
        </row>
        <row r="4234">
          <cell r="E4234" t="str">
            <v>327322-6</v>
          </cell>
          <cell r="F4234">
            <v>10105907</v>
          </cell>
          <cell r="G4234">
            <v>40005413</v>
          </cell>
        </row>
        <row r="4235">
          <cell r="E4235" t="str">
            <v>327524-4</v>
          </cell>
          <cell r="F4235">
            <v>10105908</v>
          </cell>
          <cell r="G4235">
            <v>40005415</v>
          </cell>
        </row>
        <row r="4236">
          <cell r="E4236" t="str">
            <v>327525-2</v>
          </cell>
          <cell r="F4236">
            <v>10105909</v>
          </cell>
          <cell r="G4236">
            <v>40005417</v>
          </cell>
        </row>
        <row r="4237">
          <cell r="E4237" t="str">
            <v>327531-7</v>
          </cell>
          <cell r="F4237">
            <v>10105910</v>
          </cell>
          <cell r="G4237">
            <v>40005419</v>
          </cell>
        </row>
        <row r="4238">
          <cell r="E4238" t="str">
            <v>327573-1</v>
          </cell>
          <cell r="F4238">
            <v>10105911</v>
          </cell>
          <cell r="G4238">
            <v>40005421</v>
          </cell>
        </row>
        <row r="4239">
          <cell r="E4239" t="str">
            <v>327595-1</v>
          </cell>
          <cell r="F4239">
            <v>10105912</v>
          </cell>
          <cell r="G4239">
            <v>40005423</v>
          </cell>
        </row>
        <row r="4240">
          <cell r="E4240" t="str">
            <v>327648-6</v>
          </cell>
          <cell r="F4240">
            <v>10105913</v>
          </cell>
          <cell r="G4240">
            <v>40005425</v>
          </cell>
        </row>
        <row r="4241">
          <cell r="E4241" t="str">
            <v>327742-4</v>
          </cell>
          <cell r="F4241">
            <v>10105914</v>
          </cell>
          <cell r="G4241">
            <v>40005427</v>
          </cell>
        </row>
        <row r="4242">
          <cell r="E4242" t="str">
            <v>331596-3</v>
          </cell>
          <cell r="F4242">
            <v>10105915</v>
          </cell>
          <cell r="G4242">
            <v>40005429</v>
          </cell>
        </row>
        <row r="4243">
          <cell r="E4243" t="str">
            <v>346317-0</v>
          </cell>
          <cell r="F4243">
            <v>10105916</v>
          </cell>
          <cell r="G4243">
            <v>40005431</v>
          </cell>
        </row>
        <row r="4244">
          <cell r="E4244" t="str">
            <v>346670-4</v>
          </cell>
          <cell r="F4244">
            <v>10105917</v>
          </cell>
          <cell r="G4244">
            <v>40005433</v>
          </cell>
        </row>
        <row r="4245">
          <cell r="E4245" t="str">
            <v>346947-7</v>
          </cell>
          <cell r="F4245">
            <v>10105918</v>
          </cell>
          <cell r="G4245">
            <v>40005435</v>
          </cell>
        </row>
        <row r="4246">
          <cell r="E4246" t="str">
            <v>347107-4</v>
          </cell>
          <cell r="F4246">
            <v>10105919</v>
          </cell>
          <cell r="G4246">
            <v>40005437</v>
          </cell>
        </row>
        <row r="4247">
          <cell r="E4247" t="str">
            <v>347113-9</v>
          </cell>
          <cell r="F4247">
            <v>10105920</v>
          </cell>
          <cell r="G4247">
            <v>40005439</v>
          </cell>
        </row>
        <row r="4248">
          <cell r="E4248" t="str">
            <v>347114-7</v>
          </cell>
          <cell r="F4248">
            <v>10105921</v>
          </cell>
        </row>
        <row r="4249">
          <cell r="E4249" t="str">
            <v>347299-9</v>
          </cell>
          <cell r="F4249">
            <v>10105922</v>
          </cell>
          <cell r="G4249">
            <v>40005441</v>
          </cell>
        </row>
        <row r="4250">
          <cell r="E4250" t="str">
            <v>347478-9</v>
          </cell>
          <cell r="F4250">
            <v>10105923</v>
          </cell>
          <cell r="G4250">
            <v>40005443</v>
          </cell>
        </row>
        <row r="4251">
          <cell r="E4251" t="str">
            <v>347480-2</v>
          </cell>
          <cell r="F4251">
            <v>10105924</v>
          </cell>
          <cell r="G4251">
            <v>40005445</v>
          </cell>
        </row>
        <row r="4252">
          <cell r="E4252" t="str">
            <v>347637-5</v>
          </cell>
          <cell r="F4252">
            <v>10105925</v>
          </cell>
          <cell r="G4252">
            <v>40005447</v>
          </cell>
        </row>
        <row r="4253">
          <cell r="E4253" t="str">
            <v>347641-4</v>
          </cell>
          <cell r="F4253">
            <v>10105926</v>
          </cell>
          <cell r="G4253">
            <v>40005449</v>
          </cell>
        </row>
        <row r="4254">
          <cell r="E4254" t="str">
            <v>347676-5</v>
          </cell>
          <cell r="F4254">
            <v>10105927</v>
          </cell>
          <cell r="G4254">
            <v>40005451</v>
          </cell>
        </row>
        <row r="4255">
          <cell r="E4255" t="str">
            <v>347752-5</v>
          </cell>
          <cell r="F4255">
            <v>10105928</v>
          </cell>
          <cell r="G4255">
            <v>40005453</v>
          </cell>
        </row>
        <row r="4256">
          <cell r="E4256" t="str">
            <v>347783-4</v>
          </cell>
          <cell r="F4256">
            <v>10105929</v>
          </cell>
          <cell r="G4256">
            <v>40005455</v>
          </cell>
        </row>
        <row r="4257">
          <cell r="E4257" t="str">
            <v>347914-5</v>
          </cell>
          <cell r="F4257">
            <v>10105930</v>
          </cell>
          <cell r="G4257">
            <v>40005457</v>
          </cell>
        </row>
        <row r="4258">
          <cell r="E4258" t="str">
            <v>412233-9</v>
          </cell>
          <cell r="F4258">
            <v>10105931</v>
          </cell>
          <cell r="G4258">
            <v>40005459</v>
          </cell>
        </row>
        <row r="4259">
          <cell r="E4259" t="str">
            <v>412339-3</v>
          </cell>
          <cell r="F4259">
            <v>10105932</v>
          </cell>
          <cell r="G4259">
            <v>40005461</v>
          </cell>
        </row>
        <row r="4260">
          <cell r="E4260" t="str">
            <v>412361-0</v>
          </cell>
          <cell r="F4260">
            <v>10105933</v>
          </cell>
          <cell r="G4260">
            <v>40005463</v>
          </cell>
        </row>
        <row r="4261">
          <cell r="E4261" t="str">
            <v>412476-3</v>
          </cell>
          <cell r="F4261">
            <v>10105934</v>
          </cell>
          <cell r="G4261">
            <v>40005465</v>
          </cell>
        </row>
        <row r="4262">
          <cell r="E4262" t="str">
            <v>412480-2</v>
          </cell>
          <cell r="F4262">
            <v>10105935</v>
          </cell>
          <cell r="G4262">
            <v>40005467</v>
          </cell>
        </row>
        <row r="4263">
          <cell r="E4263" t="str">
            <v>412697-7</v>
          </cell>
          <cell r="F4263">
            <v>10105936</v>
          </cell>
          <cell r="G4263">
            <v>40005469</v>
          </cell>
        </row>
        <row r="4264">
          <cell r="E4264" t="str">
            <v>412821-2</v>
          </cell>
          <cell r="F4264">
            <v>10105937</v>
          </cell>
          <cell r="G4264">
            <v>40005471</v>
          </cell>
        </row>
        <row r="4265">
          <cell r="E4265" t="str">
            <v>412822-0</v>
          </cell>
          <cell r="F4265">
            <v>10105938</v>
          </cell>
          <cell r="G4265">
            <v>40005473</v>
          </cell>
        </row>
        <row r="4266">
          <cell r="E4266" t="str">
            <v>412951-9</v>
          </cell>
          <cell r="F4266">
            <v>10105939</v>
          </cell>
          <cell r="G4266">
            <v>40005475</v>
          </cell>
        </row>
        <row r="4267">
          <cell r="E4267" t="str">
            <v>412953-5</v>
          </cell>
          <cell r="F4267">
            <v>10105940</v>
          </cell>
          <cell r="G4267">
            <v>40005477</v>
          </cell>
        </row>
        <row r="4268">
          <cell r="E4268" t="str">
            <v>412961-6</v>
          </cell>
          <cell r="F4268">
            <v>10105941</v>
          </cell>
          <cell r="G4268">
            <v>40005479</v>
          </cell>
        </row>
        <row r="4269">
          <cell r="E4269" t="str">
            <v>413251-0</v>
          </cell>
          <cell r="F4269">
            <v>10105942</v>
          </cell>
          <cell r="G4269">
            <v>40005480</v>
          </cell>
        </row>
        <row r="4270">
          <cell r="E4270" t="str">
            <v>413645-9</v>
          </cell>
          <cell r="F4270">
            <v>10105943</v>
          </cell>
          <cell r="G4270">
            <v>40005481</v>
          </cell>
        </row>
        <row r="4271">
          <cell r="E4271" t="str">
            <v>413C47-7</v>
          </cell>
          <cell r="F4271">
            <v>10105944</v>
          </cell>
          <cell r="G4271">
            <v>40005482</v>
          </cell>
        </row>
        <row r="4272">
          <cell r="E4272" t="str">
            <v>413C49-3</v>
          </cell>
          <cell r="F4272">
            <v>10105945</v>
          </cell>
          <cell r="G4272">
            <v>40005483</v>
          </cell>
        </row>
        <row r="4273">
          <cell r="E4273" t="str">
            <v>419704-7</v>
          </cell>
          <cell r="F4273">
            <v>10105946</v>
          </cell>
          <cell r="G4273">
            <v>40005484</v>
          </cell>
        </row>
        <row r="4274">
          <cell r="E4274" t="str">
            <v>422268-2</v>
          </cell>
          <cell r="F4274">
            <v>10105947</v>
          </cell>
          <cell r="G4274">
            <v>40005485</v>
          </cell>
        </row>
        <row r="4275">
          <cell r="E4275" t="str">
            <v>422460-0</v>
          </cell>
          <cell r="F4275">
            <v>10105948</v>
          </cell>
          <cell r="G4275">
            <v>40005486</v>
          </cell>
        </row>
        <row r="4276">
          <cell r="E4276" t="str">
            <v>422472-3</v>
          </cell>
          <cell r="F4276">
            <v>10105949</v>
          </cell>
          <cell r="G4276">
            <v>40005487</v>
          </cell>
        </row>
        <row r="4277">
          <cell r="E4277" t="str">
            <v>422541-0</v>
          </cell>
          <cell r="F4277">
            <v>10105950</v>
          </cell>
          <cell r="G4277">
            <v>40005488</v>
          </cell>
        </row>
        <row r="4278">
          <cell r="E4278" t="str">
            <v>422542-8</v>
          </cell>
          <cell r="F4278">
            <v>10105951</v>
          </cell>
          <cell r="G4278">
            <v>40005489</v>
          </cell>
        </row>
        <row r="4279">
          <cell r="E4279" t="str">
            <v>422543-6</v>
          </cell>
          <cell r="F4279">
            <v>10105952</v>
          </cell>
          <cell r="G4279">
            <v>40005490</v>
          </cell>
        </row>
        <row r="4280">
          <cell r="E4280" t="str">
            <v>422563-0</v>
          </cell>
          <cell r="F4280">
            <v>10105953</v>
          </cell>
          <cell r="G4280">
            <v>40005491</v>
          </cell>
        </row>
        <row r="4281">
          <cell r="E4281" t="str">
            <v>422584-2</v>
          </cell>
          <cell r="F4281">
            <v>10105954</v>
          </cell>
          <cell r="G4281">
            <v>40005492</v>
          </cell>
        </row>
        <row r="4282">
          <cell r="E4282" t="str">
            <v>422594-9</v>
          </cell>
          <cell r="F4282">
            <v>10105955</v>
          </cell>
          <cell r="G4282">
            <v>40005493</v>
          </cell>
        </row>
        <row r="4283">
          <cell r="E4283" t="str">
            <v>422610-7</v>
          </cell>
          <cell r="F4283">
            <v>10105956</v>
          </cell>
          <cell r="G4283">
            <v>40005494</v>
          </cell>
        </row>
        <row r="4284">
          <cell r="E4284" t="str">
            <v>422723-4</v>
          </cell>
          <cell r="F4284">
            <v>10105957</v>
          </cell>
          <cell r="G4284">
            <v>40005495</v>
          </cell>
        </row>
        <row r="4285">
          <cell r="E4285" t="str">
            <v>422816-7</v>
          </cell>
          <cell r="F4285">
            <v>10105958</v>
          </cell>
          <cell r="G4285">
            <v>40005496</v>
          </cell>
        </row>
        <row r="4286">
          <cell r="E4286" t="str">
            <v>422817-5</v>
          </cell>
          <cell r="F4286">
            <v>10105959</v>
          </cell>
          <cell r="G4286">
            <v>40005497</v>
          </cell>
        </row>
        <row r="4287">
          <cell r="E4287" t="str">
            <v>422824-8</v>
          </cell>
          <cell r="F4287">
            <v>10105960</v>
          </cell>
          <cell r="G4287">
            <v>40005498</v>
          </cell>
        </row>
        <row r="4288">
          <cell r="E4288" t="str">
            <v>422825-6</v>
          </cell>
          <cell r="F4288">
            <v>10105961</v>
          </cell>
          <cell r="G4288">
            <v>40005499</v>
          </cell>
        </row>
        <row r="4289">
          <cell r="E4289" t="str">
            <v>424208-6</v>
          </cell>
          <cell r="F4289">
            <v>10105962</v>
          </cell>
          <cell r="G4289">
            <v>40005500</v>
          </cell>
        </row>
        <row r="4290">
          <cell r="E4290" t="str">
            <v>424556-3</v>
          </cell>
          <cell r="F4290">
            <v>10105963</v>
          </cell>
          <cell r="G4290">
            <v>40005501</v>
          </cell>
        </row>
        <row r="4291">
          <cell r="E4291" t="str">
            <v>424558-9</v>
          </cell>
          <cell r="F4291">
            <v>10105964</v>
          </cell>
          <cell r="G4291">
            <v>40005502</v>
          </cell>
        </row>
        <row r="4292">
          <cell r="E4292" t="str">
            <v>424559-7</v>
          </cell>
          <cell r="F4292">
            <v>10105965</v>
          </cell>
          <cell r="G4292">
            <v>40005503</v>
          </cell>
        </row>
        <row r="4293">
          <cell r="E4293" t="str">
            <v>424773-5</v>
          </cell>
          <cell r="F4293">
            <v>10105966</v>
          </cell>
          <cell r="G4293">
            <v>40005504</v>
          </cell>
        </row>
        <row r="4294">
          <cell r="E4294" t="str">
            <v>424942-8</v>
          </cell>
          <cell r="F4294">
            <v>10105967</v>
          </cell>
          <cell r="G4294">
            <v>40005505</v>
          </cell>
        </row>
        <row r="4295">
          <cell r="E4295" t="str">
            <v>443182-9</v>
          </cell>
          <cell r="F4295">
            <v>10105968</v>
          </cell>
          <cell r="G4295">
            <v>40005506</v>
          </cell>
        </row>
        <row r="4296">
          <cell r="E4296" t="str">
            <v>454319-3</v>
          </cell>
          <cell r="F4296">
            <v>10105970</v>
          </cell>
          <cell r="G4296">
            <v>40005507</v>
          </cell>
        </row>
        <row r="4297">
          <cell r="E4297" t="str">
            <v>454326-6</v>
          </cell>
          <cell r="F4297">
            <v>10105971</v>
          </cell>
          <cell r="G4297">
            <v>40005508</v>
          </cell>
        </row>
        <row r="4298">
          <cell r="E4298" t="str">
            <v>454330-5</v>
          </cell>
          <cell r="F4298">
            <v>10105972</v>
          </cell>
          <cell r="G4298">
            <v>40005509</v>
          </cell>
        </row>
        <row r="4299">
          <cell r="E4299" t="str">
            <v>454331-3</v>
          </cell>
          <cell r="F4299">
            <v>10105973</v>
          </cell>
          <cell r="G4299">
            <v>40005510</v>
          </cell>
        </row>
        <row r="4300">
          <cell r="E4300" t="str">
            <v>454345-2</v>
          </cell>
          <cell r="F4300">
            <v>10105974</v>
          </cell>
          <cell r="G4300">
            <v>40005511</v>
          </cell>
        </row>
        <row r="4301">
          <cell r="E4301" t="str">
            <v>455053-8</v>
          </cell>
          <cell r="F4301">
            <v>10105975</v>
          </cell>
          <cell r="G4301">
            <v>40005512</v>
          </cell>
        </row>
        <row r="4302">
          <cell r="E4302" t="str">
            <v>456177-3</v>
          </cell>
          <cell r="F4302">
            <v>10105976</v>
          </cell>
          <cell r="G4302">
            <v>40005513</v>
          </cell>
        </row>
        <row r="4303">
          <cell r="E4303" t="str">
            <v>456268-0</v>
          </cell>
          <cell r="F4303">
            <v>10105977</v>
          </cell>
          <cell r="G4303">
            <v>40005514</v>
          </cell>
        </row>
        <row r="4304">
          <cell r="E4304" t="str">
            <v>458051-1</v>
          </cell>
          <cell r="F4304">
            <v>10105978</v>
          </cell>
          <cell r="G4304">
            <v>40005515</v>
          </cell>
        </row>
        <row r="4305">
          <cell r="E4305" t="str">
            <v>458097-7</v>
          </cell>
          <cell r="F4305">
            <v>10105979</v>
          </cell>
          <cell r="G4305">
            <v>40005516</v>
          </cell>
        </row>
        <row r="4306">
          <cell r="E4306" t="str">
            <v>458099-3</v>
          </cell>
          <cell r="F4306">
            <v>10105980</v>
          </cell>
          <cell r="G4306">
            <v>40005517</v>
          </cell>
        </row>
        <row r="4307">
          <cell r="E4307" t="str">
            <v>458100-4</v>
          </cell>
          <cell r="F4307">
            <v>10105981</v>
          </cell>
          <cell r="G4307">
            <v>40005518</v>
          </cell>
        </row>
        <row r="4308">
          <cell r="E4308" t="str">
            <v>458467-0</v>
          </cell>
          <cell r="F4308">
            <v>10105982</v>
          </cell>
          <cell r="G4308">
            <v>40005519</v>
          </cell>
        </row>
        <row r="4309">
          <cell r="E4309" t="str">
            <v>458594-3</v>
          </cell>
          <cell r="F4309">
            <v>10105983</v>
          </cell>
          <cell r="G4309">
            <v>40005520</v>
          </cell>
        </row>
        <row r="4310">
          <cell r="E4310" t="str">
            <v>458939-5</v>
          </cell>
          <cell r="F4310">
            <v>10105984</v>
          </cell>
          <cell r="G4310">
            <v>40005521</v>
          </cell>
        </row>
        <row r="4311">
          <cell r="E4311" t="str">
            <v>458968-8</v>
          </cell>
          <cell r="F4311">
            <v>10105986</v>
          </cell>
          <cell r="G4311">
            <v>40005522</v>
          </cell>
        </row>
        <row r="4312">
          <cell r="E4312" t="str">
            <v>459478-8</v>
          </cell>
          <cell r="F4312">
            <v>10105987</v>
          </cell>
          <cell r="G4312">
            <v>40005523</v>
          </cell>
        </row>
        <row r="4313">
          <cell r="E4313" t="str">
            <v>459758-2</v>
          </cell>
          <cell r="F4313">
            <v>10105988</v>
          </cell>
          <cell r="G4313">
            <v>40005524</v>
          </cell>
        </row>
        <row r="4314">
          <cell r="E4314" t="str">
            <v>459759-0</v>
          </cell>
          <cell r="F4314">
            <v>10105989</v>
          </cell>
          <cell r="G4314">
            <v>40005525</v>
          </cell>
        </row>
        <row r="4315">
          <cell r="E4315" t="str">
            <v>459764-7</v>
          </cell>
          <cell r="F4315">
            <v>10105990</v>
          </cell>
          <cell r="G4315">
            <v>40005526</v>
          </cell>
        </row>
        <row r="4316">
          <cell r="E4316" t="str">
            <v>459923-3</v>
          </cell>
          <cell r="F4316">
            <v>10105991</v>
          </cell>
          <cell r="G4316">
            <v>40005528</v>
          </cell>
        </row>
        <row r="4317">
          <cell r="E4317" t="str">
            <v>459924-1</v>
          </cell>
          <cell r="F4317">
            <v>10105992</v>
          </cell>
          <cell r="G4317">
            <v>40005529</v>
          </cell>
        </row>
        <row r="4318">
          <cell r="E4318" t="str">
            <v>510447-5</v>
          </cell>
          <cell r="F4318">
            <v>10105993</v>
          </cell>
          <cell r="G4318">
            <v>40005530</v>
          </cell>
        </row>
        <row r="4319">
          <cell r="E4319" t="str">
            <v>519492-7</v>
          </cell>
          <cell r="F4319">
            <v>10105994</v>
          </cell>
          <cell r="G4319">
            <v>40005532</v>
          </cell>
        </row>
        <row r="4320">
          <cell r="E4320" t="str">
            <v>519595-7</v>
          </cell>
          <cell r="F4320">
            <v>10105995</v>
          </cell>
          <cell r="G4320">
            <v>40005534</v>
          </cell>
        </row>
        <row r="4321">
          <cell r="E4321" t="str">
            <v>519630-1</v>
          </cell>
          <cell r="F4321">
            <v>10105996</v>
          </cell>
          <cell r="G4321">
            <v>40005536</v>
          </cell>
        </row>
        <row r="4322">
          <cell r="E4322" t="str">
            <v>519647-4</v>
          </cell>
          <cell r="F4322">
            <v>10105997</v>
          </cell>
          <cell r="G4322">
            <v>40005538</v>
          </cell>
        </row>
        <row r="4323">
          <cell r="E4323" t="str">
            <v>619605-1</v>
          </cell>
          <cell r="F4323">
            <v>10105998</v>
          </cell>
          <cell r="G4323">
            <v>40005540</v>
          </cell>
        </row>
        <row r="4324">
          <cell r="E4324" t="str">
            <v>619626-3</v>
          </cell>
          <cell r="F4324">
            <v>10105999</v>
          </cell>
          <cell r="G4324">
            <v>40005542</v>
          </cell>
        </row>
        <row r="4325">
          <cell r="E4325" t="str">
            <v>619659-8</v>
          </cell>
          <cell r="F4325">
            <v>10106000</v>
          </cell>
          <cell r="G4325">
            <v>40005544</v>
          </cell>
        </row>
        <row r="4326">
          <cell r="E4326" t="str">
            <v>620549-0</v>
          </cell>
          <cell r="F4326">
            <v>10106001</v>
          </cell>
          <cell r="G4326">
            <v>40005546</v>
          </cell>
        </row>
        <row r="4327">
          <cell r="E4327" t="str">
            <v>620796-3</v>
          </cell>
          <cell r="F4327">
            <v>10106002</v>
          </cell>
          <cell r="G4327">
            <v>40005548</v>
          </cell>
        </row>
        <row r="4328">
          <cell r="E4328" t="str">
            <v>620936-3</v>
          </cell>
          <cell r="F4328">
            <v>10106003</v>
          </cell>
        </row>
        <row r="4329">
          <cell r="E4329" t="str">
            <v>620B96-3</v>
          </cell>
          <cell r="F4329">
            <v>10106004</v>
          </cell>
          <cell r="G4329">
            <v>40005550</v>
          </cell>
        </row>
        <row r="4330">
          <cell r="E4330" t="str">
            <v>620B97-1</v>
          </cell>
          <cell r="F4330">
            <v>10106005</v>
          </cell>
          <cell r="G4330">
            <v>40005552</v>
          </cell>
        </row>
        <row r="4331">
          <cell r="E4331" t="str">
            <v>620C31-7</v>
          </cell>
          <cell r="F4331">
            <v>10106006</v>
          </cell>
          <cell r="G4331">
            <v>40005554</v>
          </cell>
        </row>
        <row r="4332">
          <cell r="E4332" t="str">
            <v>620C32-5</v>
          </cell>
          <cell r="F4332">
            <v>10106007</v>
          </cell>
          <cell r="G4332">
            <v>40005556</v>
          </cell>
        </row>
        <row r="4333">
          <cell r="E4333" t="str">
            <v>620C81-2</v>
          </cell>
          <cell r="F4333">
            <v>10106008</v>
          </cell>
          <cell r="G4333">
            <v>40005558</v>
          </cell>
        </row>
        <row r="4334">
          <cell r="E4334" t="str">
            <v>620D01-2</v>
          </cell>
          <cell r="F4334">
            <v>10106009</v>
          </cell>
          <cell r="G4334">
            <v>40006097</v>
          </cell>
        </row>
        <row r="4335">
          <cell r="E4335" t="str">
            <v>620D09-6</v>
          </cell>
          <cell r="F4335">
            <v>10106010</v>
          </cell>
          <cell r="G4335">
            <v>40006100</v>
          </cell>
        </row>
        <row r="4336">
          <cell r="E4336" t="str">
            <v>620D30-5</v>
          </cell>
          <cell r="F4336">
            <v>10106011</v>
          </cell>
          <cell r="G4336">
            <v>40006102</v>
          </cell>
        </row>
        <row r="4337">
          <cell r="E4337" t="str">
            <v>620D69-8</v>
          </cell>
          <cell r="F4337">
            <v>10106012</v>
          </cell>
          <cell r="G4337">
            <v>40006104</v>
          </cell>
        </row>
        <row r="4338">
          <cell r="E4338" t="str">
            <v>620D73-7</v>
          </cell>
          <cell r="F4338">
            <v>10106013</v>
          </cell>
          <cell r="G4338">
            <v>40005738</v>
          </cell>
        </row>
        <row r="4339">
          <cell r="E4339" t="str">
            <v>620D74-5</v>
          </cell>
          <cell r="F4339">
            <v>10106014</v>
          </cell>
          <cell r="G4339">
            <v>40005743</v>
          </cell>
        </row>
        <row r="4340">
          <cell r="E4340" t="str">
            <v>620D76-1</v>
          </cell>
          <cell r="F4340">
            <v>10106015</v>
          </cell>
          <cell r="G4340">
            <v>40005745</v>
          </cell>
        </row>
        <row r="4341">
          <cell r="E4341" t="str">
            <v>620E42-4</v>
          </cell>
          <cell r="F4341">
            <v>10106016</v>
          </cell>
          <cell r="G4341">
            <v>40005747</v>
          </cell>
        </row>
        <row r="4342">
          <cell r="E4342" t="str">
            <v>620E72-5</v>
          </cell>
          <cell r="F4342">
            <v>10106017</v>
          </cell>
          <cell r="G4342">
            <v>40005748</v>
          </cell>
        </row>
        <row r="4343">
          <cell r="E4343" t="str">
            <v>620E74-1</v>
          </cell>
          <cell r="F4343">
            <v>10106018</v>
          </cell>
          <cell r="G4343">
            <v>40005749</v>
          </cell>
        </row>
        <row r="4344">
          <cell r="E4344" t="str">
            <v>620F28-4</v>
          </cell>
          <cell r="F4344">
            <v>10106019</v>
          </cell>
          <cell r="G4344">
            <v>40005750</v>
          </cell>
        </row>
        <row r="4345">
          <cell r="E4345" t="str">
            <v>620G88-2</v>
          </cell>
          <cell r="F4345">
            <v>10106020</v>
          </cell>
          <cell r="G4345">
            <v>40005751</v>
          </cell>
        </row>
        <row r="4346">
          <cell r="E4346" t="str">
            <v>620G89-0</v>
          </cell>
          <cell r="F4346">
            <v>10106021</v>
          </cell>
          <cell r="G4346">
            <v>40005752</v>
          </cell>
        </row>
        <row r="4347">
          <cell r="E4347" t="str">
            <v>629335-6</v>
          </cell>
          <cell r="F4347">
            <v>10106022</v>
          </cell>
          <cell r="G4347">
            <v>40005753</v>
          </cell>
        </row>
        <row r="4348">
          <cell r="E4348" t="str">
            <v>629458-0</v>
          </cell>
          <cell r="F4348">
            <v>10106023</v>
          </cell>
          <cell r="G4348">
            <v>40005754</v>
          </cell>
        </row>
        <row r="4349">
          <cell r="E4349" t="str">
            <v>629464-5</v>
          </cell>
          <cell r="F4349">
            <v>10106024</v>
          </cell>
          <cell r="G4349">
            <v>40005755</v>
          </cell>
        </row>
        <row r="4350">
          <cell r="E4350" t="str">
            <v>629470-0</v>
          </cell>
          <cell r="F4350">
            <v>10106025</v>
          </cell>
          <cell r="G4350">
            <v>40005756</v>
          </cell>
        </row>
        <row r="4351">
          <cell r="E4351" t="str">
            <v>629476-8</v>
          </cell>
          <cell r="F4351">
            <v>10106026</v>
          </cell>
          <cell r="G4351">
            <v>40005757</v>
          </cell>
        </row>
        <row r="4352">
          <cell r="E4352" t="str">
            <v>629479-2</v>
          </cell>
          <cell r="F4352">
            <v>10106027</v>
          </cell>
          <cell r="G4352">
            <v>40005758</v>
          </cell>
        </row>
        <row r="4353">
          <cell r="E4353" t="str">
            <v>629A00-3</v>
          </cell>
          <cell r="F4353">
            <v>10106028</v>
          </cell>
          <cell r="G4353">
            <v>40005759</v>
          </cell>
        </row>
        <row r="4354">
          <cell r="E4354" t="str">
            <v>629A13-4</v>
          </cell>
          <cell r="F4354">
            <v>10106029</v>
          </cell>
          <cell r="G4354">
            <v>40005760</v>
          </cell>
        </row>
        <row r="4355">
          <cell r="E4355" t="str">
            <v>629A25-7</v>
          </cell>
          <cell r="F4355">
            <v>10106030</v>
          </cell>
          <cell r="G4355">
            <v>40005761</v>
          </cell>
        </row>
        <row r="4356">
          <cell r="E4356" t="str">
            <v>629A35-4</v>
          </cell>
          <cell r="F4356">
            <v>10106031</v>
          </cell>
          <cell r="G4356">
            <v>40005762</v>
          </cell>
        </row>
        <row r="4357">
          <cell r="E4357" t="str">
            <v>629A46-9</v>
          </cell>
          <cell r="F4357">
            <v>10106032</v>
          </cell>
          <cell r="G4357">
            <v>40005763</v>
          </cell>
        </row>
        <row r="4358">
          <cell r="E4358" t="str">
            <v>629A91-4</v>
          </cell>
          <cell r="F4358">
            <v>10106033</v>
          </cell>
          <cell r="G4358">
            <v>40005764</v>
          </cell>
        </row>
        <row r="4359">
          <cell r="E4359" t="str">
            <v>632L84-8</v>
          </cell>
          <cell r="F4359">
            <v>10106034</v>
          </cell>
          <cell r="G4359">
            <v>40005765</v>
          </cell>
        </row>
        <row r="4360">
          <cell r="E4360" t="str">
            <v>632P49-4</v>
          </cell>
          <cell r="F4360">
            <v>10106035</v>
          </cell>
          <cell r="G4360">
            <v>40005766</v>
          </cell>
        </row>
        <row r="4361">
          <cell r="E4361" t="str">
            <v>632P65-6</v>
          </cell>
          <cell r="F4361">
            <v>10106036</v>
          </cell>
          <cell r="G4361">
            <v>40005767</v>
          </cell>
        </row>
        <row r="4362">
          <cell r="E4362" t="str">
            <v>632R99-1</v>
          </cell>
          <cell r="F4362">
            <v>10106037</v>
          </cell>
          <cell r="G4362">
            <v>40005768</v>
          </cell>
        </row>
        <row r="4363">
          <cell r="E4363" t="str">
            <v>632S32-9</v>
          </cell>
          <cell r="F4363">
            <v>10106038</v>
          </cell>
          <cell r="G4363">
            <v>40005769</v>
          </cell>
        </row>
        <row r="4364">
          <cell r="E4364" t="str">
            <v>638A30-3</v>
          </cell>
          <cell r="F4364">
            <v>10106039</v>
          </cell>
          <cell r="G4364">
            <v>40005770</v>
          </cell>
        </row>
        <row r="4365">
          <cell r="E4365" t="str">
            <v>650019-5</v>
          </cell>
          <cell r="F4365">
            <v>10106040</v>
          </cell>
          <cell r="G4365">
            <v>40005771</v>
          </cell>
        </row>
        <row r="4366">
          <cell r="E4366" t="str">
            <v>651083-9</v>
          </cell>
          <cell r="F4366">
            <v>10106041</v>
          </cell>
          <cell r="G4366">
            <v>40005772</v>
          </cell>
        </row>
        <row r="4367">
          <cell r="E4367" t="str">
            <v>651439-6</v>
          </cell>
          <cell r="F4367">
            <v>10106042</v>
          </cell>
          <cell r="G4367">
            <v>40005773</v>
          </cell>
        </row>
        <row r="4368">
          <cell r="E4368" t="str">
            <v>651442-7</v>
          </cell>
          <cell r="F4368">
            <v>10106043</v>
          </cell>
          <cell r="G4368">
            <v>40005774</v>
          </cell>
        </row>
        <row r="4369">
          <cell r="E4369" t="str">
            <v>651443-5</v>
          </cell>
          <cell r="F4369">
            <v>10106044</v>
          </cell>
          <cell r="G4369">
            <v>40005775</v>
          </cell>
        </row>
        <row r="4370">
          <cell r="E4370" t="str">
            <v>651445-1</v>
          </cell>
          <cell r="F4370">
            <v>10106045</v>
          </cell>
          <cell r="G4370">
            <v>40005776</v>
          </cell>
        </row>
        <row r="4371">
          <cell r="E4371" t="str">
            <v>651492-2</v>
          </cell>
          <cell r="F4371">
            <v>10106046</v>
          </cell>
          <cell r="G4371">
            <v>40005777</v>
          </cell>
        </row>
        <row r="4372">
          <cell r="E4372" t="str">
            <v>911138-5</v>
          </cell>
          <cell r="F4372">
            <v>10105619</v>
          </cell>
          <cell r="G4372">
            <v>40006525</v>
          </cell>
        </row>
        <row r="4373">
          <cell r="E4373" t="str">
            <v>911243-8</v>
          </cell>
          <cell r="F4373">
            <v>10066226</v>
          </cell>
          <cell r="G4373">
            <v>40006433</v>
          </cell>
        </row>
        <row r="4374">
          <cell r="E4374" t="str">
            <v>911258-5</v>
          </cell>
          <cell r="F4374">
            <v>10054798</v>
          </cell>
          <cell r="G4374">
            <v>40006107</v>
          </cell>
        </row>
        <row r="4375">
          <cell r="E4375" t="str">
            <v>922117-8</v>
          </cell>
          <cell r="F4375">
            <v>10106051</v>
          </cell>
          <cell r="G4375">
            <v>40005778</v>
          </cell>
        </row>
        <row r="4376">
          <cell r="E4376" t="str">
            <v>922128-3</v>
          </cell>
          <cell r="F4376">
            <v>10106052</v>
          </cell>
          <cell r="G4376">
            <v>40005779</v>
          </cell>
        </row>
        <row r="4377">
          <cell r="E4377" t="str">
            <v>922216-6</v>
          </cell>
          <cell r="F4377">
            <v>10106053</v>
          </cell>
          <cell r="G4377">
            <v>40005780</v>
          </cell>
        </row>
        <row r="4378">
          <cell r="E4378" t="str">
            <v>922242-5</v>
          </cell>
          <cell r="F4378">
            <v>10106054</v>
          </cell>
          <cell r="G4378">
            <v>40005781</v>
          </cell>
        </row>
        <row r="4379">
          <cell r="E4379" t="str">
            <v>922351-0</v>
          </cell>
          <cell r="F4379">
            <v>10106055</v>
          </cell>
          <cell r="G4379">
            <v>40005782</v>
          </cell>
        </row>
        <row r="4380">
          <cell r="E4380" t="str">
            <v>961060-6</v>
          </cell>
          <cell r="F4380">
            <v>10106056</v>
          </cell>
          <cell r="G4380">
            <v>40005783</v>
          </cell>
        </row>
        <row r="4381">
          <cell r="E4381" t="str">
            <v>962105-3</v>
          </cell>
          <cell r="F4381">
            <v>10106057</v>
          </cell>
          <cell r="G4381">
            <v>40005784</v>
          </cell>
        </row>
        <row r="4382">
          <cell r="E4382" t="str">
            <v>DJR188RTJ</v>
          </cell>
          <cell r="F4382">
            <v>10107102</v>
          </cell>
          <cell r="G4382">
            <v>10018754</v>
          </cell>
        </row>
        <row r="4383">
          <cell r="E4383" t="str">
            <v>TD003GZ</v>
          </cell>
          <cell r="F4383">
            <v>10107103</v>
          </cell>
          <cell r="G4383">
            <v>10018756</v>
          </cell>
        </row>
        <row r="4384">
          <cell r="E4384" t="str">
            <v>DVC265ZX6U</v>
          </cell>
          <cell r="F4384">
            <v>10107104</v>
          </cell>
          <cell r="G4384">
            <v>10018757</v>
          </cell>
        </row>
        <row r="4385">
          <cell r="E4385" t="str">
            <v>DLX2131JX7</v>
          </cell>
          <cell r="F4385">
            <v>10107105</v>
          </cell>
          <cell r="G4385">
            <v>10018759</v>
          </cell>
        </row>
        <row r="4386">
          <cell r="E4386" t="str">
            <v>CL104DWR</v>
          </cell>
          <cell r="F4386">
            <v>10107106</v>
          </cell>
          <cell r="G4386">
            <v>10018761</v>
          </cell>
        </row>
        <row r="4387">
          <cell r="E4387" t="str">
            <v>CL104DWY</v>
          </cell>
          <cell r="F4387">
            <v>10107107</v>
          </cell>
          <cell r="G4387">
            <v>10018762</v>
          </cell>
        </row>
        <row r="4388">
          <cell r="E4388" t="str">
            <v>CL108FDZW</v>
          </cell>
          <cell r="F4388">
            <v>10107108</v>
          </cell>
          <cell r="G4388">
            <v>10018764</v>
          </cell>
        </row>
        <row r="4389">
          <cell r="E4389" t="str">
            <v>231231-2</v>
          </cell>
          <cell r="F4389">
            <v>10107209</v>
          </cell>
          <cell r="G4389">
            <v>40005165</v>
          </cell>
        </row>
        <row r="4390">
          <cell r="E4390" t="str">
            <v>264022-6</v>
          </cell>
          <cell r="F4390">
            <v>10107210</v>
          </cell>
          <cell r="G4390">
            <v>10018769</v>
          </cell>
        </row>
        <row r="4391">
          <cell r="E4391" t="str">
            <v>213432-4</v>
          </cell>
          <cell r="F4391">
            <v>10107211</v>
          </cell>
          <cell r="G4391">
            <v>40005166</v>
          </cell>
        </row>
        <row r="4392">
          <cell r="E4392" t="str">
            <v>252171-1</v>
          </cell>
          <cell r="F4392">
            <v>10107177</v>
          </cell>
          <cell r="G4392">
            <v>40005800</v>
          </cell>
        </row>
        <row r="4393">
          <cell r="E4393" t="str">
            <v>924206-5</v>
          </cell>
          <cell r="F4393">
            <v>10107178</v>
          </cell>
          <cell r="G4393">
            <v>40005801</v>
          </cell>
        </row>
        <row r="4394">
          <cell r="E4394" t="str">
            <v>252145-2</v>
          </cell>
          <cell r="F4394">
            <v>10107179</v>
          </cell>
          <cell r="G4394">
            <v>40005802</v>
          </cell>
        </row>
        <row r="4395">
          <cell r="E4395">
            <v>165174060</v>
          </cell>
          <cell r="F4395">
            <v>10107180</v>
          </cell>
          <cell r="G4395">
            <v>40005803</v>
          </cell>
        </row>
        <row r="4396">
          <cell r="E4396">
            <v>181184020</v>
          </cell>
          <cell r="F4396">
            <v>10107181</v>
          </cell>
          <cell r="G4396">
            <v>40005804</v>
          </cell>
        </row>
        <row r="4397">
          <cell r="E4397" t="str">
            <v>265026-1</v>
          </cell>
          <cell r="F4397">
            <v>10107182</v>
          </cell>
        </row>
        <row r="4398">
          <cell r="E4398" t="str">
            <v>687116-4</v>
          </cell>
          <cell r="F4398">
            <v>10107183</v>
          </cell>
          <cell r="G4398">
            <v>40005805</v>
          </cell>
        </row>
        <row r="4399">
          <cell r="E4399" t="str">
            <v>231659-4</v>
          </cell>
          <cell r="F4399">
            <v>10107184</v>
          </cell>
        </row>
        <row r="4400">
          <cell r="E4400" t="str">
            <v>451266-9</v>
          </cell>
          <cell r="F4400">
            <v>10107185</v>
          </cell>
          <cell r="G4400">
            <v>40005806</v>
          </cell>
        </row>
        <row r="4401">
          <cell r="E4401">
            <v>965524043</v>
          </cell>
          <cell r="F4401">
            <v>10062455</v>
          </cell>
          <cell r="G4401">
            <v>40005579</v>
          </cell>
        </row>
        <row r="4402">
          <cell r="E4402" t="str">
            <v>414145-2</v>
          </cell>
          <cell r="F4402">
            <v>10107186</v>
          </cell>
          <cell r="G4402">
            <v>40005807</v>
          </cell>
        </row>
        <row r="4403">
          <cell r="E4403">
            <v>965525003</v>
          </cell>
          <cell r="F4403">
            <v>10107187</v>
          </cell>
          <cell r="G4403">
            <v>40005808</v>
          </cell>
        </row>
        <row r="4404">
          <cell r="E4404" t="str">
            <v>D-54162</v>
          </cell>
          <cell r="F4404">
            <v>10107079</v>
          </cell>
          <cell r="G4404">
            <v>10018271</v>
          </cell>
        </row>
        <row r="4405">
          <cell r="E4405">
            <v>38310062</v>
          </cell>
          <cell r="F4405">
            <v>10107188</v>
          </cell>
          <cell r="G4405">
            <v>40005809</v>
          </cell>
        </row>
        <row r="4406">
          <cell r="E4406" t="str">
            <v>D-64353</v>
          </cell>
          <cell r="F4406">
            <v>10107080</v>
          </cell>
          <cell r="G4406">
            <v>10018273</v>
          </cell>
        </row>
        <row r="4407">
          <cell r="E4407" t="str">
            <v>638674-3</v>
          </cell>
          <cell r="F4407">
            <v>10107190</v>
          </cell>
          <cell r="G4407">
            <v>40005810</v>
          </cell>
        </row>
        <row r="4408">
          <cell r="E4408" t="str">
            <v>140G46-7</v>
          </cell>
          <cell r="F4408">
            <v>10107191</v>
          </cell>
          <cell r="G4408">
            <v>40005811</v>
          </cell>
        </row>
        <row r="4409">
          <cell r="E4409" t="str">
            <v>187674-5</v>
          </cell>
          <cell r="F4409">
            <v>10107192</v>
          </cell>
        </row>
        <row r="4410">
          <cell r="E4410" t="str">
            <v>418084-8</v>
          </cell>
          <cell r="F4410">
            <v>10107193</v>
          </cell>
          <cell r="G4410">
            <v>40005812</v>
          </cell>
        </row>
        <row r="4411">
          <cell r="E4411" t="str">
            <v>212133-1</v>
          </cell>
          <cell r="F4411">
            <v>10107194</v>
          </cell>
          <cell r="G4411">
            <v>40005813</v>
          </cell>
        </row>
        <row r="4412">
          <cell r="E4412" t="str">
            <v>187163-0</v>
          </cell>
          <cell r="F4412">
            <v>10107195</v>
          </cell>
          <cell r="G4412">
            <v>40005814</v>
          </cell>
        </row>
        <row r="4413">
          <cell r="E4413" t="str">
            <v>593974-7</v>
          </cell>
          <cell r="F4413">
            <v>10107196</v>
          </cell>
          <cell r="G4413">
            <v>40010365</v>
          </cell>
        </row>
        <row r="4414">
          <cell r="E4414" t="str">
            <v>325735-5</v>
          </cell>
          <cell r="F4414">
            <v>10107197</v>
          </cell>
          <cell r="G4414">
            <v>40005815</v>
          </cell>
        </row>
        <row r="4415">
          <cell r="E4415" t="str">
            <v>191G24-0</v>
          </cell>
          <cell r="F4415">
            <v>10106962</v>
          </cell>
          <cell r="G4415">
            <v>10018267</v>
          </cell>
        </row>
        <row r="4416">
          <cell r="E4416" t="str">
            <v>325585-8</v>
          </cell>
          <cell r="F4416">
            <v>10107199</v>
          </cell>
        </row>
        <row r="4417">
          <cell r="E4417" t="str">
            <v>AL00000229</v>
          </cell>
          <cell r="F4417">
            <v>10107200</v>
          </cell>
          <cell r="G4417">
            <v>40005817</v>
          </cell>
        </row>
        <row r="4418">
          <cell r="E4418">
            <v>38180014</v>
          </cell>
          <cell r="F4418">
            <v>10107201</v>
          </cell>
          <cell r="G4418">
            <v>40005818</v>
          </cell>
        </row>
        <row r="4419">
          <cell r="E4419" t="str">
            <v>B-64939</v>
          </cell>
          <cell r="F4419">
            <v>10107081</v>
          </cell>
          <cell r="G4419">
            <v>10018275</v>
          </cell>
        </row>
        <row r="4420">
          <cell r="E4420" t="str">
            <v>632L89-8</v>
          </cell>
          <cell r="F4420">
            <v>10107202</v>
          </cell>
          <cell r="G4420">
            <v>40005819</v>
          </cell>
        </row>
        <row r="4421">
          <cell r="E4421" t="str">
            <v>B-14607</v>
          </cell>
          <cell r="F4421">
            <v>10107082</v>
          </cell>
          <cell r="G4421">
            <v>10018277</v>
          </cell>
        </row>
        <row r="4422">
          <cell r="E4422" t="str">
            <v>519226-8</v>
          </cell>
          <cell r="F4422">
            <v>10107203</v>
          </cell>
          <cell r="G4422">
            <v>40005820</v>
          </cell>
        </row>
        <row r="4423">
          <cell r="E4423" t="str">
            <v>191H11-5</v>
          </cell>
          <cell r="F4423">
            <v>10106961</v>
          </cell>
          <cell r="G4423">
            <v>10018266</v>
          </cell>
        </row>
        <row r="4424">
          <cell r="E4424">
            <v>28223100</v>
          </cell>
          <cell r="F4424">
            <v>10107204</v>
          </cell>
          <cell r="G4424">
            <v>40005821</v>
          </cell>
        </row>
        <row r="4425">
          <cell r="E4425" t="str">
            <v>AL00000237</v>
          </cell>
          <cell r="F4425">
            <v>10107205</v>
          </cell>
          <cell r="G4425">
            <v>40005822</v>
          </cell>
        </row>
        <row r="4426">
          <cell r="E4426" t="str">
            <v>638883-4</v>
          </cell>
          <cell r="F4426">
            <v>10107207</v>
          </cell>
          <cell r="G4426">
            <v>40010237</v>
          </cell>
        </row>
        <row r="4427">
          <cell r="E4427">
            <v>181180300</v>
          </cell>
          <cell r="F4427">
            <v>10107139</v>
          </cell>
          <cell r="G4427">
            <v>40005789</v>
          </cell>
        </row>
        <row r="4428">
          <cell r="E4428" t="str">
            <v>517108-8</v>
          </cell>
          <cell r="F4428">
            <v>10107140</v>
          </cell>
          <cell r="G4428">
            <v>40005790</v>
          </cell>
        </row>
        <row r="4429">
          <cell r="E4429" t="str">
            <v>JM23200100</v>
          </cell>
          <cell r="F4429">
            <v>10107141</v>
          </cell>
          <cell r="G4429">
            <v>40005791</v>
          </cell>
        </row>
        <row r="4430">
          <cell r="E4430" t="str">
            <v>524467-3</v>
          </cell>
          <cell r="F4430">
            <v>10107142</v>
          </cell>
          <cell r="G4430">
            <v>40005792</v>
          </cell>
        </row>
        <row r="4431">
          <cell r="E4431" t="str">
            <v>516214-6</v>
          </cell>
          <cell r="F4431">
            <v>10107143</v>
          </cell>
          <cell r="G4431">
            <v>40005793</v>
          </cell>
        </row>
        <row r="4432">
          <cell r="E4432">
            <v>20143032</v>
          </cell>
          <cell r="F4432">
            <v>10107144</v>
          </cell>
        </row>
        <row r="4433">
          <cell r="E4433">
            <v>325132035</v>
          </cell>
          <cell r="F4433">
            <v>10107145</v>
          </cell>
          <cell r="G4433">
            <v>40005794</v>
          </cell>
        </row>
        <row r="4434">
          <cell r="E4434" t="str">
            <v>514506-7</v>
          </cell>
          <cell r="F4434">
            <v>10107146</v>
          </cell>
          <cell r="G4434">
            <v>40005795</v>
          </cell>
        </row>
        <row r="4435">
          <cell r="E4435">
            <v>38130050</v>
          </cell>
          <cell r="F4435">
            <v>10107147</v>
          </cell>
          <cell r="G4435">
            <v>40005796</v>
          </cell>
        </row>
        <row r="4436">
          <cell r="E4436">
            <v>38120100</v>
          </cell>
          <cell r="F4436">
            <v>10070787</v>
          </cell>
          <cell r="G4436">
            <v>40006152</v>
          </cell>
        </row>
        <row r="4437">
          <cell r="E4437">
            <v>27130034</v>
          </cell>
          <cell r="F4437">
            <v>10107148</v>
          </cell>
          <cell r="G4437">
            <v>40005797</v>
          </cell>
        </row>
        <row r="4438">
          <cell r="E4438" t="str">
            <v>D-19037</v>
          </cell>
          <cell r="F4438">
            <v>10107083</v>
          </cell>
          <cell r="G4438">
            <v>10018279</v>
          </cell>
        </row>
        <row r="4439">
          <cell r="E4439" t="str">
            <v>B-23151</v>
          </cell>
          <cell r="F4439">
            <v>10107084</v>
          </cell>
          <cell r="G4439">
            <v>10018281</v>
          </cell>
        </row>
        <row r="4440">
          <cell r="E4440" t="str">
            <v>B-65115</v>
          </cell>
          <cell r="F4440">
            <v>10107085</v>
          </cell>
          <cell r="G4440">
            <v>10018283</v>
          </cell>
        </row>
        <row r="4441">
          <cell r="E4441" t="str">
            <v>D-64272</v>
          </cell>
          <cell r="F4441">
            <v>10107086</v>
          </cell>
          <cell r="G4441">
            <v>10018285</v>
          </cell>
        </row>
        <row r="4442">
          <cell r="E4442" t="str">
            <v>D-64434</v>
          </cell>
          <cell r="F4442">
            <v>10107087</v>
          </cell>
          <cell r="G4442">
            <v>10018287</v>
          </cell>
        </row>
        <row r="4443">
          <cell r="E4443" t="str">
            <v>P-84137</v>
          </cell>
          <cell r="F4443">
            <v>10107088</v>
          </cell>
          <cell r="G4443">
            <v>10018289</v>
          </cell>
        </row>
        <row r="4444">
          <cell r="E4444" t="str">
            <v>P-84311</v>
          </cell>
          <cell r="F4444">
            <v>10107089</v>
          </cell>
          <cell r="G4444">
            <v>10018291</v>
          </cell>
        </row>
        <row r="4445">
          <cell r="E4445" t="str">
            <v>P-84327</v>
          </cell>
          <cell r="F4445">
            <v>10107090</v>
          </cell>
          <cell r="G4445">
            <v>10018293</v>
          </cell>
        </row>
        <row r="4446">
          <cell r="E4446" t="str">
            <v>P-84349</v>
          </cell>
          <cell r="F4446">
            <v>10107091</v>
          </cell>
          <cell r="G4446">
            <v>10018295</v>
          </cell>
        </row>
        <row r="4447">
          <cell r="E4447" t="str">
            <v>191X80-2</v>
          </cell>
          <cell r="F4447">
            <v>10107092</v>
          </cell>
          <cell r="G4447">
            <v>10018297</v>
          </cell>
        </row>
        <row r="4448">
          <cell r="E4448" t="str">
            <v>D-16645</v>
          </cell>
          <cell r="F4448">
            <v>10107093</v>
          </cell>
          <cell r="G4448">
            <v>10018300</v>
          </cell>
        </row>
        <row r="4449">
          <cell r="E4449" t="str">
            <v>D-16667</v>
          </cell>
          <cell r="F4449">
            <v>10107094</v>
          </cell>
          <cell r="G4449">
            <v>10018302</v>
          </cell>
        </row>
        <row r="4450">
          <cell r="E4450" t="str">
            <v>D-16689</v>
          </cell>
          <cell r="F4450">
            <v>10107095</v>
          </cell>
          <cell r="G4450">
            <v>10018304</v>
          </cell>
        </row>
        <row r="4451">
          <cell r="E4451" t="str">
            <v>D-17429</v>
          </cell>
          <cell r="F4451">
            <v>10107096</v>
          </cell>
          <cell r="G4451">
            <v>10018306</v>
          </cell>
        </row>
        <row r="4452">
          <cell r="E4452" t="str">
            <v>D-17463</v>
          </cell>
          <cell r="F4452">
            <v>10107097</v>
          </cell>
          <cell r="G4452">
            <v>10018308</v>
          </cell>
        </row>
        <row r="4453">
          <cell r="E4453" t="str">
            <v>165695-7</v>
          </cell>
          <cell r="F4453">
            <v>10107098</v>
          </cell>
          <cell r="G4453">
            <v>10018310</v>
          </cell>
        </row>
        <row r="4454">
          <cell r="E4454" t="str">
            <v>191G26-6</v>
          </cell>
          <cell r="F4454">
            <v>10107099</v>
          </cell>
          <cell r="G4454">
            <v>10018312</v>
          </cell>
        </row>
        <row r="4455">
          <cell r="E4455" t="str">
            <v>191H03-4</v>
          </cell>
          <cell r="F4455">
            <v>10107100</v>
          </cell>
          <cell r="G4455">
            <v>10018749</v>
          </cell>
        </row>
        <row r="4456">
          <cell r="E4456" t="str">
            <v>196742-3</v>
          </cell>
          <cell r="F4456">
            <v>10107101</v>
          </cell>
          <cell r="G4456">
            <v>10018752</v>
          </cell>
        </row>
        <row r="4457">
          <cell r="E4457" t="str">
            <v>620088-0</v>
          </cell>
          <cell r="F4457">
            <v>10107149</v>
          </cell>
          <cell r="G4457">
            <v>40005798</v>
          </cell>
        </row>
        <row r="4458">
          <cell r="E4458" t="str">
            <v>1R020</v>
          </cell>
          <cell r="F4458">
            <v>10107150</v>
          </cell>
        </row>
        <row r="4459">
          <cell r="E4459" t="str">
            <v>1R021</v>
          </cell>
          <cell r="F4459">
            <v>10107151</v>
          </cell>
        </row>
        <row r="4460">
          <cell r="E4460" t="str">
            <v>1R022</v>
          </cell>
          <cell r="F4460">
            <v>10107152</v>
          </cell>
        </row>
        <row r="4461">
          <cell r="E4461" t="str">
            <v>1R023</v>
          </cell>
          <cell r="F4461">
            <v>10107153</v>
          </cell>
        </row>
        <row r="4462">
          <cell r="E4462" t="str">
            <v>1R024</v>
          </cell>
          <cell r="F4462">
            <v>10107154</v>
          </cell>
        </row>
        <row r="4463">
          <cell r="E4463" t="str">
            <v>1R026</v>
          </cell>
          <cell r="F4463">
            <v>10107155</v>
          </cell>
        </row>
        <row r="4464">
          <cell r="E4464" t="str">
            <v>1R027</v>
          </cell>
          <cell r="F4464">
            <v>10107156</v>
          </cell>
        </row>
        <row r="4465">
          <cell r="E4465" t="str">
            <v>1R028</v>
          </cell>
          <cell r="F4465">
            <v>10107157</v>
          </cell>
        </row>
        <row r="4466">
          <cell r="E4466" t="str">
            <v>1R029</v>
          </cell>
          <cell r="F4466">
            <v>10107158</v>
          </cell>
        </row>
        <row r="4467">
          <cell r="E4467" t="str">
            <v>1R030</v>
          </cell>
          <cell r="F4467">
            <v>10107159</v>
          </cell>
        </row>
        <row r="4468">
          <cell r="E4468" t="str">
            <v>1R031</v>
          </cell>
          <cell r="F4468">
            <v>10107160</v>
          </cell>
        </row>
        <row r="4469">
          <cell r="E4469" t="str">
            <v>1R032</v>
          </cell>
          <cell r="F4469">
            <v>10107161</v>
          </cell>
        </row>
        <row r="4470">
          <cell r="E4470" t="str">
            <v>1R033</v>
          </cell>
          <cell r="F4470">
            <v>10107162</v>
          </cell>
        </row>
        <row r="4471">
          <cell r="E4471" t="str">
            <v>1R034</v>
          </cell>
          <cell r="F4471">
            <v>10107163</v>
          </cell>
        </row>
        <row r="4472">
          <cell r="E4472" t="str">
            <v>1R035</v>
          </cell>
          <cell r="F4472">
            <v>10107164</v>
          </cell>
        </row>
        <row r="4473">
          <cell r="E4473" t="str">
            <v>1R036</v>
          </cell>
          <cell r="F4473">
            <v>10107165</v>
          </cell>
        </row>
        <row r="4474">
          <cell r="E4474" t="str">
            <v>1R037</v>
          </cell>
          <cell r="F4474">
            <v>10107166</v>
          </cell>
        </row>
        <row r="4475">
          <cell r="E4475" t="str">
            <v>1R038</v>
          </cell>
          <cell r="F4475">
            <v>10107167</v>
          </cell>
        </row>
        <row r="4476">
          <cell r="E4476" t="str">
            <v>1R039</v>
          </cell>
          <cell r="F4476">
            <v>10107168</v>
          </cell>
        </row>
        <row r="4477">
          <cell r="E4477" t="str">
            <v>1R040</v>
          </cell>
          <cell r="F4477">
            <v>10107169</v>
          </cell>
        </row>
        <row r="4478">
          <cell r="E4478" t="str">
            <v>1R041</v>
          </cell>
          <cell r="F4478">
            <v>10055032</v>
          </cell>
        </row>
        <row r="4479">
          <cell r="E4479" t="str">
            <v>1R062</v>
          </cell>
          <cell r="F4479">
            <v>10006498</v>
          </cell>
          <cell r="G4479">
            <v>40008254</v>
          </cell>
        </row>
        <row r="4480">
          <cell r="E4480" t="str">
            <v>1R063</v>
          </cell>
          <cell r="F4480">
            <v>10021674</v>
          </cell>
        </row>
        <row r="4481">
          <cell r="E4481" t="str">
            <v>1R089</v>
          </cell>
          <cell r="F4481">
            <v>10107170</v>
          </cell>
          <cell r="G4481">
            <v>40005799</v>
          </cell>
        </row>
        <row r="4482">
          <cell r="E4482" t="str">
            <v>1R130</v>
          </cell>
          <cell r="F4482">
            <v>10055046</v>
          </cell>
        </row>
        <row r="4483">
          <cell r="E4483" t="str">
            <v>1R131</v>
          </cell>
          <cell r="F4483">
            <v>10055047</v>
          </cell>
        </row>
        <row r="4484">
          <cell r="E4484" t="str">
            <v>1R132</v>
          </cell>
          <cell r="F4484">
            <v>10055048</v>
          </cell>
        </row>
        <row r="4485">
          <cell r="E4485" t="str">
            <v>1R133</v>
          </cell>
          <cell r="F4485">
            <v>10055049</v>
          </cell>
        </row>
        <row r="4486">
          <cell r="E4486" t="str">
            <v>1R139</v>
          </cell>
          <cell r="F4486">
            <v>10055050</v>
          </cell>
        </row>
        <row r="4487">
          <cell r="E4487" t="str">
            <v>1R167</v>
          </cell>
          <cell r="F4487">
            <v>10055039</v>
          </cell>
        </row>
        <row r="4488">
          <cell r="E4488" t="str">
            <v>1R168</v>
          </cell>
          <cell r="F4488">
            <v>10055040</v>
          </cell>
        </row>
        <row r="4489">
          <cell r="E4489" t="str">
            <v>1R169</v>
          </cell>
          <cell r="F4489">
            <v>10055041</v>
          </cell>
        </row>
        <row r="4490">
          <cell r="E4490" t="str">
            <v>1R170</v>
          </cell>
          <cell r="F4490">
            <v>10055042</v>
          </cell>
        </row>
        <row r="4491">
          <cell r="E4491" t="str">
            <v>1R171</v>
          </cell>
          <cell r="F4491">
            <v>10055043</v>
          </cell>
        </row>
        <row r="4492">
          <cell r="E4492" t="str">
            <v>1R172</v>
          </cell>
          <cell r="F4492">
            <v>10055044</v>
          </cell>
        </row>
        <row r="4493">
          <cell r="E4493" t="str">
            <v>1R199</v>
          </cell>
          <cell r="F4493">
            <v>10107171</v>
          </cell>
        </row>
        <row r="4494">
          <cell r="E4494" t="str">
            <v>1R207</v>
          </cell>
          <cell r="F4494">
            <v>10107172</v>
          </cell>
        </row>
        <row r="4495">
          <cell r="E4495" t="str">
            <v>1R208</v>
          </cell>
          <cell r="F4495">
            <v>10107173</v>
          </cell>
        </row>
        <row r="4496">
          <cell r="E4496" t="str">
            <v>1R269</v>
          </cell>
          <cell r="F4496">
            <v>10107174</v>
          </cell>
        </row>
        <row r="4497">
          <cell r="E4497" t="str">
            <v>1R291</v>
          </cell>
          <cell r="F4497">
            <v>10107175</v>
          </cell>
        </row>
        <row r="4498">
          <cell r="E4498" t="str">
            <v>451202-5</v>
          </cell>
          <cell r="F4498">
            <v>10074942</v>
          </cell>
          <cell r="G4498">
            <v>40006180</v>
          </cell>
        </row>
        <row r="4499">
          <cell r="E4499" t="str">
            <v>423029-3</v>
          </cell>
          <cell r="F4499">
            <v>10025115</v>
          </cell>
          <cell r="G4499">
            <v>40007256</v>
          </cell>
        </row>
        <row r="4500">
          <cell r="E4500" t="str">
            <v>421093-8</v>
          </cell>
          <cell r="F4500">
            <v>10025116</v>
          </cell>
        </row>
        <row r="4501">
          <cell r="E4501" t="str">
            <v>223167-9</v>
          </cell>
          <cell r="F4501">
            <v>10049792</v>
          </cell>
          <cell r="G4501">
            <v>40010267</v>
          </cell>
        </row>
        <row r="4502">
          <cell r="E4502" t="str">
            <v>961034-7</v>
          </cell>
          <cell r="F4502">
            <v>10064421</v>
          </cell>
          <cell r="G4502">
            <v>40006364</v>
          </cell>
        </row>
        <row r="4503">
          <cell r="E4503" t="str">
            <v>632673-7</v>
          </cell>
          <cell r="F4503">
            <v>10001162</v>
          </cell>
          <cell r="G4503">
            <v>40007405</v>
          </cell>
        </row>
        <row r="4504">
          <cell r="E4504" t="str">
            <v>643755-0</v>
          </cell>
          <cell r="F4504">
            <v>10061308</v>
          </cell>
          <cell r="G4504">
            <v>40006345</v>
          </cell>
        </row>
        <row r="4505">
          <cell r="E4505" t="str">
            <v>253194-2</v>
          </cell>
          <cell r="F4505">
            <v>10062429</v>
          </cell>
          <cell r="G4505">
            <v>40005561</v>
          </cell>
        </row>
        <row r="4506">
          <cell r="E4506" t="str">
            <v>257600-9</v>
          </cell>
          <cell r="F4506">
            <v>10062430</v>
          </cell>
          <cell r="G4506">
            <v>40005562</v>
          </cell>
        </row>
        <row r="4507">
          <cell r="E4507">
            <v>225229010</v>
          </cell>
          <cell r="F4507">
            <v>10001053</v>
          </cell>
          <cell r="G4507">
            <v>40007346</v>
          </cell>
        </row>
        <row r="4508">
          <cell r="E4508" t="str">
            <v>161310-1</v>
          </cell>
          <cell r="F4508">
            <v>10106981</v>
          </cell>
          <cell r="G4508">
            <v>40010517</v>
          </cell>
        </row>
        <row r="4509">
          <cell r="E4509" t="str">
            <v>424706-0</v>
          </cell>
          <cell r="F4509">
            <v>10106982</v>
          </cell>
          <cell r="G4509">
            <v>40010518</v>
          </cell>
        </row>
        <row r="4510">
          <cell r="E4510" t="str">
            <v>234358-7</v>
          </cell>
          <cell r="F4510">
            <v>10106983</v>
          </cell>
          <cell r="G4510">
            <v>40010519</v>
          </cell>
        </row>
        <row r="4511">
          <cell r="E4511" t="str">
            <v>188209-5</v>
          </cell>
          <cell r="F4511">
            <v>10106957</v>
          </cell>
        </row>
        <row r="4512">
          <cell r="E4512" t="str">
            <v>638420-4</v>
          </cell>
          <cell r="F4512">
            <v>10106958</v>
          </cell>
          <cell r="G4512">
            <v>40005785</v>
          </cell>
        </row>
        <row r="4513">
          <cell r="E4513" t="str">
            <v>259034-2</v>
          </cell>
          <cell r="F4513">
            <v>10106984</v>
          </cell>
          <cell r="G4513">
            <v>40005786</v>
          </cell>
        </row>
        <row r="4514">
          <cell r="E4514" t="str">
            <v>629244-9</v>
          </cell>
          <cell r="F4514">
            <v>10106985</v>
          </cell>
          <cell r="G4514">
            <v>40005787</v>
          </cell>
        </row>
        <row r="4515">
          <cell r="E4515" t="str">
            <v>620578-3</v>
          </cell>
          <cell r="F4515">
            <v>10106986</v>
          </cell>
          <cell r="G4515">
            <v>40005788</v>
          </cell>
        </row>
        <row r="4516">
          <cell r="E4516" t="str">
            <v>257903-1</v>
          </cell>
          <cell r="F4516">
            <v>10106959</v>
          </cell>
        </row>
        <row r="4517">
          <cell r="E4517">
            <v>412045661</v>
          </cell>
          <cell r="F4517">
            <v>10106960</v>
          </cell>
          <cell r="G4517">
            <v>10018264</v>
          </cell>
        </row>
        <row r="4518">
          <cell r="E4518" t="str">
            <v>191H12-3</v>
          </cell>
          <cell r="F4518">
            <v>10106963</v>
          </cell>
          <cell r="G4518">
            <v>10018269</v>
          </cell>
        </row>
        <row r="4519">
          <cell r="E4519" t="str">
            <v>191H55-5</v>
          </cell>
          <cell r="F4519">
            <v>10107208</v>
          </cell>
          <cell r="G4519">
            <v>10018766</v>
          </cell>
        </row>
        <row r="4520">
          <cell r="E4520" t="str">
            <v>513874-5</v>
          </cell>
          <cell r="F4520">
            <v>10107948</v>
          </cell>
          <cell r="G4520">
            <v>40005823</v>
          </cell>
        </row>
        <row r="4521">
          <cell r="E4521" t="str">
            <v>593969-0</v>
          </cell>
          <cell r="F4521">
            <v>10107949</v>
          </cell>
          <cell r="G4521">
            <v>40005824</v>
          </cell>
        </row>
        <row r="4522">
          <cell r="E4522" t="str">
            <v>191H13-1</v>
          </cell>
          <cell r="F4522">
            <v>10107950</v>
          </cell>
          <cell r="G4522">
            <v>10018772</v>
          </cell>
        </row>
        <row r="4523">
          <cell r="E4523" t="str">
            <v>763252-1</v>
          </cell>
          <cell r="F4523">
            <v>10107951</v>
          </cell>
          <cell r="G4523">
            <v>10018773</v>
          </cell>
        </row>
        <row r="4524">
          <cell r="E4524" t="str">
            <v>B-58067</v>
          </cell>
          <cell r="F4524">
            <v>10107952</v>
          </cell>
          <cell r="G4524">
            <v>10018775</v>
          </cell>
        </row>
        <row r="4525">
          <cell r="E4525" t="str">
            <v>D-54156</v>
          </cell>
          <cell r="F4525">
            <v>10107953</v>
          </cell>
          <cell r="G4525">
            <v>10018777</v>
          </cell>
        </row>
        <row r="4526">
          <cell r="E4526" t="str">
            <v>E-05511</v>
          </cell>
          <cell r="F4526">
            <v>10107954</v>
          </cell>
          <cell r="G4526">
            <v>10029889</v>
          </cell>
        </row>
        <row r="4527">
          <cell r="E4527" t="str">
            <v>E-13172</v>
          </cell>
          <cell r="F4527">
            <v>10107955</v>
          </cell>
          <cell r="G4527">
            <v>10018779</v>
          </cell>
        </row>
        <row r="4528">
          <cell r="E4528" t="str">
            <v>DLX2414JX3</v>
          </cell>
          <cell r="F4528">
            <v>10107956</v>
          </cell>
          <cell r="G4528">
            <v>10018781</v>
          </cell>
        </row>
        <row r="4529">
          <cell r="E4529" t="str">
            <v>DPO600Z</v>
          </cell>
          <cell r="F4529">
            <v>10107957</v>
          </cell>
          <cell r="G4529">
            <v>10018783</v>
          </cell>
        </row>
        <row r="4530">
          <cell r="E4530" t="str">
            <v>DTW1002Z</v>
          </cell>
          <cell r="F4530">
            <v>10107958</v>
          </cell>
          <cell r="G4530">
            <v>10018785</v>
          </cell>
        </row>
        <row r="4531">
          <cell r="E4531" t="str">
            <v>127124-8</v>
          </cell>
          <cell r="F4531">
            <v>10107960</v>
          </cell>
          <cell r="G4531">
            <v>40005825</v>
          </cell>
        </row>
        <row r="4532">
          <cell r="E4532" t="str">
            <v>142074-6</v>
          </cell>
          <cell r="F4532">
            <v>10107961</v>
          </cell>
          <cell r="G4532">
            <v>40005826</v>
          </cell>
        </row>
        <row r="4533">
          <cell r="E4533" t="str">
            <v>227764-3</v>
          </cell>
          <cell r="F4533">
            <v>10107962</v>
          </cell>
          <cell r="G4533">
            <v>40005827</v>
          </cell>
        </row>
        <row r="4534">
          <cell r="E4534" t="str">
            <v>346290-4</v>
          </cell>
          <cell r="F4534">
            <v>10107963</v>
          </cell>
          <cell r="G4534">
            <v>40005828</v>
          </cell>
        </row>
        <row r="4535">
          <cell r="E4535" t="str">
            <v>423414-0</v>
          </cell>
          <cell r="F4535">
            <v>10107965</v>
          </cell>
          <cell r="G4535">
            <v>40010563</v>
          </cell>
        </row>
        <row r="4536">
          <cell r="E4536" t="str">
            <v>451930-2</v>
          </cell>
          <cell r="F4536">
            <v>10107966</v>
          </cell>
          <cell r="G4536">
            <v>40005829</v>
          </cell>
        </row>
        <row r="4537">
          <cell r="E4537" t="str">
            <v>517804-8</v>
          </cell>
          <cell r="F4537">
            <v>10107967</v>
          </cell>
          <cell r="G4537">
            <v>40005830</v>
          </cell>
        </row>
        <row r="4538">
          <cell r="E4538" t="str">
            <v>619656-4</v>
          </cell>
          <cell r="F4538">
            <v>10107968</v>
          </cell>
          <cell r="G4538">
            <v>40005831</v>
          </cell>
        </row>
        <row r="4539">
          <cell r="E4539" t="str">
            <v>620564-4</v>
          </cell>
          <cell r="F4539">
            <v>10107969</v>
          </cell>
          <cell r="G4539">
            <v>40005833</v>
          </cell>
        </row>
        <row r="4540">
          <cell r="E4540" t="str">
            <v>629A33-8</v>
          </cell>
          <cell r="F4540">
            <v>10107970</v>
          </cell>
        </row>
        <row r="4541">
          <cell r="E4541" t="str">
            <v>632F25-8</v>
          </cell>
          <cell r="F4541">
            <v>10107971</v>
          </cell>
          <cell r="G4541">
            <v>40005834</v>
          </cell>
        </row>
        <row r="4542">
          <cell r="E4542" t="str">
            <v>632H63-2</v>
          </cell>
          <cell r="F4542">
            <v>10107972</v>
          </cell>
          <cell r="G4542">
            <v>40005836</v>
          </cell>
        </row>
        <row r="4543">
          <cell r="E4543">
            <v>522103792</v>
          </cell>
          <cell r="F4543">
            <v>10107973</v>
          </cell>
          <cell r="G4543">
            <v>10018787</v>
          </cell>
        </row>
        <row r="4544">
          <cell r="E4544">
            <v>980008610</v>
          </cell>
          <cell r="F4544">
            <v>10107974</v>
          </cell>
          <cell r="G4544">
            <v>10018789</v>
          </cell>
        </row>
        <row r="4545">
          <cell r="E4545" t="str">
            <v>140L18-2</v>
          </cell>
          <cell r="F4545">
            <v>10107975</v>
          </cell>
          <cell r="G4545">
            <v>40005838</v>
          </cell>
        </row>
        <row r="4546">
          <cell r="E4546" t="str">
            <v>191A76-5</v>
          </cell>
          <cell r="F4546">
            <v>10107976</v>
          </cell>
          <cell r="G4546">
            <v>10030734</v>
          </cell>
        </row>
        <row r="4547">
          <cell r="E4547" t="str">
            <v>191A78-1</v>
          </cell>
          <cell r="F4547">
            <v>10107977</v>
          </cell>
          <cell r="G4547">
            <v>10030735</v>
          </cell>
        </row>
        <row r="4548">
          <cell r="E4548" t="str">
            <v>191G17-7</v>
          </cell>
          <cell r="F4548">
            <v>10107978</v>
          </cell>
          <cell r="G4548">
            <v>10018791</v>
          </cell>
        </row>
        <row r="4549">
          <cell r="E4549" t="str">
            <v>191H10-7</v>
          </cell>
          <cell r="F4549">
            <v>10107979</v>
          </cell>
          <cell r="G4549">
            <v>10018793</v>
          </cell>
        </row>
        <row r="4550">
          <cell r="E4550" t="str">
            <v>196740-7</v>
          </cell>
          <cell r="F4550">
            <v>10107980</v>
          </cell>
          <cell r="G4550">
            <v>10018795</v>
          </cell>
        </row>
        <row r="4551">
          <cell r="E4551" t="str">
            <v>199137-9</v>
          </cell>
          <cell r="F4551">
            <v>10107981</v>
          </cell>
          <cell r="G4551">
            <v>10018797</v>
          </cell>
        </row>
        <row r="4552">
          <cell r="E4552" t="str">
            <v>A-67505</v>
          </cell>
          <cell r="F4552">
            <v>10107983</v>
          </cell>
          <cell r="G4552">
            <v>10018799</v>
          </cell>
        </row>
        <row r="4553">
          <cell r="E4553" t="str">
            <v>B-07440</v>
          </cell>
          <cell r="F4553">
            <v>10107984</v>
          </cell>
          <cell r="G4553">
            <v>10018801</v>
          </cell>
        </row>
        <row r="4554">
          <cell r="E4554" t="str">
            <v>B-52716</v>
          </cell>
          <cell r="F4554">
            <v>10107985</v>
          </cell>
          <cell r="G4554">
            <v>10018802</v>
          </cell>
        </row>
        <row r="4555">
          <cell r="E4555" t="str">
            <v>B-52722</v>
          </cell>
          <cell r="F4555">
            <v>10107986</v>
          </cell>
          <cell r="G4555">
            <v>10018803</v>
          </cell>
        </row>
        <row r="4556">
          <cell r="E4556" t="str">
            <v>B-52738</v>
          </cell>
          <cell r="F4556">
            <v>10107987</v>
          </cell>
          <cell r="G4556">
            <v>10018804</v>
          </cell>
        </row>
        <row r="4557">
          <cell r="E4557" t="str">
            <v>B-52744</v>
          </cell>
          <cell r="F4557">
            <v>10107988</v>
          </cell>
          <cell r="G4557">
            <v>10018805</v>
          </cell>
        </row>
        <row r="4558">
          <cell r="E4558" t="str">
            <v>B-52750</v>
          </cell>
          <cell r="F4558">
            <v>10107989</v>
          </cell>
          <cell r="G4558">
            <v>10018806</v>
          </cell>
        </row>
        <row r="4559">
          <cell r="E4559" t="str">
            <v>B-52766</v>
          </cell>
          <cell r="F4559">
            <v>10107990</v>
          </cell>
          <cell r="G4559">
            <v>10018807</v>
          </cell>
        </row>
        <row r="4560">
          <cell r="E4560" t="str">
            <v>B-52772</v>
          </cell>
          <cell r="F4560">
            <v>10107991</v>
          </cell>
          <cell r="G4560">
            <v>10018808</v>
          </cell>
        </row>
        <row r="4561">
          <cell r="E4561" t="str">
            <v>B-52788</v>
          </cell>
          <cell r="F4561">
            <v>10107992</v>
          </cell>
          <cell r="G4561">
            <v>10018809</v>
          </cell>
        </row>
        <row r="4562">
          <cell r="E4562" t="str">
            <v>B-52794</v>
          </cell>
          <cell r="F4562">
            <v>10107993</v>
          </cell>
          <cell r="G4562">
            <v>10018810</v>
          </cell>
        </row>
        <row r="4563">
          <cell r="E4563" t="str">
            <v>B-52803</v>
          </cell>
          <cell r="F4563">
            <v>10107994</v>
          </cell>
          <cell r="G4563">
            <v>10018811</v>
          </cell>
        </row>
        <row r="4564">
          <cell r="E4564" t="str">
            <v>B-52819</v>
          </cell>
          <cell r="F4564">
            <v>10107995</v>
          </cell>
          <cell r="G4564">
            <v>10018812</v>
          </cell>
        </row>
        <row r="4565">
          <cell r="E4565" t="str">
            <v>B-52825</v>
          </cell>
          <cell r="F4565">
            <v>10107996</v>
          </cell>
          <cell r="G4565">
            <v>10018813</v>
          </cell>
        </row>
        <row r="4566">
          <cell r="E4566" t="str">
            <v>B-52831</v>
          </cell>
          <cell r="F4566">
            <v>10107997</v>
          </cell>
          <cell r="G4566">
            <v>10018814</v>
          </cell>
        </row>
        <row r="4567">
          <cell r="E4567" t="str">
            <v>B-52847</v>
          </cell>
          <cell r="F4567">
            <v>10107998</v>
          </cell>
          <cell r="G4567">
            <v>10018815</v>
          </cell>
        </row>
        <row r="4568">
          <cell r="E4568" t="str">
            <v>B-52853</v>
          </cell>
          <cell r="F4568">
            <v>10107999</v>
          </cell>
          <cell r="G4568">
            <v>10018816</v>
          </cell>
        </row>
        <row r="4569">
          <cell r="E4569" t="str">
            <v>B-55762</v>
          </cell>
          <cell r="F4569">
            <v>10108000</v>
          </cell>
          <cell r="G4569">
            <v>10018817</v>
          </cell>
        </row>
        <row r="4570">
          <cell r="E4570" t="str">
            <v>B-64973</v>
          </cell>
          <cell r="F4570">
            <v>10108001</v>
          </cell>
          <cell r="G4570">
            <v>10018818</v>
          </cell>
        </row>
        <row r="4571">
          <cell r="E4571" t="str">
            <v>B-69892</v>
          </cell>
          <cell r="F4571">
            <v>10108003</v>
          </cell>
          <cell r="G4571">
            <v>10018819</v>
          </cell>
        </row>
        <row r="4572">
          <cell r="E4572" t="str">
            <v>D-07347</v>
          </cell>
          <cell r="F4572">
            <v>10108004</v>
          </cell>
          <cell r="G4572">
            <v>10018820</v>
          </cell>
        </row>
        <row r="4573">
          <cell r="E4573" t="str">
            <v>D-07565</v>
          </cell>
          <cell r="F4573">
            <v>10108005</v>
          </cell>
          <cell r="G4573">
            <v>10018821</v>
          </cell>
        </row>
        <row r="4574">
          <cell r="E4574" t="str">
            <v>D-07630</v>
          </cell>
          <cell r="F4574">
            <v>10108006</v>
          </cell>
          <cell r="G4574">
            <v>10018822</v>
          </cell>
        </row>
        <row r="4575">
          <cell r="E4575" t="str">
            <v>D-09662</v>
          </cell>
          <cell r="F4575">
            <v>10108007</v>
          </cell>
          <cell r="G4575">
            <v>10018823</v>
          </cell>
        </row>
        <row r="4576">
          <cell r="E4576" t="str">
            <v>D-09678</v>
          </cell>
          <cell r="F4576">
            <v>10108008</v>
          </cell>
          <cell r="G4576">
            <v>10018824</v>
          </cell>
        </row>
        <row r="4577">
          <cell r="E4577" t="str">
            <v>D-09684</v>
          </cell>
          <cell r="F4577">
            <v>10108009</v>
          </cell>
          <cell r="G4577">
            <v>10018825</v>
          </cell>
        </row>
        <row r="4578">
          <cell r="E4578" t="str">
            <v>D-09690</v>
          </cell>
          <cell r="F4578">
            <v>10108010</v>
          </cell>
          <cell r="G4578">
            <v>10018826</v>
          </cell>
        </row>
        <row r="4579">
          <cell r="E4579" t="str">
            <v>D-09715</v>
          </cell>
          <cell r="F4579">
            <v>10108011</v>
          </cell>
          <cell r="G4579">
            <v>10018827</v>
          </cell>
        </row>
        <row r="4580">
          <cell r="E4580" t="str">
            <v>D-09721</v>
          </cell>
          <cell r="F4580">
            <v>10108012</v>
          </cell>
          <cell r="G4580">
            <v>10018828</v>
          </cell>
        </row>
        <row r="4581">
          <cell r="E4581" t="str">
            <v>D-09743</v>
          </cell>
          <cell r="F4581">
            <v>10108013</v>
          </cell>
          <cell r="G4581">
            <v>10018829</v>
          </cell>
        </row>
        <row r="4582">
          <cell r="E4582" t="str">
            <v>D-09787</v>
          </cell>
          <cell r="F4582">
            <v>10108014</v>
          </cell>
          <cell r="G4582">
            <v>10018830</v>
          </cell>
        </row>
        <row r="4583">
          <cell r="E4583" t="str">
            <v>D-18487</v>
          </cell>
          <cell r="F4583">
            <v>10108015</v>
          </cell>
          <cell r="G4583">
            <v>10018831</v>
          </cell>
        </row>
        <row r="4584">
          <cell r="E4584" t="str">
            <v>D-29642</v>
          </cell>
          <cell r="F4584">
            <v>10108016</v>
          </cell>
          <cell r="G4584">
            <v>10018832</v>
          </cell>
        </row>
        <row r="4585">
          <cell r="E4585" t="str">
            <v>D-29664</v>
          </cell>
          <cell r="F4585">
            <v>10108017</v>
          </cell>
          <cell r="G4585">
            <v>10018833</v>
          </cell>
        </row>
        <row r="4586">
          <cell r="E4586" t="str">
            <v>D-54140</v>
          </cell>
          <cell r="F4586">
            <v>10108018</v>
          </cell>
          <cell r="G4586">
            <v>10018834</v>
          </cell>
        </row>
        <row r="4587">
          <cell r="E4587" t="str">
            <v>D-63476</v>
          </cell>
          <cell r="F4587">
            <v>10108019</v>
          </cell>
          <cell r="G4587">
            <v>10018835</v>
          </cell>
        </row>
        <row r="4588">
          <cell r="E4588" t="str">
            <v>D-65903</v>
          </cell>
          <cell r="F4588">
            <v>10108020</v>
          </cell>
          <cell r="G4588">
            <v>10018836</v>
          </cell>
        </row>
        <row r="4589">
          <cell r="E4589" t="str">
            <v>D-70742</v>
          </cell>
          <cell r="F4589">
            <v>10108021</v>
          </cell>
          <cell r="G4589">
            <v>10018837</v>
          </cell>
        </row>
        <row r="4590">
          <cell r="E4590" t="str">
            <v>D-70758</v>
          </cell>
          <cell r="F4590">
            <v>10108022</v>
          </cell>
          <cell r="G4590">
            <v>10018838</v>
          </cell>
        </row>
        <row r="4591">
          <cell r="E4591" t="str">
            <v>D-73209</v>
          </cell>
          <cell r="F4591">
            <v>10108023</v>
          </cell>
          <cell r="G4591">
            <v>10018839</v>
          </cell>
        </row>
        <row r="4592">
          <cell r="E4592" t="str">
            <v>D-73215</v>
          </cell>
          <cell r="F4592">
            <v>10108024</v>
          </cell>
          <cell r="G4592">
            <v>10018840</v>
          </cell>
        </row>
        <row r="4593">
          <cell r="E4593" t="str">
            <v>D-73221</v>
          </cell>
          <cell r="F4593">
            <v>10108025</v>
          </cell>
          <cell r="G4593">
            <v>10018841</v>
          </cell>
        </row>
        <row r="4594">
          <cell r="E4594" t="str">
            <v>D-77198</v>
          </cell>
          <cell r="F4594">
            <v>10108026</v>
          </cell>
          <cell r="G4594">
            <v>10018842</v>
          </cell>
        </row>
        <row r="4595">
          <cell r="E4595" t="str">
            <v>DML806</v>
          </cell>
          <cell r="F4595">
            <v>10108027</v>
          </cell>
          <cell r="G4595">
            <v>10018843</v>
          </cell>
        </row>
        <row r="4596">
          <cell r="E4596" t="str">
            <v>E-03567</v>
          </cell>
          <cell r="F4596">
            <v>10108028</v>
          </cell>
          <cell r="G4596">
            <v>10018844</v>
          </cell>
        </row>
        <row r="4597">
          <cell r="E4597" t="str">
            <v>E-14336</v>
          </cell>
          <cell r="F4597">
            <v>10108029</v>
          </cell>
          <cell r="G4597">
            <v>10018845</v>
          </cell>
        </row>
        <row r="4598">
          <cell r="E4598" t="str">
            <v>E-15665</v>
          </cell>
          <cell r="F4598">
            <v>10108030</v>
          </cell>
          <cell r="G4598">
            <v>10018846</v>
          </cell>
        </row>
        <row r="4599">
          <cell r="E4599" t="str">
            <v>E-15671</v>
          </cell>
          <cell r="F4599">
            <v>10108031</v>
          </cell>
          <cell r="G4599">
            <v>10018847</v>
          </cell>
        </row>
        <row r="4600">
          <cell r="E4600" t="str">
            <v>E-16841</v>
          </cell>
          <cell r="F4600">
            <v>10108032</v>
          </cell>
          <cell r="G4600">
            <v>10018848</v>
          </cell>
        </row>
        <row r="4601">
          <cell r="E4601" t="str">
            <v>E-16944</v>
          </cell>
          <cell r="F4601">
            <v>10108033</v>
          </cell>
          <cell r="G4601">
            <v>10018849</v>
          </cell>
        </row>
        <row r="4602">
          <cell r="E4602" t="str">
            <v>E-17108</v>
          </cell>
          <cell r="F4602">
            <v>10108034</v>
          </cell>
          <cell r="G4602">
            <v>10018850</v>
          </cell>
        </row>
        <row r="4603">
          <cell r="E4603" t="str">
            <v>GM00001714</v>
          </cell>
          <cell r="F4603">
            <v>10108035</v>
          </cell>
          <cell r="G4603">
            <v>40010520</v>
          </cell>
        </row>
        <row r="4604">
          <cell r="E4604" t="str">
            <v>CL108FDZ</v>
          </cell>
          <cell r="F4604">
            <v>10108037</v>
          </cell>
          <cell r="G4604">
            <v>10018852</v>
          </cell>
        </row>
        <row r="4605">
          <cell r="E4605" t="str">
            <v>DCS430-45</v>
          </cell>
          <cell r="F4605">
            <v>10108038</v>
          </cell>
          <cell r="G4605">
            <v>10018853</v>
          </cell>
        </row>
        <row r="4606">
          <cell r="E4606" t="str">
            <v>DTR181Z</v>
          </cell>
          <cell r="F4606">
            <v>10108044</v>
          </cell>
          <cell r="G4606">
            <v>10017927</v>
          </cell>
        </row>
        <row r="4607">
          <cell r="E4607" t="str">
            <v>DUC101Z</v>
          </cell>
          <cell r="F4607">
            <v>10108046</v>
          </cell>
          <cell r="G4607">
            <v>10017931</v>
          </cell>
        </row>
        <row r="4608">
          <cell r="E4608" t="str">
            <v>HP333DYEX4</v>
          </cell>
          <cell r="F4608">
            <v>10108058</v>
          </cell>
          <cell r="G4608">
            <v>10017956</v>
          </cell>
        </row>
        <row r="4609">
          <cell r="E4609" t="str">
            <v>TW001GM204</v>
          </cell>
          <cell r="F4609">
            <v>10108066</v>
          </cell>
          <cell r="G4609">
            <v>10017972</v>
          </cell>
        </row>
        <row r="4610">
          <cell r="E4610" t="str">
            <v>122A92-6</v>
          </cell>
          <cell r="F4610">
            <v>10108074</v>
          </cell>
          <cell r="G4610">
            <v>40005840</v>
          </cell>
        </row>
        <row r="4611">
          <cell r="E4611" t="str">
            <v>620J73-3</v>
          </cell>
          <cell r="F4611">
            <v>10108075</v>
          </cell>
          <cell r="G4611">
            <v>40005842</v>
          </cell>
        </row>
        <row r="4612">
          <cell r="E4612" t="str">
            <v>632H48-8</v>
          </cell>
          <cell r="F4612">
            <v>10108076</v>
          </cell>
          <cell r="G4612">
            <v>40005844</v>
          </cell>
        </row>
        <row r="4613">
          <cell r="E4613" t="str">
            <v>123849-2</v>
          </cell>
          <cell r="F4613">
            <v>10108077</v>
          </cell>
          <cell r="G4613">
            <v>40005846</v>
          </cell>
        </row>
        <row r="4614">
          <cell r="E4614" t="str">
            <v>CF002GZ</v>
          </cell>
          <cell r="F4614">
            <v>10108036</v>
          </cell>
          <cell r="G4614">
            <v>10018851</v>
          </cell>
        </row>
        <row r="4615">
          <cell r="E4615" t="str">
            <v>HS7010</v>
          </cell>
          <cell r="F4615">
            <v>10108800</v>
          </cell>
          <cell r="G4615">
            <v>10017988</v>
          </cell>
        </row>
        <row r="4616">
          <cell r="E4616" t="str">
            <v>DHP484RTE</v>
          </cell>
          <cell r="F4616">
            <v>10062612</v>
          </cell>
          <cell r="G4616">
            <v>10018115</v>
          </cell>
        </row>
        <row r="4617">
          <cell r="E4617" t="str">
            <v>A-51904</v>
          </cell>
          <cell r="F4617">
            <v>10061278</v>
          </cell>
          <cell r="G4617">
            <v>10018067</v>
          </cell>
        </row>
        <row r="4618">
          <cell r="E4618" t="str">
            <v>763812-9</v>
          </cell>
          <cell r="F4618">
            <v>10001267</v>
          </cell>
          <cell r="G4618">
            <v>40007062</v>
          </cell>
        </row>
        <row r="4619">
          <cell r="E4619" t="str">
            <v>793009-6</v>
          </cell>
          <cell r="F4619">
            <v>10034282</v>
          </cell>
          <cell r="G4619">
            <v>10019405</v>
          </cell>
        </row>
        <row r="4620">
          <cell r="E4620" t="str">
            <v>793007-0</v>
          </cell>
          <cell r="F4620">
            <v>10034280</v>
          </cell>
          <cell r="G4620">
            <v>10019401</v>
          </cell>
        </row>
        <row r="4621">
          <cell r="E4621" t="str">
            <v>DGA514ZU</v>
          </cell>
          <cell r="F4621">
            <v>10108040</v>
          </cell>
          <cell r="G4621">
            <v>10017919</v>
          </cell>
        </row>
        <row r="4622">
          <cell r="E4622" t="str">
            <v>DLM480Z</v>
          </cell>
          <cell r="F4622">
            <v>10108041</v>
          </cell>
          <cell r="G4622">
            <v>10017921</v>
          </cell>
        </row>
        <row r="4623">
          <cell r="E4623" t="str">
            <v>DSP601Z</v>
          </cell>
          <cell r="F4623">
            <v>10108042</v>
          </cell>
          <cell r="G4623">
            <v>10017923</v>
          </cell>
        </row>
        <row r="4624">
          <cell r="E4624" t="str">
            <v>DTD172Z</v>
          </cell>
          <cell r="F4624">
            <v>10108043</v>
          </cell>
          <cell r="G4624">
            <v>10017925</v>
          </cell>
        </row>
        <row r="4625">
          <cell r="E4625" t="str">
            <v>DTW700Z</v>
          </cell>
          <cell r="F4625">
            <v>10108045</v>
          </cell>
          <cell r="G4625">
            <v>10017929</v>
          </cell>
        </row>
        <row r="4626">
          <cell r="E4626" t="str">
            <v>DUM111ZX</v>
          </cell>
          <cell r="F4626">
            <v>10108047</v>
          </cell>
          <cell r="G4626">
            <v>10017933</v>
          </cell>
        </row>
        <row r="4627">
          <cell r="E4627" t="str">
            <v>DUX18Z</v>
          </cell>
          <cell r="F4627">
            <v>10108048</v>
          </cell>
          <cell r="G4627">
            <v>10017935</v>
          </cell>
        </row>
        <row r="4628">
          <cell r="E4628" t="str">
            <v>FN001GZ</v>
          </cell>
          <cell r="F4628">
            <v>10108049</v>
          </cell>
          <cell r="G4628">
            <v>10017937</v>
          </cell>
        </row>
        <row r="4629">
          <cell r="E4629" t="str">
            <v>GA027GZ</v>
          </cell>
          <cell r="F4629">
            <v>10108050</v>
          </cell>
          <cell r="G4629">
            <v>10017939</v>
          </cell>
        </row>
        <row r="4630">
          <cell r="E4630" t="str">
            <v>GA036GZ</v>
          </cell>
          <cell r="F4630">
            <v>10108051</v>
          </cell>
          <cell r="G4630">
            <v>10017942</v>
          </cell>
        </row>
        <row r="4631">
          <cell r="E4631" t="str">
            <v>GA037GZ</v>
          </cell>
          <cell r="F4631">
            <v>10108052</v>
          </cell>
          <cell r="G4631">
            <v>10017944</v>
          </cell>
        </row>
        <row r="4632">
          <cell r="E4632" t="str">
            <v>GA038GZ</v>
          </cell>
          <cell r="F4632">
            <v>10108053</v>
          </cell>
          <cell r="G4632">
            <v>10017946</v>
          </cell>
        </row>
        <row r="4633">
          <cell r="E4633" t="str">
            <v>GA7070X1</v>
          </cell>
          <cell r="F4633">
            <v>10108054</v>
          </cell>
          <cell r="G4633">
            <v>10017948</v>
          </cell>
        </row>
        <row r="4634">
          <cell r="E4634" t="str">
            <v>GA9070X1</v>
          </cell>
          <cell r="F4634">
            <v>10108055</v>
          </cell>
          <cell r="G4634">
            <v>10017950</v>
          </cell>
        </row>
        <row r="4635">
          <cell r="E4635" t="str">
            <v>HM001GZ03</v>
          </cell>
          <cell r="F4635">
            <v>10108056</v>
          </cell>
          <cell r="G4635">
            <v>10017952</v>
          </cell>
        </row>
        <row r="4636">
          <cell r="E4636" t="str">
            <v>HM1511X1</v>
          </cell>
          <cell r="F4636">
            <v>10108057</v>
          </cell>
          <cell r="G4636">
            <v>10017954</v>
          </cell>
        </row>
        <row r="4637">
          <cell r="E4637" t="str">
            <v>HR007GZ</v>
          </cell>
          <cell r="F4637">
            <v>10108059</v>
          </cell>
          <cell r="G4637">
            <v>10017958</v>
          </cell>
        </row>
        <row r="4638">
          <cell r="E4638" t="str">
            <v>HS009GZ</v>
          </cell>
          <cell r="F4638">
            <v>10108060</v>
          </cell>
          <cell r="G4638">
            <v>10017960</v>
          </cell>
        </row>
        <row r="4639">
          <cell r="E4639" t="str">
            <v>LM001CZ</v>
          </cell>
          <cell r="F4639">
            <v>10108061</v>
          </cell>
          <cell r="G4639">
            <v>10017962</v>
          </cell>
        </row>
        <row r="4640">
          <cell r="E4640" t="str">
            <v>LM002JM101</v>
          </cell>
          <cell r="F4640">
            <v>10108062</v>
          </cell>
          <cell r="G4640">
            <v>10017964</v>
          </cell>
        </row>
        <row r="4641">
          <cell r="E4641" t="str">
            <v>LS003GZ</v>
          </cell>
          <cell r="F4641">
            <v>10108063</v>
          </cell>
          <cell r="G4641">
            <v>10017966</v>
          </cell>
        </row>
        <row r="4642">
          <cell r="E4642" t="str">
            <v>M2403B</v>
          </cell>
          <cell r="F4642">
            <v>10108064</v>
          </cell>
          <cell r="G4642">
            <v>10017968</v>
          </cell>
        </row>
        <row r="4643">
          <cell r="E4643" t="str">
            <v>SP001GZ</v>
          </cell>
          <cell r="F4643">
            <v>10108065</v>
          </cell>
          <cell r="G4643">
            <v>10017970</v>
          </cell>
        </row>
        <row r="4644">
          <cell r="E4644" t="str">
            <v>TW007GZ</v>
          </cell>
          <cell r="F4644">
            <v>10108067</v>
          </cell>
          <cell r="G4644">
            <v>10017974</v>
          </cell>
        </row>
        <row r="4645">
          <cell r="E4645" t="str">
            <v>UA001GZ01</v>
          </cell>
          <cell r="F4645">
            <v>10108068</v>
          </cell>
          <cell r="G4645">
            <v>10017976</v>
          </cell>
        </row>
        <row r="4646">
          <cell r="E4646" t="str">
            <v>UA002GZ01</v>
          </cell>
          <cell r="F4646">
            <v>10108069</v>
          </cell>
          <cell r="G4646">
            <v>10017978</v>
          </cell>
        </row>
        <row r="4647">
          <cell r="E4647" t="str">
            <v>UB001CZ</v>
          </cell>
          <cell r="F4647">
            <v>10108070</v>
          </cell>
          <cell r="G4647">
            <v>10017980</v>
          </cell>
        </row>
        <row r="4648">
          <cell r="E4648" t="str">
            <v>UB100DZ</v>
          </cell>
          <cell r="F4648">
            <v>10108071</v>
          </cell>
          <cell r="G4648">
            <v>10017982</v>
          </cell>
        </row>
        <row r="4649">
          <cell r="E4649" t="str">
            <v>UH006GZ</v>
          </cell>
          <cell r="F4649">
            <v>10108072</v>
          </cell>
          <cell r="G4649">
            <v>10017984</v>
          </cell>
        </row>
        <row r="4650">
          <cell r="E4650" t="str">
            <v>VC004GLZ</v>
          </cell>
          <cell r="F4650">
            <v>10108073</v>
          </cell>
          <cell r="G4650">
            <v>10017986</v>
          </cell>
        </row>
        <row r="4651">
          <cell r="E4651" t="str">
            <v>HR2600</v>
          </cell>
          <cell r="F4651">
            <v>10108801</v>
          </cell>
          <cell r="G4651">
            <v>10017990</v>
          </cell>
        </row>
        <row r="4652">
          <cell r="E4652" t="str">
            <v>DUT130RTE</v>
          </cell>
          <cell r="F4652">
            <v>10108802</v>
          </cell>
          <cell r="G4652">
            <v>10017992</v>
          </cell>
        </row>
        <row r="4653">
          <cell r="E4653" t="str">
            <v>UB002CZ01</v>
          </cell>
          <cell r="F4653">
            <v>10108803</v>
          </cell>
          <cell r="G4653">
            <v>10017994</v>
          </cell>
        </row>
        <row r="4654">
          <cell r="E4654" t="str">
            <v>CL117FDX2</v>
          </cell>
          <cell r="F4654">
            <v>10108804</v>
          </cell>
          <cell r="G4654">
            <v>10017996</v>
          </cell>
        </row>
        <row r="4655">
          <cell r="E4655" t="str">
            <v>HR001GM201</v>
          </cell>
          <cell r="F4655">
            <v>10108805</v>
          </cell>
          <cell r="G4655">
            <v>10017998</v>
          </cell>
        </row>
        <row r="4656">
          <cell r="E4656" t="str">
            <v>DCC500Z</v>
          </cell>
          <cell r="F4656">
            <v>10108806</v>
          </cell>
          <cell r="G4656">
            <v>10018000</v>
          </cell>
        </row>
        <row r="4657">
          <cell r="E4657" t="str">
            <v>DDF486Z</v>
          </cell>
          <cell r="F4657">
            <v>10108808</v>
          </cell>
          <cell r="G4657">
            <v>10018002</v>
          </cell>
        </row>
        <row r="4658">
          <cell r="E4658" t="str">
            <v>DUR194ZX3</v>
          </cell>
          <cell r="F4658">
            <v>10108809</v>
          </cell>
          <cell r="G4658">
            <v>10018004</v>
          </cell>
        </row>
        <row r="4659">
          <cell r="E4659" t="str">
            <v>HP488D006</v>
          </cell>
          <cell r="F4659">
            <v>10108810</v>
          </cell>
          <cell r="G4659">
            <v>10018006</v>
          </cell>
        </row>
        <row r="4660">
          <cell r="E4660" t="str">
            <v>TD003GA201</v>
          </cell>
          <cell r="F4660">
            <v>10108811</v>
          </cell>
          <cell r="G4660">
            <v>10018008</v>
          </cell>
        </row>
        <row r="4661">
          <cell r="E4661" t="str">
            <v>MR002G</v>
          </cell>
          <cell r="F4661">
            <v>10108812</v>
          </cell>
          <cell r="G4661">
            <v>10018010</v>
          </cell>
        </row>
        <row r="4662">
          <cell r="E4662" t="str">
            <v>DMR203</v>
          </cell>
          <cell r="F4662">
            <v>10108813</v>
          </cell>
          <cell r="G4662">
            <v>10018012</v>
          </cell>
        </row>
        <row r="4663">
          <cell r="E4663" t="str">
            <v>DLM539Z</v>
          </cell>
          <cell r="F4663">
            <v>10108814</v>
          </cell>
          <cell r="G4663">
            <v>10018013</v>
          </cell>
        </row>
        <row r="4664">
          <cell r="E4664" t="str">
            <v>DMR055</v>
          </cell>
          <cell r="F4664">
            <v>10108815</v>
          </cell>
          <cell r="G4664">
            <v>10018014</v>
          </cell>
        </row>
        <row r="4665">
          <cell r="E4665" t="str">
            <v>LM002GZ</v>
          </cell>
          <cell r="F4665">
            <v>10108817</v>
          </cell>
          <cell r="G4665">
            <v>10018016</v>
          </cell>
        </row>
        <row r="4666">
          <cell r="E4666" t="str">
            <v>191M92-9</v>
          </cell>
          <cell r="F4666">
            <v>10108818</v>
          </cell>
          <cell r="G4666">
            <v>10018017</v>
          </cell>
        </row>
        <row r="4667">
          <cell r="E4667" t="str">
            <v>Z-10486 </v>
          </cell>
          <cell r="F4667">
            <v>10108831</v>
          </cell>
          <cell r="G4667">
            <v>10018037</v>
          </cell>
        </row>
        <row r="4668">
          <cell r="E4668" t="str">
            <v>Z-10479 </v>
          </cell>
          <cell r="F4668">
            <v>10108832</v>
          </cell>
          <cell r="G4668">
            <v>10018039</v>
          </cell>
        </row>
        <row r="4669">
          <cell r="E4669" t="str">
            <v>Z-10445 </v>
          </cell>
          <cell r="F4669">
            <v>10108833</v>
          </cell>
          <cell r="G4669">
            <v>10018041</v>
          </cell>
        </row>
        <row r="4670">
          <cell r="E4670" t="str">
            <v>Z-10456 </v>
          </cell>
          <cell r="F4670">
            <v>10108834</v>
          </cell>
          <cell r="G4670">
            <v>10018043</v>
          </cell>
        </row>
        <row r="4671">
          <cell r="E4671" t="str">
            <v>Z-10457 </v>
          </cell>
          <cell r="F4671">
            <v>10108835</v>
          </cell>
          <cell r="G4671">
            <v>10018045</v>
          </cell>
        </row>
        <row r="4672">
          <cell r="E4672" t="str">
            <v>Z-10458 </v>
          </cell>
          <cell r="F4672">
            <v>10108836</v>
          </cell>
          <cell r="G4672">
            <v>10018047</v>
          </cell>
        </row>
        <row r="4673">
          <cell r="E4673" t="str">
            <v>Z-10480 </v>
          </cell>
          <cell r="F4673">
            <v>10108837</v>
          </cell>
          <cell r="G4673">
            <v>10018049</v>
          </cell>
        </row>
        <row r="4674">
          <cell r="E4674" t="str">
            <v>Z-10466 </v>
          </cell>
          <cell r="F4674">
            <v>10108838</v>
          </cell>
          <cell r="G4674">
            <v>10018051</v>
          </cell>
        </row>
        <row r="4675">
          <cell r="E4675" t="str">
            <v>Z-10459 </v>
          </cell>
          <cell r="F4675">
            <v>10108839</v>
          </cell>
          <cell r="G4675">
            <v>10018053</v>
          </cell>
        </row>
        <row r="4676">
          <cell r="E4676" t="str">
            <v>Z-10460 </v>
          </cell>
          <cell r="F4676">
            <v>10108840</v>
          </cell>
          <cell r="G4676">
            <v>10018055</v>
          </cell>
        </row>
        <row r="4677">
          <cell r="E4677" t="str">
            <v>Z-10461 </v>
          </cell>
          <cell r="F4677">
            <v>10108841</v>
          </cell>
          <cell r="G4677">
            <v>10018058</v>
          </cell>
        </row>
        <row r="4678">
          <cell r="E4678" t="str">
            <v>Z-10444 </v>
          </cell>
          <cell r="F4678">
            <v>10108842</v>
          </cell>
          <cell r="G4678">
            <v>10018060</v>
          </cell>
        </row>
        <row r="4679">
          <cell r="E4679" t="str">
            <v>Z-10446 </v>
          </cell>
          <cell r="F4679">
            <v>10108845</v>
          </cell>
          <cell r="G4679">
            <v>10018066</v>
          </cell>
        </row>
        <row r="4680">
          <cell r="E4680" t="str">
            <v>Z-10481 </v>
          </cell>
          <cell r="F4680">
            <v>10108846</v>
          </cell>
          <cell r="G4680">
            <v>10018068</v>
          </cell>
        </row>
        <row r="4681">
          <cell r="E4681" t="str">
            <v>Z-10482 </v>
          </cell>
          <cell r="F4681">
            <v>10108847</v>
          </cell>
          <cell r="G4681">
            <v>10018265</v>
          </cell>
        </row>
        <row r="4682">
          <cell r="E4682" t="str">
            <v>Z-10483 </v>
          </cell>
          <cell r="F4682">
            <v>10108848</v>
          </cell>
          <cell r="G4682">
            <v>10018268</v>
          </cell>
        </row>
        <row r="4683">
          <cell r="E4683" t="str">
            <v>Z-10449 </v>
          </cell>
          <cell r="F4683">
            <v>10108852</v>
          </cell>
          <cell r="G4683">
            <v>10018276</v>
          </cell>
        </row>
        <row r="4684">
          <cell r="E4684" t="str">
            <v>Z-10475 </v>
          </cell>
          <cell r="F4684">
            <v>10108853</v>
          </cell>
          <cell r="G4684">
            <v>10018278</v>
          </cell>
        </row>
        <row r="4685">
          <cell r="E4685" t="str">
            <v>D-50500</v>
          </cell>
          <cell r="F4685">
            <v>10108854</v>
          </cell>
          <cell r="G4685">
            <v>10018280</v>
          </cell>
        </row>
        <row r="4686">
          <cell r="E4686" t="str">
            <v>D-65816</v>
          </cell>
          <cell r="F4686">
            <v>10108855</v>
          </cell>
          <cell r="G4686">
            <v>10018282</v>
          </cell>
        </row>
        <row r="4687">
          <cell r="E4687" t="str">
            <v>D-18471</v>
          </cell>
          <cell r="F4687">
            <v>10108856</v>
          </cell>
          <cell r="G4687">
            <v>10018284</v>
          </cell>
        </row>
        <row r="4688">
          <cell r="E4688" t="str">
            <v>P-36675</v>
          </cell>
          <cell r="F4688">
            <v>10108857</v>
          </cell>
          <cell r="G4688">
            <v>10018286</v>
          </cell>
        </row>
        <row r="4689">
          <cell r="E4689" t="str">
            <v>P-36697</v>
          </cell>
          <cell r="F4689">
            <v>10108858</v>
          </cell>
          <cell r="G4689">
            <v>10018288</v>
          </cell>
        </row>
        <row r="4690">
          <cell r="E4690" t="str">
            <v>P-37356</v>
          </cell>
          <cell r="F4690">
            <v>10108859</v>
          </cell>
          <cell r="G4690">
            <v>10018290</v>
          </cell>
        </row>
        <row r="4691">
          <cell r="E4691" t="str">
            <v>P-37328</v>
          </cell>
          <cell r="F4691">
            <v>10108860</v>
          </cell>
          <cell r="G4691">
            <v>10018292</v>
          </cell>
        </row>
        <row r="4692">
          <cell r="E4692" t="str">
            <v>D-36055</v>
          </cell>
          <cell r="F4692">
            <v>10108861</v>
          </cell>
          <cell r="G4692">
            <v>10018294</v>
          </cell>
        </row>
        <row r="4693">
          <cell r="E4693" t="str">
            <v>D-36061</v>
          </cell>
          <cell r="F4693">
            <v>10108862</v>
          </cell>
          <cell r="G4693">
            <v>10018296</v>
          </cell>
        </row>
        <row r="4694">
          <cell r="E4694" t="str">
            <v>D-36077</v>
          </cell>
          <cell r="F4694">
            <v>10108863</v>
          </cell>
          <cell r="G4694">
            <v>10018298</v>
          </cell>
        </row>
        <row r="4695">
          <cell r="E4695" t="str">
            <v>D-07272</v>
          </cell>
          <cell r="F4695">
            <v>10108864</v>
          </cell>
          <cell r="G4695">
            <v>10018299</v>
          </cell>
        </row>
        <row r="4696">
          <cell r="E4696" t="str">
            <v>D-36083</v>
          </cell>
          <cell r="F4696">
            <v>10108865</v>
          </cell>
          <cell r="G4696">
            <v>10018301</v>
          </cell>
        </row>
        <row r="4697">
          <cell r="E4697" t="str">
            <v>D-07288</v>
          </cell>
          <cell r="F4697">
            <v>10108866</v>
          </cell>
          <cell r="G4697">
            <v>10018303</v>
          </cell>
        </row>
        <row r="4698">
          <cell r="E4698" t="str">
            <v>D-36099</v>
          </cell>
          <cell r="F4698">
            <v>10108867</v>
          </cell>
          <cell r="G4698">
            <v>10018305</v>
          </cell>
        </row>
        <row r="4699">
          <cell r="E4699" t="str">
            <v>D-36108</v>
          </cell>
          <cell r="F4699">
            <v>10108868</v>
          </cell>
          <cell r="G4699">
            <v>10018307</v>
          </cell>
        </row>
        <row r="4700">
          <cell r="E4700" t="str">
            <v>D-07303</v>
          </cell>
          <cell r="F4700">
            <v>10108869</v>
          </cell>
          <cell r="G4700">
            <v>10018309</v>
          </cell>
        </row>
        <row r="4701">
          <cell r="E4701" t="str">
            <v>D-31398</v>
          </cell>
          <cell r="F4701">
            <v>10108870</v>
          </cell>
          <cell r="G4701">
            <v>10018311</v>
          </cell>
        </row>
        <row r="4702">
          <cell r="E4702" t="str">
            <v>D-07490</v>
          </cell>
          <cell r="F4702">
            <v>10108871</v>
          </cell>
          <cell r="G4702">
            <v>10018313</v>
          </cell>
        </row>
        <row r="4703">
          <cell r="E4703" t="str">
            <v>D-07618</v>
          </cell>
          <cell r="F4703">
            <v>10108872</v>
          </cell>
          <cell r="G4703">
            <v>10018314</v>
          </cell>
        </row>
        <row r="4704">
          <cell r="E4704" t="str">
            <v>D-31407</v>
          </cell>
          <cell r="F4704">
            <v>10108873</v>
          </cell>
          <cell r="G4704">
            <v>10018315</v>
          </cell>
        </row>
        <row r="4705">
          <cell r="E4705" t="str">
            <v>D-07331</v>
          </cell>
          <cell r="F4705">
            <v>10108874</v>
          </cell>
          <cell r="G4705">
            <v>10018316</v>
          </cell>
        </row>
        <row r="4706">
          <cell r="E4706" t="str">
            <v>D-07559</v>
          </cell>
          <cell r="F4706">
            <v>10108875</v>
          </cell>
          <cell r="G4706">
            <v>10018317</v>
          </cell>
        </row>
        <row r="4707">
          <cell r="E4707">
            <v>9102</v>
          </cell>
          <cell r="F4707">
            <v>10108876</v>
          </cell>
          <cell r="G4707">
            <v>10018318</v>
          </cell>
        </row>
        <row r="4708">
          <cell r="E4708" t="str">
            <v>B-04307</v>
          </cell>
          <cell r="F4708">
            <v>10108877</v>
          </cell>
          <cell r="G4708">
            <v>10018319</v>
          </cell>
        </row>
        <row r="4709">
          <cell r="E4709" t="str">
            <v>763632-1</v>
          </cell>
          <cell r="F4709">
            <v>10108878</v>
          </cell>
          <cell r="G4709">
            <v>10018320</v>
          </cell>
        </row>
        <row r="4710">
          <cell r="E4710" t="str">
            <v>763666-4</v>
          </cell>
          <cell r="F4710">
            <v>10108879</v>
          </cell>
          <cell r="G4710">
            <v>10018321</v>
          </cell>
        </row>
        <row r="4711">
          <cell r="E4711" t="str">
            <v>B-53796</v>
          </cell>
          <cell r="F4711">
            <v>10108880</v>
          </cell>
          <cell r="G4711">
            <v>10018322</v>
          </cell>
        </row>
        <row r="4712">
          <cell r="E4712" t="str">
            <v>B-53693</v>
          </cell>
          <cell r="F4712">
            <v>10108881</v>
          </cell>
          <cell r="G4712">
            <v>10018323</v>
          </cell>
        </row>
        <row r="4713">
          <cell r="E4713" t="str">
            <v>D-07727</v>
          </cell>
          <cell r="F4713">
            <v>10108882</v>
          </cell>
          <cell r="G4713">
            <v>10018324</v>
          </cell>
        </row>
        <row r="4714">
          <cell r="E4714" t="str">
            <v>D-62832</v>
          </cell>
          <cell r="F4714">
            <v>10108883</v>
          </cell>
          <cell r="G4714">
            <v>10018325</v>
          </cell>
        </row>
        <row r="4715">
          <cell r="E4715" t="str">
            <v>D-62848</v>
          </cell>
          <cell r="F4715">
            <v>10108884</v>
          </cell>
          <cell r="G4715">
            <v>10018326</v>
          </cell>
        </row>
        <row r="4716">
          <cell r="E4716" t="str">
            <v>D-62854</v>
          </cell>
          <cell r="F4716">
            <v>10108885</v>
          </cell>
          <cell r="G4716">
            <v>10018327</v>
          </cell>
        </row>
        <row r="4717">
          <cell r="E4717" t="str">
            <v>D-62860</v>
          </cell>
          <cell r="F4717">
            <v>10108886</v>
          </cell>
          <cell r="G4717">
            <v>10018328</v>
          </cell>
        </row>
        <row r="4718">
          <cell r="E4718" t="str">
            <v>A-12697</v>
          </cell>
          <cell r="F4718">
            <v>10108887</v>
          </cell>
          <cell r="G4718">
            <v>10018329</v>
          </cell>
        </row>
        <row r="4719">
          <cell r="E4719" t="str">
            <v>D-65501</v>
          </cell>
          <cell r="F4719">
            <v>10108888</v>
          </cell>
          <cell r="G4719">
            <v>10018330</v>
          </cell>
        </row>
        <row r="4720">
          <cell r="E4720" t="str">
            <v>D-47466</v>
          </cell>
          <cell r="F4720">
            <v>10108889</v>
          </cell>
          <cell r="G4720">
            <v>10018331</v>
          </cell>
        </row>
        <row r="4721">
          <cell r="E4721" t="str">
            <v>D-47519</v>
          </cell>
          <cell r="F4721">
            <v>10108890</v>
          </cell>
          <cell r="G4721">
            <v>10018332</v>
          </cell>
        </row>
        <row r="4722">
          <cell r="E4722" t="str">
            <v>A-82482</v>
          </cell>
          <cell r="F4722">
            <v>10108891</v>
          </cell>
          <cell r="G4722">
            <v>10018333</v>
          </cell>
        </row>
        <row r="4723">
          <cell r="E4723" t="str">
            <v>D-06242</v>
          </cell>
          <cell r="F4723">
            <v>10108892</v>
          </cell>
          <cell r="G4723">
            <v>10018334</v>
          </cell>
        </row>
        <row r="4724">
          <cell r="E4724" t="str">
            <v>D-06286</v>
          </cell>
          <cell r="F4724">
            <v>10108893</v>
          </cell>
          <cell r="G4724">
            <v>10018335</v>
          </cell>
        </row>
        <row r="4725">
          <cell r="E4725" t="str">
            <v>D-06301</v>
          </cell>
          <cell r="F4725">
            <v>10108894</v>
          </cell>
          <cell r="G4725">
            <v>10018336</v>
          </cell>
        </row>
        <row r="4726">
          <cell r="E4726" t="str">
            <v>D-06323</v>
          </cell>
          <cell r="F4726">
            <v>10108895</v>
          </cell>
          <cell r="G4726">
            <v>10018337</v>
          </cell>
        </row>
        <row r="4727">
          <cell r="E4727" t="str">
            <v>D-06345</v>
          </cell>
          <cell r="F4727">
            <v>10108896</v>
          </cell>
          <cell r="G4727">
            <v>10018338</v>
          </cell>
        </row>
        <row r="4728">
          <cell r="E4728" t="str">
            <v>D-06367</v>
          </cell>
          <cell r="F4728">
            <v>10108897</v>
          </cell>
          <cell r="G4728">
            <v>10018339</v>
          </cell>
        </row>
        <row r="4729">
          <cell r="E4729" t="str">
            <v>D-06426</v>
          </cell>
          <cell r="F4729">
            <v>10108898</v>
          </cell>
          <cell r="G4729">
            <v>10018340</v>
          </cell>
        </row>
        <row r="4730">
          <cell r="E4730" t="str">
            <v>D-06448</v>
          </cell>
          <cell r="F4730">
            <v>10108899</v>
          </cell>
          <cell r="G4730">
            <v>10018341</v>
          </cell>
        </row>
        <row r="4731">
          <cell r="E4731" t="str">
            <v>D-06460</v>
          </cell>
          <cell r="F4731">
            <v>10108900</v>
          </cell>
          <cell r="G4731">
            <v>10018342</v>
          </cell>
        </row>
        <row r="4732">
          <cell r="E4732" t="str">
            <v>D-06476</v>
          </cell>
          <cell r="F4732">
            <v>10108901</v>
          </cell>
          <cell r="G4732">
            <v>10018343</v>
          </cell>
        </row>
        <row r="4733">
          <cell r="E4733" t="str">
            <v>D-06482</v>
          </cell>
          <cell r="F4733">
            <v>10108902</v>
          </cell>
          <cell r="G4733">
            <v>10018344</v>
          </cell>
        </row>
        <row r="4734">
          <cell r="E4734" t="str">
            <v>D-06529</v>
          </cell>
          <cell r="F4734">
            <v>10108903</v>
          </cell>
          <cell r="G4734">
            <v>10018345</v>
          </cell>
        </row>
        <row r="4735">
          <cell r="E4735" t="str">
            <v>B-26652</v>
          </cell>
          <cell r="F4735">
            <v>10108904</v>
          </cell>
          <cell r="G4735">
            <v>10018346</v>
          </cell>
        </row>
        <row r="4736">
          <cell r="E4736" t="str">
            <v>B-26668</v>
          </cell>
          <cell r="F4736">
            <v>10108905</v>
          </cell>
          <cell r="G4736">
            <v>10018347</v>
          </cell>
        </row>
        <row r="4737">
          <cell r="E4737" t="str">
            <v>B-26674</v>
          </cell>
          <cell r="F4737">
            <v>10108906</v>
          </cell>
          <cell r="G4737">
            <v>10018348</v>
          </cell>
        </row>
        <row r="4738">
          <cell r="E4738" t="str">
            <v>B-26680</v>
          </cell>
          <cell r="F4738">
            <v>10108907</v>
          </cell>
          <cell r="G4738">
            <v>10018349</v>
          </cell>
        </row>
        <row r="4739">
          <cell r="E4739" t="str">
            <v>B-26696</v>
          </cell>
          <cell r="F4739">
            <v>10108908</v>
          </cell>
          <cell r="G4739">
            <v>10018350</v>
          </cell>
        </row>
        <row r="4740">
          <cell r="E4740" t="str">
            <v>B-26705</v>
          </cell>
          <cell r="F4740">
            <v>10108909</v>
          </cell>
          <cell r="G4740">
            <v>10018351</v>
          </cell>
        </row>
        <row r="4741">
          <cell r="E4741" t="str">
            <v>B-26711</v>
          </cell>
          <cell r="F4741">
            <v>10108910</v>
          </cell>
          <cell r="G4741">
            <v>10018352</v>
          </cell>
        </row>
        <row r="4742">
          <cell r="E4742" t="str">
            <v>B-26749</v>
          </cell>
          <cell r="F4742">
            <v>10108911</v>
          </cell>
          <cell r="G4742">
            <v>10018353</v>
          </cell>
        </row>
        <row r="4743">
          <cell r="E4743" t="str">
            <v>B-26755</v>
          </cell>
          <cell r="F4743">
            <v>10108912</v>
          </cell>
          <cell r="G4743">
            <v>10018354</v>
          </cell>
        </row>
        <row r="4744">
          <cell r="E4744" t="str">
            <v>B-26761</v>
          </cell>
          <cell r="F4744">
            <v>10108913</v>
          </cell>
          <cell r="G4744">
            <v>10018355</v>
          </cell>
        </row>
        <row r="4745">
          <cell r="E4745" t="str">
            <v>B-26777</v>
          </cell>
          <cell r="F4745">
            <v>10108914</v>
          </cell>
          <cell r="G4745">
            <v>10018356</v>
          </cell>
        </row>
        <row r="4746">
          <cell r="E4746" t="str">
            <v>B-26783</v>
          </cell>
          <cell r="F4746">
            <v>10108915</v>
          </cell>
          <cell r="G4746">
            <v>10018357</v>
          </cell>
        </row>
        <row r="4747">
          <cell r="E4747" t="str">
            <v>B-26808</v>
          </cell>
          <cell r="F4747">
            <v>10108916</v>
          </cell>
          <cell r="G4747">
            <v>10018359</v>
          </cell>
        </row>
        <row r="4748">
          <cell r="E4748" t="str">
            <v>B-26814</v>
          </cell>
          <cell r="F4748">
            <v>10108917</v>
          </cell>
          <cell r="G4748">
            <v>10018360</v>
          </cell>
        </row>
        <row r="4749">
          <cell r="E4749" t="str">
            <v>B-26820</v>
          </cell>
          <cell r="F4749">
            <v>10108918</v>
          </cell>
          <cell r="G4749">
            <v>10018362</v>
          </cell>
        </row>
        <row r="4750">
          <cell r="E4750" t="str">
            <v>B-26836</v>
          </cell>
          <cell r="F4750">
            <v>10108919</v>
          </cell>
          <cell r="G4750">
            <v>10018364</v>
          </cell>
        </row>
        <row r="4751">
          <cell r="E4751" t="str">
            <v>632K99-9</v>
          </cell>
          <cell r="F4751">
            <v>10110236</v>
          </cell>
          <cell r="G4751">
            <v>40010576</v>
          </cell>
        </row>
        <row r="4752">
          <cell r="E4752" t="str">
            <v>519173-3</v>
          </cell>
          <cell r="F4752">
            <v>10110237</v>
          </cell>
          <cell r="G4752">
            <v>40005362</v>
          </cell>
        </row>
        <row r="4753">
          <cell r="E4753" t="str">
            <v>141026-4</v>
          </cell>
          <cell r="F4753">
            <v>10110238</v>
          </cell>
          <cell r="G4753">
            <v>40005363</v>
          </cell>
        </row>
        <row r="4754">
          <cell r="E4754" t="str">
            <v>144650-2</v>
          </cell>
          <cell r="F4754">
            <v>10110239</v>
          </cell>
          <cell r="G4754">
            <v>40005364</v>
          </cell>
        </row>
        <row r="4755">
          <cell r="E4755" t="str">
            <v>144646-3</v>
          </cell>
          <cell r="F4755">
            <v>10110240</v>
          </cell>
          <cell r="G4755">
            <v>40005365</v>
          </cell>
        </row>
        <row r="4756">
          <cell r="E4756" t="str">
            <v>455804-9</v>
          </cell>
          <cell r="F4756">
            <v>10110241</v>
          </cell>
          <cell r="G4756">
            <v>40005366</v>
          </cell>
        </row>
        <row r="4757">
          <cell r="E4757" t="str">
            <v>135794-9</v>
          </cell>
          <cell r="F4757">
            <v>10110242</v>
          </cell>
          <cell r="G4757">
            <v>40005367</v>
          </cell>
        </row>
        <row r="4758">
          <cell r="E4758" t="str">
            <v>183G71-5</v>
          </cell>
          <cell r="F4758">
            <v>10110243</v>
          </cell>
        </row>
        <row r="4759">
          <cell r="E4759" t="str">
            <v>629233-4</v>
          </cell>
          <cell r="F4759">
            <v>10110244</v>
          </cell>
          <cell r="G4759">
            <v>40005368</v>
          </cell>
        </row>
        <row r="4760">
          <cell r="E4760" t="str">
            <v>620586-4</v>
          </cell>
          <cell r="F4760">
            <v>10110245</v>
          </cell>
          <cell r="G4760">
            <v>40005369</v>
          </cell>
        </row>
        <row r="4761">
          <cell r="E4761" t="str">
            <v>416533-9</v>
          </cell>
          <cell r="F4761">
            <v>10062941</v>
          </cell>
          <cell r="G4761">
            <v>40010413</v>
          </cell>
        </row>
        <row r="4762">
          <cell r="E4762" t="str">
            <v>JM23100153</v>
          </cell>
          <cell r="F4762">
            <v>10063065</v>
          </cell>
          <cell r="G4762">
            <v>40006032</v>
          </cell>
        </row>
        <row r="4763">
          <cell r="E4763" t="str">
            <v>JM21000135</v>
          </cell>
          <cell r="F4763">
            <v>10110246</v>
          </cell>
          <cell r="G4763">
            <v>40005370</v>
          </cell>
        </row>
        <row r="4764">
          <cell r="E4764" t="str">
            <v>629930-2</v>
          </cell>
          <cell r="F4764">
            <v>10110258</v>
          </cell>
          <cell r="G4764">
            <v>40005373</v>
          </cell>
        </row>
        <row r="4765">
          <cell r="E4765" t="str">
            <v>123100-0</v>
          </cell>
          <cell r="F4765">
            <v>10110248</v>
          </cell>
          <cell r="G4765">
            <v>40005371</v>
          </cell>
        </row>
        <row r="4766">
          <cell r="E4766" t="str">
            <v>782034-2</v>
          </cell>
          <cell r="F4766">
            <v>10110249</v>
          </cell>
          <cell r="G4766">
            <v>40005372</v>
          </cell>
        </row>
        <row r="4767">
          <cell r="E4767" t="str">
            <v>B-65573</v>
          </cell>
          <cell r="F4767">
            <v>10110250</v>
          </cell>
          <cell r="G4767">
            <v>10018426</v>
          </cell>
        </row>
        <row r="4768">
          <cell r="E4768" t="str">
            <v>D-62686</v>
          </cell>
          <cell r="F4768">
            <v>10110251</v>
          </cell>
          <cell r="G4768">
            <v>10018427</v>
          </cell>
        </row>
        <row r="4769">
          <cell r="E4769" t="str">
            <v>B-90015</v>
          </cell>
          <cell r="F4769">
            <v>10110252</v>
          </cell>
          <cell r="G4769">
            <v>10018429</v>
          </cell>
        </row>
        <row r="4770">
          <cell r="E4770" t="str">
            <v>E-14772</v>
          </cell>
          <cell r="F4770">
            <v>10110253</v>
          </cell>
          <cell r="G4770">
            <v>10018431</v>
          </cell>
        </row>
        <row r="4771">
          <cell r="E4771" t="str">
            <v>E-10855</v>
          </cell>
          <cell r="F4771">
            <v>10110254</v>
          </cell>
          <cell r="G4771">
            <v>10018433</v>
          </cell>
        </row>
        <row r="4772">
          <cell r="E4772" t="str">
            <v>D-59368</v>
          </cell>
          <cell r="F4772">
            <v>10110256</v>
          </cell>
          <cell r="G4772">
            <v>10018435</v>
          </cell>
        </row>
        <row r="4773">
          <cell r="E4773" t="str">
            <v>E-03028</v>
          </cell>
          <cell r="F4773">
            <v>10110257</v>
          </cell>
          <cell r="G4773">
            <v>10018437</v>
          </cell>
        </row>
        <row r="4774">
          <cell r="E4774" t="str">
            <v>B-17142</v>
          </cell>
          <cell r="F4774">
            <v>10109821</v>
          </cell>
          <cell r="G4774">
            <v>10018417</v>
          </cell>
        </row>
        <row r="4775">
          <cell r="E4775" t="str">
            <v>D-26602</v>
          </cell>
          <cell r="F4775">
            <v>10109711</v>
          </cell>
          <cell r="G4775">
            <v>10018358</v>
          </cell>
        </row>
        <row r="4776">
          <cell r="E4776" t="str">
            <v>D-72229</v>
          </cell>
          <cell r="F4776">
            <v>10109712</v>
          </cell>
          <cell r="G4776">
            <v>10018361</v>
          </cell>
        </row>
        <row r="4777">
          <cell r="E4777" t="str">
            <v>455176-2</v>
          </cell>
          <cell r="F4777">
            <v>10109827</v>
          </cell>
          <cell r="G4777">
            <v>10018423</v>
          </cell>
        </row>
        <row r="4778">
          <cell r="E4778" t="str">
            <v>194925-9</v>
          </cell>
          <cell r="F4778">
            <v>10109715</v>
          </cell>
          <cell r="G4778">
            <v>10018363</v>
          </cell>
        </row>
        <row r="4779">
          <cell r="E4779" t="str">
            <v>B-33772</v>
          </cell>
          <cell r="F4779">
            <v>10109716</v>
          </cell>
          <cell r="G4779">
            <v>10018365</v>
          </cell>
        </row>
        <row r="4780">
          <cell r="E4780" t="str">
            <v>B-26727</v>
          </cell>
          <cell r="F4780">
            <v>10109717</v>
          </cell>
          <cell r="G4780">
            <v>10018367</v>
          </cell>
        </row>
        <row r="4781">
          <cell r="E4781" t="str">
            <v>D-05527</v>
          </cell>
          <cell r="F4781">
            <v>10109718</v>
          </cell>
          <cell r="G4781">
            <v>10018369</v>
          </cell>
        </row>
        <row r="4782">
          <cell r="E4782" t="str">
            <v>D-05359</v>
          </cell>
          <cell r="F4782">
            <v>10109719</v>
          </cell>
          <cell r="G4782">
            <v>10018371</v>
          </cell>
        </row>
        <row r="4783">
          <cell r="E4783" t="str">
            <v>D-05387</v>
          </cell>
          <cell r="F4783">
            <v>10109720</v>
          </cell>
          <cell r="G4783">
            <v>10018373</v>
          </cell>
        </row>
        <row r="4784">
          <cell r="E4784" t="str">
            <v>D-00072</v>
          </cell>
          <cell r="F4784">
            <v>10109721</v>
          </cell>
          <cell r="G4784">
            <v>10018375</v>
          </cell>
        </row>
        <row r="4785">
          <cell r="E4785" t="str">
            <v>D-09117</v>
          </cell>
          <cell r="F4785">
            <v>10109722</v>
          </cell>
          <cell r="G4785">
            <v>10018377</v>
          </cell>
        </row>
        <row r="4786">
          <cell r="E4786" t="str">
            <v>D-17544</v>
          </cell>
          <cell r="F4786">
            <v>10109723</v>
          </cell>
          <cell r="G4786">
            <v>10029925</v>
          </cell>
        </row>
        <row r="4787">
          <cell r="E4787" t="str">
            <v>D-00284</v>
          </cell>
          <cell r="F4787">
            <v>10109724</v>
          </cell>
          <cell r="G4787">
            <v>10018379</v>
          </cell>
        </row>
        <row r="4788">
          <cell r="E4788" t="str">
            <v>D-16302</v>
          </cell>
          <cell r="F4788">
            <v>10109725</v>
          </cell>
          <cell r="G4788">
            <v>10018381</v>
          </cell>
        </row>
        <row r="4789">
          <cell r="E4789" t="str">
            <v>B-63242</v>
          </cell>
          <cell r="F4789">
            <v>10109788</v>
          </cell>
          <cell r="G4789">
            <v>10018384</v>
          </cell>
        </row>
        <row r="4790">
          <cell r="E4790" t="str">
            <v>B-63214</v>
          </cell>
          <cell r="F4790">
            <v>10109789</v>
          </cell>
          <cell r="G4790">
            <v>10018385</v>
          </cell>
        </row>
        <row r="4791">
          <cell r="E4791" t="str">
            <v>B-63220</v>
          </cell>
          <cell r="F4791">
            <v>10109790</v>
          </cell>
          <cell r="G4791">
            <v>10018386</v>
          </cell>
        </row>
        <row r="4792">
          <cell r="E4792" t="str">
            <v>B-63264</v>
          </cell>
          <cell r="F4792">
            <v>10109791</v>
          </cell>
          <cell r="G4792">
            <v>10018387</v>
          </cell>
        </row>
        <row r="4793">
          <cell r="E4793" t="str">
            <v>B-63373</v>
          </cell>
          <cell r="F4793">
            <v>10109792</v>
          </cell>
          <cell r="G4793">
            <v>10018388</v>
          </cell>
        </row>
        <row r="4794">
          <cell r="E4794" t="str">
            <v>B-63410</v>
          </cell>
          <cell r="F4794">
            <v>10109793</v>
          </cell>
          <cell r="G4794">
            <v>10018389</v>
          </cell>
        </row>
        <row r="4795">
          <cell r="E4795" t="str">
            <v>B-63426</v>
          </cell>
          <cell r="F4795">
            <v>10109794</v>
          </cell>
          <cell r="G4795">
            <v>10018390</v>
          </cell>
        </row>
        <row r="4796">
          <cell r="E4796" t="str">
            <v>B-63460</v>
          </cell>
          <cell r="F4796">
            <v>10109795</v>
          </cell>
          <cell r="G4796">
            <v>10018391</v>
          </cell>
        </row>
        <row r="4797">
          <cell r="E4797" t="str">
            <v>B-68127</v>
          </cell>
          <cell r="F4797">
            <v>10109796</v>
          </cell>
          <cell r="G4797">
            <v>10018392</v>
          </cell>
        </row>
        <row r="4798">
          <cell r="E4798" t="str">
            <v>B-68133</v>
          </cell>
          <cell r="F4798">
            <v>10109797</v>
          </cell>
          <cell r="G4798">
            <v>10018393</v>
          </cell>
        </row>
        <row r="4799">
          <cell r="E4799" t="str">
            <v>B-62533</v>
          </cell>
          <cell r="F4799">
            <v>10109798</v>
          </cell>
          <cell r="G4799">
            <v>10018394</v>
          </cell>
        </row>
        <row r="4800">
          <cell r="E4800" t="str">
            <v>B-62549</v>
          </cell>
          <cell r="F4800">
            <v>10109799</v>
          </cell>
          <cell r="G4800">
            <v>10018395</v>
          </cell>
        </row>
        <row r="4801">
          <cell r="E4801" t="str">
            <v>B-62555</v>
          </cell>
          <cell r="F4801">
            <v>10109800</v>
          </cell>
          <cell r="G4801">
            <v>10018396</v>
          </cell>
        </row>
        <row r="4802">
          <cell r="E4802" t="str">
            <v>B-62561</v>
          </cell>
          <cell r="F4802">
            <v>10109801</v>
          </cell>
          <cell r="G4802">
            <v>10018397</v>
          </cell>
        </row>
        <row r="4803">
          <cell r="E4803" t="str">
            <v>B-62496</v>
          </cell>
          <cell r="F4803">
            <v>10109802</v>
          </cell>
          <cell r="G4803">
            <v>10018398</v>
          </cell>
        </row>
        <row r="4804">
          <cell r="E4804" t="str">
            <v>B-62505</v>
          </cell>
          <cell r="F4804">
            <v>10109803</v>
          </cell>
          <cell r="G4804">
            <v>10018399</v>
          </cell>
        </row>
        <row r="4805">
          <cell r="E4805" t="str">
            <v>B-62511</v>
          </cell>
          <cell r="F4805">
            <v>10109804</v>
          </cell>
          <cell r="G4805">
            <v>10018400</v>
          </cell>
        </row>
        <row r="4806">
          <cell r="E4806" t="str">
            <v>B-62527</v>
          </cell>
          <cell r="F4806">
            <v>10109805</v>
          </cell>
          <cell r="G4806">
            <v>10018401</v>
          </cell>
        </row>
        <row r="4807">
          <cell r="E4807" t="str">
            <v>B-62577</v>
          </cell>
          <cell r="F4807">
            <v>10109806</v>
          </cell>
          <cell r="G4807">
            <v>10018402</v>
          </cell>
        </row>
        <row r="4808">
          <cell r="E4808" t="str">
            <v>B-62599</v>
          </cell>
          <cell r="F4808">
            <v>10109807</v>
          </cell>
          <cell r="G4808">
            <v>10018403</v>
          </cell>
        </row>
        <row r="4809">
          <cell r="E4809" t="str">
            <v>B-62664</v>
          </cell>
          <cell r="F4809">
            <v>10109808</v>
          </cell>
          <cell r="G4809">
            <v>10018404</v>
          </cell>
        </row>
        <row r="4810">
          <cell r="E4810" t="str">
            <v>B-62692</v>
          </cell>
          <cell r="F4810">
            <v>10109809</v>
          </cell>
          <cell r="G4810">
            <v>10018405</v>
          </cell>
        </row>
        <row r="4811">
          <cell r="E4811" t="str">
            <v>B-62717</v>
          </cell>
          <cell r="F4811">
            <v>10109810</v>
          </cell>
          <cell r="G4811">
            <v>10018406</v>
          </cell>
        </row>
        <row r="4812">
          <cell r="E4812" t="str">
            <v>B-62723</v>
          </cell>
          <cell r="F4812">
            <v>10109811</v>
          </cell>
          <cell r="G4812">
            <v>10018407</v>
          </cell>
        </row>
        <row r="4813">
          <cell r="E4813" t="str">
            <v>B-65919</v>
          </cell>
          <cell r="F4813">
            <v>10109812</v>
          </cell>
          <cell r="G4813">
            <v>10018408</v>
          </cell>
        </row>
        <row r="4814">
          <cell r="E4814" t="str">
            <v>B-65931</v>
          </cell>
          <cell r="F4814">
            <v>10109813</v>
          </cell>
          <cell r="G4814">
            <v>10018409</v>
          </cell>
        </row>
        <row r="4815">
          <cell r="E4815" t="str">
            <v>B-66020</v>
          </cell>
          <cell r="F4815">
            <v>10109814</v>
          </cell>
          <cell r="G4815">
            <v>10018410</v>
          </cell>
        </row>
        <row r="4816">
          <cell r="E4816" t="str">
            <v>792259-0</v>
          </cell>
          <cell r="F4816">
            <v>10109815</v>
          </cell>
          <cell r="G4816">
            <v>10018411</v>
          </cell>
        </row>
        <row r="4817">
          <cell r="E4817" t="str">
            <v>D-63616</v>
          </cell>
          <cell r="F4817">
            <v>10109816</v>
          </cell>
          <cell r="G4817">
            <v>10018412</v>
          </cell>
        </row>
        <row r="4818">
          <cell r="E4818" t="str">
            <v>E-11972</v>
          </cell>
          <cell r="F4818">
            <v>10109817</v>
          </cell>
          <cell r="G4818">
            <v>10018413</v>
          </cell>
        </row>
        <row r="4819">
          <cell r="E4819" t="str">
            <v>A-83967</v>
          </cell>
          <cell r="F4819">
            <v>10109818</v>
          </cell>
          <cell r="G4819">
            <v>10018414</v>
          </cell>
        </row>
        <row r="4820">
          <cell r="E4820" t="str">
            <v>D-63622</v>
          </cell>
          <cell r="F4820">
            <v>10109819</v>
          </cell>
          <cell r="G4820">
            <v>10018415</v>
          </cell>
        </row>
        <row r="4821">
          <cell r="E4821" t="str">
            <v>D-65414</v>
          </cell>
          <cell r="F4821">
            <v>10109820</v>
          </cell>
          <cell r="G4821">
            <v>10018416</v>
          </cell>
        </row>
        <row r="4822">
          <cell r="E4822" t="str">
            <v>D-42640</v>
          </cell>
          <cell r="F4822">
            <v>10109822</v>
          </cell>
          <cell r="G4822">
            <v>10018418</v>
          </cell>
        </row>
        <row r="4823">
          <cell r="E4823" t="str">
            <v>D-62810</v>
          </cell>
          <cell r="F4823">
            <v>10109823</v>
          </cell>
          <cell r="G4823">
            <v>10018419</v>
          </cell>
        </row>
        <row r="4824">
          <cell r="E4824" t="str">
            <v>199163-8</v>
          </cell>
          <cell r="F4824">
            <v>10109824</v>
          </cell>
          <cell r="G4824">
            <v>10018420</v>
          </cell>
        </row>
        <row r="4825">
          <cell r="E4825" t="str">
            <v>A-68672</v>
          </cell>
          <cell r="F4825">
            <v>10109825</v>
          </cell>
          <cell r="G4825">
            <v>10018421</v>
          </cell>
        </row>
        <row r="4826">
          <cell r="E4826" t="str">
            <v>A-68666</v>
          </cell>
          <cell r="F4826">
            <v>10109826</v>
          </cell>
          <cell r="G4826">
            <v>10018422</v>
          </cell>
        </row>
        <row r="4827">
          <cell r="E4827" t="str">
            <v>D-29913</v>
          </cell>
          <cell r="F4827">
            <v>10109828</v>
          </cell>
          <cell r="G4827">
            <v>10018424</v>
          </cell>
        </row>
        <row r="4828">
          <cell r="E4828" t="str">
            <v>122A40-5</v>
          </cell>
          <cell r="F4828">
            <v>10109275</v>
          </cell>
          <cell r="G4828">
            <v>40006408</v>
          </cell>
        </row>
        <row r="4829">
          <cell r="E4829" t="str">
            <v>629228-7</v>
          </cell>
          <cell r="F4829">
            <v>10109481</v>
          </cell>
          <cell r="G4829">
            <v>40005353</v>
          </cell>
        </row>
        <row r="4830">
          <cell r="E4830" t="str">
            <v>216040-0</v>
          </cell>
          <cell r="F4830">
            <v>10109482</v>
          </cell>
          <cell r="G4830">
            <v>40005354</v>
          </cell>
        </row>
        <row r="4831">
          <cell r="E4831" t="str">
            <v>JM23200012</v>
          </cell>
          <cell r="F4831">
            <v>10058421</v>
          </cell>
          <cell r="G4831">
            <v>40005735</v>
          </cell>
        </row>
        <row r="4832">
          <cell r="E4832">
            <v>2817304</v>
          </cell>
          <cell r="F4832">
            <v>10001341</v>
          </cell>
        </row>
        <row r="4833">
          <cell r="E4833">
            <v>965404981</v>
          </cell>
          <cell r="F4833">
            <v>10107198</v>
          </cell>
          <cell r="G4833">
            <v>40005816</v>
          </cell>
        </row>
        <row r="4834">
          <cell r="E4834" t="str">
            <v>411305-7</v>
          </cell>
          <cell r="F4834">
            <v>10109279</v>
          </cell>
          <cell r="G4834">
            <v>40005344</v>
          </cell>
        </row>
        <row r="4835">
          <cell r="E4835" t="str">
            <v>327266-0</v>
          </cell>
          <cell r="F4835">
            <v>10109283</v>
          </cell>
          <cell r="G4835">
            <v>40005346</v>
          </cell>
        </row>
        <row r="4836">
          <cell r="E4836" t="str">
            <v>211242-3</v>
          </cell>
          <cell r="F4836">
            <v>10109285</v>
          </cell>
          <cell r="G4836">
            <v>40005348</v>
          </cell>
        </row>
        <row r="4837">
          <cell r="E4837" t="str">
            <v>226648-2</v>
          </cell>
          <cell r="F4837">
            <v>10015770</v>
          </cell>
          <cell r="G4837">
            <v>40007518</v>
          </cell>
        </row>
        <row r="4838">
          <cell r="E4838" t="str">
            <v>253906-3</v>
          </cell>
          <cell r="F4838">
            <v>10109277</v>
          </cell>
          <cell r="G4838">
            <v>40006412</v>
          </cell>
        </row>
        <row r="4839">
          <cell r="E4839">
            <v>389213081</v>
          </cell>
          <cell r="F4839">
            <v>10109271</v>
          </cell>
          <cell r="G4839">
            <v>40005850</v>
          </cell>
        </row>
        <row r="4840">
          <cell r="E4840" t="str">
            <v>JM21000191</v>
          </cell>
          <cell r="F4840">
            <v>10109273</v>
          </cell>
          <cell r="G4840">
            <v>40005854</v>
          </cell>
        </row>
        <row r="4841">
          <cell r="E4841" t="str">
            <v>132311-6</v>
          </cell>
          <cell r="F4841">
            <v>10109274</v>
          </cell>
          <cell r="G4841">
            <v>40006405</v>
          </cell>
        </row>
        <row r="4842">
          <cell r="E4842" t="str">
            <v>267010-2</v>
          </cell>
          <cell r="F4842">
            <v>10044753</v>
          </cell>
          <cell r="G4842">
            <v>40006791</v>
          </cell>
        </row>
        <row r="4843">
          <cell r="E4843" t="str">
            <v>261104-5</v>
          </cell>
          <cell r="F4843">
            <v>10044742</v>
          </cell>
          <cell r="G4843">
            <v>40006781</v>
          </cell>
        </row>
        <row r="4844">
          <cell r="E4844" t="str">
            <v>285732-2</v>
          </cell>
          <cell r="F4844">
            <v>10044759</v>
          </cell>
          <cell r="G4844">
            <v>40006796</v>
          </cell>
        </row>
        <row r="4845">
          <cell r="E4845" t="str">
            <v>325643-0</v>
          </cell>
          <cell r="F4845">
            <v>10044748</v>
          </cell>
          <cell r="G4845">
            <v>40006786</v>
          </cell>
        </row>
        <row r="4846">
          <cell r="E4846" t="str">
            <v>442147-8</v>
          </cell>
          <cell r="F4846">
            <v>10044752</v>
          </cell>
          <cell r="G4846">
            <v>40006790</v>
          </cell>
        </row>
        <row r="4847">
          <cell r="E4847" t="str">
            <v>325798-1</v>
          </cell>
          <cell r="F4847">
            <v>10110145</v>
          </cell>
          <cell r="G4847">
            <v>40005356</v>
          </cell>
        </row>
        <row r="4848">
          <cell r="E4848" t="str">
            <v>266309-2</v>
          </cell>
          <cell r="F4848">
            <v>10045361</v>
          </cell>
          <cell r="G4848">
            <v>40006805</v>
          </cell>
        </row>
        <row r="4849">
          <cell r="E4849" t="str">
            <v>322376-8</v>
          </cell>
          <cell r="F4849">
            <v>10108351</v>
          </cell>
          <cell r="G4849">
            <v>40005848</v>
          </cell>
        </row>
        <row r="4850">
          <cell r="E4850" t="str">
            <v>632J24-4</v>
          </cell>
          <cell r="F4850">
            <v>10110148</v>
          </cell>
        </row>
        <row r="4851">
          <cell r="E4851" t="str">
            <v>241673-2</v>
          </cell>
          <cell r="F4851">
            <v>10109288</v>
          </cell>
          <cell r="G4851">
            <v>40005350</v>
          </cell>
        </row>
        <row r="4852">
          <cell r="E4852" t="str">
            <v>JM23200016</v>
          </cell>
          <cell r="F4852">
            <v>10063046</v>
          </cell>
          <cell r="G4852">
            <v>40006017</v>
          </cell>
        </row>
        <row r="4853">
          <cell r="E4853" t="str">
            <v>140P57-6</v>
          </cell>
          <cell r="F4853">
            <v>10109289</v>
          </cell>
          <cell r="G4853">
            <v>40005351</v>
          </cell>
        </row>
        <row r="4854">
          <cell r="E4854" t="str">
            <v>140S89-1</v>
          </cell>
          <cell r="F4854">
            <v>10109282</v>
          </cell>
          <cell r="G4854">
            <v>40005345</v>
          </cell>
        </row>
        <row r="4855">
          <cell r="E4855" t="str">
            <v>620555-5</v>
          </cell>
          <cell r="F4855">
            <v>10109479</v>
          </cell>
          <cell r="G4855">
            <v>40005352</v>
          </cell>
        </row>
        <row r="4856">
          <cell r="E4856" t="str">
            <v>183C54-1</v>
          </cell>
          <cell r="F4856">
            <v>10109480</v>
          </cell>
        </row>
        <row r="4857">
          <cell r="E4857" t="str">
            <v>345160-4</v>
          </cell>
          <cell r="F4857">
            <v>10001323</v>
          </cell>
          <cell r="G4857">
            <v>40007099</v>
          </cell>
        </row>
        <row r="4858">
          <cell r="E4858" t="str">
            <v>517303-0</v>
          </cell>
          <cell r="F4858">
            <v>10000799</v>
          </cell>
          <cell r="G4858">
            <v>40007457</v>
          </cell>
        </row>
        <row r="4859">
          <cell r="E4859" t="str">
            <v>521623-6</v>
          </cell>
          <cell r="F4859">
            <v>10000903</v>
          </cell>
          <cell r="G4859">
            <v>40007774</v>
          </cell>
        </row>
        <row r="4860">
          <cell r="E4860" t="str">
            <v>136312-6</v>
          </cell>
          <cell r="F4860">
            <v>10110150</v>
          </cell>
          <cell r="G4860">
            <v>40005360</v>
          </cell>
        </row>
        <row r="4861">
          <cell r="E4861" t="str">
            <v>513989-8</v>
          </cell>
          <cell r="F4861">
            <v>10110146</v>
          </cell>
          <cell r="G4861">
            <v>40005357</v>
          </cell>
        </row>
        <row r="4862">
          <cell r="E4862" t="str">
            <v>633994-0</v>
          </cell>
          <cell r="F4862">
            <v>10110147</v>
          </cell>
          <cell r="G4862">
            <v>40005358</v>
          </cell>
        </row>
        <row r="4863">
          <cell r="E4863">
            <v>1213020</v>
          </cell>
          <cell r="F4863">
            <v>10109272</v>
          </cell>
          <cell r="G4863">
            <v>40005852</v>
          </cell>
        </row>
        <row r="4864">
          <cell r="E4864" t="str">
            <v>213622-9</v>
          </cell>
          <cell r="F4864">
            <v>10109284</v>
          </cell>
          <cell r="G4864">
            <v>40005347</v>
          </cell>
        </row>
        <row r="4865">
          <cell r="E4865" t="str">
            <v>183C34-7</v>
          </cell>
          <cell r="F4865">
            <v>10109286</v>
          </cell>
          <cell r="G4865">
            <v>40005349</v>
          </cell>
        </row>
        <row r="4866">
          <cell r="E4866" t="str">
            <v>763260-2</v>
          </cell>
          <cell r="F4866">
            <v>10109478</v>
          </cell>
          <cell r="G4866">
            <v>10018368</v>
          </cell>
        </row>
        <row r="4867">
          <cell r="E4867" t="str">
            <v>DCL280FZW1</v>
          </cell>
          <cell r="F4867">
            <v>10109705</v>
          </cell>
          <cell r="G4867">
            <v>10018370</v>
          </cell>
        </row>
        <row r="4868">
          <cell r="E4868" t="str">
            <v>CL106FDZ</v>
          </cell>
          <cell r="F4868">
            <v>10109706</v>
          </cell>
          <cell r="G4868">
            <v>10018372</v>
          </cell>
        </row>
        <row r="4869">
          <cell r="E4869" t="str">
            <v>LS002GZ</v>
          </cell>
          <cell r="F4869">
            <v>10109707</v>
          </cell>
          <cell r="G4869">
            <v>10018374</v>
          </cell>
        </row>
        <row r="4870">
          <cell r="E4870">
            <v>957151102</v>
          </cell>
          <cell r="F4870">
            <v>10109713</v>
          </cell>
          <cell r="G4870">
            <v>40005355</v>
          </cell>
        </row>
        <row r="4871">
          <cell r="E4871" t="str">
            <v>619341-9</v>
          </cell>
          <cell r="F4871">
            <v>10110149</v>
          </cell>
          <cell r="G4871">
            <v>40005359</v>
          </cell>
        </row>
        <row r="4872">
          <cell r="E4872" t="str">
            <v>632U16-9</v>
          </cell>
          <cell r="F4872">
            <v>10110235</v>
          </cell>
          <cell r="G4872">
            <v>40005361</v>
          </cell>
        </row>
        <row r="4873">
          <cell r="E4873" t="str">
            <v>DHP482ZK</v>
          </cell>
          <cell r="F4873">
            <v>10110932</v>
          </cell>
          <cell r="G4873">
            <v>10018439</v>
          </cell>
        </row>
        <row r="4874">
          <cell r="E4874" t="str">
            <v>DMP180Z</v>
          </cell>
          <cell r="F4874">
            <v>10110933</v>
          </cell>
          <cell r="G4874">
            <v>10018441</v>
          </cell>
        </row>
        <row r="4875">
          <cell r="E4875" t="str">
            <v>DRV150Z</v>
          </cell>
          <cell r="F4875">
            <v>10110934</v>
          </cell>
          <cell r="G4875">
            <v>10018444</v>
          </cell>
        </row>
        <row r="4876">
          <cell r="E4876" t="str">
            <v>DHR183RTWJ</v>
          </cell>
          <cell r="F4876">
            <v>10110935</v>
          </cell>
          <cell r="G4876">
            <v>10018446</v>
          </cell>
        </row>
        <row r="4877">
          <cell r="E4877" t="str">
            <v>1911L1-0</v>
          </cell>
          <cell r="F4877">
            <v>10110936</v>
          </cell>
          <cell r="G4877">
            <v>10018448</v>
          </cell>
        </row>
        <row r="4878">
          <cell r="E4878" t="str">
            <v>B-65517</v>
          </cell>
          <cell r="F4878">
            <v>10110937</v>
          </cell>
          <cell r="G4878">
            <v>10018450</v>
          </cell>
        </row>
        <row r="4879">
          <cell r="E4879" t="str">
            <v>E-13742</v>
          </cell>
          <cell r="F4879">
            <v>10110938</v>
          </cell>
          <cell r="G4879">
            <v>10018452</v>
          </cell>
        </row>
        <row r="4880">
          <cell r="E4880" t="str">
            <v>E-14227</v>
          </cell>
          <cell r="F4880">
            <v>10110939</v>
          </cell>
          <cell r="G4880">
            <v>10018454</v>
          </cell>
        </row>
        <row r="4881">
          <cell r="E4881" t="str">
            <v>E-14233</v>
          </cell>
          <cell r="F4881">
            <v>10110940</v>
          </cell>
          <cell r="G4881">
            <v>10018456</v>
          </cell>
        </row>
        <row r="4882">
          <cell r="E4882" t="str">
            <v>194419-4</v>
          </cell>
          <cell r="F4882">
            <v>10110941</v>
          </cell>
          <cell r="G4882">
            <v>10018458</v>
          </cell>
        </row>
        <row r="4883">
          <cell r="E4883" t="str">
            <v>B-03030</v>
          </cell>
          <cell r="F4883">
            <v>10110942</v>
          </cell>
          <cell r="G4883">
            <v>10018460</v>
          </cell>
        </row>
        <row r="4884">
          <cell r="E4884" t="str">
            <v>D-67599</v>
          </cell>
          <cell r="F4884">
            <v>10110943</v>
          </cell>
          <cell r="G4884">
            <v>10018462</v>
          </cell>
        </row>
        <row r="4885">
          <cell r="E4885" t="str">
            <v>ACC STAND</v>
          </cell>
          <cell r="F4885">
            <v>10110944</v>
          </cell>
          <cell r="G4885">
            <v>10018464</v>
          </cell>
        </row>
        <row r="4886">
          <cell r="E4886" t="str">
            <v>VACUUM STAND</v>
          </cell>
          <cell r="F4886">
            <v>10110945</v>
          </cell>
          <cell r="G4886">
            <v>10018466</v>
          </cell>
        </row>
        <row r="4887">
          <cell r="E4887" t="str">
            <v>Z-10493</v>
          </cell>
          <cell r="F4887">
            <v>10110946</v>
          </cell>
          <cell r="G4887">
            <v>10018468</v>
          </cell>
        </row>
        <row r="4888">
          <cell r="E4888" t="str">
            <v>Z-10493</v>
          </cell>
          <cell r="F4888">
            <v>10110947</v>
          </cell>
          <cell r="G4888">
            <v>10018470</v>
          </cell>
        </row>
        <row r="4889">
          <cell r="E4889" t="str">
            <v>Z-10494</v>
          </cell>
          <cell r="F4889">
            <v>10110948</v>
          </cell>
          <cell r="G4889">
            <v>10018472</v>
          </cell>
        </row>
        <row r="4890">
          <cell r="E4890" t="str">
            <v>Z-10494</v>
          </cell>
          <cell r="F4890">
            <v>10110949</v>
          </cell>
          <cell r="G4890">
            <v>10018474</v>
          </cell>
        </row>
        <row r="4891">
          <cell r="E4891" t="str">
            <v>JM27000317</v>
          </cell>
          <cell r="F4891">
            <v>10110979</v>
          </cell>
          <cell r="G4891">
            <v>40005374</v>
          </cell>
        </row>
        <row r="4892">
          <cell r="E4892" t="str">
            <v>266755-9</v>
          </cell>
          <cell r="F4892">
            <v>10110980</v>
          </cell>
          <cell r="G4892">
            <v>40005375</v>
          </cell>
        </row>
        <row r="4893">
          <cell r="E4893" t="str">
            <v>456252-5</v>
          </cell>
          <cell r="F4893">
            <v>10110983</v>
          </cell>
          <cell r="G4893">
            <v>40005376</v>
          </cell>
        </row>
        <row r="4894">
          <cell r="E4894" t="str">
            <v>188104-9</v>
          </cell>
          <cell r="F4894">
            <v>10110985</v>
          </cell>
        </row>
        <row r="4895">
          <cell r="E4895" t="str">
            <v>154960-9</v>
          </cell>
          <cell r="F4895">
            <v>10110986</v>
          </cell>
        </row>
        <row r="4896">
          <cell r="E4896" t="str">
            <v>233633-8</v>
          </cell>
          <cell r="F4896">
            <v>10110987</v>
          </cell>
          <cell r="G4896">
            <v>40005377</v>
          </cell>
        </row>
        <row r="4897">
          <cell r="E4897" t="str">
            <v>317284-6</v>
          </cell>
          <cell r="F4897">
            <v>10110988</v>
          </cell>
          <cell r="G4897">
            <v>40005378</v>
          </cell>
        </row>
        <row r="4898">
          <cell r="E4898" t="str">
            <v>261114-2</v>
          </cell>
          <cell r="F4898">
            <v>10110989</v>
          </cell>
          <cell r="G4898">
            <v>40005379</v>
          </cell>
        </row>
        <row r="4899">
          <cell r="E4899" t="str">
            <v>316527-3</v>
          </cell>
          <cell r="F4899">
            <v>10110990</v>
          </cell>
          <cell r="G4899">
            <v>40005380</v>
          </cell>
        </row>
        <row r="4900">
          <cell r="E4900" t="str">
            <v>322633-4</v>
          </cell>
          <cell r="F4900">
            <v>10110991</v>
          </cell>
          <cell r="G4900">
            <v>40011825</v>
          </cell>
        </row>
        <row r="4901">
          <cell r="E4901" t="str">
            <v>619408-3</v>
          </cell>
          <cell r="F4901">
            <v>10110992</v>
          </cell>
          <cell r="G4901">
            <v>40005381</v>
          </cell>
        </row>
        <row r="4902">
          <cell r="E4902" t="str">
            <v>222050-7</v>
          </cell>
          <cell r="F4902">
            <v>10110993</v>
          </cell>
          <cell r="G4902">
            <v>40005382</v>
          </cell>
        </row>
        <row r="4903">
          <cell r="E4903" t="str">
            <v>513459-7</v>
          </cell>
          <cell r="F4903">
            <v>10110994</v>
          </cell>
          <cell r="G4903">
            <v>40005383</v>
          </cell>
        </row>
        <row r="4904">
          <cell r="E4904" t="str">
            <v>629900-1</v>
          </cell>
          <cell r="F4904">
            <v>10110995</v>
          </cell>
          <cell r="G4904">
            <v>40005384</v>
          </cell>
        </row>
        <row r="4905">
          <cell r="E4905" t="str">
            <v>140736-0</v>
          </cell>
          <cell r="F4905">
            <v>10111099</v>
          </cell>
          <cell r="G4905">
            <v>40005385</v>
          </cell>
        </row>
        <row r="4906">
          <cell r="E4906" t="str">
            <v>142973-2</v>
          </cell>
          <cell r="F4906">
            <v>10111100</v>
          </cell>
          <cell r="G4906">
            <v>40005386</v>
          </cell>
        </row>
        <row r="4907">
          <cell r="E4907" t="str">
            <v>143975-1</v>
          </cell>
          <cell r="F4907">
            <v>10111101</v>
          </cell>
          <cell r="G4907">
            <v>40005387</v>
          </cell>
        </row>
        <row r="4908">
          <cell r="E4908" t="str">
            <v>417807-1</v>
          </cell>
          <cell r="F4908">
            <v>10111102</v>
          </cell>
          <cell r="G4908">
            <v>40005388</v>
          </cell>
        </row>
        <row r="4909">
          <cell r="E4909" t="str">
            <v>219019-0</v>
          </cell>
          <cell r="F4909">
            <v>10111103</v>
          </cell>
          <cell r="G4909">
            <v>40005389</v>
          </cell>
        </row>
        <row r="4910">
          <cell r="E4910" t="str">
            <v>226141-6</v>
          </cell>
          <cell r="F4910">
            <v>10111104</v>
          </cell>
          <cell r="G4910">
            <v>40005390</v>
          </cell>
        </row>
        <row r="4911">
          <cell r="E4911" t="str">
            <v>257932-4</v>
          </cell>
          <cell r="F4911">
            <v>10111105</v>
          </cell>
          <cell r="G4911">
            <v>40010253</v>
          </cell>
        </row>
        <row r="4912">
          <cell r="E4912" t="str">
            <v>324278-4</v>
          </cell>
          <cell r="F4912">
            <v>10111107</v>
          </cell>
          <cell r="G4912">
            <v>40005391</v>
          </cell>
        </row>
        <row r="4913">
          <cell r="E4913" t="str">
            <v>331706-2</v>
          </cell>
          <cell r="F4913">
            <v>10111108</v>
          </cell>
          <cell r="G4913">
            <v>40005392</v>
          </cell>
        </row>
        <row r="4914">
          <cell r="E4914" t="str">
            <v>332139-4</v>
          </cell>
          <cell r="F4914">
            <v>10111109</v>
          </cell>
          <cell r="G4914">
            <v>40005393</v>
          </cell>
        </row>
        <row r="4915">
          <cell r="E4915" t="str">
            <v>418143-8</v>
          </cell>
          <cell r="F4915">
            <v>10111110</v>
          </cell>
        </row>
        <row r="4916">
          <cell r="E4916" t="str">
            <v>456711-9</v>
          </cell>
          <cell r="F4916">
            <v>10111111</v>
          </cell>
          <cell r="G4916">
            <v>40005394</v>
          </cell>
        </row>
        <row r="4917">
          <cell r="E4917" t="str">
            <v>620E43-2</v>
          </cell>
          <cell r="F4917">
            <v>10111112</v>
          </cell>
          <cell r="G4917">
            <v>40005395</v>
          </cell>
        </row>
        <row r="4918">
          <cell r="E4918" t="str">
            <v>628390-5</v>
          </cell>
          <cell r="F4918">
            <v>10111113</v>
          </cell>
        </row>
        <row r="4919">
          <cell r="E4919" t="str">
            <v>JM23000211</v>
          </cell>
          <cell r="F4919">
            <v>10111114</v>
          </cell>
          <cell r="G4919">
            <v>40005396</v>
          </cell>
        </row>
        <row r="4920">
          <cell r="E4920" t="str">
            <v>JM23200031</v>
          </cell>
          <cell r="F4920">
            <v>10111115</v>
          </cell>
          <cell r="G4920">
            <v>40005397</v>
          </cell>
        </row>
        <row r="4921">
          <cell r="E4921" t="str">
            <v>JM23200023</v>
          </cell>
          <cell r="F4921">
            <v>10111116</v>
          </cell>
          <cell r="G4921">
            <v>40005398</v>
          </cell>
        </row>
        <row r="4922">
          <cell r="E4922" t="str">
            <v>TG00000005</v>
          </cell>
          <cell r="F4922">
            <v>10111117</v>
          </cell>
          <cell r="G4922">
            <v>40005399</v>
          </cell>
        </row>
        <row r="4923">
          <cell r="E4923" t="str">
            <v>BTC06</v>
          </cell>
          <cell r="F4923">
            <v>10111118</v>
          </cell>
          <cell r="G4923">
            <v>10018476</v>
          </cell>
        </row>
        <row r="4924">
          <cell r="E4924" t="str">
            <v>257390-4</v>
          </cell>
          <cell r="F4924">
            <v>10111119</v>
          </cell>
          <cell r="G4924">
            <v>40005400</v>
          </cell>
        </row>
        <row r="4925">
          <cell r="E4925" t="str">
            <v>266320-4</v>
          </cell>
          <cell r="F4925">
            <v>10111120</v>
          </cell>
          <cell r="G4925">
            <v>40005401</v>
          </cell>
        </row>
        <row r="4926">
          <cell r="E4926" t="str">
            <v>231638-2</v>
          </cell>
          <cell r="F4926">
            <v>10111121</v>
          </cell>
          <cell r="G4926">
            <v>40005402</v>
          </cell>
        </row>
        <row r="4927">
          <cell r="E4927" t="str">
            <v>M9400B</v>
          </cell>
          <cell r="F4927">
            <v>10111122</v>
          </cell>
          <cell r="G4927">
            <v>10017886</v>
          </cell>
        </row>
        <row r="4928">
          <cell r="E4928" t="str">
            <v>D-50550</v>
          </cell>
          <cell r="F4928">
            <v>10111123</v>
          </cell>
          <cell r="G4928">
            <v>10017887</v>
          </cell>
        </row>
        <row r="4929">
          <cell r="E4929">
            <v>980008606</v>
          </cell>
          <cell r="F4929">
            <v>10111124</v>
          </cell>
          <cell r="G4929">
            <v>10017888</v>
          </cell>
        </row>
        <row r="4930">
          <cell r="E4930" t="str">
            <v>191H08-4</v>
          </cell>
          <cell r="F4930">
            <v>10111125</v>
          </cell>
          <cell r="G4930">
            <v>10017889</v>
          </cell>
        </row>
        <row r="4931">
          <cell r="E4931" t="str">
            <v>DTD152Z</v>
          </cell>
          <cell r="F4931">
            <v>10111827</v>
          </cell>
          <cell r="G4931">
            <v>10017890</v>
          </cell>
        </row>
        <row r="4932">
          <cell r="E4932" t="str">
            <v>DUH506Z</v>
          </cell>
          <cell r="F4932">
            <v>10111828</v>
          </cell>
          <cell r="G4932">
            <v>10017891</v>
          </cell>
        </row>
        <row r="4933">
          <cell r="E4933" t="str">
            <v>DGA406ZK</v>
          </cell>
          <cell r="F4933">
            <v>10111829</v>
          </cell>
          <cell r="G4933">
            <v>10017892</v>
          </cell>
        </row>
        <row r="4934">
          <cell r="E4934" t="str">
            <v>619672-6</v>
          </cell>
          <cell r="F4934">
            <v>10111830</v>
          </cell>
          <cell r="G4934">
            <v>40005403</v>
          </cell>
        </row>
        <row r="4935">
          <cell r="E4935" t="str">
            <v>629A44-3</v>
          </cell>
          <cell r="F4935">
            <v>10111831</v>
          </cell>
          <cell r="G4935">
            <v>40005404</v>
          </cell>
        </row>
        <row r="4936">
          <cell r="E4936" t="str">
            <v>122B23-1</v>
          </cell>
          <cell r="F4936">
            <v>10111832</v>
          </cell>
          <cell r="G4936">
            <v>40005405</v>
          </cell>
        </row>
        <row r="4937">
          <cell r="E4937" t="str">
            <v>629A41-9</v>
          </cell>
          <cell r="F4937">
            <v>10111833</v>
          </cell>
          <cell r="G4937">
            <v>40005406</v>
          </cell>
        </row>
        <row r="4938">
          <cell r="E4938" t="str">
            <v>619671-8</v>
          </cell>
          <cell r="F4938">
            <v>10111834</v>
          </cell>
          <cell r="G4938">
            <v>40005408</v>
          </cell>
        </row>
        <row r="4939">
          <cell r="E4939" t="str">
            <v>629A16-8</v>
          </cell>
          <cell r="F4939">
            <v>10111835</v>
          </cell>
          <cell r="G4939">
            <v>40005409</v>
          </cell>
        </row>
        <row r="4940">
          <cell r="E4940" t="str">
            <v>620G71-9</v>
          </cell>
          <cell r="F4940">
            <v>10111837</v>
          </cell>
          <cell r="G4940">
            <v>40005410</v>
          </cell>
        </row>
        <row r="4941">
          <cell r="E4941" t="str">
            <v>135602-4</v>
          </cell>
          <cell r="F4941">
            <v>10111838</v>
          </cell>
          <cell r="G4941">
            <v>40005412</v>
          </cell>
        </row>
        <row r="4942">
          <cell r="E4942" t="str">
            <v>513479-1</v>
          </cell>
          <cell r="F4942">
            <v>10111839</v>
          </cell>
          <cell r="G4942">
            <v>40005414</v>
          </cell>
        </row>
        <row r="4943">
          <cell r="E4943" t="str">
            <v>416451-1</v>
          </cell>
          <cell r="F4943">
            <v>10111840</v>
          </cell>
          <cell r="G4943">
            <v>40005416</v>
          </cell>
        </row>
        <row r="4944">
          <cell r="E4944" t="str">
            <v>593889-8</v>
          </cell>
          <cell r="F4944">
            <v>10111841</v>
          </cell>
          <cell r="G4944">
            <v>40005418</v>
          </cell>
        </row>
        <row r="4945">
          <cell r="E4945" t="str">
            <v>E-14532</v>
          </cell>
          <cell r="F4945">
            <v>10111842</v>
          </cell>
          <cell r="G4945">
            <v>10017893</v>
          </cell>
        </row>
        <row r="4946">
          <cell r="E4946" t="str">
            <v>144787-5</v>
          </cell>
          <cell r="F4946">
            <v>10111843</v>
          </cell>
          <cell r="G4946">
            <v>10017894</v>
          </cell>
        </row>
        <row r="4947">
          <cell r="E4947" t="str">
            <v>594704-9</v>
          </cell>
          <cell r="F4947">
            <v>10111844</v>
          </cell>
          <cell r="G4947">
            <v>40005163</v>
          </cell>
        </row>
        <row r="4948">
          <cell r="E4948" t="str">
            <v>629C05-5</v>
          </cell>
          <cell r="F4948">
            <v>10111846</v>
          </cell>
          <cell r="G4948">
            <v>40005420</v>
          </cell>
        </row>
        <row r="4949">
          <cell r="E4949">
            <v>3640990</v>
          </cell>
          <cell r="F4949">
            <v>10111847</v>
          </cell>
          <cell r="G4949">
            <v>40005422</v>
          </cell>
        </row>
        <row r="4950">
          <cell r="E4950" t="str">
            <v>421817-2</v>
          </cell>
          <cell r="F4950">
            <v>10111848</v>
          </cell>
        </row>
        <row r="4951">
          <cell r="E4951" t="str">
            <v>962068-3</v>
          </cell>
          <cell r="F4951">
            <v>10111849</v>
          </cell>
        </row>
        <row r="4952">
          <cell r="E4952" t="str">
            <v>688117-5</v>
          </cell>
          <cell r="F4952">
            <v>10111850</v>
          </cell>
        </row>
        <row r="4953">
          <cell r="E4953" t="str">
            <v>231433-0</v>
          </cell>
          <cell r="F4953">
            <v>10111851</v>
          </cell>
        </row>
        <row r="4954">
          <cell r="E4954" t="str">
            <v>141776-1</v>
          </cell>
          <cell r="F4954">
            <v>10111852</v>
          </cell>
          <cell r="G4954">
            <v>40005424</v>
          </cell>
        </row>
        <row r="4955">
          <cell r="E4955" t="str">
            <v>416171-7</v>
          </cell>
          <cell r="F4955">
            <v>10111853</v>
          </cell>
          <cell r="G4955">
            <v>40005426</v>
          </cell>
        </row>
        <row r="4956">
          <cell r="E4956" t="str">
            <v>JM23300063</v>
          </cell>
          <cell r="F4956">
            <v>10111858</v>
          </cell>
        </row>
        <row r="4957">
          <cell r="E4957" t="str">
            <v>JM23300310</v>
          </cell>
          <cell r="F4957">
            <v>10111859</v>
          </cell>
        </row>
        <row r="4958">
          <cell r="E4958" t="str">
            <v>318382-9</v>
          </cell>
          <cell r="F4958">
            <v>10111860</v>
          </cell>
          <cell r="G4958">
            <v>40005428</v>
          </cell>
        </row>
        <row r="4959">
          <cell r="E4959" t="str">
            <v>452237-9</v>
          </cell>
          <cell r="F4959">
            <v>10111861</v>
          </cell>
        </row>
        <row r="4960">
          <cell r="E4960" t="str">
            <v>620033-5</v>
          </cell>
          <cell r="F4960">
            <v>10111862</v>
          </cell>
          <cell r="G4960">
            <v>40010380</v>
          </cell>
        </row>
        <row r="4961">
          <cell r="E4961" t="str">
            <v>221427-3</v>
          </cell>
          <cell r="F4961">
            <v>10109276</v>
          </cell>
          <cell r="G4961">
            <v>40006410</v>
          </cell>
        </row>
        <row r="4962">
          <cell r="E4962" t="str">
            <v>JM27000323</v>
          </cell>
          <cell r="F4962">
            <v>10109278</v>
          </cell>
          <cell r="G4962">
            <v>40011335</v>
          </cell>
        </row>
        <row r="4963">
          <cell r="E4963" t="str">
            <v>142971-6</v>
          </cell>
          <cell r="F4963">
            <v>10109280</v>
          </cell>
        </row>
        <row r="4964">
          <cell r="E4964" t="str">
            <v>452018-1</v>
          </cell>
          <cell r="F4964">
            <v>10051007</v>
          </cell>
          <cell r="G4964">
            <v>40006914</v>
          </cell>
        </row>
        <row r="4965">
          <cell r="E4965" t="str">
            <v>267756-0</v>
          </cell>
          <cell r="F4965">
            <v>10050962</v>
          </cell>
        </row>
        <row r="4966">
          <cell r="E4966" t="str">
            <v>181150-1</v>
          </cell>
          <cell r="F4966">
            <v>10006496</v>
          </cell>
          <cell r="G4966">
            <v>40008252</v>
          </cell>
        </row>
        <row r="4967">
          <cell r="E4967" t="str">
            <v>227359-2</v>
          </cell>
          <cell r="F4967">
            <v>10074929</v>
          </cell>
          <cell r="G4967">
            <v>40006173</v>
          </cell>
        </row>
        <row r="4968">
          <cell r="E4968" t="str">
            <v>322938-2</v>
          </cell>
          <cell r="F4968">
            <v>10002288</v>
          </cell>
          <cell r="G4968">
            <v>40007722</v>
          </cell>
        </row>
        <row r="4969">
          <cell r="E4969">
            <v>38132020</v>
          </cell>
          <cell r="F4969">
            <v>10112027</v>
          </cell>
          <cell r="G4969">
            <v>40005432</v>
          </cell>
        </row>
        <row r="4970">
          <cell r="E4970" t="str">
            <v>344832-8</v>
          </cell>
          <cell r="F4970">
            <v>10112028</v>
          </cell>
        </row>
        <row r="4971">
          <cell r="E4971" t="str">
            <v>443108-1</v>
          </cell>
          <cell r="F4971">
            <v>10112029</v>
          </cell>
        </row>
        <row r="4972">
          <cell r="E4972" t="str">
            <v>318622-5</v>
          </cell>
          <cell r="F4972">
            <v>10112030</v>
          </cell>
          <cell r="G4972">
            <v>40005434</v>
          </cell>
        </row>
        <row r="4973">
          <cell r="E4973" t="str">
            <v>423470-0</v>
          </cell>
          <cell r="F4973">
            <v>10112031</v>
          </cell>
          <cell r="G4973">
            <v>40005436</v>
          </cell>
        </row>
        <row r="4974">
          <cell r="E4974" t="str">
            <v>629998-8</v>
          </cell>
          <cell r="F4974">
            <v>10112032</v>
          </cell>
          <cell r="G4974">
            <v>40005438</v>
          </cell>
        </row>
        <row r="4975">
          <cell r="E4975" t="str">
            <v>620893-5</v>
          </cell>
          <cell r="F4975">
            <v>10112033</v>
          </cell>
          <cell r="G4975">
            <v>40005440</v>
          </cell>
        </row>
        <row r="4976">
          <cell r="E4976" t="str">
            <v>JM27100044</v>
          </cell>
          <cell r="F4976">
            <v>10112034</v>
          </cell>
          <cell r="G4976">
            <v>40005442</v>
          </cell>
        </row>
        <row r="4977">
          <cell r="E4977" t="str">
            <v>144132-4</v>
          </cell>
          <cell r="F4977">
            <v>10112035</v>
          </cell>
          <cell r="G4977">
            <v>40005444</v>
          </cell>
        </row>
        <row r="4978">
          <cell r="E4978" t="str">
            <v>253804-1</v>
          </cell>
          <cell r="F4978">
            <v>10002383</v>
          </cell>
          <cell r="G4978">
            <v>40008185</v>
          </cell>
        </row>
        <row r="4979">
          <cell r="E4979" t="str">
            <v>156916-8</v>
          </cell>
          <cell r="F4979">
            <v>10016342</v>
          </cell>
          <cell r="G4979">
            <v>40007520</v>
          </cell>
        </row>
        <row r="4980">
          <cell r="E4980" t="str">
            <v>417993-8</v>
          </cell>
          <cell r="F4980">
            <v>10035090</v>
          </cell>
          <cell r="G4980">
            <v>40008107</v>
          </cell>
        </row>
        <row r="4981">
          <cell r="E4981" t="str">
            <v>816920-6</v>
          </cell>
          <cell r="F4981">
            <v>10053568</v>
          </cell>
          <cell r="G4981">
            <v>40006698</v>
          </cell>
        </row>
        <row r="4982">
          <cell r="E4982" t="str">
            <v>515894-5</v>
          </cell>
          <cell r="F4982">
            <v>10057263</v>
          </cell>
          <cell r="G4982">
            <v>40005704</v>
          </cell>
        </row>
        <row r="4983">
          <cell r="E4983" t="str">
            <v>JM27000158</v>
          </cell>
          <cell r="F4983">
            <v>10112026</v>
          </cell>
          <cell r="G4983">
            <v>40005430</v>
          </cell>
        </row>
        <row r="4984">
          <cell r="E4984" t="str">
            <v>VC2000L</v>
          </cell>
          <cell r="F4984">
            <v>10112366</v>
          </cell>
          <cell r="G4984">
            <v>10017895</v>
          </cell>
        </row>
        <row r="4985">
          <cell r="E4985" t="str">
            <v>DCL286FRTB</v>
          </cell>
          <cell r="F4985">
            <v>10112367</v>
          </cell>
          <cell r="G4985">
            <v>10017896</v>
          </cell>
        </row>
        <row r="4986">
          <cell r="E4986" t="str">
            <v>DHP484RFE</v>
          </cell>
          <cell r="F4986">
            <v>10112368</v>
          </cell>
          <cell r="G4986">
            <v>10017897</v>
          </cell>
        </row>
        <row r="4987">
          <cell r="E4987" t="str">
            <v>DHP487RFJ</v>
          </cell>
          <cell r="F4987">
            <v>10112369</v>
          </cell>
          <cell r="G4987">
            <v>10017898</v>
          </cell>
        </row>
        <row r="4988">
          <cell r="E4988" t="str">
            <v>DUH507Z</v>
          </cell>
          <cell r="F4988">
            <v>10112370</v>
          </cell>
          <cell r="G4988">
            <v>10017899</v>
          </cell>
        </row>
        <row r="4989">
          <cell r="E4989" t="str">
            <v>MP001GZ</v>
          </cell>
          <cell r="F4989">
            <v>10112371</v>
          </cell>
          <cell r="G4989">
            <v>10017900</v>
          </cell>
        </row>
        <row r="4990">
          <cell r="E4990" t="str">
            <v>CE001GZ</v>
          </cell>
          <cell r="F4990">
            <v>10112372</v>
          </cell>
          <cell r="G4990">
            <v>10017901</v>
          </cell>
        </row>
        <row r="4991">
          <cell r="E4991" t="str">
            <v>CL002GZ03</v>
          </cell>
          <cell r="F4991">
            <v>10112373</v>
          </cell>
          <cell r="G4991">
            <v>10017902</v>
          </cell>
        </row>
        <row r="4992">
          <cell r="E4992" t="str">
            <v>CL002GZ07</v>
          </cell>
          <cell r="F4992">
            <v>10112374</v>
          </cell>
          <cell r="G4992">
            <v>10017903</v>
          </cell>
        </row>
        <row r="4993">
          <cell r="E4993" t="str">
            <v>CL003GZ14</v>
          </cell>
          <cell r="F4993">
            <v>10112375</v>
          </cell>
          <cell r="G4993">
            <v>10017904</v>
          </cell>
        </row>
        <row r="4994">
          <cell r="E4994" t="str">
            <v>DCO181Z</v>
          </cell>
          <cell r="F4994">
            <v>10112377</v>
          </cell>
          <cell r="G4994">
            <v>10017906</v>
          </cell>
        </row>
        <row r="4995">
          <cell r="E4995" t="str">
            <v>DDF489Z</v>
          </cell>
          <cell r="F4995">
            <v>10112378</v>
          </cell>
          <cell r="G4995">
            <v>10017907</v>
          </cell>
        </row>
        <row r="4996">
          <cell r="E4996" t="str">
            <v>DF002GZ</v>
          </cell>
          <cell r="F4996">
            <v>10112379</v>
          </cell>
          <cell r="G4996">
            <v>10017908</v>
          </cell>
        </row>
        <row r="4997">
          <cell r="E4997" t="str">
            <v>DHP489Z</v>
          </cell>
          <cell r="F4997">
            <v>10112380</v>
          </cell>
          <cell r="G4997">
            <v>10017909</v>
          </cell>
        </row>
        <row r="4998">
          <cell r="E4998" t="str">
            <v>DHR183Z</v>
          </cell>
          <cell r="F4998">
            <v>10112381</v>
          </cell>
          <cell r="G4998">
            <v>10017910</v>
          </cell>
        </row>
        <row r="4999">
          <cell r="E4999" t="str">
            <v>DMC300Z</v>
          </cell>
          <cell r="F4999">
            <v>10112382</v>
          </cell>
          <cell r="G4999">
            <v>10017911</v>
          </cell>
        </row>
        <row r="5000">
          <cell r="E5000" t="str">
            <v>DPB182Z</v>
          </cell>
          <cell r="F5000">
            <v>10112383</v>
          </cell>
          <cell r="G5000">
            <v>10017912</v>
          </cell>
        </row>
        <row r="5001">
          <cell r="E5001" t="str">
            <v>DPB184Z</v>
          </cell>
          <cell r="F5001">
            <v>10112384</v>
          </cell>
          <cell r="G5001">
            <v>10017913</v>
          </cell>
        </row>
        <row r="5002">
          <cell r="E5002" t="str">
            <v>DUA301ZB</v>
          </cell>
          <cell r="F5002">
            <v>10112385</v>
          </cell>
          <cell r="G5002">
            <v>10017914</v>
          </cell>
        </row>
        <row r="5003">
          <cell r="E5003" t="str">
            <v>DUH751Z</v>
          </cell>
          <cell r="F5003">
            <v>10112386</v>
          </cell>
          <cell r="G5003">
            <v>10017915</v>
          </cell>
        </row>
        <row r="5004">
          <cell r="E5004" t="str">
            <v>HR002GZ</v>
          </cell>
          <cell r="F5004">
            <v>10112387</v>
          </cell>
          <cell r="G5004">
            <v>10017917</v>
          </cell>
        </row>
        <row r="5005">
          <cell r="E5005" t="str">
            <v>HR008GZ</v>
          </cell>
          <cell r="F5005">
            <v>10112388</v>
          </cell>
          <cell r="G5005">
            <v>10017918</v>
          </cell>
        </row>
        <row r="5006">
          <cell r="E5006" t="str">
            <v>HR009GZ</v>
          </cell>
          <cell r="F5006">
            <v>10112389</v>
          </cell>
          <cell r="G5006">
            <v>10017920</v>
          </cell>
        </row>
        <row r="5007">
          <cell r="E5007" t="str">
            <v>HR010GZ</v>
          </cell>
          <cell r="F5007">
            <v>10112390</v>
          </cell>
          <cell r="G5007">
            <v>10017922</v>
          </cell>
        </row>
        <row r="5008">
          <cell r="E5008" t="str">
            <v>HS010GZ</v>
          </cell>
          <cell r="F5008">
            <v>10112391</v>
          </cell>
          <cell r="G5008">
            <v>10017924</v>
          </cell>
        </row>
        <row r="5009">
          <cell r="E5009" t="str">
            <v>HS012GZ</v>
          </cell>
          <cell r="F5009">
            <v>10112392</v>
          </cell>
          <cell r="G5009">
            <v>10017926</v>
          </cell>
        </row>
        <row r="5010">
          <cell r="E5010" t="str">
            <v>HW001GZ</v>
          </cell>
          <cell r="F5010">
            <v>10112393</v>
          </cell>
          <cell r="G5010">
            <v>10017928</v>
          </cell>
        </row>
        <row r="5011">
          <cell r="E5011" t="str">
            <v>JR002GZ</v>
          </cell>
          <cell r="F5011">
            <v>10112394</v>
          </cell>
          <cell r="G5011">
            <v>10017930</v>
          </cell>
        </row>
        <row r="5012">
          <cell r="E5012" t="str">
            <v>KP001GZ</v>
          </cell>
          <cell r="F5012">
            <v>10112395</v>
          </cell>
          <cell r="G5012">
            <v>10017932</v>
          </cell>
        </row>
        <row r="5013">
          <cell r="E5013" t="str">
            <v>MR010G</v>
          </cell>
          <cell r="F5013">
            <v>10112396</v>
          </cell>
          <cell r="G5013">
            <v>10017934</v>
          </cell>
        </row>
        <row r="5014">
          <cell r="E5014" t="str">
            <v>MW001GZ</v>
          </cell>
          <cell r="F5014">
            <v>10112397</v>
          </cell>
          <cell r="G5014">
            <v>10017936</v>
          </cell>
        </row>
        <row r="5015">
          <cell r="E5015" t="str">
            <v>PV001GZ</v>
          </cell>
          <cell r="F5015">
            <v>10112398</v>
          </cell>
          <cell r="G5015">
            <v>10017938</v>
          </cell>
        </row>
        <row r="5016">
          <cell r="E5016" t="str">
            <v>UB001GZ</v>
          </cell>
          <cell r="F5016">
            <v>10112399</v>
          </cell>
          <cell r="G5016">
            <v>10017940</v>
          </cell>
        </row>
        <row r="5017">
          <cell r="E5017" t="str">
            <v>UC003GZ01</v>
          </cell>
          <cell r="F5017">
            <v>10112400</v>
          </cell>
          <cell r="G5017">
            <v>10017941</v>
          </cell>
        </row>
        <row r="5018">
          <cell r="E5018" t="str">
            <v>UC012GZ</v>
          </cell>
          <cell r="F5018">
            <v>10112401</v>
          </cell>
          <cell r="G5018">
            <v>10017943</v>
          </cell>
        </row>
        <row r="5019">
          <cell r="E5019" t="str">
            <v>UC014GZ</v>
          </cell>
          <cell r="F5019">
            <v>10112402</v>
          </cell>
          <cell r="G5019">
            <v>10017945</v>
          </cell>
        </row>
        <row r="5020">
          <cell r="E5020" t="str">
            <v>UC100DZ</v>
          </cell>
          <cell r="F5020">
            <v>10112403</v>
          </cell>
          <cell r="G5020">
            <v>10017947</v>
          </cell>
        </row>
        <row r="5021">
          <cell r="E5021" t="str">
            <v>UH014GZ</v>
          </cell>
          <cell r="F5021">
            <v>10112404</v>
          </cell>
          <cell r="G5021">
            <v>10017949</v>
          </cell>
        </row>
        <row r="5022">
          <cell r="E5022" t="str">
            <v>UR003GZ</v>
          </cell>
          <cell r="F5022">
            <v>10112405</v>
          </cell>
          <cell r="G5022">
            <v>10017951</v>
          </cell>
        </row>
        <row r="5023">
          <cell r="E5023" t="str">
            <v>US053DZ</v>
          </cell>
          <cell r="F5023">
            <v>10112406</v>
          </cell>
          <cell r="G5023">
            <v>10017953</v>
          </cell>
        </row>
        <row r="5024">
          <cell r="E5024" t="str">
            <v>UT001GZ</v>
          </cell>
          <cell r="F5024">
            <v>10112407</v>
          </cell>
          <cell r="G5024">
            <v>10017955</v>
          </cell>
        </row>
        <row r="5025">
          <cell r="E5025" t="str">
            <v>VC008GZ04</v>
          </cell>
          <cell r="F5025">
            <v>10112408</v>
          </cell>
          <cell r="G5025">
            <v>10017957</v>
          </cell>
        </row>
        <row r="5026">
          <cell r="E5026" t="str">
            <v>VC009GZ</v>
          </cell>
          <cell r="F5026">
            <v>10112409</v>
          </cell>
          <cell r="G5026">
            <v>10017959</v>
          </cell>
        </row>
        <row r="5027">
          <cell r="E5027" t="str">
            <v>D-42553</v>
          </cell>
          <cell r="F5027">
            <v>10112410</v>
          </cell>
          <cell r="G5027">
            <v>10017961</v>
          </cell>
        </row>
        <row r="5028">
          <cell r="E5028" t="str">
            <v>E-05664</v>
          </cell>
          <cell r="F5028">
            <v>10112411</v>
          </cell>
          <cell r="G5028">
            <v>10017963</v>
          </cell>
        </row>
        <row r="5029">
          <cell r="E5029" t="str">
            <v>619103-5</v>
          </cell>
          <cell r="F5029">
            <v>10112412</v>
          </cell>
          <cell r="G5029">
            <v>40005446</v>
          </cell>
        </row>
        <row r="5030">
          <cell r="E5030" t="str">
            <v>513893-1</v>
          </cell>
          <cell r="F5030">
            <v>10112413</v>
          </cell>
          <cell r="G5030">
            <v>40005448</v>
          </cell>
        </row>
        <row r="5031">
          <cell r="E5031" t="str">
            <v>517999-7</v>
          </cell>
          <cell r="F5031">
            <v>10112414</v>
          </cell>
          <cell r="G5031">
            <v>40005450</v>
          </cell>
        </row>
        <row r="5032">
          <cell r="E5032" t="str">
            <v>158145-9</v>
          </cell>
          <cell r="F5032">
            <v>10112415</v>
          </cell>
          <cell r="G5032">
            <v>40005452</v>
          </cell>
        </row>
        <row r="5033">
          <cell r="E5033" t="str">
            <v>141D19-5</v>
          </cell>
          <cell r="F5033">
            <v>10112416</v>
          </cell>
          <cell r="G5033">
            <v>40005454</v>
          </cell>
        </row>
        <row r="5034">
          <cell r="E5034" t="str">
            <v>CB-218</v>
          </cell>
          <cell r="F5034">
            <v>10112417</v>
          </cell>
          <cell r="G5034">
            <v>40005456</v>
          </cell>
        </row>
        <row r="5035">
          <cell r="E5035" t="str">
            <v>CB-132</v>
          </cell>
          <cell r="F5035">
            <v>10112418</v>
          </cell>
          <cell r="G5035">
            <v>40005458</v>
          </cell>
        </row>
        <row r="5036">
          <cell r="E5036" t="str">
            <v>219024-7</v>
          </cell>
          <cell r="F5036">
            <v>10112419</v>
          </cell>
          <cell r="G5036">
            <v>40005460</v>
          </cell>
        </row>
        <row r="5037">
          <cell r="E5037" t="str">
            <v>234251-5</v>
          </cell>
          <cell r="F5037">
            <v>10112420</v>
          </cell>
          <cell r="G5037">
            <v>40005462</v>
          </cell>
        </row>
        <row r="5038">
          <cell r="E5038" t="str">
            <v>346925-7</v>
          </cell>
          <cell r="F5038">
            <v>10112421</v>
          </cell>
          <cell r="G5038">
            <v>40005464</v>
          </cell>
        </row>
        <row r="5039">
          <cell r="E5039" t="str">
            <v>140L37-8</v>
          </cell>
          <cell r="F5039">
            <v>10112422</v>
          </cell>
          <cell r="G5039">
            <v>40005466</v>
          </cell>
        </row>
        <row r="5040">
          <cell r="E5040" t="str">
            <v>456039-5</v>
          </cell>
          <cell r="F5040">
            <v>10112423</v>
          </cell>
          <cell r="G5040">
            <v>40005468</v>
          </cell>
        </row>
        <row r="5041">
          <cell r="E5041" t="str">
            <v>621A39-2</v>
          </cell>
          <cell r="F5041">
            <v>10112424</v>
          </cell>
          <cell r="G5041">
            <v>40005470</v>
          </cell>
        </row>
        <row r="5042">
          <cell r="E5042" t="str">
            <v>634739-9</v>
          </cell>
          <cell r="F5042">
            <v>10112425</v>
          </cell>
          <cell r="G5042">
            <v>40005472</v>
          </cell>
        </row>
        <row r="5043">
          <cell r="E5043" t="str">
            <v>141477-1</v>
          </cell>
          <cell r="F5043">
            <v>10112426</v>
          </cell>
          <cell r="G5043">
            <v>40005474</v>
          </cell>
        </row>
        <row r="5044">
          <cell r="E5044" t="str">
            <v>424753-1</v>
          </cell>
          <cell r="F5044">
            <v>10112427</v>
          </cell>
          <cell r="G5044">
            <v>40005476</v>
          </cell>
        </row>
        <row r="5045">
          <cell r="E5045" t="str">
            <v>213141-5</v>
          </cell>
          <cell r="F5045">
            <v>10112428</v>
          </cell>
          <cell r="G5045">
            <v>40005478</v>
          </cell>
        </row>
        <row r="5046">
          <cell r="E5046" t="str">
            <v>232501-2</v>
          </cell>
          <cell r="F5046">
            <v>10112429</v>
          </cell>
          <cell r="G5046">
            <v>40006019</v>
          </cell>
        </row>
        <row r="5047">
          <cell r="E5047" t="str">
            <v>327376-3</v>
          </cell>
          <cell r="F5047">
            <v>10112430</v>
          </cell>
          <cell r="G5047">
            <v>40006022</v>
          </cell>
        </row>
        <row r="5048">
          <cell r="E5048" t="str">
            <v>651393-4</v>
          </cell>
          <cell r="F5048">
            <v>10112431</v>
          </cell>
          <cell r="G5048">
            <v>40006024</v>
          </cell>
        </row>
        <row r="5049">
          <cell r="E5049" t="str">
            <v>417842-9</v>
          </cell>
          <cell r="F5049">
            <v>10112432</v>
          </cell>
          <cell r="G5049">
            <v>40006026</v>
          </cell>
        </row>
        <row r="5050">
          <cell r="E5050" t="str">
            <v>P-67963</v>
          </cell>
          <cell r="F5050">
            <v>10112433</v>
          </cell>
          <cell r="G5050">
            <v>10017965</v>
          </cell>
        </row>
        <row r="5051">
          <cell r="E5051" t="str">
            <v>B-31697</v>
          </cell>
          <cell r="F5051">
            <v>10112434</v>
          </cell>
          <cell r="G5051">
            <v>10017967</v>
          </cell>
        </row>
        <row r="5052">
          <cell r="E5052" t="str">
            <v>D-50522</v>
          </cell>
          <cell r="F5052">
            <v>10112435</v>
          </cell>
          <cell r="G5052">
            <v>10017969</v>
          </cell>
        </row>
        <row r="5053">
          <cell r="E5053" t="str">
            <v>D-03377</v>
          </cell>
          <cell r="F5053">
            <v>10112436</v>
          </cell>
          <cell r="G5053">
            <v>10017971</v>
          </cell>
        </row>
        <row r="5054">
          <cell r="E5054" t="str">
            <v>B-64238</v>
          </cell>
          <cell r="F5054">
            <v>10112437</v>
          </cell>
          <cell r="G5054">
            <v>10017973</v>
          </cell>
        </row>
        <row r="5055">
          <cell r="E5055" t="str">
            <v>B-64266</v>
          </cell>
          <cell r="F5055">
            <v>10112438</v>
          </cell>
          <cell r="G5055">
            <v>10017975</v>
          </cell>
        </row>
        <row r="5056">
          <cell r="E5056" t="str">
            <v>B-58811</v>
          </cell>
          <cell r="F5056">
            <v>10112439</v>
          </cell>
          <cell r="G5056">
            <v>10017977</v>
          </cell>
        </row>
        <row r="5057">
          <cell r="E5057" t="str">
            <v>B-58899</v>
          </cell>
          <cell r="F5057">
            <v>10112440</v>
          </cell>
          <cell r="G5057">
            <v>10017979</v>
          </cell>
        </row>
        <row r="5058">
          <cell r="E5058" t="str">
            <v>B-58992</v>
          </cell>
          <cell r="F5058">
            <v>10112441</v>
          </cell>
          <cell r="G5058">
            <v>10017981</v>
          </cell>
        </row>
        <row r="5059">
          <cell r="E5059" t="str">
            <v>D-34637</v>
          </cell>
          <cell r="F5059">
            <v>10112442</v>
          </cell>
          <cell r="G5059">
            <v>10017983</v>
          </cell>
        </row>
        <row r="5060">
          <cell r="E5060" t="str">
            <v>D-34659</v>
          </cell>
          <cell r="F5060">
            <v>10112443</v>
          </cell>
          <cell r="G5060">
            <v>10017985</v>
          </cell>
        </row>
        <row r="5061">
          <cell r="E5061" t="str">
            <v>D-34665</v>
          </cell>
          <cell r="F5061">
            <v>10112444</v>
          </cell>
          <cell r="G5061">
            <v>10017987</v>
          </cell>
        </row>
        <row r="5062">
          <cell r="E5062" t="str">
            <v>D-34045</v>
          </cell>
          <cell r="F5062">
            <v>10112445</v>
          </cell>
          <cell r="G5062">
            <v>10017989</v>
          </cell>
        </row>
        <row r="5063">
          <cell r="E5063" t="str">
            <v>D-34051</v>
          </cell>
          <cell r="F5063">
            <v>10112446</v>
          </cell>
          <cell r="G5063">
            <v>10017991</v>
          </cell>
        </row>
        <row r="5064">
          <cell r="E5064" t="str">
            <v>D-34073</v>
          </cell>
          <cell r="F5064">
            <v>10112447</v>
          </cell>
          <cell r="G5064">
            <v>10017993</v>
          </cell>
        </row>
        <row r="5065">
          <cell r="E5065" t="str">
            <v>D-34089</v>
          </cell>
          <cell r="F5065">
            <v>10112448</v>
          </cell>
          <cell r="G5065">
            <v>10017995</v>
          </cell>
        </row>
        <row r="5066">
          <cell r="E5066" t="str">
            <v>D-34095</v>
          </cell>
          <cell r="F5066">
            <v>10112449</v>
          </cell>
          <cell r="G5066">
            <v>10017997</v>
          </cell>
        </row>
        <row r="5067">
          <cell r="E5067" t="str">
            <v>D-34104</v>
          </cell>
          <cell r="F5067">
            <v>10112450</v>
          </cell>
          <cell r="G5067">
            <v>10017999</v>
          </cell>
        </row>
        <row r="5068">
          <cell r="E5068" t="str">
            <v>D-34110</v>
          </cell>
          <cell r="F5068">
            <v>10112451</v>
          </cell>
          <cell r="G5068">
            <v>10018001</v>
          </cell>
        </row>
        <row r="5069">
          <cell r="E5069" t="str">
            <v>D-34126</v>
          </cell>
          <cell r="F5069">
            <v>10112452</v>
          </cell>
          <cell r="G5069">
            <v>10018003</v>
          </cell>
        </row>
        <row r="5070">
          <cell r="E5070" t="str">
            <v>D-34132</v>
          </cell>
          <cell r="F5070">
            <v>10112453</v>
          </cell>
          <cell r="G5070">
            <v>10018005</v>
          </cell>
        </row>
        <row r="5071">
          <cell r="E5071" t="str">
            <v>D-34148</v>
          </cell>
          <cell r="F5071">
            <v>10112454</v>
          </cell>
          <cell r="G5071">
            <v>10018007</v>
          </cell>
        </row>
        <row r="5072">
          <cell r="E5072" t="str">
            <v>D-34154</v>
          </cell>
          <cell r="F5072">
            <v>10112455</v>
          </cell>
          <cell r="G5072">
            <v>10018009</v>
          </cell>
        </row>
        <row r="5073">
          <cell r="E5073" t="str">
            <v>D-34160</v>
          </cell>
          <cell r="F5073">
            <v>10112456</v>
          </cell>
          <cell r="G5073">
            <v>10018011</v>
          </cell>
        </row>
        <row r="5074">
          <cell r="E5074" t="str">
            <v>1R462</v>
          </cell>
          <cell r="F5074">
            <v>10112457</v>
          </cell>
          <cell r="G5074">
            <v>40005164</v>
          </cell>
        </row>
        <row r="5075">
          <cell r="E5075" t="str">
            <v>184678-8</v>
          </cell>
          <cell r="F5075">
            <v>10001369</v>
          </cell>
          <cell r="G5075">
            <v>40007130</v>
          </cell>
        </row>
        <row r="5076">
          <cell r="E5076" t="str">
            <v>JM27000066</v>
          </cell>
          <cell r="F5076">
            <v>10025366</v>
          </cell>
          <cell r="G5076">
            <v>40007263</v>
          </cell>
        </row>
        <row r="5077">
          <cell r="E5077" t="str">
            <v>692434-7</v>
          </cell>
          <cell r="F5077">
            <v>10035308</v>
          </cell>
          <cell r="G5077">
            <v>40008309</v>
          </cell>
        </row>
        <row r="5078">
          <cell r="E5078" t="str">
            <v>225092-0</v>
          </cell>
          <cell r="F5078">
            <v>10053337</v>
          </cell>
          <cell r="G5078">
            <v>40006673</v>
          </cell>
        </row>
        <row r="5079">
          <cell r="E5079" t="str">
            <v>419242-9</v>
          </cell>
          <cell r="F5079">
            <v>10112732</v>
          </cell>
          <cell r="G5079">
            <v>40005269</v>
          </cell>
        </row>
        <row r="5080">
          <cell r="E5080" t="str">
            <v>419283-5</v>
          </cell>
          <cell r="F5080">
            <v>10112733</v>
          </cell>
          <cell r="G5080">
            <v>40005270</v>
          </cell>
        </row>
        <row r="5081">
          <cell r="E5081" t="str">
            <v>265763-7</v>
          </cell>
          <cell r="F5081">
            <v>10033750</v>
          </cell>
          <cell r="G5081">
            <v>40007206</v>
          </cell>
        </row>
        <row r="5082">
          <cell r="E5082" t="str">
            <v>515423-4</v>
          </cell>
          <cell r="F5082">
            <v>10112734</v>
          </cell>
          <cell r="G5082">
            <v>40005271</v>
          </cell>
        </row>
        <row r="5083">
          <cell r="E5083" t="str">
            <v>628393-9</v>
          </cell>
          <cell r="F5083">
            <v>10112735</v>
          </cell>
          <cell r="G5083">
            <v>40005272</v>
          </cell>
        </row>
        <row r="5084">
          <cell r="E5084" t="str">
            <v>629952-2</v>
          </cell>
          <cell r="F5084">
            <v>10112736</v>
          </cell>
          <cell r="G5084">
            <v>40005273</v>
          </cell>
        </row>
        <row r="5085">
          <cell r="E5085" t="str">
            <v>922316-2</v>
          </cell>
          <cell r="F5085">
            <v>10112737</v>
          </cell>
          <cell r="G5085">
            <v>40005274</v>
          </cell>
        </row>
        <row r="5086">
          <cell r="E5086" t="str">
            <v>513578-9</v>
          </cell>
          <cell r="F5086">
            <v>10112738</v>
          </cell>
          <cell r="G5086">
            <v>40005275</v>
          </cell>
        </row>
        <row r="5087">
          <cell r="E5087" t="str">
            <v>634513-5</v>
          </cell>
          <cell r="F5087">
            <v>10112739</v>
          </cell>
          <cell r="G5087">
            <v>40005276</v>
          </cell>
        </row>
        <row r="5088">
          <cell r="E5088" t="str">
            <v>233954-8</v>
          </cell>
          <cell r="F5088">
            <v>10112740</v>
          </cell>
          <cell r="G5088">
            <v>40005277</v>
          </cell>
        </row>
        <row r="5089">
          <cell r="E5089" t="str">
            <v>JM23300055</v>
          </cell>
          <cell r="F5089">
            <v>10112741</v>
          </cell>
          <cell r="G5089">
            <v>40005278</v>
          </cell>
        </row>
        <row r="5090">
          <cell r="E5090" t="str">
            <v>JM23300056</v>
          </cell>
          <cell r="F5090">
            <v>10112742</v>
          </cell>
          <cell r="G5090">
            <v>40005279</v>
          </cell>
        </row>
        <row r="5091">
          <cell r="E5091" t="str">
            <v>JM23300059</v>
          </cell>
          <cell r="F5091">
            <v>10112743</v>
          </cell>
          <cell r="G5091">
            <v>40005280</v>
          </cell>
        </row>
        <row r="5092">
          <cell r="E5092" t="str">
            <v>JM23300060</v>
          </cell>
          <cell r="F5092">
            <v>10112744</v>
          </cell>
          <cell r="G5092">
            <v>40005281</v>
          </cell>
        </row>
        <row r="5093">
          <cell r="E5093" t="str">
            <v>JM23300061</v>
          </cell>
          <cell r="F5093">
            <v>10112745</v>
          </cell>
          <cell r="G5093">
            <v>40005282</v>
          </cell>
        </row>
        <row r="5094">
          <cell r="E5094" t="str">
            <v>JM23300064</v>
          </cell>
          <cell r="F5094">
            <v>10112746</v>
          </cell>
          <cell r="G5094">
            <v>40005283</v>
          </cell>
        </row>
        <row r="5095">
          <cell r="E5095" t="str">
            <v>233152-4</v>
          </cell>
          <cell r="F5095">
            <v>10112747</v>
          </cell>
          <cell r="G5095">
            <v>40005284</v>
          </cell>
        </row>
        <row r="5096">
          <cell r="E5096" t="str">
            <v>344464-1</v>
          </cell>
          <cell r="F5096">
            <v>10030432</v>
          </cell>
          <cell r="G5096">
            <v>40007152</v>
          </cell>
        </row>
        <row r="5097">
          <cell r="E5097" t="str">
            <v>256280-8</v>
          </cell>
          <cell r="F5097">
            <v>10022564</v>
          </cell>
          <cell r="G5097">
            <v>40003880</v>
          </cell>
        </row>
        <row r="5098">
          <cell r="E5098" t="str">
            <v>322317-4</v>
          </cell>
          <cell r="F5098">
            <v>10112748</v>
          </cell>
          <cell r="G5098">
            <v>40005285</v>
          </cell>
        </row>
        <row r="5099">
          <cell r="E5099" t="str">
            <v>410128-0</v>
          </cell>
          <cell r="F5099">
            <v>10112749</v>
          </cell>
          <cell r="G5099">
            <v>40005286</v>
          </cell>
        </row>
        <row r="5100">
          <cell r="E5100" t="str">
            <v>515284-2</v>
          </cell>
          <cell r="F5100">
            <v>10112750</v>
          </cell>
          <cell r="G5100">
            <v>40005287</v>
          </cell>
        </row>
        <row r="5101">
          <cell r="E5101" t="str">
            <v>9557HNG</v>
          </cell>
          <cell r="F5101">
            <v>10112805</v>
          </cell>
          <cell r="G5101">
            <v>10029918</v>
          </cell>
        </row>
        <row r="5102">
          <cell r="E5102" t="str">
            <v>DL280BX12</v>
          </cell>
          <cell r="F5102">
            <v>10112806</v>
          </cell>
          <cell r="G5102">
            <v>10029888</v>
          </cell>
        </row>
        <row r="5103">
          <cell r="E5103" t="str">
            <v>1910U0-9</v>
          </cell>
          <cell r="F5103">
            <v>10112809</v>
          </cell>
          <cell r="G5103">
            <v>40010395</v>
          </cell>
        </row>
        <row r="5104">
          <cell r="E5104" t="str">
            <v>629B61-9</v>
          </cell>
          <cell r="F5104">
            <v>10112810</v>
          </cell>
          <cell r="G5104">
            <v>40005288</v>
          </cell>
        </row>
        <row r="5105">
          <cell r="E5105" t="str">
            <v>513664-6</v>
          </cell>
          <cell r="F5105">
            <v>10112811</v>
          </cell>
          <cell r="G5105">
            <v>40005289</v>
          </cell>
        </row>
        <row r="5106">
          <cell r="E5106" t="str">
            <v>634549-4</v>
          </cell>
          <cell r="F5106">
            <v>10112812</v>
          </cell>
          <cell r="G5106">
            <v>40005290</v>
          </cell>
        </row>
        <row r="5107">
          <cell r="E5107" t="str">
            <v>267153-0</v>
          </cell>
          <cell r="F5107">
            <v>10112813</v>
          </cell>
          <cell r="G5107">
            <v>40005291</v>
          </cell>
        </row>
        <row r="5108">
          <cell r="E5108" t="str">
            <v>455393-4</v>
          </cell>
          <cell r="F5108">
            <v>10112814</v>
          </cell>
          <cell r="G5108">
            <v>40005292</v>
          </cell>
        </row>
        <row r="5109">
          <cell r="E5109" t="str">
            <v>267114-0</v>
          </cell>
          <cell r="F5109">
            <v>10112815</v>
          </cell>
          <cell r="G5109">
            <v>40005293</v>
          </cell>
        </row>
        <row r="5110">
          <cell r="E5110" t="str">
            <v>233989-9</v>
          </cell>
          <cell r="F5110">
            <v>10112816</v>
          </cell>
          <cell r="G5110">
            <v>40005294</v>
          </cell>
        </row>
        <row r="5111">
          <cell r="E5111" t="str">
            <v>346834-0</v>
          </cell>
          <cell r="F5111">
            <v>10112817</v>
          </cell>
          <cell r="G5111">
            <v>40005295</v>
          </cell>
        </row>
        <row r="5112">
          <cell r="E5112" t="str">
            <v>141572-7</v>
          </cell>
          <cell r="F5112">
            <v>10112818</v>
          </cell>
          <cell r="G5112">
            <v>40005296</v>
          </cell>
        </row>
        <row r="5113">
          <cell r="E5113" t="str">
            <v>267447-3</v>
          </cell>
          <cell r="F5113">
            <v>10112819</v>
          </cell>
          <cell r="G5113">
            <v>40005297</v>
          </cell>
        </row>
        <row r="5114">
          <cell r="E5114" t="str">
            <v>219021-3</v>
          </cell>
          <cell r="F5114">
            <v>10112820</v>
          </cell>
          <cell r="G5114">
            <v>40005298</v>
          </cell>
        </row>
        <row r="5115">
          <cell r="E5115" t="str">
            <v>457709-9</v>
          </cell>
          <cell r="F5115">
            <v>10112821</v>
          </cell>
          <cell r="G5115">
            <v>40005299</v>
          </cell>
        </row>
        <row r="5116">
          <cell r="E5116" t="str">
            <v>347228-2</v>
          </cell>
          <cell r="F5116">
            <v>10112822</v>
          </cell>
          <cell r="G5116">
            <v>40005300</v>
          </cell>
        </row>
        <row r="5117">
          <cell r="E5117" t="str">
            <v>233360-7</v>
          </cell>
          <cell r="F5117">
            <v>10112823</v>
          </cell>
          <cell r="G5117">
            <v>40005301</v>
          </cell>
        </row>
        <row r="5118">
          <cell r="E5118" t="str">
            <v>347230-5</v>
          </cell>
          <cell r="F5118">
            <v>10112824</v>
          </cell>
          <cell r="G5118">
            <v>40005302</v>
          </cell>
        </row>
        <row r="5119">
          <cell r="E5119" t="str">
            <v>234343-0</v>
          </cell>
          <cell r="F5119">
            <v>10112825</v>
          </cell>
          <cell r="G5119">
            <v>40005303</v>
          </cell>
        </row>
        <row r="5120">
          <cell r="E5120" t="str">
            <v>347229-0</v>
          </cell>
          <cell r="F5120">
            <v>10112826</v>
          </cell>
          <cell r="G5120">
            <v>40005304</v>
          </cell>
        </row>
        <row r="5121">
          <cell r="E5121" t="str">
            <v>346036-8</v>
          </cell>
          <cell r="F5121">
            <v>10112827</v>
          </cell>
          <cell r="G5121">
            <v>40005305</v>
          </cell>
        </row>
        <row r="5122">
          <cell r="E5122" t="str">
            <v>632K38-9</v>
          </cell>
          <cell r="F5122">
            <v>10112828</v>
          </cell>
          <cell r="G5122">
            <v>40005306</v>
          </cell>
        </row>
        <row r="5123">
          <cell r="E5123" t="str">
            <v>240182-8</v>
          </cell>
          <cell r="F5123">
            <v>10112829</v>
          </cell>
          <cell r="G5123">
            <v>40005307</v>
          </cell>
        </row>
        <row r="5124">
          <cell r="E5124" t="str">
            <v>457711-2</v>
          </cell>
          <cell r="F5124">
            <v>10112830</v>
          </cell>
          <cell r="G5124">
            <v>40005308</v>
          </cell>
        </row>
        <row r="5125">
          <cell r="E5125" t="str">
            <v>457710-4</v>
          </cell>
          <cell r="F5125">
            <v>10112831</v>
          </cell>
          <cell r="G5125">
            <v>40005309</v>
          </cell>
        </row>
        <row r="5126">
          <cell r="E5126" t="str">
            <v>318056-2</v>
          </cell>
          <cell r="F5126">
            <v>10112832</v>
          </cell>
          <cell r="G5126">
            <v>40005310</v>
          </cell>
        </row>
        <row r="5127">
          <cell r="E5127" t="str">
            <v>285848-3</v>
          </cell>
          <cell r="F5127">
            <v>10112833</v>
          </cell>
          <cell r="G5127">
            <v>40005311</v>
          </cell>
        </row>
        <row r="5128">
          <cell r="E5128" t="str">
            <v>183E11-1</v>
          </cell>
          <cell r="F5128">
            <v>10112834</v>
          </cell>
          <cell r="G5128">
            <v>40005312</v>
          </cell>
        </row>
        <row r="5129">
          <cell r="E5129" t="str">
            <v>231252-4</v>
          </cell>
          <cell r="F5129">
            <v>10112835</v>
          </cell>
          <cell r="G5129">
            <v>40005313</v>
          </cell>
        </row>
        <row r="5130">
          <cell r="E5130" t="str">
            <v>631871-0</v>
          </cell>
          <cell r="F5130">
            <v>10112836</v>
          </cell>
          <cell r="G5130">
            <v>40005314</v>
          </cell>
        </row>
        <row r="5131">
          <cell r="E5131" t="str">
            <v>517818-7</v>
          </cell>
          <cell r="F5131">
            <v>10112837</v>
          </cell>
          <cell r="G5131">
            <v>40005315</v>
          </cell>
        </row>
        <row r="5132">
          <cell r="E5132" t="str">
            <v>455158-4</v>
          </cell>
          <cell r="F5132">
            <v>10112838</v>
          </cell>
          <cell r="G5132">
            <v>40005316</v>
          </cell>
        </row>
        <row r="5133">
          <cell r="E5133" t="str">
            <v>213787-7</v>
          </cell>
          <cell r="F5133">
            <v>10112839</v>
          </cell>
          <cell r="G5133">
            <v>40005317</v>
          </cell>
        </row>
        <row r="5134">
          <cell r="E5134" t="str">
            <v>213380-7</v>
          </cell>
          <cell r="F5134">
            <v>10112840</v>
          </cell>
          <cell r="G5134">
            <v>40005318</v>
          </cell>
        </row>
        <row r="5135">
          <cell r="E5135" t="str">
            <v>266948-8</v>
          </cell>
          <cell r="F5135">
            <v>10112841</v>
          </cell>
          <cell r="G5135">
            <v>40005319</v>
          </cell>
        </row>
        <row r="5136">
          <cell r="E5136" t="str">
            <v>158392-2</v>
          </cell>
          <cell r="F5136">
            <v>10112842</v>
          </cell>
          <cell r="G5136">
            <v>40005320</v>
          </cell>
        </row>
        <row r="5137">
          <cell r="E5137" t="str">
            <v>183H44-4</v>
          </cell>
          <cell r="F5137">
            <v>10112843</v>
          </cell>
          <cell r="G5137">
            <v>40005321</v>
          </cell>
        </row>
        <row r="5138">
          <cell r="E5138" t="str">
            <v>127397-3</v>
          </cell>
          <cell r="F5138">
            <v>10112844</v>
          </cell>
          <cell r="G5138">
            <v>40005322</v>
          </cell>
        </row>
        <row r="5139">
          <cell r="E5139" t="str">
            <v>442138-9</v>
          </cell>
          <cell r="F5139">
            <v>10112845</v>
          </cell>
          <cell r="G5139">
            <v>40005323</v>
          </cell>
        </row>
        <row r="5140">
          <cell r="E5140" t="str">
            <v>JM23100174</v>
          </cell>
          <cell r="F5140">
            <v>10112846</v>
          </cell>
          <cell r="G5140">
            <v>40005324</v>
          </cell>
        </row>
        <row r="5141">
          <cell r="E5141" t="str">
            <v>123847-6</v>
          </cell>
          <cell r="F5141">
            <v>10112847</v>
          </cell>
          <cell r="G5141">
            <v>40005325</v>
          </cell>
        </row>
        <row r="5142">
          <cell r="E5142" t="str">
            <v>643807-7</v>
          </cell>
          <cell r="F5142">
            <v>10112848</v>
          </cell>
          <cell r="G5142">
            <v>40005326</v>
          </cell>
        </row>
        <row r="5143">
          <cell r="E5143" t="str">
            <v>451227-9</v>
          </cell>
          <cell r="F5143">
            <v>10112849</v>
          </cell>
          <cell r="G5143">
            <v>40005167</v>
          </cell>
        </row>
        <row r="5144">
          <cell r="E5144" t="str">
            <v>515834-3</v>
          </cell>
          <cell r="F5144">
            <v>10112850</v>
          </cell>
          <cell r="G5144">
            <v>40005168</v>
          </cell>
        </row>
        <row r="5145">
          <cell r="E5145" t="str">
            <v>633844-9</v>
          </cell>
          <cell r="F5145">
            <v>10112851</v>
          </cell>
          <cell r="G5145">
            <v>40005169</v>
          </cell>
        </row>
        <row r="5146">
          <cell r="E5146" t="str">
            <v>513654-9</v>
          </cell>
          <cell r="F5146">
            <v>10112852</v>
          </cell>
          <cell r="G5146">
            <v>40005170</v>
          </cell>
        </row>
        <row r="5147">
          <cell r="E5147" t="str">
            <v>652066-2</v>
          </cell>
          <cell r="F5147">
            <v>10112853</v>
          </cell>
          <cell r="G5147">
            <v>40005171</v>
          </cell>
        </row>
        <row r="5148">
          <cell r="E5148" t="str">
            <v>143299-5</v>
          </cell>
          <cell r="F5148">
            <v>10112854</v>
          </cell>
          <cell r="G5148">
            <v>40005172</v>
          </cell>
        </row>
        <row r="5149">
          <cell r="E5149" t="str">
            <v>651572-4</v>
          </cell>
          <cell r="F5149">
            <v>10112855</v>
          </cell>
          <cell r="G5149">
            <v>40005173</v>
          </cell>
        </row>
        <row r="5150">
          <cell r="E5150" t="str">
            <v>424914-3</v>
          </cell>
          <cell r="F5150">
            <v>10112856</v>
          </cell>
          <cell r="G5150">
            <v>40005174</v>
          </cell>
        </row>
        <row r="5151">
          <cell r="E5151" t="str">
            <v>331815-7</v>
          </cell>
          <cell r="F5151">
            <v>10113315</v>
          </cell>
          <cell r="G5151">
            <v>40005175</v>
          </cell>
        </row>
        <row r="5152">
          <cell r="E5152" t="str">
            <v>325785-0</v>
          </cell>
          <cell r="F5152">
            <v>10113316</v>
          </cell>
          <cell r="G5152">
            <v>40005176</v>
          </cell>
        </row>
        <row r="5153">
          <cell r="E5153" t="str">
            <v>219020-5</v>
          </cell>
          <cell r="F5153">
            <v>10113317</v>
          </cell>
          <cell r="G5153">
            <v>40005177</v>
          </cell>
        </row>
        <row r="5154">
          <cell r="E5154">
            <v>20117281</v>
          </cell>
          <cell r="F5154">
            <v>10113318</v>
          </cell>
          <cell r="G5154">
            <v>40005178</v>
          </cell>
        </row>
        <row r="5155">
          <cell r="E5155" t="str">
            <v>183K90-5</v>
          </cell>
          <cell r="F5155">
            <v>10113319</v>
          </cell>
          <cell r="G5155">
            <v>40005179</v>
          </cell>
        </row>
        <row r="5156">
          <cell r="E5156" t="str">
            <v>JM21000080</v>
          </cell>
          <cell r="F5156">
            <v>10113320</v>
          </cell>
          <cell r="G5156">
            <v>40005180</v>
          </cell>
        </row>
        <row r="5157">
          <cell r="E5157" t="str">
            <v>JM27100066</v>
          </cell>
          <cell r="F5157">
            <v>10113321</v>
          </cell>
          <cell r="G5157">
            <v>40005181</v>
          </cell>
        </row>
        <row r="5158">
          <cell r="E5158" t="str">
            <v>JM27100016</v>
          </cell>
          <cell r="F5158">
            <v>10113322</v>
          </cell>
          <cell r="G5158">
            <v>40005182</v>
          </cell>
        </row>
        <row r="5159">
          <cell r="E5159" t="str">
            <v>266133-3</v>
          </cell>
          <cell r="F5159">
            <v>10113323</v>
          </cell>
          <cell r="G5159">
            <v>40005183</v>
          </cell>
        </row>
        <row r="5160">
          <cell r="E5160" t="str">
            <v>158423-7</v>
          </cell>
          <cell r="F5160">
            <v>10113324</v>
          </cell>
          <cell r="G5160">
            <v>40005184</v>
          </cell>
        </row>
        <row r="5161">
          <cell r="E5161" t="str">
            <v>153264-6</v>
          </cell>
          <cell r="F5161">
            <v>10113325</v>
          </cell>
          <cell r="G5161">
            <v>40005185</v>
          </cell>
        </row>
        <row r="5162">
          <cell r="E5162" t="str">
            <v>457656-4</v>
          </cell>
          <cell r="F5162">
            <v>10113326</v>
          </cell>
          <cell r="G5162">
            <v>40005186</v>
          </cell>
        </row>
        <row r="5163">
          <cell r="E5163" t="str">
            <v>327015-5</v>
          </cell>
          <cell r="F5163">
            <v>10113327</v>
          </cell>
          <cell r="G5163">
            <v>40005187</v>
          </cell>
        </row>
        <row r="5164">
          <cell r="E5164" t="str">
            <v>424602-2</v>
          </cell>
          <cell r="F5164">
            <v>10113328</v>
          </cell>
          <cell r="G5164">
            <v>40005188</v>
          </cell>
        </row>
        <row r="5165">
          <cell r="E5165" t="str">
            <v>213880-7</v>
          </cell>
          <cell r="F5165">
            <v>10113329</v>
          </cell>
          <cell r="G5165">
            <v>40005189</v>
          </cell>
        </row>
        <row r="5166">
          <cell r="E5166" t="str">
            <v>231987-7</v>
          </cell>
          <cell r="F5166">
            <v>10113330</v>
          </cell>
          <cell r="G5166">
            <v>40005190</v>
          </cell>
        </row>
        <row r="5167">
          <cell r="E5167" t="str">
            <v>199989-8</v>
          </cell>
          <cell r="F5167">
            <v>10113331</v>
          </cell>
          <cell r="G5167">
            <v>40005191</v>
          </cell>
        </row>
        <row r="5168">
          <cell r="E5168" t="str">
            <v>211022-7</v>
          </cell>
          <cell r="F5168">
            <v>10113736</v>
          </cell>
          <cell r="G5168">
            <v>40005192</v>
          </cell>
        </row>
        <row r="5169">
          <cell r="E5169" t="str">
            <v>313086-8</v>
          </cell>
          <cell r="F5169">
            <v>10113737</v>
          </cell>
          <cell r="G5169">
            <v>40005193</v>
          </cell>
        </row>
        <row r="5170">
          <cell r="E5170" t="str">
            <v>513449-0</v>
          </cell>
          <cell r="F5170">
            <v>10113738</v>
          </cell>
          <cell r="G5170">
            <v>40005194</v>
          </cell>
        </row>
        <row r="5171">
          <cell r="E5171" t="str">
            <v>144929-1</v>
          </cell>
          <cell r="F5171">
            <v>10113739</v>
          </cell>
          <cell r="G5171">
            <v>40005195</v>
          </cell>
        </row>
        <row r="5172">
          <cell r="E5172" t="str">
            <v>458144-4</v>
          </cell>
          <cell r="F5172">
            <v>10113740</v>
          </cell>
          <cell r="G5172">
            <v>40005196</v>
          </cell>
        </row>
        <row r="5173">
          <cell r="E5173" t="str">
            <v>347213-5</v>
          </cell>
          <cell r="F5173">
            <v>10113741</v>
          </cell>
          <cell r="G5173">
            <v>40005197</v>
          </cell>
        </row>
        <row r="5174">
          <cell r="E5174" t="str">
            <v>188859-6</v>
          </cell>
          <cell r="F5174">
            <v>10113742</v>
          </cell>
          <cell r="G5174">
            <v>40005198</v>
          </cell>
        </row>
        <row r="5175">
          <cell r="E5175" t="str">
            <v>324469-7</v>
          </cell>
          <cell r="F5175">
            <v>10113747</v>
          </cell>
          <cell r="G5175">
            <v>40005203</v>
          </cell>
        </row>
        <row r="5176">
          <cell r="E5176" t="str">
            <v>213527-3</v>
          </cell>
          <cell r="F5176">
            <v>10113743</v>
          </cell>
          <cell r="G5176">
            <v>40005199</v>
          </cell>
        </row>
        <row r="5177">
          <cell r="E5177" t="str">
            <v>AL00000228</v>
          </cell>
          <cell r="F5177">
            <v>10113744</v>
          </cell>
          <cell r="G5177">
            <v>40005200</v>
          </cell>
        </row>
        <row r="5178">
          <cell r="E5178" t="str">
            <v>681668-7</v>
          </cell>
          <cell r="F5178">
            <v>10113865</v>
          </cell>
          <cell r="G5178">
            <v>40005204</v>
          </cell>
        </row>
        <row r="5179">
          <cell r="E5179" t="str">
            <v>416001-2</v>
          </cell>
          <cell r="F5179">
            <v>10015447</v>
          </cell>
          <cell r="G5179">
            <v>40010262</v>
          </cell>
        </row>
        <row r="5180">
          <cell r="E5180" t="str">
            <v>163471-3</v>
          </cell>
          <cell r="F5180">
            <v>10113866</v>
          </cell>
          <cell r="G5180">
            <v>40005205</v>
          </cell>
        </row>
        <row r="5181">
          <cell r="E5181" t="str">
            <v>629220-3</v>
          </cell>
          <cell r="F5181">
            <v>10113892</v>
          </cell>
          <cell r="G5181">
            <v>40005230</v>
          </cell>
        </row>
        <row r="5182">
          <cell r="E5182" t="str">
            <v>326576-2</v>
          </cell>
          <cell r="F5182">
            <v>10113868</v>
          </cell>
          <cell r="G5182">
            <v>40005206</v>
          </cell>
        </row>
        <row r="5183">
          <cell r="E5183" t="str">
            <v>261155-8</v>
          </cell>
          <cell r="F5183">
            <v>10113869</v>
          </cell>
          <cell r="G5183">
            <v>40005207</v>
          </cell>
        </row>
        <row r="5184">
          <cell r="E5184" t="str">
            <v>326507-1</v>
          </cell>
          <cell r="F5184">
            <v>10113870</v>
          </cell>
          <cell r="G5184">
            <v>40005208</v>
          </cell>
        </row>
        <row r="5185">
          <cell r="E5185" t="str">
            <v>327155-9</v>
          </cell>
          <cell r="F5185">
            <v>10113871</v>
          </cell>
          <cell r="G5185">
            <v>40005209</v>
          </cell>
        </row>
        <row r="5186">
          <cell r="E5186" t="str">
            <v>234331-7</v>
          </cell>
          <cell r="F5186">
            <v>10113872</v>
          </cell>
          <cell r="G5186">
            <v>40005210</v>
          </cell>
        </row>
        <row r="5187">
          <cell r="E5187" t="str">
            <v>326710-4</v>
          </cell>
          <cell r="F5187">
            <v>10113873</v>
          </cell>
          <cell r="G5187">
            <v>40005211</v>
          </cell>
        </row>
        <row r="5188">
          <cell r="E5188" t="str">
            <v>253314-8</v>
          </cell>
          <cell r="F5188">
            <v>10113874</v>
          </cell>
          <cell r="G5188">
            <v>40005212</v>
          </cell>
        </row>
        <row r="5189">
          <cell r="E5189" t="str">
            <v>227351-8</v>
          </cell>
          <cell r="F5189">
            <v>10113875</v>
          </cell>
          <cell r="G5189">
            <v>40005213</v>
          </cell>
        </row>
        <row r="5190">
          <cell r="E5190" t="str">
            <v>143976-9</v>
          </cell>
          <cell r="F5190">
            <v>10113876</v>
          </cell>
          <cell r="G5190">
            <v>40005214</v>
          </cell>
        </row>
        <row r="5191">
          <cell r="E5191" t="str">
            <v>316933-2</v>
          </cell>
          <cell r="F5191">
            <v>10113877</v>
          </cell>
          <cell r="G5191">
            <v>40005215</v>
          </cell>
        </row>
        <row r="5192">
          <cell r="E5192" t="str">
            <v>231142-1</v>
          </cell>
          <cell r="F5192">
            <v>10113878</v>
          </cell>
          <cell r="G5192">
            <v>40005216</v>
          </cell>
        </row>
        <row r="5193">
          <cell r="E5193" t="str">
            <v>323559-3</v>
          </cell>
          <cell r="F5193">
            <v>10113879</v>
          </cell>
          <cell r="G5193">
            <v>40005217</v>
          </cell>
        </row>
        <row r="5194">
          <cell r="E5194" t="str">
            <v>231574-2</v>
          </cell>
          <cell r="F5194">
            <v>10113880</v>
          </cell>
          <cell r="G5194">
            <v>40005218</v>
          </cell>
        </row>
        <row r="5195">
          <cell r="E5195" t="str">
            <v>265813-8</v>
          </cell>
          <cell r="F5195">
            <v>10113881</v>
          </cell>
          <cell r="G5195">
            <v>40005219</v>
          </cell>
        </row>
        <row r="5196">
          <cell r="E5196" t="str">
            <v>341933-3</v>
          </cell>
          <cell r="F5196">
            <v>10113882</v>
          </cell>
          <cell r="G5196">
            <v>40005220</v>
          </cell>
        </row>
        <row r="5197">
          <cell r="E5197" t="str">
            <v>265269-5</v>
          </cell>
          <cell r="F5197">
            <v>10113883</v>
          </cell>
          <cell r="G5197">
            <v>40005221</v>
          </cell>
        </row>
        <row r="5198">
          <cell r="E5198" t="str">
            <v>962062-5</v>
          </cell>
          <cell r="F5198">
            <v>10113884</v>
          </cell>
          <cell r="G5198">
            <v>40005222</v>
          </cell>
        </row>
        <row r="5199">
          <cell r="E5199" t="str">
            <v>256606-4</v>
          </cell>
          <cell r="F5199">
            <v>10113885</v>
          </cell>
          <cell r="G5199">
            <v>40005223</v>
          </cell>
        </row>
        <row r="5200">
          <cell r="E5200" t="str">
            <v>286235-9</v>
          </cell>
          <cell r="F5200">
            <v>10113886</v>
          </cell>
          <cell r="G5200">
            <v>40005224</v>
          </cell>
        </row>
        <row r="5201">
          <cell r="E5201" t="str">
            <v>273649-1</v>
          </cell>
          <cell r="F5201">
            <v>10113887</v>
          </cell>
          <cell r="G5201">
            <v>40005225</v>
          </cell>
        </row>
        <row r="5202">
          <cell r="E5202" t="str">
            <v>515789-2</v>
          </cell>
          <cell r="F5202">
            <v>10113888</v>
          </cell>
          <cell r="G5202">
            <v>40005226</v>
          </cell>
        </row>
        <row r="5203">
          <cell r="E5203" t="str">
            <v>231647-1</v>
          </cell>
          <cell r="F5203">
            <v>10113889</v>
          </cell>
          <cell r="G5203">
            <v>40005227</v>
          </cell>
        </row>
        <row r="5204">
          <cell r="E5204" t="str">
            <v>256739-5</v>
          </cell>
          <cell r="F5204">
            <v>10113890</v>
          </cell>
          <cell r="G5204">
            <v>40005228</v>
          </cell>
        </row>
        <row r="5205">
          <cell r="E5205" t="str">
            <v>267294-2</v>
          </cell>
          <cell r="F5205">
            <v>10113891</v>
          </cell>
          <cell r="G5205">
            <v>40005229</v>
          </cell>
        </row>
        <row r="5206">
          <cell r="E5206" t="str">
            <v>510188-3</v>
          </cell>
          <cell r="F5206">
            <v>10114165</v>
          </cell>
          <cell r="G5206">
            <v>40005231</v>
          </cell>
        </row>
        <row r="5207">
          <cell r="E5207" t="str">
            <v>633733-8</v>
          </cell>
          <cell r="F5207">
            <v>10114166</v>
          </cell>
          <cell r="G5207">
            <v>40005232</v>
          </cell>
        </row>
        <row r="5208">
          <cell r="E5208" t="str">
            <v>266276-1</v>
          </cell>
          <cell r="F5208">
            <v>10114167</v>
          </cell>
          <cell r="G5208">
            <v>40005233</v>
          </cell>
        </row>
        <row r="5209">
          <cell r="E5209" t="str">
            <v>331792-3</v>
          </cell>
          <cell r="F5209">
            <v>10114168</v>
          </cell>
          <cell r="G5209">
            <v>40005234</v>
          </cell>
        </row>
        <row r="5210">
          <cell r="E5210" t="str">
            <v>266167-6</v>
          </cell>
          <cell r="F5210">
            <v>10114169</v>
          </cell>
          <cell r="G5210">
            <v>40005235</v>
          </cell>
        </row>
        <row r="5211">
          <cell r="E5211" t="str">
            <v>226009-6</v>
          </cell>
          <cell r="F5211">
            <v>10114170</v>
          </cell>
          <cell r="G5211">
            <v>40005236</v>
          </cell>
        </row>
        <row r="5212">
          <cell r="E5212" t="str">
            <v>273605-1</v>
          </cell>
          <cell r="F5212">
            <v>10114171</v>
          </cell>
          <cell r="G5212">
            <v>40005237</v>
          </cell>
        </row>
        <row r="5213">
          <cell r="E5213" t="str">
            <v>241665-1</v>
          </cell>
          <cell r="F5213">
            <v>10114172</v>
          </cell>
          <cell r="G5213">
            <v>40005238</v>
          </cell>
        </row>
        <row r="5214">
          <cell r="E5214" t="str">
            <v>231417-8</v>
          </cell>
          <cell r="F5214">
            <v>10114173</v>
          </cell>
          <cell r="G5214">
            <v>40005239</v>
          </cell>
        </row>
        <row r="5215">
          <cell r="E5215" t="str">
            <v>962065-9</v>
          </cell>
          <cell r="F5215">
            <v>10114174</v>
          </cell>
          <cell r="G5215">
            <v>40005240</v>
          </cell>
        </row>
        <row r="5216">
          <cell r="E5216" t="str">
            <v>347215-1</v>
          </cell>
          <cell r="F5216">
            <v>10114175</v>
          </cell>
          <cell r="G5216">
            <v>40005241</v>
          </cell>
        </row>
        <row r="5217">
          <cell r="E5217" t="str">
            <v>650676-9</v>
          </cell>
          <cell r="F5217">
            <v>10114176</v>
          </cell>
          <cell r="G5217">
            <v>40005242</v>
          </cell>
        </row>
        <row r="5218">
          <cell r="E5218" t="str">
            <v>631751-0</v>
          </cell>
          <cell r="F5218">
            <v>10114177</v>
          </cell>
          <cell r="G5218">
            <v>40005243</v>
          </cell>
        </row>
        <row r="5219">
          <cell r="E5219" t="str">
            <v>422768-2</v>
          </cell>
          <cell r="F5219">
            <v>10114178</v>
          </cell>
          <cell r="G5219">
            <v>40005244</v>
          </cell>
        </row>
        <row r="5220">
          <cell r="E5220" t="str">
            <v>210059-1</v>
          </cell>
          <cell r="F5220">
            <v>10050927</v>
          </cell>
          <cell r="G5220">
            <v>40006873</v>
          </cell>
        </row>
        <row r="5221">
          <cell r="E5221" t="str">
            <v>210216-1</v>
          </cell>
          <cell r="F5221">
            <v>10114179</v>
          </cell>
          <cell r="G5221">
            <v>40005245</v>
          </cell>
        </row>
        <row r="5222">
          <cell r="E5222" t="str">
            <v>211489-9</v>
          </cell>
          <cell r="F5222">
            <v>10114180</v>
          </cell>
          <cell r="G5222">
            <v>40005246</v>
          </cell>
        </row>
        <row r="5223">
          <cell r="E5223" t="str">
            <v>183B49-8</v>
          </cell>
          <cell r="F5223">
            <v>10114181</v>
          </cell>
          <cell r="G5223">
            <v>40005247</v>
          </cell>
        </row>
        <row r="5224">
          <cell r="E5224" t="str">
            <v>123241-2</v>
          </cell>
          <cell r="F5224">
            <v>10114182</v>
          </cell>
          <cell r="G5224">
            <v>40005248</v>
          </cell>
        </row>
        <row r="5225">
          <cell r="E5225" t="str">
            <v>344341-7</v>
          </cell>
          <cell r="F5225">
            <v>10114183</v>
          </cell>
          <cell r="G5225">
            <v>40005249</v>
          </cell>
        </row>
        <row r="5226">
          <cell r="E5226" t="str">
            <v>214043-8</v>
          </cell>
          <cell r="F5226">
            <v>10001353</v>
          </cell>
          <cell r="G5226">
            <v>40007119</v>
          </cell>
        </row>
        <row r="5227">
          <cell r="E5227" t="str">
            <v>529187-4</v>
          </cell>
          <cell r="F5227">
            <v>10114184</v>
          </cell>
          <cell r="G5227">
            <v>40005250</v>
          </cell>
        </row>
        <row r="5228">
          <cell r="E5228" t="str">
            <v>620241-8</v>
          </cell>
          <cell r="F5228">
            <v>10114185</v>
          </cell>
          <cell r="G5228">
            <v>40005251</v>
          </cell>
        </row>
        <row r="5229">
          <cell r="E5229" t="str">
            <v>619737-4</v>
          </cell>
          <cell r="F5229">
            <v>10114186</v>
          </cell>
          <cell r="G5229">
            <v>40005252</v>
          </cell>
        </row>
        <row r="5230">
          <cell r="E5230" t="str">
            <v>DHG181ZK</v>
          </cell>
          <cell r="F5230">
            <v>10115017</v>
          </cell>
          <cell r="G5230">
            <v>10029920</v>
          </cell>
        </row>
        <row r="5231">
          <cell r="E5231" t="str">
            <v>313354-9</v>
          </cell>
          <cell r="F5231">
            <v>10115020</v>
          </cell>
          <cell r="G5231">
            <v>40005253</v>
          </cell>
        </row>
        <row r="5232">
          <cell r="E5232" t="str">
            <v>122C95-2</v>
          </cell>
          <cell r="F5232">
            <v>10115021</v>
          </cell>
          <cell r="G5232">
            <v>40005254</v>
          </cell>
        </row>
        <row r="5233">
          <cell r="E5233" t="str">
            <v>195433-3</v>
          </cell>
          <cell r="F5233">
            <v>10115022</v>
          </cell>
          <cell r="G5233">
            <v>40005255</v>
          </cell>
        </row>
        <row r="5234">
          <cell r="E5234" t="str">
            <v>417040-5</v>
          </cell>
          <cell r="F5234">
            <v>10115023</v>
          </cell>
          <cell r="G5234">
            <v>40005256</v>
          </cell>
        </row>
        <row r="5235">
          <cell r="E5235" t="str">
            <v>151886-6</v>
          </cell>
          <cell r="F5235">
            <v>10115024</v>
          </cell>
          <cell r="G5235">
            <v>40005257</v>
          </cell>
        </row>
        <row r="5236">
          <cell r="E5236" t="str">
            <v>650240-6</v>
          </cell>
          <cell r="F5236">
            <v>10115025</v>
          </cell>
          <cell r="G5236">
            <v>40005258</v>
          </cell>
        </row>
        <row r="5237">
          <cell r="E5237" t="str">
            <v>456529-8</v>
          </cell>
          <cell r="F5237">
            <v>10115026</v>
          </cell>
          <cell r="G5237">
            <v>40005259</v>
          </cell>
        </row>
        <row r="5238">
          <cell r="E5238" t="str">
            <v>325813-1</v>
          </cell>
          <cell r="F5238">
            <v>10115027</v>
          </cell>
          <cell r="G5238">
            <v>40005260</v>
          </cell>
        </row>
        <row r="5239">
          <cell r="E5239" t="str">
            <v>233992-0</v>
          </cell>
          <cell r="F5239">
            <v>10115028</v>
          </cell>
          <cell r="G5239">
            <v>40005261</v>
          </cell>
        </row>
        <row r="5240">
          <cell r="E5240" t="str">
            <v>513944-0</v>
          </cell>
          <cell r="F5240">
            <v>10115029</v>
          </cell>
          <cell r="G5240">
            <v>40005262</v>
          </cell>
        </row>
        <row r="5241">
          <cell r="E5241" t="str">
            <v>317763-4</v>
          </cell>
          <cell r="F5241">
            <v>10115030</v>
          </cell>
          <cell r="G5241">
            <v>40005263</v>
          </cell>
        </row>
        <row r="5242">
          <cell r="E5242" t="str">
            <v>515434-9</v>
          </cell>
          <cell r="F5242">
            <v>10115031</v>
          </cell>
          <cell r="G5242">
            <v>40005265</v>
          </cell>
        </row>
        <row r="5243">
          <cell r="E5243" t="str">
            <v>594679-2</v>
          </cell>
          <cell r="F5243">
            <v>10115032</v>
          </cell>
          <cell r="G5243">
            <v>40005266</v>
          </cell>
        </row>
        <row r="5244">
          <cell r="E5244" t="str">
            <v>188858-8</v>
          </cell>
          <cell r="F5244">
            <v>10115033</v>
          </cell>
          <cell r="G5244">
            <v>40005267</v>
          </cell>
        </row>
        <row r="5245">
          <cell r="E5245" t="str">
            <v>517979-3</v>
          </cell>
          <cell r="F5245">
            <v>10115034</v>
          </cell>
          <cell r="G5245">
            <v>40005327</v>
          </cell>
        </row>
        <row r="5246">
          <cell r="E5246" t="str">
            <v>626574-9</v>
          </cell>
          <cell r="F5246">
            <v>10115035</v>
          </cell>
          <cell r="G5246">
            <v>40005328</v>
          </cell>
        </row>
        <row r="5247">
          <cell r="E5247" t="str">
            <v>157407-2</v>
          </cell>
          <cell r="F5247">
            <v>10001039</v>
          </cell>
          <cell r="G5247">
            <v>40007340</v>
          </cell>
        </row>
        <row r="5248">
          <cell r="E5248" t="str">
            <v>911143-2</v>
          </cell>
          <cell r="F5248">
            <v>10060975</v>
          </cell>
          <cell r="G5248">
            <v>40006330</v>
          </cell>
        </row>
        <row r="5249">
          <cell r="E5249" t="str">
            <v>JM23100176</v>
          </cell>
          <cell r="F5249">
            <v>10063059</v>
          </cell>
          <cell r="G5249">
            <v>40006028</v>
          </cell>
        </row>
        <row r="5250">
          <cell r="E5250" t="str">
            <v>422068-0</v>
          </cell>
          <cell r="F5250">
            <v>10051015</v>
          </cell>
          <cell r="G5250">
            <v>40006920</v>
          </cell>
        </row>
        <row r="5251">
          <cell r="E5251" t="str">
            <v>153299-7</v>
          </cell>
          <cell r="F5251">
            <v>10050899</v>
          </cell>
          <cell r="G5251">
            <v>40006839</v>
          </cell>
        </row>
        <row r="5252">
          <cell r="E5252" t="str">
            <v>213582-5</v>
          </cell>
          <cell r="F5252">
            <v>10057153</v>
          </cell>
        </row>
        <row r="5253">
          <cell r="E5253" t="str">
            <v>222063-8</v>
          </cell>
          <cell r="F5253">
            <v>10047472</v>
          </cell>
          <cell r="G5253">
            <v>40006968</v>
          </cell>
        </row>
        <row r="5254">
          <cell r="E5254" t="str">
            <v>213586-7</v>
          </cell>
          <cell r="F5254">
            <v>10051008</v>
          </cell>
          <cell r="G5254">
            <v>40006916</v>
          </cell>
        </row>
        <row r="5255">
          <cell r="E5255" t="str">
            <v>JM23100182</v>
          </cell>
          <cell r="F5255">
            <v>10063063</v>
          </cell>
          <cell r="G5255">
            <v>40006031</v>
          </cell>
        </row>
        <row r="5256">
          <cell r="E5256" t="str">
            <v>D-31304</v>
          </cell>
          <cell r="F5256">
            <v>10004559</v>
          </cell>
          <cell r="G5256">
            <v>10019752</v>
          </cell>
        </row>
        <row r="5257">
          <cell r="E5257" t="str">
            <v>784210-4</v>
          </cell>
          <cell r="F5257">
            <v>10003885</v>
          </cell>
          <cell r="G5257">
            <v>10019705</v>
          </cell>
        </row>
        <row r="5258">
          <cell r="E5258" t="str">
            <v>763414-1</v>
          </cell>
          <cell r="F5258">
            <v>10002037</v>
          </cell>
          <cell r="G5258">
            <v>10019994</v>
          </cell>
        </row>
        <row r="5259">
          <cell r="E5259" t="str">
            <v>BTC05</v>
          </cell>
          <cell r="F5259">
            <v>10106956</v>
          </cell>
          <cell r="G5259">
            <v>10018263</v>
          </cell>
        </row>
        <row r="5260">
          <cell r="E5260" t="str">
            <v>318863-3</v>
          </cell>
          <cell r="F5260">
            <v>10074922</v>
          </cell>
          <cell r="G5260">
            <v>40006168</v>
          </cell>
        </row>
        <row r="5261">
          <cell r="E5261" t="str">
            <v>636303-2</v>
          </cell>
          <cell r="F5261">
            <v>10023868</v>
          </cell>
          <cell r="G5261">
            <v>40008257</v>
          </cell>
        </row>
        <row r="5262">
          <cell r="E5262" t="str">
            <v>182628-7</v>
          </cell>
          <cell r="F5262">
            <v>10022740</v>
          </cell>
          <cell r="G5262">
            <v>40007602</v>
          </cell>
        </row>
        <row r="5263">
          <cell r="E5263" t="str">
            <v>419409-9</v>
          </cell>
          <cell r="F5263">
            <v>10062729</v>
          </cell>
          <cell r="G5263">
            <v>40005943</v>
          </cell>
        </row>
        <row r="5264">
          <cell r="E5264" t="str">
            <v>JM27000067</v>
          </cell>
          <cell r="F5264">
            <v>10025367</v>
          </cell>
          <cell r="G5264">
            <v>40007264</v>
          </cell>
        </row>
        <row r="5265">
          <cell r="E5265" t="str">
            <v>152902-7</v>
          </cell>
          <cell r="F5265">
            <v>10040782</v>
          </cell>
          <cell r="G5265">
            <v>40008300</v>
          </cell>
        </row>
        <row r="5266">
          <cell r="E5266" t="str">
            <v>JM23100175</v>
          </cell>
          <cell r="F5266">
            <v>10063060</v>
          </cell>
          <cell r="G5266">
            <v>40006029</v>
          </cell>
        </row>
        <row r="5267">
          <cell r="E5267" t="str">
            <v>RP2300FC05</v>
          </cell>
          <cell r="F5267">
            <v>10113734</v>
          </cell>
          <cell r="G5267">
            <v>10029919</v>
          </cell>
        </row>
        <row r="5268">
          <cell r="E5268" t="str">
            <v>CF101DZX1</v>
          </cell>
          <cell r="F5268">
            <v>10113745</v>
          </cell>
          <cell r="G5268">
            <v>40005201</v>
          </cell>
        </row>
        <row r="5269">
          <cell r="E5269" t="str">
            <v>191H43-2</v>
          </cell>
          <cell r="F5269">
            <v>10113735</v>
          </cell>
          <cell r="G5269">
            <v>40010394</v>
          </cell>
        </row>
        <row r="5270">
          <cell r="E5270" t="str">
            <v>619353-2</v>
          </cell>
          <cell r="F5270">
            <v>10064413</v>
          </cell>
          <cell r="G5270">
            <v>40006352</v>
          </cell>
        </row>
        <row r="5271">
          <cell r="E5271" t="str">
            <v>165374-7</v>
          </cell>
          <cell r="F5271">
            <v>10115064</v>
          </cell>
          <cell r="G5271">
            <v>40005329</v>
          </cell>
        </row>
        <row r="5272">
          <cell r="E5272" t="str">
            <v>417033-2</v>
          </cell>
          <cell r="F5272">
            <v>10115065</v>
          </cell>
          <cell r="G5272">
            <v>40005330</v>
          </cell>
        </row>
        <row r="5273">
          <cell r="E5273" t="str">
            <v>456196-9</v>
          </cell>
          <cell r="F5273">
            <v>10115066</v>
          </cell>
          <cell r="G5273">
            <v>40005331</v>
          </cell>
        </row>
        <row r="5274">
          <cell r="E5274" t="str">
            <v>517689-2</v>
          </cell>
          <cell r="F5274">
            <v>10115067</v>
          </cell>
          <cell r="G5274">
            <v>40005332</v>
          </cell>
        </row>
        <row r="5275">
          <cell r="E5275" t="str">
            <v>539168-0</v>
          </cell>
          <cell r="F5275">
            <v>10115068</v>
          </cell>
          <cell r="G5275">
            <v>40005333</v>
          </cell>
        </row>
        <row r="5276">
          <cell r="E5276" t="str">
            <v>619421-1</v>
          </cell>
          <cell r="F5276">
            <v>10115069</v>
          </cell>
          <cell r="G5276">
            <v>40005334</v>
          </cell>
        </row>
        <row r="5277">
          <cell r="E5277" t="str">
            <v>651939-6</v>
          </cell>
          <cell r="F5277">
            <v>10115070</v>
          </cell>
          <cell r="G5277">
            <v>40005335</v>
          </cell>
        </row>
        <row r="5278">
          <cell r="E5278" t="str">
            <v>JM23100015</v>
          </cell>
          <cell r="F5278">
            <v>10115071</v>
          </cell>
          <cell r="G5278">
            <v>40005336</v>
          </cell>
        </row>
        <row r="5279">
          <cell r="E5279" t="str">
            <v>JM23100018</v>
          </cell>
          <cell r="F5279">
            <v>10115072</v>
          </cell>
          <cell r="G5279">
            <v>40005337</v>
          </cell>
        </row>
        <row r="5280">
          <cell r="E5280" t="str">
            <v>JM23100021</v>
          </cell>
          <cell r="F5280">
            <v>10058416</v>
          </cell>
          <cell r="G5280">
            <v>40005733</v>
          </cell>
        </row>
        <row r="5281">
          <cell r="E5281" t="str">
            <v>JM23100022</v>
          </cell>
          <cell r="F5281">
            <v>10063023</v>
          </cell>
          <cell r="G5281">
            <v>40006006</v>
          </cell>
        </row>
        <row r="5282">
          <cell r="E5282" t="str">
            <v>JM23100025</v>
          </cell>
          <cell r="F5282">
            <v>10115073</v>
          </cell>
          <cell r="G5282">
            <v>40005338</v>
          </cell>
        </row>
        <row r="5283">
          <cell r="E5283" t="str">
            <v>620E03-4</v>
          </cell>
          <cell r="F5283">
            <v>10115074</v>
          </cell>
          <cell r="G5283">
            <v>40005339</v>
          </cell>
        </row>
        <row r="5284">
          <cell r="E5284" t="str">
            <v>PR00000073</v>
          </cell>
          <cell r="F5284">
            <v>10115075</v>
          </cell>
          <cell r="G5284">
            <v>40005340</v>
          </cell>
        </row>
        <row r="5285">
          <cell r="E5285" t="str">
            <v>PR00000075</v>
          </cell>
          <cell r="F5285">
            <v>10115076</v>
          </cell>
          <cell r="G5285">
            <v>40005341</v>
          </cell>
        </row>
        <row r="5286">
          <cell r="E5286" t="str">
            <v>PR00000077</v>
          </cell>
          <cell r="F5286">
            <v>10115077</v>
          </cell>
          <cell r="G5286">
            <v>40005342</v>
          </cell>
        </row>
        <row r="5287">
          <cell r="E5287" t="str">
            <v>JM23100029</v>
          </cell>
          <cell r="F5287">
            <v>10063027</v>
          </cell>
          <cell r="G5287">
            <v>40006010</v>
          </cell>
        </row>
        <row r="5288">
          <cell r="E5288" t="str">
            <v>JM27000340</v>
          </cell>
          <cell r="F5288">
            <v>10115078</v>
          </cell>
          <cell r="G5288">
            <v>40005343</v>
          </cell>
        </row>
        <row r="5289">
          <cell r="E5289" t="str">
            <v>195658-9</v>
          </cell>
          <cell r="F5289">
            <v>10115542</v>
          </cell>
        </row>
        <row r="5290">
          <cell r="E5290" t="str">
            <v>232286-0</v>
          </cell>
          <cell r="F5290">
            <v>10115543</v>
          </cell>
          <cell r="G5290">
            <v>40010387</v>
          </cell>
        </row>
        <row r="5291">
          <cell r="E5291" t="str">
            <v>253428-3</v>
          </cell>
          <cell r="F5291">
            <v>10115545</v>
          </cell>
          <cell r="G5291">
            <v>40010369</v>
          </cell>
        </row>
        <row r="5292">
          <cell r="E5292" t="str">
            <v>620522-0</v>
          </cell>
          <cell r="F5292">
            <v>10115546</v>
          </cell>
          <cell r="G5292">
            <v>40010273</v>
          </cell>
        </row>
        <row r="5293">
          <cell r="E5293" t="str">
            <v>621779-6</v>
          </cell>
          <cell r="F5293">
            <v>10115547</v>
          </cell>
          <cell r="G5293">
            <v>40010363</v>
          </cell>
        </row>
        <row r="5294">
          <cell r="E5294" t="str">
            <v>632A24-0</v>
          </cell>
          <cell r="F5294">
            <v>10115548</v>
          </cell>
          <cell r="G5294">
            <v>40010399</v>
          </cell>
        </row>
        <row r="5295">
          <cell r="E5295" t="str">
            <v>687001-1</v>
          </cell>
          <cell r="F5295">
            <v>10115549</v>
          </cell>
          <cell r="G5295">
            <v>40010397</v>
          </cell>
        </row>
        <row r="5296">
          <cell r="E5296" t="str">
            <v>687123-7</v>
          </cell>
          <cell r="F5296">
            <v>10115551</v>
          </cell>
          <cell r="G5296">
            <v>40010381</v>
          </cell>
        </row>
        <row r="5297">
          <cell r="E5297" t="str">
            <v>687124-5</v>
          </cell>
          <cell r="F5297">
            <v>10115552</v>
          </cell>
          <cell r="G5297">
            <v>40010396</v>
          </cell>
        </row>
        <row r="5298">
          <cell r="E5298" t="str">
            <v>766021-9</v>
          </cell>
          <cell r="F5298">
            <v>10115553</v>
          </cell>
          <cell r="G5298">
            <v>10029929</v>
          </cell>
        </row>
        <row r="5299">
          <cell r="E5299" t="str">
            <v>911124-6</v>
          </cell>
          <cell r="F5299">
            <v>10115554</v>
          </cell>
          <cell r="G5299">
            <v>40010367</v>
          </cell>
        </row>
        <row r="5300">
          <cell r="E5300" t="str">
            <v>E-14548</v>
          </cell>
          <cell r="F5300">
            <v>10115555</v>
          </cell>
          <cell r="G5300">
            <v>10029926</v>
          </cell>
        </row>
        <row r="5301">
          <cell r="E5301" t="str">
            <v>E-14744</v>
          </cell>
          <cell r="F5301">
            <v>10115556</v>
          </cell>
          <cell r="G5301">
            <v>10029927</v>
          </cell>
        </row>
        <row r="5302">
          <cell r="E5302" t="str">
            <v>D-25149</v>
          </cell>
          <cell r="F5302">
            <v>10115557</v>
          </cell>
          <cell r="G5302">
            <v>10029921</v>
          </cell>
        </row>
        <row r="5303">
          <cell r="E5303" t="str">
            <v>D-44286</v>
          </cell>
          <cell r="F5303">
            <v>10115558</v>
          </cell>
          <cell r="G5303">
            <v>10029928</v>
          </cell>
        </row>
        <row r="5304">
          <cell r="E5304" t="str">
            <v>D-30368</v>
          </cell>
          <cell r="F5304">
            <v>10115018</v>
          </cell>
          <cell r="G5304">
            <v>10029924</v>
          </cell>
        </row>
        <row r="5305">
          <cell r="E5305" t="str">
            <v>140739-4</v>
          </cell>
          <cell r="F5305">
            <v>10115967</v>
          </cell>
          <cell r="G5305">
            <v>40010401</v>
          </cell>
        </row>
        <row r="5306">
          <cell r="E5306" t="str">
            <v>197975-3</v>
          </cell>
          <cell r="F5306">
            <v>10115968</v>
          </cell>
        </row>
        <row r="5307">
          <cell r="E5307" t="str">
            <v>212225-6</v>
          </cell>
          <cell r="F5307">
            <v>10115969</v>
          </cell>
          <cell r="G5307">
            <v>40010374</v>
          </cell>
        </row>
        <row r="5308">
          <cell r="E5308" t="str">
            <v>213394-6</v>
          </cell>
          <cell r="F5308">
            <v>10115970</v>
          </cell>
          <cell r="G5308">
            <v>40010274</v>
          </cell>
        </row>
        <row r="5309">
          <cell r="E5309" t="str">
            <v>213431-6</v>
          </cell>
          <cell r="F5309">
            <v>10115971</v>
          </cell>
          <cell r="G5309">
            <v>40010385</v>
          </cell>
        </row>
        <row r="5310">
          <cell r="E5310" t="str">
            <v>213980-3</v>
          </cell>
          <cell r="F5310">
            <v>10115972</v>
          </cell>
          <cell r="G5310">
            <v>40010403</v>
          </cell>
        </row>
        <row r="5311">
          <cell r="E5311" t="str">
            <v>223170-0</v>
          </cell>
          <cell r="F5311">
            <v>10115973</v>
          </cell>
          <cell r="G5311">
            <v>40010377</v>
          </cell>
        </row>
        <row r="5312">
          <cell r="E5312" t="str">
            <v>233973-4</v>
          </cell>
          <cell r="F5312">
            <v>10115974</v>
          </cell>
          <cell r="G5312">
            <v>40010393</v>
          </cell>
        </row>
        <row r="5313">
          <cell r="E5313" t="str">
            <v>234121-8</v>
          </cell>
          <cell r="F5313">
            <v>10115975</v>
          </cell>
          <cell r="G5313">
            <v>40010379</v>
          </cell>
        </row>
        <row r="5314">
          <cell r="E5314" t="str">
            <v>267202-3</v>
          </cell>
          <cell r="F5314">
            <v>10115976</v>
          </cell>
          <cell r="G5314">
            <v>40010366</v>
          </cell>
        </row>
        <row r="5315">
          <cell r="E5315" t="str">
            <v>325660-0</v>
          </cell>
          <cell r="F5315">
            <v>10115977</v>
          </cell>
          <cell r="G5315">
            <v>40010383</v>
          </cell>
        </row>
        <row r="5316">
          <cell r="E5316" t="str">
            <v>347252-5</v>
          </cell>
          <cell r="F5316">
            <v>10115978</v>
          </cell>
          <cell r="G5316">
            <v>40010400</v>
          </cell>
        </row>
        <row r="5317">
          <cell r="E5317" t="str">
            <v>416341-8</v>
          </cell>
          <cell r="F5317">
            <v>10115979</v>
          </cell>
          <cell r="G5317">
            <v>40010384</v>
          </cell>
        </row>
        <row r="5318">
          <cell r="E5318" t="str">
            <v>454026-8</v>
          </cell>
          <cell r="F5318">
            <v>10115980</v>
          </cell>
        </row>
        <row r="5319">
          <cell r="E5319" t="str">
            <v>651284-9</v>
          </cell>
          <cell r="F5319">
            <v>10115981</v>
          </cell>
          <cell r="G5319">
            <v>40010398</v>
          </cell>
        </row>
        <row r="5320">
          <cell r="E5320" t="str">
            <v>HY00000911</v>
          </cell>
          <cell r="F5320">
            <v>10115982</v>
          </cell>
          <cell r="G5320">
            <v>10029917</v>
          </cell>
        </row>
        <row r="5321">
          <cell r="E5321" t="str">
            <v>JM27000173</v>
          </cell>
          <cell r="F5321">
            <v>10115983</v>
          </cell>
          <cell r="G5321">
            <v>40010392</v>
          </cell>
        </row>
        <row r="5322">
          <cell r="E5322" t="str">
            <v>213262-3</v>
          </cell>
          <cell r="F5322">
            <v>10045951</v>
          </cell>
          <cell r="G5322">
            <v>40010388</v>
          </cell>
        </row>
        <row r="5323">
          <cell r="E5323" t="str">
            <v>213499-2</v>
          </cell>
          <cell r="F5323">
            <v>10062438</v>
          </cell>
          <cell r="G5323">
            <v>40010389</v>
          </cell>
        </row>
        <row r="5324">
          <cell r="E5324" t="str">
            <v>DTD156ZK</v>
          </cell>
          <cell r="F5324">
            <v>10115541</v>
          </cell>
          <cell r="G5324">
            <v>10029916</v>
          </cell>
        </row>
        <row r="5325">
          <cell r="E5325" t="str">
            <v>122555-6</v>
          </cell>
          <cell r="F5325">
            <v>10002434</v>
          </cell>
          <cell r="G5325">
            <v>10019896</v>
          </cell>
        </row>
        <row r="5326">
          <cell r="E5326" t="str">
            <v>DTW450Z</v>
          </cell>
          <cell r="F5326">
            <v>10116228</v>
          </cell>
          <cell r="G5326">
            <v>10029887</v>
          </cell>
        </row>
        <row r="5327">
          <cell r="E5327" t="str">
            <v>687054-0</v>
          </cell>
          <cell r="F5327">
            <v>10116229</v>
          </cell>
        </row>
        <row r="5328">
          <cell r="E5328" t="str">
            <v>266029-8</v>
          </cell>
          <cell r="F5328">
            <v>10116230</v>
          </cell>
          <cell r="G5328">
            <v>40010254</v>
          </cell>
        </row>
        <row r="5329">
          <cell r="E5329" t="str">
            <v>633714-2</v>
          </cell>
          <cell r="F5329">
            <v>10116231</v>
          </cell>
          <cell r="G5329">
            <v>40010230</v>
          </cell>
        </row>
        <row r="5330">
          <cell r="E5330" t="str">
            <v>451246-5</v>
          </cell>
          <cell r="F5330">
            <v>10116232</v>
          </cell>
          <cell r="G5330">
            <v>40010247</v>
          </cell>
        </row>
        <row r="5331">
          <cell r="E5331" t="str">
            <v>450895-5</v>
          </cell>
          <cell r="F5331">
            <v>10116233</v>
          </cell>
          <cell r="G5331">
            <v>40010275</v>
          </cell>
        </row>
        <row r="5332">
          <cell r="E5332" t="str">
            <v>141786-8</v>
          </cell>
          <cell r="F5332">
            <v>10116234</v>
          </cell>
          <cell r="G5332">
            <v>40010276</v>
          </cell>
        </row>
        <row r="5333">
          <cell r="E5333" t="str">
            <v>262148-8</v>
          </cell>
          <cell r="F5333">
            <v>10116235</v>
          </cell>
          <cell r="G5333">
            <v>40010277</v>
          </cell>
        </row>
        <row r="5334">
          <cell r="E5334" t="str">
            <v>213079-4</v>
          </cell>
          <cell r="F5334">
            <v>10116236</v>
          </cell>
        </row>
        <row r="5335">
          <cell r="E5335" t="str">
            <v>262149-6</v>
          </cell>
          <cell r="F5335">
            <v>10116237</v>
          </cell>
          <cell r="G5335">
            <v>40010278</v>
          </cell>
        </row>
        <row r="5336">
          <cell r="E5336" t="str">
            <v>451110-0</v>
          </cell>
          <cell r="F5336">
            <v>10116238</v>
          </cell>
          <cell r="G5336">
            <v>40010279</v>
          </cell>
        </row>
        <row r="5337">
          <cell r="E5337" t="str">
            <v>234107-2</v>
          </cell>
          <cell r="F5337">
            <v>10116239</v>
          </cell>
          <cell r="G5337">
            <v>40010280</v>
          </cell>
        </row>
        <row r="5338">
          <cell r="E5338" t="str">
            <v>257297-4</v>
          </cell>
          <cell r="F5338">
            <v>10116240</v>
          </cell>
          <cell r="G5338">
            <v>40010281</v>
          </cell>
        </row>
        <row r="5339">
          <cell r="E5339" t="str">
            <v>158985-5</v>
          </cell>
          <cell r="F5339">
            <v>10116241</v>
          </cell>
          <cell r="G5339">
            <v>40010282</v>
          </cell>
        </row>
        <row r="5340">
          <cell r="E5340" t="str">
            <v>213176-6</v>
          </cell>
          <cell r="F5340">
            <v>10116242</v>
          </cell>
          <cell r="G5340">
            <v>40010283</v>
          </cell>
        </row>
        <row r="5341">
          <cell r="E5341" t="str">
            <v>443147-1</v>
          </cell>
          <cell r="F5341">
            <v>10116243</v>
          </cell>
          <cell r="G5341">
            <v>40010284</v>
          </cell>
        </row>
        <row r="5342">
          <cell r="E5342" t="str">
            <v>651423-1</v>
          </cell>
          <cell r="F5342">
            <v>10116244</v>
          </cell>
          <cell r="G5342">
            <v>40010238</v>
          </cell>
        </row>
        <row r="5343">
          <cell r="E5343" t="str">
            <v>150662-5</v>
          </cell>
          <cell r="F5343">
            <v>10116245</v>
          </cell>
          <cell r="G5343">
            <v>40010285</v>
          </cell>
        </row>
        <row r="5344">
          <cell r="E5344" t="str">
            <v>453125-3</v>
          </cell>
          <cell r="F5344">
            <v>10116246</v>
          </cell>
          <cell r="G5344">
            <v>40010286</v>
          </cell>
        </row>
        <row r="5345">
          <cell r="E5345" t="str">
            <v>125876-5</v>
          </cell>
          <cell r="F5345">
            <v>10116247</v>
          </cell>
          <cell r="G5345">
            <v>40010248</v>
          </cell>
        </row>
        <row r="5346">
          <cell r="E5346" t="str">
            <v>241910-4</v>
          </cell>
          <cell r="F5346">
            <v>10116248</v>
          </cell>
          <cell r="G5346">
            <v>40010287</v>
          </cell>
        </row>
        <row r="5347">
          <cell r="E5347" t="str">
            <v>650659-9</v>
          </cell>
          <cell r="F5347">
            <v>10116249</v>
          </cell>
          <cell r="G5347">
            <v>40010239</v>
          </cell>
        </row>
        <row r="5348">
          <cell r="E5348" t="str">
            <v>213958-6</v>
          </cell>
          <cell r="F5348">
            <v>10116250</v>
          </cell>
          <cell r="G5348">
            <v>40010288</v>
          </cell>
        </row>
        <row r="5349">
          <cell r="E5349" t="str">
            <v>620616-1</v>
          </cell>
          <cell r="F5349">
            <v>10116252</v>
          </cell>
          <cell r="G5349">
            <v>40010289</v>
          </cell>
        </row>
        <row r="5350">
          <cell r="E5350" t="str">
            <v>632R82-8</v>
          </cell>
          <cell r="F5350">
            <v>10116253</v>
          </cell>
          <cell r="G5350">
            <v>40010290</v>
          </cell>
        </row>
        <row r="5351">
          <cell r="E5351" t="str">
            <v>515354-7</v>
          </cell>
          <cell r="F5351">
            <v>10116255</v>
          </cell>
          <cell r="G5351">
            <v>40010226</v>
          </cell>
        </row>
        <row r="5352">
          <cell r="E5352" t="str">
            <v>326891-4</v>
          </cell>
          <cell r="F5352">
            <v>10116256</v>
          </cell>
          <cell r="G5352">
            <v>40010291</v>
          </cell>
        </row>
        <row r="5353">
          <cell r="E5353" t="str">
            <v>219029-7</v>
          </cell>
          <cell r="F5353">
            <v>10116257</v>
          </cell>
          <cell r="G5353">
            <v>40010292</v>
          </cell>
        </row>
        <row r="5354">
          <cell r="E5354" t="str">
            <v>632K41-0</v>
          </cell>
          <cell r="F5354">
            <v>10116258</v>
          </cell>
          <cell r="G5354">
            <v>40010258</v>
          </cell>
        </row>
        <row r="5355">
          <cell r="E5355" t="str">
            <v>456129-4</v>
          </cell>
          <cell r="F5355">
            <v>10116259</v>
          </cell>
          <cell r="G5355">
            <v>40010293</v>
          </cell>
        </row>
        <row r="5356">
          <cell r="E5356" t="str">
            <v>268101-2</v>
          </cell>
          <cell r="F5356">
            <v>10116260</v>
          </cell>
          <cell r="G5356">
            <v>40010294</v>
          </cell>
        </row>
        <row r="5357">
          <cell r="E5357" t="str">
            <v>282015-1</v>
          </cell>
          <cell r="F5357">
            <v>10116261</v>
          </cell>
          <cell r="G5357">
            <v>40010295</v>
          </cell>
        </row>
        <row r="5358">
          <cell r="E5358" t="str">
            <v>620E45-8</v>
          </cell>
          <cell r="F5358">
            <v>10116262</v>
          </cell>
          <cell r="G5358">
            <v>40010296</v>
          </cell>
        </row>
        <row r="5359">
          <cell r="E5359" t="str">
            <v>419057-4</v>
          </cell>
          <cell r="F5359">
            <v>10116263</v>
          </cell>
          <cell r="G5359">
            <v>40010298</v>
          </cell>
        </row>
        <row r="5360">
          <cell r="E5360" t="str">
            <v>143416-7</v>
          </cell>
          <cell r="F5360">
            <v>10116264</v>
          </cell>
          <cell r="G5360">
            <v>40010240</v>
          </cell>
        </row>
        <row r="5361">
          <cell r="E5361" t="str">
            <v>629B59-6</v>
          </cell>
          <cell r="F5361">
            <v>10116265</v>
          </cell>
          <cell r="G5361">
            <v>40010231</v>
          </cell>
        </row>
        <row r="5362">
          <cell r="E5362" t="str">
            <v>632J82-0</v>
          </cell>
          <cell r="F5362">
            <v>10116268</v>
          </cell>
          <cell r="G5362">
            <v>40010241</v>
          </cell>
        </row>
        <row r="5363">
          <cell r="E5363" t="str">
            <v>286287-0</v>
          </cell>
          <cell r="F5363">
            <v>10116269</v>
          </cell>
          <cell r="G5363">
            <v>40010300</v>
          </cell>
        </row>
        <row r="5364">
          <cell r="E5364" t="str">
            <v>451432-8</v>
          </cell>
          <cell r="F5364">
            <v>10116270</v>
          </cell>
          <cell r="G5364">
            <v>40010302</v>
          </cell>
        </row>
        <row r="5365">
          <cell r="E5365" t="str">
            <v>257960-9</v>
          </cell>
          <cell r="F5365">
            <v>10116271</v>
          </cell>
          <cell r="G5365">
            <v>40010304</v>
          </cell>
        </row>
        <row r="5366">
          <cell r="E5366" t="str">
            <v>267273-0</v>
          </cell>
          <cell r="F5366">
            <v>10116272</v>
          </cell>
        </row>
        <row r="5367">
          <cell r="E5367" t="str">
            <v>424261-2</v>
          </cell>
          <cell r="F5367">
            <v>10116273</v>
          </cell>
          <cell r="G5367">
            <v>40010305</v>
          </cell>
        </row>
        <row r="5368">
          <cell r="E5368" t="str">
            <v>424245-0</v>
          </cell>
          <cell r="F5368">
            <v>10116275</v>
          </cell>
          <cell r="G5368">
            <v>40010310</v>
          </cell>
        </row>
        <row r="5369">
          <cell r="E5369" t="str">
            <v>451639-6</v>
          </cell>
          <cell r="F5369">
            <v>10116276</v>
          </cell>
          <cell r="G5369">
            <v>40010312</v>
          </cell>
        </row>
        <row r="5370">
          <cell r="E5370" t="str">
            <v>450098-1</v>
          </cell>
          <cell r="F5370">
            <v>10116277</v>
          </cell>
          <cell r="G5370">
            <v>40010313</v>
          </cell>
        </row>
        <row r="5371">
          <cell r="E5371" t="str">
            <v>325734-7</v>
          </cell>
          <cell r="F5371">
            <v>10116278</v>
          </cell>
        </row>
        <row r="5372">
          <cell r="E5372" t="str">
            <v>631932-6</v>
          </cell>
          <cell r="F5372">
            <v>10116279</v>
          </cell>
          <cell r="G5372">
            <v>40010315</v>
          </cell>
        </row>
        <row r="5373">
          <cell r="E5373" t="str">
            <v>424247-6</v>
          </cell>
          <cell r="F5373">
            <v>10116280</v>
          </cell>
          <cell r="G5373">
            <v>40010317</v>
          </cell>
        </row>
        <row r="5374">
          <cell r="E5374" t="str">
            <v>TG00000001</v>
          </cell>
          <cell r="F5374">
            <v>10116281</v>
          </cell>
        </row>
        <row r="5375">
          <cell r="E5375" t="str">
            <v>639096-0</v>
          </cell>
          <cell r="F5375">
            <v>10116283</v>
          </cell>
          <cell r="G5375">
            <v>40010232</v>
          </cell>
        </row>
        <row r="5376">
          <cell r="E5376" t="str">
            <v>123649-0</v>
          </cell>
          <cell r="F5376">
            <v>10116284</v>
          </cell>
          <cell r="G5376">
            <v>40010319</v>
          </cell>
        </row>
        <row r="5377">
          <cell r="E5377" t="str">
            <v>TG00000004</v>
          </cell>
          <cell r="F5377">
            <v>10116285</v>
          </cell>
          <cell r="G5377">
            <v>40010297</v>
          </cell>
        </row>
        <row r="5378">
          <cell r="E5378" t="str">
            <v>650775-7</v>
          </cell>
          <cell r="F5378">
            <v>10116286</v>
          </cell>
          <cell r="G5378">
            <v>40010242</v>
          </cell>
        </row>
        <row r="5379">
          <cell r="E5379" t="str">
            <v>416131-9</v>
          </cell>
          <cell r="F5379">
            <v>10116287</v>
          </cell>
        </row>
        <row r="5380">
          <cell r="E5380" t="str">
            <v>651434-6</v>
          </cell>
          <cell r="F5380">
            <v>10116289</v>
          </cell>
          <cell r="G5380">
            <v>40010243</v>
          </cell>
        </row>
        <row r="5381">
          <cell r="E5381" t="str">
            <v>143331-5</v>
          </cell>
          <cell r="F5381">
            <v>10116290</v>
          </cell>
          <cell r="G5381">
            <v>40010299</v>
          </cell>
        </row>
        <row r="5382">
          <cell r="E5382" t="str">
            <v>456135-9</v>
          </cell>
          <cell r="F5382">
            <v>10116291</v>
          </cell>
          <cell r="G5382">
            <v>40010301</v>
          </cell>
        </row>
        <row r="5383">
          <cell r="E5383" t="str">
            <v>650224-4</v>
          </cell>
          <cell r="F5383">
            <v>10116292</v>
          </cell>
          <cell r="G5383">
            <v>40010244</v>
          </cell>
        </row>
        <row r="5384">
          <cell r="E5384" t="str">
            <v>144007-7</v>
          </cell>
          <cell r="F5384">
            <v>10116293</v>
          </cell>
        </row>
        <row r="5385">
          <cell r="E5385" t="str">
            <v>650781-2</v>
          </cell>
          <cell r="F5385">
            <v>10116294</v>
          </cell>
          <cell r="G5385">
            <v>40010245</v>
          </cell>
        </row>
        <row r="5386">
          <cell r="E5386" t="str">
            <v>519411-3</v>
          </cell>
          <cell r="F5386">
            <v>10116295</v>
          </cell>
        </row>
        <row r="5387">
          <cell r="E5387" t="str">
            <v>590094-8</v>
          </cell>
          <cell r="F5387">
            <v>10116296</v>
          </cell>
        </row>
        <row r="5388">
          <cell r="E5388" t="str">
            <v>266340-8</v>
          </cell>
          <cell r="F5388">
            <v>10116297</v>
          </cell>
          <cell r="G5388">
            <v>40010255</v>
          </cell>
        </row>
        <row r="5389">
          <cell r="E5389" t="str">
            <v>233430-2</v>
          </cell>
          <cell r="F5389">
            <v>10116298</v>
          </cell>
          <cell r="G5389">
            <v>40010303</v>
          </cell>
        </row>
        <row r="5390">
          <cell r="E5390" t="str">
            <v>327269-4</v>
          </cell>
          <cell r="F5390">
            <v>10116300</v>
          </cell>
          <cell r="G5390">
            <v>40010306</v>
          </cell>
        </row>
        <row r="5391">
          <cell r="E5391" t="str">
            <v>187869-0</v>
          </cell>
          <cell r="F5391">
            <v>10116302</v>
          </cell>
          <cell r="G5391">
            <v>40010307</v>
          </cell>
        </row>
        <row r="5392">
          <cell r="E5392" t="str">
            <v>262116-1</v>
          </cell>
          <cell r="F5392">
            <v>10116303</v>
          </cell>
          <cell r="G5392">
            <v>40010309</v>
          </cell>
        </row>
        <row r="5393">
          <cell r="E5393" t="str">
            <v>141993-3</v>
          </cell>
          <cell r="F5393">
            <v>10116304</v>
          </cell>
          <cell r="G5393">
            <v>40010311</v>
          </cell>
        </row>
        <row r="5394">
          <cell r="E5394" t="str">
            <v>158231-6</v>
          </cell>
          <cell r="F5394">
            <v>10116305</v>
          </cell>
          <cell r="G5394">
            <v>40010314</v>
          </cell>
        </row>
        <row r="5395">
          <cell r="E5395" t="str">
            <v>419018-4</v>
          </cell>
          <cell r="F5395">
            <v>10116306</v>
          </cell>
          <cell r="G5395">
            <v>40010316</v>
          </cell>
        </row>
        <row r="5396">
          <cell r="E5396" t="str">
            <v>457475-8</v>
          </cell>
          <cell r="F5396">
            <v>10116307</v>
          </cell>
        </row>
        <row r="5397">
          <cell r="E5397" t="str">
            <v>633658-6</v>
          </cell>
          <cell r="F5397">
            <v>10116308</v>
          </cell>
          <cell r="G5397">
            <v>40010233</v>
          </cell>
        </row>
        <row r="5398">
          <cell r="E5398" t="str">
            <v>196688-3</v>
          </cell>
          <cell r="F5398">
            <v>10116309</v>
          </cell>
          <cell r="G5398">
            <v>40010318</v>
          </cell>
        </row>
        <row r="5399">
          <cell r="E5399" t="str">
            <v>629195-6</v>
          </cell>
          <cell r="F5399">
            <v>10116310</v>
          </cell>
          <cell r="G5399">
            <v>40010251</v>
          </cell>
        </row>
        <row r="5400">
          <cell r="E5400" t="str">
            <v>629211-4</v>
          </cell>
          <cell r="F5400">
            <v>10116311</v>
          </cell>
          <cell r="G5400">
            <v>40010252</v>
          </cell>
        </row>
        <row r="5401">
          <cell r="E5401" t="str">
            <v>DGA406RFE</v>
          </cell>
          <cell r="F5401">
            <v>10116520</v>
          </cell>
          <cell r="G5401">
            <v>10018213</v>
          </cell>
        </row>
        <row r="5402">
          <cell r="E5402" t="str">
            <v>DUC150Z</v>
          </cell>
          <cell r="F5402">
            <v>10116522</v>
          </cell>
          <cell r="G5402">
            <v>10029885</v>
          </cell>
        </row>
        <row r="5403">
          <cell r="E5403" t="str">
            <v>515263-0</v>
          </cell>
          <cell r="F5403">
            <v>10064422</v>
          </cell>
          <cell r="G5403">
            <v>40006366</v>
          </cell>
        </row>
        <row r="5404">
          <cell r="E5404" t="str">
            <v>B-58615</v>
          </cell>
          <cell r="F5404">
            <v>10018641</v>
          </cell>
          <cell r="G5404">
            <v>10029923</v>
          </cell>
        </row>
        <row r="5405">
          <cell r="E5405" t="str">
            <v>224569-2</v>
          </cell>
          <cell r="F5405">
            <v>10002095</v>
          </cell>
          <cell r="G5405">
            <v>10019866</v>
          </cell>
        </row>
        <row r="5406">
          <cell r="E5406" t="str">
            <v>763444-2</v>
          </cell>
          <cell r="F5406">
            <v>10000703</v>
          </cell>
          <cell r="G5406">
            <v>10019953</v>
          </cell>
        </row>
        <row r="5407">
          <cell r="E5407" t="str">
            <v>D-64107</v>
          </cell>
          <cell r="F5407">
            <v>10115019</v>
          </cell>
          <cell r="G5407">
            <v>10029922</v>
          </cell>
        </row>
        <row r="5408">
          <cell r="E5408" t="str">
            <v>211341-1</v>
          </cell>
          <cell r="F5408">
            <v>10057154</v>
          </cell>
          <cell r="G5408">
            <v>40005677</v>
          </cell>
        </row>
        <row r="5409">
          <cell r="E5409" t="str">
            <v>346177-0</v>
          </cell>
          <cell r="F5409">
            <v>10064425</v>
          </cell>
          <cell r="G5409">
            <v>40006368</v>
          </cell>
        </row>
        <row r="5410">
          <cell r="E5410" t="str">
            <v>158285-3</v>
          </cell>
          <cell r="F5410">
            <v>10040990</v>
          </cell>
          <cell r="G5410">
            <v>40006742</v>
          </cell>
        </row>
        <row r="5411">
          <cell r="E5411" t="str">
            <v>911586-8</v>
          </cell>
          <cell r="F5411">
            <v>10001332</v>
          </cell>
          <cell r="G5411">
            <v>40007105</v>
          </cell>
        </row>
        <row r="5412">
          <cell r="E5412" t="str">
            <v>153851-1</v>
          </cell>
          <cell r="G5412">
            <v>40010553</v>
          </cell>
        </row>
        <row r="5413">
          <cell r="E5413" t="str">
            <v>316608-3</v>
          </cell>
          <cell r="G5413">
            <v>40010555</v>
          </cell>
        </row>
        <row r="5414">
          <cell r="E5414" t="str">
            <v>310028-3</v>
          </cell>
          <cell r="G5414">
            <v>40010556</v>
          </cell>
        </row>
        <row r="5415">
          <cell r="E5415" t="str">
            <v>344137-6</v>
          </cell>
          <cell r="G5415">
            <v>40010557</v>
          </cell>
        </row>
        <row r="5416">
          <cell r="E5416" t="str">
            <v>141575-1</v>
          </cell>
          <cell r="G5416">
            <v>40010558</v>
          </cell>
        </row>
        <row r="5417">
          <cell r="E5417" t="str">
            <v>JM27100077</v>
          </cell>
          <cell r="G5417">
            <v>40010560</v>
          </cell>
        </row>
        <row r="5418">
          <cell r="E5418" t="str">
            <v>213560-5</v>
          </cell>
          <cell r="G5418">
            <v>40010561</v>
          </cell>
        </row>
        <row r="5419">
          <cell r="E5419" t="str">
            <v>323955-5</v>
          </cell>
          <cell r="G5419">
            <v>40010562</v>
          </cell>
        </row>
        <row r="5420">
          <cell r="E5420" t="str">
            <v>629340-3</v>
          </cell>
          <cell r="G5420">
            <v>40010565</v>
          </cell>
        </row>
        <row r="5421">
          <cell r="E5421" t="str">
            <v>324840-5</v>
          </cell>
          <cell r="G5421">
            <v>40010566</v>
          </cell>
        </row>
        <row r="5422">
          <cell r="E5422" t="str">
            <v>141G22-4</v>
          </cell>
          <cell r="G5422">
            <v>40010567</v>
          </cell>
        </row>
        <row r="5423">
          <cell r="E5423" t="str">
            <v>AL00000238</v>
          </cell>
          <cell r="G5423">
            <v>40010571</v>
          </cell>
        </row>
        <row r="5424">
          <cell r="E5424" t="str">
            <v>168816-0</v>
          </cell>
          <cell r="G5424">
            <v>40010572</v>
          </cell>
        </row>
        <row r="5425">
          <cell r="E5425" t="str">
            <v>411625-9</v>
          </cell>
          <cell r="G5425">
            <v>40010573</v>
          </cell>
        </row>
        <row r="5426">
          <cell r="E5426" t="str">
            <v>931102-0</v>
          </cell>
          <cell r="G5426">
            <v>40010574</v>
          </cell>
        </row>
        <row r="5427">
          <cell r="E5427" t="str">
            <v>511549-0</v>
          </cell>
          <cell r="G5427">
            <v>40007654</v>
          </cell>
        </row>
        <row r="5428">
          <cell r="E5428" t="str">
            <v>256836-7</v>
          </cell>
          <cell r="F5428">
            <v>10002624</v>
          </cell>
          <cell r="G5428">
            <v>40008209</v>
          </cell>
        </row>
        <row r="5429">
          <cell r="E5429" t="str">
            <v>152463-7</v>
          </cell>
          <cell r="G5429">
            <v>40010407</v>
          </cell>
        </row>
        <row r="5430">
          <cell r="E5430" t="str">
            <v>183825-8</v>
          </cell>
          <cell r="G5430">
            <v>40010408</v>
          </cell>
        </row>
        <row r="5431">
          <cell r="E5431" t="str">
            <v>251217-0</v>
          </cell>
          <cell r="G5431">
            <v>40010409</v>
          </cell>
        </row>
        <row r="5432">
          <cell r="E5432" t="str">
            <v>347553-1</v>
          </cell>
          <cell r="G5432">
            <v>40010410</v>
          </cell>
        </row>
        <row r="5433">
          <cell r="E5433" t="str">
            <v>322838-6</v>
          </cell>
          <cell r="G5433">
            <v>40010411</v>
          </cell>
        </row>
        <row r="5434">
          <cell r="E5434" t="str">
            <v>224428-0</v>
          </cell>
          <cell r="G5434">
            <v>40005638</v>
          </cell>
        </row>
        <row r="5435">
          <cell r="E5435" t="str">
            <v>A-87812</v>
          </cell>
          <cell r="G5435">
            <v>40007251</v>
          </cell>
        </row>
        <row r="5436">
          <cell r="E5436" t="str">
            <v>517649-4</v>
          </cell>
          <cell r="G5436">
            <v>40007823</v>
          </cell>
        </row>
        <row r="5437">
          <cell r="E5437" t="str">
            <v>TP00000011</v>
          </cell>
          <cell r="G5437">
            <v>40007868</v>
          </cell>
        </row>
        <row r="5438">
          <cell r="E5438" t="str">
            <v>165089-6</v>
          </cell>
          <cell r="G5438">
            <v>40010554</v>
          </cell>
        </row>
        <row r="5439">
          <cell r="E5439" t="str">
            <v>168370-4</v>
          </cell>
          <cell r="G5439">
            <v>40010569</v>
          </cell>
        </row>
        <row r="5440">
          <cell r="E5440" t="str">
            <v>451929-7</v>
          </cell>
          <cell r="G5440">
            <v>40010564</v>
          </cell>
        </row>
        <row r="5441">
          <cell r="E5441" t="str">
            <v>620734-5</v>
          </cell>
          <cell r="G5441">
            <v>40010552</v>
          </cell>
        </row>
        <row r="5442">
          <cell r="E5442" t="str">
            <v>633879-0</v>
          </cell>
          <cell r="G5442">
            <v>40010568</v>
          </cell>
        </row>
        <row r="5443">
          <cell r="E5443" t="str">
            <v>JM23100168</v>
          </cell>
          <cell r="G5443">
            <v>40010570</v>
          </cell>
        </row>
        <row r="5444">
          <cell r="E5444" t="str">
            <v>JM23200020</v>
          </cell>
          <cell r="G5444">
            <v>40010559</v>
          </cell>
        </row>
        <row r="5445">
          <cell r="E5445" t="str">
            <v>TD111DZ</v>
          </cell>
          <cell r="G5445">
            <v>10031418</v>
          </cell>
        </row>
        <row r="5446">
          <cell r="E5446" t="str">
            <v>GA5091X01</v>
          </cell>
          <cell r="G5446">
            <v>10031420</v>
          </cell>
        </row>
        <row r="5447">
          <cell r="E5447" t="str">
            <v>DHP489RTJ</v>
          </cell>
          <cell r="G5447">
            <v>10031417</v>
          </cell>
        </row>
        <row r="5448">
          <cell r="E5448" t="str">
            <v>DF001GM201</v>
          </cell>
          <cell r="G5448">
            <v>10031419</v>
          </cell>
        </row>
        <row r="5449">
          <cell r="E5449" t="str">
            <v>154951-0</v>
          </cell>
          <cell r="G5449">
            <v>40010583</v>
          </cell>
        </row>
        <row r="5450">
          <cell r="E5450" t="str">
            <v>211062-5</v>
          </cell>
          <cell r="G5450">
            <v>40010578</v>
          </cell>
        </row>
        <row r="5451">
          <cell r="E5451" t="str">
            <v>911158-9</v>
          </cell>
          <cell r="G5451">
            <v>40010577</v>
          </cell>
        </row>
        <row r="5452">
          <cell r="E5452" t="str">
            <v>144058-0</v>
          </cell>
          <cell r="G5452">
            <v>40010588</v>
          </cell>
        </row>
        <row r="5453">
          <cell r="E5453" t="str">
            <v>213611-4</v>
          </cell>
          <cell r="G5453">
            <v>40010589</v>
          </cell>
        </row>
        <row r="5454">
          <cell r="E5454" t="str">
            <v>122F80-3</v>
          </cell>
          <cell r="G5454">
            <v>40010580</v>
          </cell>
        </row>
        <row r="5455">
          <cell r="E5455" t="str">
            <v>CB-203</v>
          </cell>
          <cell r="G5455">
            <v>40010581</v>
          </cell>
        </row>
        <row r="5456">
          <cell r="E5456" t="str">
            <v>GA9060</v>
          </cell>
          <cell r="G5456">
            <v>10032256</v>
          </cell>
        </row>
        <row r="5457">
          <cell r="E5457" t="str">
            <v>RT001GZ04</v>
          </cell>
          <cell r="G5457">
            <v>10032257</v>
          </cell>
        </row>
        <row r="5458">
          <cell r="E5458" t="str">
            <v>JV002GZ</v>
          </cell>
          <cell r="G5458">
            <v>10032258</v>
          </cell>
        </row>
        <row r="5459">
          <cell r="E5459" t="str">
            <v>B-58796</v>
          </cell>
          <cell r="G5459">
            <v>10032259</v>
          </cell>
        </row>
        <row r="5460">
          <cell r="E5460" t="str">
            <v>B-58914</v>
          </cell>
          <cell r="G5460">
            <v>10032260</v>
          </cell>
        </row>
        <row r="5461">
          <cell r="E5461" t="str">
            <v>620K14-5</v>
          </cell>
          <cell r="G5461">
            <v>40010789</v>
          </cell>
        </row>
        <row r="5462">
          <cell r="E5462" t="str">
            <v>513909-2</v>
          </cell>
          <cell r="G5462">
            <v>40010774</v>
          </cell>
        </row>
        <row r="5463">
          <cell r="E5463" t="str">
            <v>594644-1</v>
          </cell>
          <cell r="G5463">
            <v>40010788</v>
          </cell>
        </row>
        <row r="5464">
          <cell r="E5464" t="str">
            <v>331775-3</v>
          </cell>
          <cell r="G5464">
            <v>40010785</v>
          </cell>
        </row>
        <row r="5465">
          <cell r="E5465" t="str">
            <v>253171-4</v>
          </cell>
          <cell r="G5465">
            <v>40010777</v>
          </cell>
        </row>
        <row r="5466">
          <cell r="E5466" t="str">
            <v>127355-9</v>
          </cell>
          <cell r="G5466">
            <v>40010778</v>
          </cell>
        </row>
        <row r="5467">
          <cell r="E5467" t="str">
            <v>231866-9</v>
          </cell>
          <cell r="G5467">
            <v>40010781</v>
          </cell>
        </row>
        <row r="5468">
          <cell r="E5468" t="str">
            <v>JM27100055</v>
          </cell>
          <cell r="G5468">
            <v>40010790</v>
          </cell>
        </row>
        <row r="5469">
          <cell r="E5469" t="str">
            <v>643713-6</v>
          </cell>
          <cell r="G5469">
            <v>40010780</v>
          </cell>
        </row>
        <row r="5470">
          <cell r="E5470" t="str">
            <v>457062-3</v>
          </cell>
          <cell r="G5470">
            <v>40010787</v>
          </cell>
        </row>
        <row r="5471">
          <cell r="E5471" t="str">
            <v>JM27100148</v>
          </cell>
          <cell r="G5471">
            <v>40010791</v>
          </cell>
        </row>
        <row r="5472">
          <cell r="E5472" t="str">
            <v>513469-4</v>
          </cell>
          <cell r="G5472">
            <v>40010954</v>
          </cell>
        </row>
        <row r="5473">
          <cell r="E5473" t="str">
            <v>594559-2</v>
          </cell>
          <cell r="G5473">
            <v>40010955</v>
          </cell>
        </row>
        <row r="5474">
          <cell r="E5474" t="str">
            <v>TP00000113</v>
          </cell>
          <cell r="G5474">
            <v>40010956</v>
          </cell>
        </row>
        <row r="5475">
          <cell r="E5475" t="str">
            <v>285818-2</v>
          </cell>
          <cell r="G5475">
            <v>40010957</v>
          </cell>
        </row>
        <row r="5476">
          <cell r="E5476" t="str">
            <v>6202LLB</v>
          </cell>
          <cell r="G5476">
            <v>40010958</v>
          </cell>
        </row>
        <row r="5477">
          <cell r="E5477" t="str">
            <v>122A41-3</v>
          </cell>
          <cell r="G5477">
            <v>40010959</v>
          </cell>
        </row>
        <row r="5478">
          <cell r="E5478" t="str">
            <v>266605-8</v>
          </cell>
          <cell r="G5478">
            <v>40010960</v>
          </cell>
        </row>
        <row r="5479">
          <cell r="E5479" t="str">
            <v>213754-2</v>
          </cell>
          <cell r="G5479">
            <v>40010961</v>
          </cell>
        </row>
        <row r="5480">
          <cell r="E5480" t="str">
            <v>682560-0</v>
          </cell>
          <cell r="G5480">
            <v>40010962</v>
          </cell>
        </row>
        <row r="5481">
          <cell r="E5481" t="str">
            <v>213464-1</v>
          </cell>
          <cell r="G5481">
            <v>40010963</v>
          </cell>
        </row>
        <row r="5482">
          <cell r="E5482" t="str">
            <v>922243-3</v>
          </cell>
          <cell r="G5482">
            <v>40010964</v>
          </cell>
        </row>
        <row r="5483">
          <cell r="E5483" t="str">
            <v>254203-0</v>
          </cell>
          <cell r="G5483">
            <v>40010965</v>
          </cell>
        </row>
        <row r="5484">
          <cell r="E5484" t="str">
            <v>TG00000063</v>
          </cell>
          <cell r="G5484">
            <v>40010966</v>
          </cell>
        </row>
        <row r="5485">
          <cell r="E5485" t="str">
            <v>251468-5</v>
          </cell>
          <cell r="G5485">
            <v>40010967</v>
          </cell>
        </row>
        <row r="5486">
          <cell r="E5486" t="str">
            <v>267080-1</v>
          </cell>
          <cell r="G5486">
            <v>40010968</v>
          </cell>
        </row>
        <row r="5487">
          <cell r="E5487" t="str">
            <v>265755-6</v>
          </cell>
          <cell r="G5487">
            <v>40010971</v>
          </cell>
        </row>
        <row r="5488">
          <cell r="E5488" t="str">
            <v>651066-9</v>
          </cell>
          <cell r="G5488">
            <v>40010977</v>
          </cell>
        </row>
        <row r="5489">
          <cell r="E5489" t="str">
            <v>141D78-9</v>
          </cell>
          <cell r="G5489">
            <v>40010978</v>
          </cell>
        </row>
        <row r="5490">
          <cell r="E5490" t="str">
            <v>451380-1</v>
          </cell>
          <cell r="G5490">
            <v>40010979</v>
          </cell>
        </row>
        <row r="5491">
          <cell r="E5491" t="str">
            <v>136091-6</v>
          </cell>
          <cell r="G5491">
            <v>40010980</v>
          </cell>
        </row>
        <row r="5492">
          <cell r="E5492" t="str">
            <v>346894-2</v>
          </cell>
          <cell r="G5492">
            <v>40010981</v>
          </cell>
        </row>
        <row r="5493">
          <cell r="E5493" t="str">
            <v>419627-9</v>
          </cell>
          <cell r="G5493">
            <v>40010982</v>
          </cell>
        </row>
        <row r="5494">
          <cell r="E5494" t="str">
            <v>122536-0</v>
          </cell>
          <cell r="G5494">
            <v>40010984</v>
          </cell>
        </row>
        <row r="5495">
          <cell r="E5495" t="str">
            <v>231809-1</v>
          </cell>
          <cell r="G5495">
            <v>40010985</v>
          </cell>
        </row>
        <row r="5496">
          <cell r="E5496" t="str">
            <v>620A74-7</v>
          </cell>
          <cell r="G5496">
            <v>40010986</v>
          </cell>
        </row>
        <row r="5497">
          <cell r="E5497" t="str">
            <v>DHP484Z</v>
          </cell>
          <cell r="G5497">
            <v>10033334</v>
          </cell>
        </row>
        <row r="5498">
          <cell r="E5498" t="str">
            <v>DTD172ZK</v>
          </cell>
          <cell r="G5498">
            <v>10033335</v>
          </cell>
        </row>
        <row r="5499">
          <cell r="E5499" t="str">
            <v>DBO380ZJ</v>
          </cell>
          <cell r="G5499">
            <v>10033336</v>
          </cell>
        </row>
        <row r="5500">
          <cell r="E5500" t="str">
            <v>DCL286FZB</v>
          </cell>
          <cell r="G5500">
            <v>10033337</v>
          </cell>
        </row>
        <row r="5501">
          <cell r="E5501">
            <v>3320152</v>
          </cell>
          <cell r="G5501">
            <v>10033338</v>
          </cell>
        </row>
        <row r="5502">
          <cell r="E5502" t="str">
            <v>191H01-8</v>
          </cell>
          <cell r="G5502">
            <v>10033339</v>
          </cell>
        </row>
        <row r="5503">
          <cell r="E5503" t="str">
            <v>Z-10475</v>
          </cell>
          <cell r="G5503">
            <v>10033340</v>
          </cell>
        </row>
        <row r="5504">
          <cell r="E5504" t="str">
            <v>CB-440</v>
          </cell>
          <cell r="G5504">
            <v>40010532</v>
          </cell>
        </row>
        <row r="5505">
          <cell r="E5505" t="str">
            <v>650551-9</v>
          </cell>
          <cell r="G5505">
            <v>40010776</v>
          </cell>
        </row>
        <row r="5506">
          <cell r="E5506" t="str">
            <v>454821-6</v>
          </cell>
          <cell r="G5506">
            <v>40010779</v>
          </cell>
        </row>
        <row r="5507">
          <cell r="E5507" t="str">
            <v>325794-9</v>
          </cell>
          <cell r="G5507">
            <v>40010783</v>
          </cell>
        </row>
        <row r="5508">
          <cell r="E5508" t="str">
            <v>424907-0</v>
          </cell>
          <cell r="G5508">
            <v>40010786</v>
          </cell>
        </row>
        <row r="5509">
          <cell r="E5509" t="str">
            <v>DHG180ZK</v>
          </cell>
          <cell r="G5509">
            <v>10036226</v>
          </cell>
        </row>
        <row r="5510">
          <cell r="E5510" t="str">
            <v>191Y05-2</v>
          </cell>
          <cell r="G5510">
            <v>10036227</v>
          </cell>
        </row>
        <row r="5511">
          <cell r="E5511" t="str">
            <v>P-68018</v>
          </cell>
          <cell r="G5511">
            <v>10036229</v>
          </cell>
        </row>
        <row r="5512">
          <cell r="E5512" t="str">
            <v>B-03698</v>
          </cell>
          <cell r="G5512">
            <v>10036230</v>
          </cell>
        </row>
        <row r="5513">
          <cell r="E5513" t="str">
            <v>E-12924</v>
          </cell>
          <cell r="G5513">
            <v>10036232</v>
          </cell>
        </row>
        <row r="5514">
          <cell r="E5514" t="str">
            <v>Z74155-0</v>
          </cell>
          <cell r="G5514">
            <v>10036237</v>
          </cell>
        </row>
        <row r="5515">
          <cell r="E5515" t="str">
            <v>197888-8</v>
          </cell>
          <cell r="G5515">
            <v>10036239</v>
          </cell>
        </row>
        <row r="5516">
          <cell r="E5516" t="str">
            <v>197889-6</v>
          </cell>
          <cell r="G5516">
            <v>10036247</v>
          </cell>
        </row>
        <row r="5517">
          <cell r="E5517" t="str">
            <v>E-03442</v>
          </cell>
          <cell r="G5517">
            <v>10036250</v>
          </cell>
        </row>
        <row r="5518">
          <cell r="E5518" t="str">
            <v>DHP486ZK</v>
          </cell>
          <cell r="G5518">
            <v>10036221</v>
          </cell>
        </row>
        <row r="5519">
          <cell r="E5519" t="str">
            <v>CS002GZ</v>
          </cell>
          <cell r="G5519">
            <v>10017905</v>
          </cell>
        </row>
        <row r="5520">
          <cell r="E5520" t="str">
            <v>GA7090</v>
          </cell>
          <cell r="G5520">
            <v>10036223</v>
          </cell>
        </row>
        <row r="5521">
          <cell r="E5521" t="str">
            <v>GA9090</v>
          </cell>
          <cell r="G5521">
            <v>10036224</v>
          </cell>
        </row>
        <row r="5522">
          <cell r="E5522" t="str">
            <v>DML814</v>
          </cell>
          <cell r="G5522">
            <v>10038678</v>
          </cell>
        </row>
        <row r="5523">
          <cell r="E5523" t="str">
            <v>326803-7</v>
          </cell>
          <cell r="G5523">
            <v>40011138</v>
          </cell>
        </row>
        <row r="5524">
          <cell r="E5524" t="str">
            <v>158393-0</v>
          </cell>
          <cell r="G5524">
            <v>40011139</v>
          </cell>
        </row>
        <row r="5525">
          <cell r="E5525" t="str">
            <v>310257-8</v>
          </cell>
          <cell r="G5525">
            <v>40011140</v>
          </cell>
        </row>
        <row r="5526">
          <cell r="E5526" t="str">
            <v>256206-0</v>
          </cell>
          <cell r="G5526">
            <v>40011141</v>
          </cell>
        </row>
        <row r="5527">
          <cell r="E5527" t="str">
            <v>419135-0</v>
          </cell>
          <cell r="G5527">
            <v>40011142</v>
          </cell>
        </row>
        <row r="5528">
          <cell r="E5528" t="str">
            <v>682559-5</v>
          </cell>
          <cell r="G5528">
            <v>40011143</v>
          </cell>
        </row>
        <row r="5529">
          <cell r="E5529" t="str">
            <v>682566-8</v>
          </cell>
          <cell r="G5529">
            <v>40011144</v>
          </cell>
        </row>
        <row r="5530">
          <cell r="E5530" t="str">
            <v>682573-1</v>
          </cell>
          <cell r="G5530">
            <v>40011145</v>
          </cell>
        </row>
        <row r="5531">
          <cell r="E5531" t="str">
            <v>140751-4</v>
          </cell>
          <cell r="G5531">
            <v>40011146</v>
          </cell>
        </row>
        <row r="5532">
          <cell r="E5532" t="str">
            <v>327515-5</v>
          </cell>
          <cell r="G5532">
            <v>40011148</v>
          </cell>
        </row>
        <row r="5533">
          <cell r="E5533" t="str">
            <v>327516-3</v>
          </cell>
          <cell r="G5533">
            <v>40011149</v>
          </cell>
        </row>
        <row r="5534">
          <cell r="E5534" t="str">
            <v>265651-8</v>
          </cell>
          <cell r="G5534">
            <v>40011137</v>
          </cell>
        </row>
        <row r="5535">
          <cell r="E5535" t="str">
            <v>E-14750</v>
          </cell>
          <cell r="G5535">
            <v>10036234</v>
          </cell>
        </row>
        <row r="5536">
          <cell r="E5536" t="str">
            <v>JM00000150</v>
          </cell>
          <cell r="G5536">
            <v>40011147</v>
          </cell>
        </row>
        <row r="5537">
          <cell r="E5537" t="str">
            <v>266920-0</v>
          </cell>
          <cell r="G5537">
            <v>40011161</v>
          </cell>
        </row>
        <row r="5538">
          <cell r="E5538" t="str">
            <v>456044-2</v>
          </cell>
          <cell r="G5538">
            <v>40011164</v>
          </cell>
        </row>
        <row r="5539">
          <cell r="E5539" t="str">
            <v>456967-4</v>
          </cell>
          <cell r="G5539">
            <v>40011165</v>
          </cell>
        </row>
        <row r="5540">
          <cell r="E5540" t="str">
            <v>HY00000008</v>
          </cell>
          <cell r="G5540">
            <v>40011166</v>
          </cell>
        </row>
        <row r="5541">
          <cell r="E5541" t="str">
            <v>140735-2</v>
          </cell>
          <cell r="G5541">
            <v>40011152</v>
          </cell>
        </row>
        <row r="5542">
          <cell r="E5542" t="str">
            <v>158986-3</v>
          </cell>
          <cell r="G5542">
            <v>40011159</v>
          </cell>
        </row>
        <row r="5543">
          <cell r="E5543" t="str">
            <v>183B63-4</v>
          </cell>
          <cell r="G5543">
            <v>40011153</v>
          </cell>
        </row>
        <row r="5544">
          <cell r="E5544" t="str">
            <v>213077-8</v>
          </cell>
          <cell r="G5544">
            <v>40011160</v>
          </cell>
        </row>
        <row r="5545">
          <cell r="E5545" t="str">
            <v>266374-1</v>
          </cell>
          <cell r="G5545">
            <v>40011156</v>
          </cell>
        </row>
        <row r="5546">
          <cell r="E5546" t="str">
            <v>325659-5</v>
          </cell>
          <cell r="G5546">
            <v>40011162</v>
          </cell>
        </row>
        <row r="5547">
          <cell r="E5547" t="str">
            <v>419984-5</v>
          </cell>
          <cell r="G5547">
            <v>40011163</v>
          </cell>
        </row>
        <row r="5548">
          <cell r="E5548" t="str">
            <v>450809-4</v>
          </cell>
          <cell r="G5548">
            <v>40011154</v>
          </cell>
        </row>
        <row r="5549">
          <cell r="E5549" t="str">
            <v>638237-5</v>
          </cell>
          <cell r="G5549">
            <v>40011157</v>
          </cell>
        </row>
        <row r="5550">
          <cell r="E5550" t="str">
            <v>183L79-9</v>
          </cell>
          <cell r="G5550">
            <v>40011155</v>
          </cell>
        </row>
        <row r="5551">
          <cell r="E5551" t="str">
            <v>CL115FDWR1</v>
          </cell>
          <cell r="G5551">
            <v>10038195</v>
          </cell>
        </row>
        <row r="5552">
          <cell r="E5552" t="str">
            <v>TW001GZ</v>
          </cell>
          <cell r="G5552">
            <v>10038196</v>
          </cell>
        </row>
        <row r="5553">
          <cell r="E5553" t="str">
            <v>TW010GZ</v>
          </cell>
          <cell r="G5553">
            <v>10038197</v>
          </cell>
        </row>
        <row r="5554">
          <cell r="E5554" t="str">
            <v>B-65501</v>
          </cell>
          <cell r="G5554">
            <v>10038198</v>
          </cell>
        </row>
        <row r="5555">
          <cell r="E5555" t="str">
            <v>JM27110005</v>
          </cell>
          <cell r="G5555">
            <v>10038199</v>
          </cell>
        </row>
        <row r="5556">
          <cell r="E5556" t="str">
            <v>265135-6</v>
          </cell>
          <cell r="G5556">
            <v>40011196</v>
          </cell>
        </row>
        <row r="5557">
          <cell r="E5557" t="str">
            <v>326850-8</v>
          </cell>
          <cell r="G5557">
            <v>40011201</v>
          </cell>
        </row>
        <row r="5558">
          <cell r="E5558" t="str">
            <v>682503-2</v>
          </cell>
          <cell r="G5558">
            <v>40011202</v>
          </cell>
        </row>
        <row r="5559">
          <cell r="E5559" t="str">
            <v>158289-5</v>
          </cell>
          <cell r="G5559">
            <v>40011203</v>
          </cell>
        </row>
        <row r="5560">
          <cell r="E5560" t="str">
            <v>911185-6</v>
          </cell>
          <cell r="G5560">
            <v>40011197</v>
          </cell>
        </row>
        <row r="5561">
          <cell r="E5561" t="str">
            <v>911268-2</v>
          </cell>
          <cell r="G5561">
            <v>40011198</v>
          </cell>
        </row>
        <row r="5562">
          <cell r="E5562" t="str">
            <v>266044-2</v>
          </cell>
          <cell r="G5562">
            <v>40011199</v>
          </cell>
        </row>
        <row r="5563">
          <cell r="E5563" t="str">
            <v>266045-0</v>
          </cell>
          <cell r="G5563">
            <v>40011200</v>
          </cell>
        </row>
        <row r="5564">
          <cell r="E5564" t="str">
            <v>620C64-2</v>
          </cell>
          <cell r="G5564">
            <v>40011204</v>
          </cell>
        </row>
        <row r="5565">
          <cell r="E5565" t="str">
            <v>629A98-0</v>
          </cell>
          <cell r="G5565">
            <v>40011205</v>
          </cell>
        </row>
        <row r="5566">
          <cell r="E5566" t="str">
            <v>413405-9</v>
          </cell>
          <cell r="G5566">
            <v>40011206</v>
          </cell>
        </row>
        <row r="5567">
          <cell r="E5567" t="str">
            <v>213283-5</v>
          </cell>
          <cell r="G5567">
            <v>40011207</v>
          </cell>
        </row>
        <row r="5568">
          <cell r="E5568" t="str">
            <v>619613-2</v>
          </cell>
          <cell r="G5568">
            <v>40011208</v>
          </cell>
        </row>
        <row r="5569">
          <cell r="E5569" t="str">
            <v>682549-8</v>
          </cell>
          <cell r="G5569">
            <v>40011210</v>
          </cell>
        </row>
        <row r="5570">
          <cell r="E5570" t="str">
            <v>142291-8</v>
          </cell>
          <cell r="G5570">
            <v>40011195</v>
          </cell>
        </row>
        <row r="5571">
          <cell r="E5571" t="str">
            <v>226423-6</v>
          </cell>
          <cell r="G5571">
            <v>40011211</v>
          </cell>
        </row>
        <row r="5572">
          <cell r="E5572" t="str">
            <v>620E81-4</v>
          </cell>
          <cell r="G5572">
            <v>40011212</v>
          </cell>
        </row>
        <row r="5573">
          <cell r="E5573" t="str">
            <v>620F12-9</v>
          </cell>
          <cell r="G5573">
            <v>40011213</v>
          </cell>
        </row>
        <row r="5574">
          <cell r="E5574" t="str">
            <v>125310-5</v>
          </cell>
          <cell r="G5574">
            <v>40011214</v>
          </cell>
        </row>
        <row r="5575">
          <cell r="E5575" t="str">
            <v>325747-8</v>
          </cell>
          <cell r="G5575">
            <v>40011215</v>
          </cell>
        </row>
        <row r="5576">
          <cell r="E5576" t="str">
            <v>346114-4</v>
          </cell>
          <cell r="G5576">
            <v>40011216</v>
          </cell>
        </row>
        <row r="5577">
          <cell r="E5577" t="str">
            <v>346115-2</v>
          </cell>
          <cell r="G5577">
            <v>40011217</v>
          </cell>
        </row>
        <row r="5578">
          <cell r="E5578" t="str">
            <v>316795-8</v>
          </cell>
          <cell r="G5578">
            <v>40011218</v>
          </cell>
        </row>
        <row r="5579">
          <cell r="E5579" t="str">
            <v>Z86059-0</v>
          </cell>
          <cell r="G5579">
            <v>10038204</v>
          </cell>
        </row>
        <row r="5580">
          <cell r="E5580" t="str">
            <v>Z74152-0</v>
          </cell>
          <cell r="G5580">
            <v>10038205</v>
          </cell>
        </row>
        <row r="5581">
          <cell r="E5581" t="str">
            <v>LM004GZ</v>
          </cell>
          <cell r="G5581">
            <v>10039108</v>
          </cell>
        </row>
        <row r="5582">
          <cell r="E5582" t="str">
            <v>DMR057</v>
          </cell>
          <cell r="G5582">
            <v>10039109</v>
          </cell>
        </row>
        <row r="5583">
          <cell r="E5583" t="str">
            <v>B-68404</v>
          </cell>
          <cell r="G5583">
            <v>10039110</v>
          </cell>
        </row>
        <row r="5584">
          <cell r="E5584" t="str">
            <v>E-02375</v>
          </cell>
          <cell r="G5584">
            <v>10039111</v>
          </cell>
        </row>
        <row r="5585">
          <cell r="E5585" t="str">
            <v>B-68410</v>
          </cell>
          <cell r="G5585">
            <v>10039112</v>
          </cell>
        </row>
        <row r="5586">
          <cell r="E5586" t="str">
            <v>B-68426</v>
          </cell>
          <cell r="G5586">
            <v>10039113</v>
          </cell>
        </row>
        <row r="5587">
          <cell r="E5587" t="str">
            <v>166084-9</v>
          </cell>
          <cell r="G5587">
            <v>10039114</v>
          </cell>
        </row>
        <row r="5588">
          <cell r="E5588" t="str">
            <v>453847-5</v>
          </cell>
          <cell r="G5588">
            <v>40011237</v>
          </cell>
        </row>
        <row r="5589">
          <cell r="E5589" t="str">
            <v>183J39-9</v>
          </cell>
          <cell r="G5589">
            <v>40011238</v>
          </cell>
        </row>
        <row r="5590">
          <cell r="E5590" t="str">
            <v>211375-4</v>
          </cell>
          <cell r="G5590">
            <v>40011239</v>
          </cell>
        </row>
        <row r="5591">
          <cell r="E5591" t="str">
            <v>136012-8</v>
          </cell>
          <cell r="G5591">
            <v>40011240</v>
          </cell>
        </row>
        <row r="5592">
          <cell r="E5592" t="str">
            <v>345441-6</v>
          </cell>
          <cell r="G5592">
            <v>40011241</v>
          </cell>
        </row>
        <row r="5593">
          <cell r="E5593" t="str">
            <v>265367-5</v>
          </cell>
          <cell r="G5593">
            <v>40011243</v>
          </cell>
        </row>
        <row r="5594">
          <cell r="E5594" t="str">
            <v>266304-2</v>
          </cell>
          <cell r="G5594">
            <v>40011244</v>
          </cell>
        </row>
        <row r="5595">
          <cell r="E5595" t="str">
            <v>265903-7</v>
          </cell>
          <cell r="G5595">
            <v>40011245</v>
          </cell>
        </row>
        <row r="5596">
          <cell r="E5596" t="str">
            <v>421034-4</v>
          </cell>
          <cell r="G5596">
            <v>40011246</v>
          </cell>
        </row>
        <row r="5597">
          <cell r="E5597" t="str">
            <v>629298-6</v>
          </cell>
          <cell r="G5597">
            <v>40011247</v>
          </cell>
        </row>
        <row r="5598">
          <cell r="E5598" t="str">
            <v>183B61-8</v>
          </cell>
          <cell r="G5598">
            <v>40011248</v>
          </cell>
        </row>
        <row r="5599">
          <cell r="E5599" t="str">
            <v>188277-8</v>
          </cell>
          <cell r="G5599">
            <v>40011249</v>
          </cell>
        </row>
        <row r="5600">
          <cell r="E5600" t="str">
            <v>922138-0</v>
          </cell>
          <cell r="G5600">
            <v>40011250</v>
          </cell>
        </row>
        <row r="5601">
          <cell r="E5601" t="str">
            <v>344685-5</v>
          </cell>
          <cell r="G5601">
            <v>40011251</v>
          </cell>
        </row>
        <row r="5602">
          <cell r="E5602" t="str">
            <v>416476-5</v>
          </cell>
          <cell r="G5602">
            <v>40011252</v>
          </cell>
        </row>
        <row r="5603">
          <cell r="E5603" t="str">
            <v>327325-0</v>
          </cell>
          <cell r="G5603">
            <v>40011226</v>
          </cell>
        </row>
        <row r="5604">
          <cell r="E5604" t="str">
            <v>454842-8</v>
          </cell>
          <cell r="G5604">
            <v>40011224</v>
          </cell>
        </row>
        <row r="5605">
          <cell r="E5605">
            <v>3640640</v>
          </cell>
          <cell r="G5605">
            <v>40011242</v>
          </cell>
        </row>
        <row r="5606">
          <cell r="E5606" t="str">
            <v>233330-6</v>
          </cell>
          <cell r="G5606">
            <v>40011221</v>
          </cell>
        </row>
        <row r="5607">
          <cell r="E5607" t="str">
            <v>233537-4</v>
          </cell>
          <cell r="G5607">
            <v>40011222</v>
          </cell>
        </row>
        <row r="5608">
          <cell r="E5608" t="str">
            <v>321497-3</v>
          </cell>
          <cell r="G5608">
            <v>40011223</v>
          </cell>
        </row>
        <row r="5609">
          <cell r="E5609" t="str">
            <v>DHR202Z</v>
          </cell>
          <cell r="G5609">
            <v>10039960</v>
          </cell>
        </row>
        <row r="5610">
          <cell r="E5610" t="str">
            <v>HM001GZ</v>
          </cell>
          <cell r="G5610">
            <v>10039961</v>
          </cell>
        </row>
        <row r="5611">
          <cell r="E5611" t="str">
            <v>HR003GM201</v>
          </cell>
          <cell r="G5611">
            <v>10039962</v>
          </cell>
        </row>
        <row r="5612">
          <cell r="E5612" t="str">
            <v>DTD173RTJ</v>
          </cell>
          <cell r="G5612">
            <v>10039965</v>
          </cell>
        </row>
        <row r="5613">
          <cell r="E5613" t="str">
            <v>DTD173Z</v>
          </cell>
          <cell r="G5613">
            <v>10039966</v>
          </cell>
        </row>
        <row r="5614">
          <cell r="E5614" t="str">
            <v>DUC357ZX4</v>
          </cell>
          <cell r="G5614">
            <v>10039968</v>
          </cell>
        </row>
        <row r="5615">
          <cell r="E5615" t="str">
            <v>DRT50Z</v>
          </cell>
          <cell r="G5615">
            <v>10039969</v>
          </cell>
        </row>
        <row r="5616">
          <cell r="E5616" t="str">
            <v>B-68616</v>
          </cell>
          <cell r="G5616">
            <v>10039972</v>
          </cell>
        </row>
        <row r="5617">
          <cell r="E5617" t="str">
            <v>191K01-6</v>
          </cell>
          <cell r="G5617">
            <v>10039976</v>
          </cell>
        </row>
        <row r="5618">
          <cell r="E5618" t="str">
            <v>510510-4</v>
          </cell>
          <cell r="G5618">
            <v>40011328</v>
          </cell>
        </row>
        <row r="5619">
          <cell r="E5619" t="str">
            <v>510587-9</v>
          </cell>
          <cell r="G5619">
            <v>40011329</v>
          </cell>
        </row>
        <row r="5620">
          <cell r="E5620" t="str">
            <v>CB-411</v>
          </cell>
          <cell r="G5620">
            <v>40011331</v>
          </cell>
        </row>
        <row r="5621">
          <cell r="E5621" t="str">
            <v>313140-8</v>
          </cell>
          <cell r="G5621">
            <v>40011333</v>
          </cell>
        </row>
        <row r="5622">
          <cell r="E5622" t="str">
            <v>JM27000321</v>
          </cell>
          <cell r="G5622">
            <v>40011334</v>
          </cell>
        </row>
        <row r="5623">
          <cell r="E5623" t="str">
            <v>517554-5</v>
          </cell>
          <cell r="G5623">
            <v>10039715</v>
          </cell>
        </row>
        <row r="5624">
          <cell r="E5624" t="str">
            <v>323924-6</v>
          </cell>
          <cell r="G5624">
            <v>10039716</v>
          </cell>
        </row>
        <row r="5625">
          <cell r="E5625" t="str">
            <v>454720-2</v>
          </cell>
          <cell r="G5625">
            <v>10039717</v>
          </cell>
        </row>
        <row r="5626">
          <cell r="E5626" t="str">
            <v>143957-3</v>
          </cell>
          <cell r="G5626">
            <v>10039718</v>
          </cell>
        </row>
        <row r="5627">
          <cell r="E5627" t="str">
            <v>266240-2</v>
          </cell>
          <cell r="G5627">
            <v>10039719</v>
          </cell>
        </row>
        <row r="5628">
          <cell r="E5628" t="str">
            <v>266458-5</v>
          </cell>
          <cell r="G5628">
            <v>10039720</v>
          </cell>
        </row>
        <row r="5629">
          <cell r="E5629" t="str">
            <v>326359-0</v>
          </cell>
          <cell r="G5629">
            <v>10039721</v>
          </cell>
        </row>
        <row r="5630">
          <cell r="E5630" t="str">
            <v>346739-4</v>
          </cell>
          <cell r="G5630">
            <v>10039722</v>
          </cell>
        </row>
        <row r="5631">
          <cell r="E5631" t="str">
            <v>450821-4</v>
          </cell>
          <cell r="G5631">
            <v>10039723</v>
          </cell>
        </row>
        <row r="5632">
          <cell r="E5632" t="str">
            <v>191N35-7</v>
          </cell>
          <cell r="G5632">
            <v>10040634</v>
          </cell>
        </row>
        <row r="5633">
          <cell r="E5633" t="str">
            <v>197845-6</v>
          </cell>
          <cell r="G5633">
            <v>10040635</v>
          </cell>
        </row>
        <row r="5634">
          <cell r="E5634" t="str">
            <v>F-00055</v>
          </cell>
          <cell r="G5634">
            <v>10040636</v>
          </cell>
        </row>
        <row r="5635">
          <cell r="E5635" t="str">
            <v>191T41-8</v>
          </cell>
          <cell r="G5635">
            <v>10040637</v>
          </cell>
        </row>
        <row r="5636">
          <cell r="E5636" t="str">
            <v>191U06-6</v>
          </cell>
          <cell r="G5636">
            <v>10040638</v>
          </cell>
        </row>
        <row r="5637">
          <cell r="E5637" t="str">
            <v>DJR183Z</v>
          </cell>
          <cell r="G5637">
            <v>10040624</v>
          </cell>
        </row>
        <row r="5638">
          <cell r="E5638" t="str">
            <v>DJV184RTJ</v>
          </cell>
          <cell r="G5638">
            <v>10040625</v>
          </cell>
        </row>
        <row r="5639">
          <cell r="E5639" t="str">
            <v>PS001GZ</v>
          </cell>
          <cell r="G5639">
            <v>10040626</v>
          </cell>
        </row>
        <row r="5640">
          <cell r="E5640" t="str">
            <v>DHW180Z01</v>
          </cell>
          <cell r="G5640">
            <v>10040627</v>
          </cell>
        </row>
        <row r="5641">
          <cell r="E5641" t="str">
            <v>DAS180Z</v>
          </cell>
          <cell r="G5641">
            <v>10040628</v>
          </cell>
        </row>
        <row r="5642">
          <cell r="E5642" t="str">
            <v>LM001GZ</v>
          </cell>
          <cell r="G5642">
            <v>10040629</v>
          </cell>
        </row>
        <row r="5643">
          <cell r="E5643" t="str">
            <v>VS001GZ</v>
          </cell>
          <cell r="G5643">
            <v>10040630</v>
          </cell>
        </row>
        <row r="5644">
          <cell r="E5644" t="str">
            <v>E-14738</v>
          </cell>
          <cell r="G5644">
            <v>10040631</v>
          </cell>
        </row>
        <row r="5645">
          <cell r="E5645" t="str">
            <v>F-31838</v>
          </cell>
          <cell r="G5645">
            <v>10040632</v>
          </cell>
        </row>
        <row r="5646">
          <cell r="E5646" t="str">
            <v>191C17-3</v>
          </cell>
          <cell r="G5646">
            <v>10040633</v>
          </cell>
        </row>
        <row r="5647">
          <cell r="E5647" t="str">
            <v>195026-6</v>
          </cell>
          <cell r="G5647">
            <v>40011332</v>
          </cell>
        </row>
        <row r="5648">
          <cell r="E5648" t="str">
            <v>516453-8</v>
          </cell>
          <cell r="G5648">
            <v>40011398</v>
          </cell>
        </row>
        <row r="5649">
          <cell r="E5649" t="str">
            <v>634408-2</v>
          </cell>
          <cell r="G5649">
            <v>40011399</v>
          </cell>
        </row>
        <row r="5650">
          <cell r="E5650" t="str">
            <v>651051-2</v>
          </cell>
          <cell r="G5650">
            <v>40011400</v>
          </cell>
        </row>
        <row r="5651">
          <cell r="E5651" t="str">
            <v>183940-8</v>
          </cell>
          <cell r="G5651">
            <v>40011401</v>
          </cell>
        </row>
        <row r="5652">
          <cell r="E5652" t="str">
            <v>318179-6</v>
          </cell>
          <cell r="G5652">
            <v>40011402</v>
          </cell>
        </row>
        <row r="5653">
          <cell r="E5653" t="str">
            <v>620524-6</v>
          </cell>
          <cell r="G5653">
            <v>40011403</v>
          </cell>
        </row>
        <row r="5654">
          <cell r="E5654" t="str">
            <v>346924-9</v>
          </cell>
          <cell r="G5654">
            <v>40011404</v>
          </cell>
        </row>
        <row r="5655">
          <cell r="E5655" t="str">
            <v>143333-1</v>
          </cell>
          <cell r="G5655">
            <v>40011405</v>
          </cell>
        </row>
        <row r="5656">
          <cell r="E5656" t="str">
            <v>143337-3</v>
          </cell>
          <cell r="G5656">
            <v>40011406</v>
          </cell>
        </row>
        <row r="5657">
          <cell r="E5657" t="str">
            <v>241851-4</v>
          </cell>
          <cell r="G5657">
            <v>40011407</v>
          </cell>
        </row>
        <row r="5658">
          <cell r="E5658" t="str">
            <v>629189-1</v>
          </cell>
          <cell r="G5658">
            <v>40011408</v>
          </cell>
        </row>
        <row r="5659">
          <cell r="E5659" t="str">
            <v>GA4030</v>
          </cell>
          <cell r="G5659">
            <v>10019636</v>
          </cell>
        </row>
        <row r="5660">
          <cell r="E5660" t="str">
            <v>212102-2</v>
          </cell>
          <cell r="G5660">
            <v>40007961</v>
          </cell>
        </row>
        <row r="5661">
          <cell r="E5661">
            <v>3082661</v>
          </cell>
          <cell r="G5661">
            <v>40011412</v>
          </cell>
        </row>
        <row r="5662">
          <cell r="E5662">
            <v>38171042</v>
          </cell>
          <cell r="G5662">
            <v>40011413</v>
          </cell>
        </row>
        <row r="5663">
          <cell r="E5663" t="str">
            <v>122704-5</v>
          </cell>
          <cell r="G5663">
            <v>40011414</v>
          </cell>
        </row>
        <row r="5664">
          <cell r="E5664" t="str">
            <v>453866-1</v>
          </cell>
          <cell r="G5664">
            <v>40011418</v>
          </cell>
        </row>
        <row r="5665">
          <cell r="E5665" t="str">
            <v>158959-6</v>
          </cell>
          <cell r="G5665">
            <v>40011415</v>
          </cell>
        </row>
        <row r="5666">
          <cell r="E5666" t="str">
            <v>231975-4</v>
          </cell>
          <cell r="G5666">
            <v>40011416</v>
          </cell>
        </row>
        <row r="5667">
          <cell r="E5667" t="str">
            <v>451037-4</v>
          </cell>
          <cell r="G5667">
            <v>40011417</v>
          </cell>
        </row>
        <row r="5668">
          <cell r="E5668" t="str">
            <v>326768-3</v>
          </cell>
          <cell r="G5668">
            <v>40011419</v>
          </cell>
        </row>
        <row r="5669">
          <cell r="E5669" t="str">
            <v>454022-6</v>
          </cell>
          <cell r="G5669">
            <v>40011411</v>
          </cell>
        </row>
        <row r="5670">
          <cell r="E5670" t="str">
            <v>511559-7</v>
          </cell>
          <cell r="G5670">
            <v>40011409</v>
          </cell>
        </row>
        <row r="5671">
          <cell r="E5671" t="str">
            <v>143579-9</v>
          </cell>
          <cell r="G5671">
            <v>40011410</v>
          </cell>
        </row>
        <row r="5672">
          <cell r="E5672" t="str">
            <v>HP332DZ</v>
          </cell>
          <cell r="G5672">
            <v>10041605</v>
          </cell>
        </row>
        <row r="5673">
          <cell r="E5673" t="str">
            <v>HP002GZ</v>
          </cell>
          <cell r="G5673">
            <v>10041606</v>
          </cell>
        </row>
        <row r="5674">
          <cell r="E5674" t="str">
            <v>HR2670X5</v>
          </cell>
          <cell r="G5674">
            <v>10041607</v>
          </cell>
        </row>
        <row r="5675">
          <cell r="E5675" t="str">
            <v>DFT129FNZ</v>
          </cell>
          <cell r="G5675">
            <v>10041608</v>
          </cell>
        </row>
        <row r="5676">
          <cell r="E5676" t="str">
            <v>DTW300ZJ</v>
          </cell>
          <cell r="G5676">
            <v>10041609</v>
          </cell>
        </row>
        <row r="5677">
          <cell r="E5677" t="str">
            <v>HS300DZ</v>
          </cell>
          <cell r="G5677">
            <v>10041610</v>
          </cell>
        </row>
        <row r="5678">
          <cell r="E5678" t="str">
            <v>HS013GZ</v>
          </cell>
          <cell r="G5678">
            <v>10041611</v>
          </cell>
        </row>
        <row r="5679">
          <cell r="E5679" t="str">
            <v>DGA408RTJ1</v>
          </cell>
          <cell r="G5679">
            <v>10041612</v>
          </cell>
        </row>
        <row r="5680">
          <cell r="E5680" t="str">
            <v>UH201DZ</v>
          </cell>
          <cell r="G5680">
            <v>10041614</v>
          </cell>
        </row>
        <row r="5681">
          <cell r="E5681" t="str">
            <v>UH353DZ</v>
          </cell>
          <cell r="G5681">
            <v>10041615</v>
          </cell>
        </row>
        <row r="5682">
          <cell r="E5682" t="str">
            <v>UM600DWA</v>
          </cell>
          <cell r="G5682">
            <v>10041616</v>
          </cell>
        </row>
        <row r="5683">
          <cell r="E5683" t="str">
            <v>LM001JM101</v>
          </cell>
          <cell r="G5683">
            <v>10041617</v>
          </cell>
        </row>
        <row r="5684">
          <cell r="E5684" t="str">
            <v>DVF104Z</v>
          </cell>
          <cell r="G5684">
            <v>10041618</v>
          </cell>
        </row>
        <row r="5685">
          <cell r="E5685" t="str">
            <v>DUB187Z</v>
          </cell>
          <cell r="G5685">
            <v>10041619</v>
          </cell>
        </row>
        <row r="5686">
          <cell r="E5686" t="str">
            <v>DTC102ZK</v>
          </cell>
          <cell r="G5686">
            <v>10041620</v>
          </cell>
        </row>
        <row r="5687">
          <cell r="E5687" t="str">
            <v>DMR108</v>
          </cell>
          <cell r="G5687">
            <v>10041621</v>
          </cell>
        </row>
        <row r="5688">
          <cell r="E5688" t="str">
            <v>D-62240</v>
          </cell>
          <cell r="G5688">
            <v>10041622</v>
          </cell>
        </row>
        <row r="5689">
          <cell r="E5689" t="str">
            <v>B-67452</v>
          </cell>
          <cell r="G5689">
            <v>10041623</v>
          </cell>
        </row>
        <row r="5690">
          <cell r="E5690" t="str">
            <v>B-17158</v>
          </cell>
          <cell r="G5690">
            <v>10041624</v>
          </cell>
        </row>
        <row r="5691">
          <cell r="E5691" t="str">
            <v>D-64082</v>
          </cell>
          <cell r="G5691">
            <v>10041625</v>
          </cell>
        </row>
        <row r="5692">
          <cell r="E5692" t="str">
            <v>D-64054</v>
          </cell>
          <cell r="G5692">
            <v>10041626</v>
          </cell>
        </row>
        <row r="5693">
          <cell r="E5693" t="str">
            <v>E-22931</v>
          </cell>
          <cell r="G5693">
            <v>10041628</v>
          </cell>
        </row>
        <row r="5694">
          <cell r="E5694" t="str">
            <v>198119-8</v>
          </cell>
          <cell r="G5694">
            <v>10041629</v>
          </cell>
        </row>
        <row r="5695">
          <cell r="E5695" t="str">
            <v>633984-3</v>
          </cell>
          <cell r="G5695">
            <v>40011562</v>
          </cell>
        </row>
        <row r="5696">
          <cell r="E5696" t="str">
            <v>164195-4</v>
          </cell>
          <cell r="G5696">
            <v>40011561</v>
          </cell>
        </row>
        <row r="5697">
          <cell r="E5697" t="str">
            <v>619678-4</v>
          </cell>
          <cell r="G5697">
            <v>40011563</v>
          </cell>
        </row>
        <row r="5698">
          <cell r="E5698" t="str">
            <v>AL00000099</v>
          </cell>
          <cell r="G5698">
            <v>40011564</v>
          </cell>
        </row>
        <row r="5699">
          <cell r="E5699" t="str">
            <v>166078-4</v>
          </cell>
          <cell r="G5699">
            <v>10041633</v>
          </cell>
        </row>
        <row r="5700">
          <cell r="E5700" t="str">
            <v>526149-3</v>
          </cell>
          <cell r="G5700">
            <v>40011621</v>
          </cell>
        </row>
        <row r="5701">
          <cell r="E5701" t="str">
            <v>153254-9</v>
          </cell>
          <cell r="G5701">
            <v>40011622</v>
          </cell>
        </row>
        <row r="5702">
          <cell r="E5702" t="str">
            <v>342290-2</v>
          </cell>
          <cell r="G5702">
            <v>40011624</v>
          </cell>
        </row>
        <row r="5703">
          <cell r="E5703">
            <v>3640540</v>
          </cell>
          <cell r="G5703">
            <v>40011625</v>
          </cell>
        </row>
        <row r="5704">
          <cell r="E5704" t="str">
            <v>324376-4</v>
          </cell>
          <cell r="G5704">
            <v>40011626</v>
          </cell>
        </row>
        <row r="5705">
          <cell r="E5705" t="str">
            <v>191A57-9</v>
          </cell>
          <cell r="G5705">
            <v>10043024</v>
          </cell>
        </row>
        <row r="5706">
          <cell r="E5706" t="str">
            <v>BL1015K</v>
          </cell>
          <cell r="G5706">
            <v>10043023</v>
          </cell>
        </row>
        <row r="5707">
          <cell r="E5707" t="str">
            <v>DRV250Z</v>
          </cell>
          <cell r="G5707">
            <v>10043021</v>
          </cell>
        </row>
        <row r="5708">
          <cell r="E5708" t="str">
            <v>JM23100047</v>
          </cell>
          <cell r="G5708">
            <v>40011623</v>
          </cell>
        </row>
        <row r="5709">
          <cell r="E5709" t="str">
            <v>JM27000322</v>
          </cell>
          <cell r="G5709">
            <v>40011592</v>
          </cell>
        </row>
        <row r="5710">
          <cell r="E5710" t="str">
            <v>512584-1</v>
          </cell>
          <cell r="G5710">
            <v>40011584</v>
          </cell>
        </row>
        <row r="5711">
          <cell r="E5711" t="str">
            <v>324873-0</v>
          </cell>
          <cell r="G5711">
            <v>40011589</v>
          </cell>
        </row>
        <row r="5712">
          <cell r="E5712" t="str">
            <v>322812-4</v>
          </cell>
          <cell r="G5712">
            <v>40011590</v>
          </cell>
        </row>
        <row r="5713">
          <cell r="E5713" t="str">
            <v>424057-1</v>
          </cell>
          <cell r="G5713">
            <v>40011593</v>
          </cell>
        </row>
        <row r="5714">
          <cell r="E5714" t="str">
            <v>126001-1</v>
          </cell>
          <cell r="G5714">
            <v>40011588</v>
          </cell>
        </row>
        <row r="5715">
          <cell r="E5715" t="str">
            <v>345237-5</v>
          </cell>
          <cell r="G5715">
            <v>40011594</v>
          </cell>
        </row>
        <row r="5716">
          <cell r="E5716" t="str">
            <v>326221-9</v>
          </cell>
          <cell r="G5716">
            <v>40011595</v>
          </cell>
        </row>
        <row r="5717">
          <cell r="E5717" t="str">
            <v>424053-9</v>
          </cell>
          <cell r="G5717">
            <v>40011596</v>
          </cell>
        </row>
        <row r="5718">
          <cell r="E5718" t="str">
            <v>154625-3</v>
          </cell>
          <cell r="G5718">
            <v>40011597</v>
          </cell>
        </row>
        <row r="5719">
          <cell r="E5719" t="str">
            <v>343433-9</v>
          </cell>
          <cell r="G5719">
            <v>40011598</v>
          </cell>
        </row>
        <row r="5720">
          <cell r="E5720" t="str">
            <v>620149-6</v>
          </cell>
          <cell r="G5720">
            <v>40011599</v>
          </cell>
        </row>
        <row r="5721">
          <cell r="E5721" t="str">
            <v>424737-9</v>
          </cell>
          <cell r="G5721">
            <v>40011600</v>
          </cell>
        </row>
        <row r="5722">
          <cell r="E5722" t="str">
            <v>TP00000209</v>
          </cell>
          <cell r="G5722">
            <v>40011585</v>
          </cell>
        </row>
        <row r="5723">
          <cell r="E5723" t="str">
            <v>325226-6</v>
          </cell>
          <cell r="G5723">
            <v>40011601</v>
          </cell>
        </row>
        <row r="5724">
          <cell r="E5724" t="str">
            <v>416523-2</v>
          </cell>
          <cell r="G5724">
            <v>40011602</v>
          </cell>
        </row>
        <row r="5725">
          <cell r="E5725" t="str">
            <v>197539-3</v>
          </cell>
          <cell r="G5725">
            <v>40011603</v>
          </cell>
        </row>
        <row r="5726">
          <cell r="E5726" t="str">
            <v>345226-0</v>
          </cell>
          <cell r="G5726">
            <v>40011591</v>
          </cell>
        </row>
        <row r="5727">
          <cell r="E5727" t="str">
            <v>347944-6</v>
          </cell>
          <cell r="G5727">
            <v>40011587</v>
          </cell>
        </row>
        <row r="5728">
          <cell r="E5728" t="str">
            <v>142281-1</v>
          </cell>
          <cell r="G5728">
            <v>40011604</v>
          </cell>
        </row>
        <row r="5729">
          <cell r="E5729" t="str">
            <v>454728-6</v>
          </cell>
          <cell r="G5729">
            <v>40011605</v>
          </cell>
        </row>
        <row r="5730">
          <cell r="E5730" t="str">
            <v>650714-7</v>
          </cell>
          <cell r="G5730">
            <v>40011586</v>
          </cell>
        </row>
        <row r="5731">
          <cell r="E5731" t="str">
            <v>135249-4</v>
          </cell>
          <cell r="G5731">
            <v>40011606</v>
          </cell>
        </row>
        <row r="5732">
          <cell r="E5732" t="str">
            <v>267101-9</v>
          </cell>
          <cell r="G5732">
            <v>40011652</v>
          </cell>
        </row>
        <row r="5733">
          <cell r="E5733" t="str">
            <v>142342-7</v>
          </cell>
          <cell r="G5733">
            <v>40011653</v>
          </cell>
        </row>
        <row r="5734">
          <cell r="E5734" t="str">
            <v>TE00000336</v>
          </cell>
          <cell r="G5734">
            <v>40011654</v>
          </cell>
        </row>
        <row r="5735">
          <cell r="E5735" t="str">
            <v>515528-0</v>
          </cell>
          <cell r="G5735">
            <v>40011651</v>
          </cell>
        </row>
        <row r="5736">
          <cell r="E5736" t="str">
            <v>TE00000340</v>
          </cell>
          <cell r="G5736">
            <v>40011656</v>
          </cell>
        </row>
        <row r="5737">
          <cell r="E5737" t="str">
            <v>TE00000629</v>
          </cell>
          <cell r="G5737">
            <v>40011657</v>
          </cell>
        </row>
        <row r="5738">
          <cell r="E5738">
            <v>1349285</v>
          </cell>
          <cell r="G5738">
            <v>40011658</v>
          </cell>
        </row>
        <row r="5739">
          <cell r="E5739" t="str">
            <v>233127-3</v>
          </cell>
          <cell r="G5739">
            <v>40011659</v>
          </cell>
        </row>
        <row r="5740">
          <cell r="E5740" t="str">
            <v>256437-1</v>
          </cell>
          <cell r="G5740">
            <v>40011660</v>
          </cell>
        </row>
        <row r="5741">
          <cell r="E5741" t="str">
            <v>519457-9</v>
          </cell>
          <cell r="G5741">
            <v>40011661</v>
          </cell>
        </row>
        <row r="5742">
          <cell r="E5742" t="str">
            <v>629292-8</v>
          </cell>
          <cell r="G5742">
            <v>40011662</v>
          </cell>
        </row>
        <row r="5743">
          <cell r="E5743" t="str">
            <v>JM27000039</v>
          </cell>
          <cell r="G5743">
            <v>40011663</v>
          </cell>
        </row>
        <row r="5744">
          <cell r="E5744" t="str">
            <v>JM23100330</v>
          </cell>
          <cell r="G5744">
            <v>40011664</v>
          </cell>
        </row>
        <row r="5745">
          <cell r="E5745">
            <v>957114011</v>
          </cell>
          <cell r="G5745">
            <v>40011665</v>
          </cell>
        </row>
        <row r="5746">
          <cell r="E5746">
            <v>38245011</v>
          </cell>
          <cell r="G5746">
            <v>40011655</v>
          </cell>
        </row>
        <row r="5747">
          <cell r="E5747" t="str">
            <v>DPV300Z</v>
          </cell>
          <cell r="G5747">
            <v>10044059</v>
          </cell>
        </row>
        <row r="5748">
          <cell r="E5748" t="str">
            <v>BO001CGZ</v>
          </cell>
          <cell r="G5748">
            <v>10044060</v>
          </cell>
        </row>
        <row r="5749">
          <cell r="E5749" t="str">
            <v>BO006CGZ</v>
          </cell>
          <cell r="G5749">
            <v>10044061</v>
          </cell>
        </row>
        <row r="5750">
          <cell r="E5750" t="str">
            <v>DTC301ZK</v>
          </cell>
          <cell r="G5750">
            <v>10044062</v>
          </cell>
        </row>
        <row r="5751">
          <cell r="E5751" t="str">
            <v>UH020GZ</v>
          </cell>
          <cell r="G5751">
            <v>10044063</v>
          </cell>
        </row>
        <row r="5752">
          <cell r="E5752" t="str">
            <v>UN001GZ</v>
          </cell>
          <cell r="G5752">
            <v>10044064</v>
          </cell>
        </row>
        <row r="5753">
          <cell r="E5753" t="str">
            <v>PP001GZK</v>
          </cell>
          <cell r="G5753">
            <v>10044065</v>
          </cell>
        </row>
        <row r="5754">
          <cell r="E5754" t="str">
            <v>DUR181Z</v>
          </cell>
          <cell r="G5754">
            <v>10044066</v>
          </cell>
        </row>
        <row r="5755">
          <cell r="E5755" t="str">
            <v>UN460WDZ</v>
          </cell>
          <cell r="G5755">
            <v>10044067</v>
          </cell>
        </row>
        <row r="5756">
          <cell r="E5756" t="str">
            <v>UA001GM102</v>
          </cell>
          <cell r="G5756">
            <v>10044068</v>
          </cell>
        </row>
        <row r="5757">
          <cell r="E5757" t="str">
            <v>HM004GZ05</v>
          </cell>
          <cell r="G5757">
            <v>10044069</v>
          </cell>
        </row>
        <row r="5758">
          <cell r="E5758" t="str">
            <v>UA002GM102</v>
          </cell>
          <cell r="G5758">
            <v>10044070</v>
          </cell>
        </row>
        <row r="5759">
          <cell r="E5759" t="str">
            <v>UR013GZ03</v>
          </cell>
          <cell r="G5759">
            <v>10044071</v>
          </cell>
        </row>
        <row r="5760">
          <cell r="E5760" t="str">
            <v>CL004GZ</v>
          </cell>
          <cell r="G5760">
            <v>10044072</v>
          </cell>
        </row>
        <row r="5761">
          <cell r="E5761" t="str">
            <v>UB002GZ</v>
          </cell>
          <cell r="G5761">
            <v>10044073</v>
          </cell>
        </row>
        <row r="5762">
          <cell r="E5762" t="str">
            <v>VC014GLZ</v>
          </cell>
          <cell r="G5762">
            <v>10044074</v>
          </cell>
        </row>
        <row r="5763">
          <cell r="E5763" t="str">
            <v>LM004JZ</v>
          </cell>
          <cell r="G5763">
            <v>10044075</v>
          </cell>
        </row>
        <row r="5764">
          <cell r="E5764" t="str">
            <v>LM003GZ</v>
          </cell>
          <cell r="G5764">
            <v>10044076</v>
          </cell>
        </row>
        <row r="5765">
          <cell r="E5765" t="str">
            <v>TM001GZ01</v>
          </cell>
          <cell r="G5765">
            <v>10044077</v>
          </cell>
        </row>
        <row r="5766">
          <cell r="E5766" t="str">
            <v>PT001GD201</v>
          </cell>
          <cell r="G5766">
            <v>10044078</v>
          </cell>
        </row>
        <row r="5767">
          <cell r="E5767" t="str">
            <v>KT001GZ</v>
          </cell>
          <cell r="G5767">
            <v>10044079</v>
          </cell>
        </row>
        <row r="5768">
          <cell r="E5768" t="str">
            <v>MR006G</v>
          </cell>
          <cell r="G5768">
            <v>10044080</v>
          </cell>
        </row>
        <row r="5769">
          <cell r="E5769" t="str">
            <v>DST221Z</v>
          </cell>
          <cell r="G5769">
            <v>10044081</v>
          </cell>
        </row>
        <row r="5770">
          <cell r="E5770" t="str">
            <v>PT354DZ</v>
          </cell>
          <cell r="G5770">
            <v>10044082</v>
          </cell>
        </row>
        <row r="5771">
          <cell r="E5771" t="str">
            <v>CF001GZ</v>
          </cell>
          <cell r="G5771">
            <v>10044083</v>
          </cell>
        </row>
        <row r="5772">
          <cell r="E5772" t="str">
            <v>PM001GZ01</v>
          </cell>
          <cell r="G5772">
            <v>10044084</v>
          </cell>
        </row>
        <row r="5773">
          <cell r="E5773" t="str">
            <v>DCU604Z</v>
          </cell>
          <cell r="G5773">
            <v>10044085</v>
          </cell>
        </row>
        <row r="5774">
          <cell r="E5774" t="str">
            <v>B-64951</v>
          </cell>
          <cell r="G5774">
            <v>10044086</v>
          </cell>
        </row>
        <row r="5775">
          <cell r="E5775" t="str">
            <v>B-69755</v>
          </cell>
          <cell r="G5775">
            <v>10044087</v>
          </cell>
        </row>
        <row r="5776">
          <cell r="E5776" t="str">
            <v>E-14766</v>
          </cell>
          <cell r="G5776">
            <v>10044088</v>
          </cell>
        </row>
        <row r="5777">
          <cell r="E5777" t="str">
            <v>B-58590</v>
          </cell>
          <cell r="G5777">
            <v>10044089</v>
          </cell>
        </row>
        <row r="5778">
          <cell r="E5778" t="str">
            <v>B-58621</v>
          </cell>
          <cell r="G5778">
            <v>10044090</v>
          </cell>
        </row>
        <row r="5779">
          <cell r="E5779" t="str">
            <v>E-06622</v>
          </cell>
          <cell r="G5779">
            <v>10044091</v>
          </cell>
        </row>
        <row r="5780">
          <cell r="E5780" t="str">
            <v>E-15827</v>
          </cell>
          <cell r="G5780">
            <v>10044092</v>
          </cell>
        </row>
        <row r="5781">
          <cell r="E5781" t="str">
            <v>E-15833</v>
          </cell>
          <cell r="G5781">
            <v>10044093</v>
          </cell>
        </row>
        <row r="5782">
          <cell r="E5782" t="str">
            <v>E-08763</v>
          </cell>
          <cell r="G5782">
            <v>10044094</v>
          </cell>
        </row>
        <row r="5783">
          <cell r="E5783" t="str">
            <v>E-08785</v>
          </cell>
          <cell r="G5783">
            <v>10044095</v>
          </cell>
        </row>
        <row r="5784">
          <cell r="E5784" t="str">
            <v>A-67511</v>
          </cell>
          <cell r="G5784">
            <v>10044096</v>
          </cell>
        </row>
        <row r="5785">
          <cell r="E5785" t="str">
            <v>A-59570</v>
          </cell>
          <cell r="G5785">
            <v>10044097</v>
          </cell>
        </row>
        <row r="5786">
          <cell r="E5786" t="str">
            <v>D-78689</v>
          </cell>
          <cell r="G5786">
            <v>10044098</v>
          </cell>
        </row>
        <row r="5787">
          <cell r="E5787" t="str">
            <v>D-78673</v>
          </cell>
          <cell r="G5787">
            <v>10044099</v>
          </cell>
        </row>
        <row r="5788">
          <cell r="E5788" t="str">
            <v>D-78695</v>
          </cell>
          <cell r="G5788">
            <v>10044100</v>
          </cell>
        </row>
        <row r="5789">
          <cell r="E5789" t="str">
            <v>D-78667</v>
          </cell>
          <cell r="G5789">
            <v>10044101</v>
          </cell>
        </row>
        <row r="5790">
          <cell r="E5790" t="str">
            <v>D-78651</v>
          </cell>
          <cell r="G5790">
            <v>10044102</v>
          </cell>
        </row>
        <row r="5791">
          <cell r="E5791" t="str">
            <v>D-78922</v>
          </cell>
          <cell r="G5791">
            <v>10044103</v>
          </cell>
        </row>
        <row r="5792">
          <cell r="E5792" t="str">
            <v>D-78916</v>
          </cell>
          <cell r="G5792">
            <v>10044104</v>
          </cell>
        </row>
        <row r="5793">
          <cell r="E5793" t="str">
            <v>D-78938</v>
          </cell>
          <cell r="G5793">
            <v>10044105</v>
          </cell>
        </row>
        <row r="5794">
          <cell r="E5794" t="str">
            <v>D-78900</v>
          </cell>
          <cell r="G5794">
            <v>10044106</v>
          </cell>
        </row>
        <row r="5795">
          <cell r="E5795" t="str">
            <v>D-78891</v>
          </cell>
          <cell r="G5795">
            <v>10044107</v>
          </cell>
        </row>
        <row r="5796">
          <cell r="E5796" t="str">
            <v>D-34241</v>
          </cell>
          <cell r="G5796">
            <v>10044108</v>
          </cell>
        </row>
        <row r="5797">
          <cell r="E5797" t="str">
            <v>F-00013</v>
          </cell>
          <cell r="G5797">
            <v>10044109</v>
          </cell>
        </row>
        <row r="5798">
          <cell r="E5798" t="str">
            <v>BL4080F</v>
          </cell>
          <cell r="G5798">
            <v>10044110</v>
          </cell>
        </row>
        <row r="5799">
          <cell r="E5799" t="str">
            <v>BL4020</v>
          </cell>
          <cell r="G5799">
            <v>10044111</v>
          </cell>
        </row>
        <row r="5800">
          <cell r="E5800" t="str">
            <v>196341-1</v>
          </cell>
          <cell r="G5800">
            <v>10044112</v>
          </cell>
        </row>
        <row r="5801">
          <cell r="E5801" t="str">
            <v>1910W0-3</v>
          </cell>
          <cell r="G5801">
            <v>10044113</v>
          </cell>
        </row>
        <row r="5802">
          <cell r="E5802" t="str">
            <v>1912F1-4</v>
          </cell>
          <cell r="G5802">
            <v>10044114</v>
          </cell>
        </row>
        <row r="5803">
          <cell r="E5803" t="str">
            <v>781011-1</v>
          </cell>
          <cell r="G5803">
            <v>10044115</v>
          </cell>
        </row>
        <row r="5804">
          <cell r="E5804" t="str">
            <v>781039-9</v>
          </cell>
          <cell r="G5804">
            <v>10044116</v>
          </cell>
        </row>
        <row r="5805">
          <cell r="E5805" t="str">
            <v>DML813</v>
          </cell>
          <cell r="G5805">
            <v>10044117</v>
          </cell>
        </row>
        <row r="5806">
          <cell r="E5806" t="str">
            <v>ML107</v>
          </cell>
          <cell r="G5806">
            <v>10044118</v>
          </cell>
        </row>
        <row r="5807">
          <cell r="E5807" t="str">
            <v>1R359</v>
          </cell>
          <cell r="G5807">
            <v>10044119</v>
          </cell>
        </row>
        <row r="5808">
          <cell r="E5808" t="str">
            <v>191J59-9</v>
          </cell>
          <cell r="G5808">
            <v>10044120</v>
          </cell>
        </row>
        <row r="5809">
          <cell r="E5809" t="str">
            <v>B-69749</v>
          </cell>
          <cell r="G5809">
            <v>10044121</v>
          </cell>
        </row>
        <row r="5810">
          <cell r="E5810" t="str">
            <v>E-05583</v>
          </cell>
          <cell r="G5810">
            <v>10044122</v>
          </cell>
        </row>
        <row r="5811">
          <cell r="E5811" t="str">
            <v>E-12980</v>
          </cell>
          <cell r="G5811">
            <v>10044123</v>
          </cell>
        </row>
        <row r="5812">
          <cell r="E5812" t="str">
            <v>B-57130</v>
          </cell>
          <cell r="G5812">
            <v>10044124</v>
          </cell>
        </row>
        <row r="5813">
          <cell r="E5813" t="str">
            <v>E-05125</v>
          </cell>
          <cell r="G5813">
            <v>10044127</v>
          </cell>
        </row>
        <row r="5814">
          <cell r="E5814" t="str">
            <v>Z-10502</v>
          </cell>
          <cell r="G5814">
            <v>10044131</v>
          </cell>
        </row>
        <row r="5815">
          <cell r="E5815" t="str">
            <v>Z-10503</v>
          </cell>
          <cell r="G5815">
            <v>10044132</v>
          </cell>
        </row>
        <row r="5816">
          <cell r="E5816" t="str">
            <v>Z-10498</v>
          </cell>
          <cell r="G5816">
            <v>10044133</v>
          </cell>
        </row>
        <row r="5817">
          <cell r="E5817" t="str">
            <v>Z-10460</v>
          </cell>
          <cell r="G5817">
            <v>10044134</v>
          </cell>
        </row>
        <row r="5818">
          <cell r="E5818" t="str">
            <v>Z-10461</v>
          </cell>
          <cell r="G5818">
            <v>10044135</v>
          </cell>
        </row>
        <row r="5819">
          <cell r="E5819" t="str">
            <v>Z-10469</v>
          </cell>
          <cell r="G5819">
            <v>10044137</v>
          </cell>
        </row>
        <row r="5820">
          <cell r="E5820" t="str">
            <v>Z-10499</v>
          </cell>
          <cell r="G5820">
            <v>10044138</v>
          </cell>
        </row>
        <row r="5821">
          <cell r="E5821" t="str">
            <v>Z-10501</v>
          </cell>
          <cell r="G5821">
            <v>10044139</v>
          </cell>
        </row>
        <row r="5822">
          <cell r="E5822" t="str">
            <v>Z-10506</v>
          </cell>
          <cell r="G5822">
            <v>10044141</v>
          </cell>
        </row>
        <row r="5823">
          <cell r="E5823" t="str">
            <v>Z-10505</v>
          </cell>
          <cell r="G5823">
            <v>10044142</v>
          </cell>
        </row>
        <row r="5824">
          <cell r="E5824" t="str">
            <v>Z-10504</v>
          </cell>
          <cell r="G5824">
            <v>10044144</v>
          </cell>
        </row>
        <row r="5825">
          <cell r="E5825" t="str">
            <v>Z-10444</v>
          </cell>
          <cell r="G5825">
            <v>10044145</v>
          </cell>
        </row>
        <row r="5826">
          <cell r="E5826" t="str">
            <v>516919-8</v>
          </cell>
          <cell r="G5826">
            <v>40011723</v>
          </cell>
        </row>
        <row r="5827">
          <cell r="E5827" t="str">
            <v>513914-9</v>
          </cell>
          <cell r="G5827">
            <v>40011724</v>
          </cell>
        </row>
        <row r="5828">
          <cell r="E5828" t="str">
            <v>515544-2</v>
          </cell>
          <cell r="G5828">
            <v>40011725</v>
          </cell>
        </row>
        <row r="5829">
          <cell r="E5829" t="str">
            <v>634749-6</v>
          </cell>
          <cell r="G5829">
            <v>40011726</v>
          </cell>
        </row>
        <row r="5830">
          <cell r="E5830" t="str">
            <v>419918-8</v>
          </cell>
          <cell r="G5830">
            <v>40011727</v>
          </cell>
        </row>
        <row r="5831">
          <cell r="E5831" t="str">
            <v>632R65-8</v>
          </cell>
          <cell r="G5831">
            <v>40011728</v>
          </cell>
        </row>
        <row r="5832">
          <cell r="E5832" t="str">
            <v>421896-0</v>
          </cell>
          <cell r="G5832">
            <v>40011729</v>
          </cell>
        </row>
        <row r="5833">
          <cell r="E5833" t="str">
            <v>418814-7</v>
          </cell>
          <cell r="G5833">
            <v>40011730</v>
          </cell>
        </row>
        <row r="5834">
          <cell r="E5834" t="str">
            <v>321958-3</v>
          </cell>
          <cell r="G5834">
            <v>40011731</v>
          </cell>
        </row>
        <row r="5835">
          <cell r="E5835" t="str">
            <v>459174-8</v>
          </cell>
          <cell r="G5835">
            <v>40011732</v>
          </cell>
        </row>
        <row r="5836">
          <cell r="E5836" t="str">
            <v>459175-6</v>
          </cell>
          <cell r="G5836">
            <v>40011733</v>
          </cell>
        </row>
        <row r="5837">
          <cell r="E5837" t="str">
            <v>644813-5</v>
          </cell>
          <cell r="G5837">
            <v>40011734</v>
          </cell>
        </row>
        <row r="5838">
          <cell r="E5838" t="str">
            <v>PR00000002</v>
          </cell>
          <cell r="G5838">
            <v>40011735</v>
          </cell>
        </row>
        <row r="5839">
          <cell r="E5839" t="str">
            <v>620K80-2</v>
          </cell>
          <cell r="G5839">
            <v>40011736</v>
          </cell>
        </row>
        <row r="5840">
          <cell r="E5840" t="str">
            <v>619334-6</v>
          </cell>
          <cell r="G5840">
            <v>40011738</v>
          </cell>
        </row>
        <row r="5841">
          <cell r="E5841" t="str">
            <v>634774-7</v>
          </cell>
          <cell r="G5841">
            <v>40011739</v>
          </cell>
        </row>
        <row r="5842">
          <cell r="E5842" t="str">
            <v>651172-0</v>
          </cell>
          <cell r="G5842">
            <v>40011740</v>
          </cell>
        </row>
        <row r="5843">
          <cell r="E5843" t="str">
            <v>651409-5</v>
          </cell>
          <cell r="G5843">
            <v>40011741</v>
          </cell>
        </row>
        <row r="5844">
          <cell r="E5844" t="str">
            <v>265E16-4</v>
          </cell>
          <cell r="G5844">
            <v>40011742</v>
          </cell>
        </row>
        <row r="5845">
          <cell r="E5845" t="str">
            <v>620K37-3</v>
          </cell>
          <cell r="G5845">
            <v>40011743</v>
          </cell>
        </row>
        <row r="5846">
          <cell r="E5846" t="str">
            <v>251644-1</v>
          </cell>
          <cell r="G5846">
            <v>40011744</v>
          </cell>
        </row>
        <row r="5847">
          <cell r="E5847" t="str">
            <v>344975-6</v>
          </cell>
          <cell r="G5847">
            <v>40011745</v>
          </cell>
        </row>
        <row r="5848">
          <cell r="E5848" t="str">
            <v>345464-4</v>
          </cell>
          <cell r="G5848">
            <v>40011746</v>
          </cell>
        </row>
        <row r="5849">
          <cell r="E5849" t="str">
            <v>257260-7</v>
          </cell>
          <cell r="G5849">
            <v>40011747</v>
          </cell>
        </row>
        <row r="5850">
          <cell r="E5850" t="str">
            <v>233933-6</v>
          </cell>
          <cell r="G5850">
            <v>40011748</v>
          </cell>
        </row>
        <row r="5851">
          <cell r="E5851" t="str">
            <v>262552-1</v>
          </cell>
          <cell r="G5851">
            <v>40011749</v>
          </cell>
        </row>
        <row r="5852">
          <cell r="E5852" t="str">
            <v>321111-1</v>
          </cell>
          <cell r="G5852">
            <v>40011750</v>
          </cell>
        </row>
        <row r="5853">
          <cell r="E5853" t="str">
            <v>224491-3</v>
          </cell>
          <cell r="G5853">
            <v>40011751</v>
          </cell>
        </row>
        <row r="5854">
          <cell r="E5854" t="str">
            <v>224610-1</v>
          </cell>
          <cell r="G5854">
            <v>40011752</v>
          </cell>
        </row>
        <row r="5855">
          <cell r="E5855" t="str">
            <v>127443-2</v>
          </cell>
          <cell r="G5855">
            <v>40011753</v>
          </cell>
        </row>
        <row r="5856">
          <cell r="E5856" t="str">
            <v>224490-5</v>
          </cell>
          <cell r="G5856">
            <v>40011754</v>
          </cell>
        </row>
        <row r="5857">
          <cell r="E5857" t="str">
            <v>A-59601</v>
          </cell>
          <cell r="G5857">
            <v>10043840</v>
          </cell>
        </row>
        <row r="5858">
          <cell r="E5858" t="str">
            <v>DHP490Z</v>
          </cell>
          <cell r="G5858">
            <v>10044044</v>
          </cell>
        </row>
        <row r="5859">
          <cell r="E5859" t="str">
            <v>DDF490Z</v>
          </cell>
          <cell r="G5859">
            <v>10044045</v>
          </cell>
        </row>
        <row r="5860">
          <cell r="E5860" t="str">
            <v>TD004GZ</v>
          </cell>
          <cell r="G5860">
            <v>10044046</v>
          </cell>
        </row>
        <row r="5861">
          <cell r="E5861" t="str">
            <v>DFL650FZ</v>
          </cell>
          <cell r="G5861">
            <v>10044047</v>
          </cell>
        </row>
        <row r="5862">
          <cell r="E5862" t="str">
            <v>TW002GZ</v>
          </cell>
          <cell r="G5862">
            <v>10044048</v>
          </cell>
        </row>
        <row r="5863">
          <cell r="E5863" t="str">
            <v>DHS661Z</v>
          </cell>
          <cell r="G5863">
            <v>10044049</v>
          </cell>
        </row>
        <row r="5864">
          <cell r="E5864" t="str">
            <v>DHS661RGJ</v>
          </cell>
          <cell r="G5864">
            <v>10044050</v>
          </cell>
        </row>
        <row r="5865">
          <cell r="E5865" t="str">
            <v>UC029GZ</v>
          </cell>
          <cell r="G5865">
            <v>10044051</v>
          </cell>
        </row>
        <row r="5866">
          <cell r="E5866" t="str">
            <v>GA035GZ</v>
          </cell>
          <cell r="G5866">
            <v>10044052</v>
          </cell>
        </row>
        <row r="5867">
          <cell r="E5867" t="str">
            <v>GA012GZJ</v>
          </cell>
          <cell r="G5867">
            <v>10044053</v>
          </cell>
        </row>
        <row r="5868">
          <cell r="E5868" t="str">
            <v>GA012GZ</v>
          </cell>
          <cell r="G5868">
            <v>10044054</v>
          </cell>
        </row>
        <row r="5869">
          <cell r="E5869" t="str">
            <v>GA022GZ</v>
          </cell>
          <cell r="G5869">
            <v>10044055</v>
          </cell>
        </row>
        <row r="5870">
          <cell r="E5870" t="str">
            <v>GA023GZ</v>
          </cell>
          <cell r="G5870">
            <v>10044056</v>
          </cell>
        </row>
        <row r="5871">
          <cell r="E5871" t="str">
            <v>GA028GZ</v>
          </cell>
          <cell r="G5871">
            <v>10044057</v>
          </cell>
        </row>
        <row r="5872">
          <cell r="E5872" t="str">
            <v>RP001GZ</v>
          </cell>
          <cell r="G5872">
            <v>10044058</v>
          </cell>
        </row>
        <row r="5873">
          <cell r="E5873" t="str">
            <v>DPT353RTE</v>
          </cell>
          <cell r="G5873">
            <v>10018628</v>
          </cell>
        </row>
        <row r="5874">
          <cell r="E5874" t="str">
            <v>HS300DW</v>
          </cell>
          <cell r="G5874">
            <v>10019434</v>
          </cell>
        </row>
        <row r="5875">
          <cell r="E5875" t="str">
            <v>B-12326</v>
          </cell>
          <cell r="G5875">
            <v>10019663</v>
          </cell>
        </row>
        <row r="5876">
          <cell r="E5876" t="str">
            <v>TD00000001</v>
          </cell>
          <cell r="G5876">
            <v>10044125</v>
          </cell>
        </row>
        <row r="5877">
          <cell r="E5877">
            <v>988000707</v>
          </cell>
          <cell r="G5877">
            <v>10044126</v>
          </cell>
        </row>
        <row r="5878">
          <cell r="E5878" t="str">
            <v>Z-10477</v>
          </cell>
          <cell r="G5878">
            <v>10018062</v>
          </cell>
        </row>
        <row r="5879">
          <cell r="E5879" t="str">
            <v>Z-10465</v>
          </cell>
          <cell r="G5879">
            <v>10018064</v>
          </cell>
        </row>
        <row r="5880">
          <cell r="E5880" t="str">
            <v>Z-10484</v>
          </cell>
          <cell r="G5880">
            <v>10018270</v>
          </cell>
        </row>
        <row r="5881">
          <cell r="E5881" t="str">
            <v>Z-10487</v>
          </cell>
          <cell r="G5881">
            <v>10018272</v>
          </cell>
        </row>
        <row r="5882">
          <cell r="E5882" t="str">
            <v>Z-10488</v>
          </cell>
          <cell r="G5882">
            <v>10018274</v>
          </cell>
        </row>
        <row r="5883">
          <cell r="E5883" t="str">
            <v>Z-10495</v>
          </cell>
          <cell r="G5883">
            <v>40005202</v>
          </cell>
        </row>
        <row r="5884">
          <cell r="E5884" t="str">
            <v>Z-10509</v>
          </cell>
          <cell r="G5884">
            <v>10044146</v>
          </cell>
        </row>
        <row r="5885">
          <cell r="E5885" t="str">
            <v>DTW700RTJ</v>
          </cell>
          <cell r="G5885">
            <v>10044812</v>
          </cell>
        </row>
        <row r="5886">
          <cell r="E5886" t="str">
            <v>TW004GZ</v>
          </cell>
          <cell r="G5886">
            <v>10044813</v>
          </cell>
        </row>
        <row r="5887">
          <cell r="E5887" t="str">
            <v>DUC355Z</v>
          </cell>
          <cell r="G5887">
            <v>10044814</v>
          </cell>
        </row>
        <row r="5888">
          <cell r="E5888" t="str">
            <v>DGA408Z</v>
          </cell>
          <cell r="G5888">
            <v>10044815</v>
          </cell>
        </row>
        <row r="5889">
          <cell r="E5889" t="str">
            <v>515134-1</v>
          </cell>
          <cell r="G5889">
            <v>40011828</v>
          </cell>
        </row>
        <row r="5890">
          <cell r="E5890" t="str">
            <v>651065-1</v>
          </cell>
          <cell r="G5890">
            <v>40011829</v>
          </cell>
        </row>
        <row r="5891">
          <cell r="E5891" t="str">
            <v>211097-6</v>
          </cell>
          <cell r="G5891">
            <v>40011831</v>
          </cell>
        </row>
        <row r="5892">
          <cell r="E5892" t="str">
            <v>165711-5</v>
          </cell>
          <cell r="G5892">
            <v>40011832</v>
          </cell>
        </row>
        <row r="5893">
          <cell r="E5893" t="str">
            <v>194984-3</v>
          </cell>
          <cell r="G5893">
            <v>40011833</v>
          </cell>
        </row>
        <row r="5894">
          <cell r="E5894" t="str">
            <v>457122-1</v>
          </cell>
          <cell r="G5894">
            <v>40011830</v>
          </cell>
        </row>
        <row r="5895">
          <cell r="E5895" t="str">
            <v>183E88-6</v>
          </cell>
          <cell r="G5895">
            <v>40011834</v>
          </cell>
        </row>
        <row r="5896">
          <cell r="E5896" t="str">
            <v>763262-8</v>
          </cell>
          <cell r="G5896">
            <v>10045286</v>
          </cell>
        </row>
        <row r="5897">
          <cell r="E5897" t="str">
            <v>T-90059</v>
          </cell>
          <cell r="G5897">
            <v>10045287</v>
          </cell>
        </row>
        <row r="5898">
          <cell r="E5898" t="str">
            <v>T-90021</v>
          </cell>
          <cell r="G5898">
            <v>10045288</v>
          </cell>
        </row>
        <row r="5899">
          <cell r="E5899" t="str">
            <v>T-90065</v>
          </cell>
          <cell r="G5899">
            <v>10045289</v>
          </cell>
        </row>
        <row r="5900">
          <cell r="E5900" t="str">
            <v>T-90037</v>
          </cell>
          <cell r="G5900">
            <v>10045290</v>
          </cell>
        </row>
        <row r="5901">
          <cell r="E5901" t="str">
            <v>T-90043</v>
          </cell>
          <cell r="G5901">
            <v>10045291</v>
          </cell>
        </row>
        <row r="5902">
          <cell r="E5902" t="str">
            <v>4130J0-5</v>
          </cell>
          <cell r="G5902">
            <v>40011914</v>
          </cell>
        </row>
        <row r="5903">
          <cell r="E5903" t="str">
            <v>137222-0</v>
          </cell>
          <cell r="G5903">
            <v>40011915</v>
          </cell>
        </row>
        <row r="5904">
          <cell r="E5904" t="str">
            <v>141W46-6</v>
          </cell>
          <cell r="G5904">
            <v>40011916</v>
          </cell>
        </row>
        <row r="5905">
          <cell r="E5905" t="str">
            <v>510613-4</v>
          </cell>
          <cell r="G5905">
            <v>40011917</v>
          </cell>
        </row>
        <row r="5906">
          <cell r="E5906" t="str">
            <v>634864-6</v>
          </cell>
          <cell r="G5906">
            <v>40011918</v>
          </cell>
        </row>
        <row r="5907">
          <cell r="E5907" t="str">
            <v>632V64-4</v>
          </cell>
          <cell r="G5907">
            <v>40011919</v>
          </cell>
        </row>
        <row r="5908">
          <cell r="E5908" t="str">
            <v>137223-8</v>
          </cell>
          <cell r="G5908">
            <v>40011920</v>
          </cell>
        </row>
        <row r="5909">
          <cell r="E5909" t="str">
            <v>137224-6</v>
          </cell>
          <cell r="G5909">
            <v>40011921</v>
          </cell>
        </row>
        <row r="5910">
          <cell r="E5910" t="str">
            <v>DHP490RF</v>
          </cell>
          <cell r="G5910">
            <v>10045279</v>
          </cell>
        </row>
        <row r="5911">
          <cell r="E5911" t="str">
            <v>DHP490RFX1</v>
          </cell>
          <cell r="G5911">
            <v>10045280</v>
          </cell>
        </row>
        <row r="5912">
          <cell r="E5912" t="str">
            <v>DPJ180Z</v>
          </cell>
          <cell r="G5912">
            <v>10045281</v>
          </cell>
        </row>
        <row r="5913">
          <cell r="E5913" t="str">
            <v>DTW1001Z</v>
          </cell>
          <cell r="G5913">
            <v>10045282</v>
          </cell>
        </row>
        <row r="5914">
          <cell r="E5914" t="str">
            <v>DTW1001JX2</v>
          </cell>
          <cell r="G5914">
            <v>10045283</v>
          </cell>
        </row>
        <row r="5915">
          <cell r="E5915" t="str">
            <v>FN001GD101</v>
          </cell>
          <cell r="G5915">
            <v>10045284</v>
          </cell>
        </row>
        <row r="5916">
          <cell r="E5916" t="str">
            <v>HG6030K</v>
          </cell>
          <cell r="G5916">
            <v>10045285</v>
          </cell>
        </row>
        <row r="5917">
          <cell r="E5917" t="str">
            <v>DJV186Z</v>
          </cell>
          <cell r="G5917">
            <v>10044811</v>
          </cell>
        </row>
        <row r="5918">
          <cell r="E5918" t="str">
            <v>T-90009</v>
          </cell>
          <cell r="G5918">
            <v>10045292</v>
          </cell>
        </row>
        <row r="5919">
          <cell r="E5919" t="str">
            <v>T-90015</v>
          </cell>
          <cell r="G5919">
            <v>10045293</v>
          </cell>
        </row>
        <row r="5920">
          <cell r="E5920" t="str">
            <v>152233-4</v>
          </cell>
          <cell r="G5920">
            <v>10019914</v>
          </cell>
        </row>
        <row r="5921">
          <cell r="E5921" t="str">
            <v>157116-3</v>
          </cell>
          <cell r="G5921">
            <v>40011814</v>
          </cell>
        </row>
        <row r="5922">
          <cell r="E5922" t="str">
            <v>911288-6</v>
          </cell>
          <cell r="G5922">
            <v>40011815</v>
          </cell>
        </row>
        <row r="5923">
          <cell r="E5923" t="str">
            <v>911948-0</v>
          </cell>
          <cell r="G5923">
            <v>40011816</v>
          </cell>
        </row>
        <row r="5924">
          <cell r="E5924" t="str">
            <v>457122-1</v>
          </cell>
          <cell r="G5924">
            <v>40011817</v>
          </cell>
        </row>
        <row r="5925">
          <cell r="E5925" t="str">
            <v>629454-8</v>
          </cell>
          <cell r="G5925">
            <v>40011818</v>
          </cell>
        </row>
        <row r="5926">
          <cell r="E5926" t="str">
            <v>454823-2</v>
          </cell>
          <cell r="G5926">
            <v>40011819</v>
          </cell>
        </row>
        <row r="5927">
          <cell r="E5927" t="str">
            <v>619841-9</v>
          </cell>
          <cell r="G5927">
            <v>40011820</v>
          </cell>
        </row>
        <row r="5928">
          <cell r="E5928" t="str">
            <v>135283-4</v>
          </cell>
          <cell r="G5928">
            <v>40011821</v>
          </cell>
        </row>
        <row r="5929">
          <cell r="E5929" t="str">
            <v>272252-5</v>
          </cell>
          <cell r="G5929">
            <v>40011822</v>
          </cell>
        </row>
        <row r="5930">
          <cell r="E5930" t="str">
            <v>JM23100342</v>
          </cell>
          <cell r="G5930">
            <v>40011823</v>
          </cell>
        </row>
        <row r="5931">
          <cell r="E5931" t="str">
            <v>183P27-2</v>
          </cell>
          <cell r="G5931">
            <v>40011824</v>
          </cell>
        </row>
        <row r="5932">
          <cell r="E5932" t="str">
            <v>140J53-8</v>
          </cell>
          <cell r="G5932">
            <v>40011826</v>
          </cell>
        </row>
        <row r="5933">
          <cell r="E5933" t="str">
            <v>347412-9</v>
          </cell>
          <cell r="G5933">
            <v>40011827</v>
          </cell>
        </row>
        <row r="5934">
          <cell r="E5934" t="str">
            <v>227B90-2</v>
          </cell>
          <cell r="G5934">
            <v>40011882</v>
          </cell>
        </row>
        <row r="5935">
          <cell r="E5935" t="str">
            <v>418138-1</v>
          </cell>
          <cell r="G5935">
            <v>40011883</v>
          </cell>
        </row>
        <row r="5936">
          <cell r="E5936" t="str">
            <v>135509-4</v>
          </cell>
          <cell r="G5936">
            <v>40011884</v>
          </cell>
        </row>
        <row r="5937">
          <cell r="E5937" t="str">
            <v>341914-7</v>
          </cell>
          <cell r="G5937">
            <v>40011885</v>
          </cell>
        </row>
        <row r="5938">
          <cell r="E5938" t="str">
            <v>342504-9</v>
          </cell>
          <cell r="G5938">
            <v>40011886</v>
          </cell>
        </row>
        <row r="5939">
          <cell r="E5939" t="str">
            <v>136888-3</v>
          </cell>
          <cell r="G5939">
            <v>40011888</v>
          </cell>
        </row>
        <row r="5940">
          <cell r="E5940" t="str">
            <v>DPT353Z</v>
          </cell>
          <cell r="G5940">
            <v>10046399</v>
          </cell>
        </row>
        <row r="5941">
          <cell r="E5941" t="str">
            <v>DBS180Z</v>
          </cell>
          <cell r="G5941">
            <v>10046400</v>
          </cell>
        </row>
        <row r="5942">
          <cell r="E5942" t="str">
            <v>GA4593X01</v>
          </cell>
          <cell r="G5942">
            <v>10046401</v>
          </cell>
        </row>
        <row r="5943">
          <cell r="E5943" t="str">
            <v>GA4595</v>
          </cell>
          <cell r="G5943">
            <v>10046402</v>
          </cell>
        </row>
        <row r="5944">
          <cell r="E5944" t="str">
            <v>UC022GZ</v>
          </cell>
          <cell r="G5944">
            <v>10046403</v>
          </cell>
        </row>
        <row r="5945">
          <cell r="E5945" t="str">
            <v>UP100DZ</v>
          </cell>
          <cell r="G5945">
            <v>10046404</v>
          </cell>
        </row>
        <row r="5946">
          <cell r="E5946" t="str">
            <v>UV001GZ</v>
          </cell>
          <cell r="G5946">
            <v>10046405</v>
          </cell>
        </row>
        <row r="5947">
          <cell r="E5947" t="str">
            <v>VC006GMZ03</v>
          </cell>
          <cell r="G5947">
            <v>10046406</v>
          </cell>
        </row>
        <row r="5948">
          <cell r="E5948" t="str">
            <v>UC012GT101</v>
          </cell>
          <cell r="G5948">
            <v>10046407</v>
          </cell>
        </row>
        <row r="5949">
          <cell r="E5949" t="str">
            <v>UC030GZ</v>
          </cell>
          <cell r="G5949">
            <v>10046408</v>
          </cell>
        </row>
        <row r="5950">
          <cell r="E5950" t="str">
            <v>DCS552ZX</v>
          </cell>
          <cell r="G5950">
            <v>10046409</v>
          </cell>
        </row>
        <row r="5951">
          <cell r="E5951" t="str">
            <v>DF001GM201X</v>
          </cell>
          <cell r="G5951">
            <v>10046410</v>
          </cell>
        </row>
        <row r="5952">
          <cell r="E5952" t="str">
            <v>DF002GA201X</v>
          </cell>
          <cell r="G5952">
            <v>10046411</v>
          </cell>
        </row>
        <row r="5953">
          <cell r="E5953" t="str">
            <v>DF002GD201X</v>
          </cell>
          <cell r="G5953">
            <v>10046412</v>
          </cell>
        </row>
        <row r="5954">
          <cell r="E5954" t="str">
            <v>GA011GM201X</v>
          </cell>
          <cell r="G5954">
            <v>10046414</v>
          </cell>
        </row>
        <row r="5955">
          <cell r="E5955" t="str">
            <v>JR001GM201X</v>
          </cell>
          <cell r="G5955">
            <v>10046415</v>
          </cell>
        </row>
        <row r="5956">
          <cell r="E5956" t="str">
            <v>DTD156SFE</v>
          </cell>
          <cell r="G5956">
            <v>10046416</v>
          </cell>
        </row>
        <row r="5957">
          <cell r="E5957" t="str">
            <v>DTW190JX5</v>
          </cell>
          <cell r="G5957">
            <v>10046417</v>
          </cell>
        </row>
        <row r="5958">
          <cell r="E5958" t="str">
            <v>TD001GZ01</v>
          </cell>
          <cell r="G5958">
            <v>10046413</v>
          </cell>
        </row>
        <row r="5959">
          <cell r="E5959" t="str">
            <v>DF002GM201</v>
          </cell>
          <cell r="G5959">
            <v>10046418</v>
          </cell>
        </row>
        <row r="5960">
          <cell r="E5960" t="str">
            <v>DHP453X10</v>
          </cell>
          <cell r="G5960">
            <v>10046419</v>
          </cell>
        </row>
        <row r="5961">
          <cell r="E5961" t="str">
            <v>HS012GD201</v>
          </cell>
          <cell r="G5961">
            <v>10046420</v>
          </cell>
        </row>
        <row r="5962">
          <cell r="E5962" t="str">
            <v>HP002GM201</v>
          </cell>
          <cell r="G5962">
            <v>10046421</v>
          </cell>
        </row>
        <row r="5963">
          <cell r="E5963" t="str">
            <v>HP332DSME</v>
          </cell>
          <cell r="G5963">
            <v>10046422</v>
          </cell>
        </row>
        <row r="5964">
          <cell r="E5964" t="str">
            <v>1914X3-8</v>
          </cell>
          <cell r="G5964">
            <v>10046423</v>
          </cell>
        </row>
        <row r="5965">
          <cell r="E5965" t="str">
            <v>191R06-8</v>
          </cell>
          <cell r="G5965">
            <v>10046424</v>
          </cell>
        </row>
        <row r="5966">
          <cell r="E5966" t="str">
            <v>191Y69-6</v>
          </cell>
          <cell r="G5966">
            <v>10046425</v>
          </cell>
        </row>
        <row r="5967">
          <cell r="E5967" t="str">
            <v>620L79-3</v>
          </cell>
          <cell r="G5967">
            <v>40011945</v>
          </cell>
        </row>
        <row r="5968">
          <cell r="E5968" t="str">
            <v>620E44-0</v>
          </cell>
          <cell r="G5968">
            <v>40011946</v>
          </cell>
        </row>
        <row r="5969">
          <cell r="E5969" t="str">
            <v>452667-4</v>
          </cell>
          <cell r="G5969">
            <v>40011948</v>
          </cell>
        </row>
        <row r="5970">
          <cell r="E5970" t="str">
            <v>257255-0</v>
          </cell>
          <cell r="G5970">
            <v>40011949</v>
          </cell>
        </row>
        <row r="5971">
          <cell r="E5971" t="str">
            <v>321645-4</v>
          </cell>
          <cell r="G5971">
            <v>40011950</v>
          </cell>
        </row>
        <row r="5972">
          <cell r="E5972" t="str">
            <v>951163-4</v>
          </cell>
          <cell r="G5972">
            <v>40011951</v>
          </cell>
        </row>
        <row r="5973">
          <cell r="E5973" t="str">
            <v>272019-1</v>
          </cell>
          <cell r="G5973">
            <v>40011952</v>
          </cell>
        </row>
        <row r="5974">
          <cell r="E5974" t="str">
            <v>127127-2</v>
          </cell>
          <cell r="G5974">
            <v>40011953</v>
          </cell>
        </row>
        <row r="5975">
          <cell r="E5975" t="str">
            <v>AL00000236</v>
          </cell>
          <cell r="G5975">
            <v>40011961</v>
          </cell>
        </row>
        <row r="5976">
          <cell r="E5976" t="str">
            <v>632F74-5</v>
          </cell>
          <cell r="G5976">
            <v>40011956</v>
          </cell>
        </row>
        <row r="5977">
          <cell r="E5977" t="str">
            <v>143298-7</v>
          </cell>
          <cell r="G5977">
            <v>40011957</v>
          </cell>
        </row>
        <row r="5978">
          <cell r="E5978" t="str">
            <v>644802-0</v>
          </cell>
          <cell r="G5978">
            <v>40011958</v>
          </cell>
        </row>
        <row r="5979">
          <cell r="E5979" t="str">
            <v>140X63-9</v>
          </cell>
          <cell r="G5979">
            <v>40011959</v>
          </cell>
        </row>
        <row r="5980">
          <cell r="E5980" t="str">
            <v>159750-5</v>
          </cell>
          <cell r="G5980">
            <v>40011960</v>
          </cell>
        </row>
        <row r="5981">
          <cell r="E5981" t="str">
            <v>JM23210008</v>
          </cell>
          <cell r="G5981">
            <v>40011954</v>
          </cell>
        </row>
        <row r="5982">
          <cell r="E5982">
            <v>38143043</v>
          </cell>
          <cell r="G5982">
            <v>40011955</v>
          </cell>
        </row>
        <row r="5983">
          <cell r="E5983" t="str">
            <v>DG001GZ02</v>
          </cell>
          <cell r="G5983">
            <v>10048002</v>
          </cell>
        </row>
        <row r="5984">
          <cell r="E5984" t="str">
            <v>TD001GZJ</v>
          </cell>
          <cell r="G5984">
            <v>10048003</v>
          </cell>
        </row>
        <row r="5985">
          <cell r="E5985" t="str">
            <v>DHS710Z</v>
          </cell>
          <cell r="G5985">
            <v>10048004</v>
          </cell>
        </row>
        <row r="5986">
          <cell r="E5986" t="str">
            <v>191V97-3</v>
          </cell>
          <cell r="G5986">
            <v>10048005</v>
          </cell>
        </row>
        <row r="5987">
          <cell r="E5987" t="str">
            <v>B-04400</v>
          </cell>
          <cell r="G5987">
            <v>10048006</v>
          </cell>
        </row>
        <row r="5988">
          <cell r="E5988" t="str">
            <v>B-04416</v>
          </cell>
          <cell r="G5988">
            <v>10048007</v>
          </cell>
        </row>
        <row r="5989">
          <cell r="E5989" t="str">
            <v>B-04438</v>
          </cell>
          <cell r="G5989">
            <v>10048008</v>
          </cell>
        </row>
        <row r="5990">
          <cell r="E5990" t="str">
            <v>D-71093</v>
          </cell>
          <cell r="G5990">
            <v>10048009</v>
          </cell>
        </row>
        <row r="5991">
          <cell r="E5991" t="str">
            <v>D-71102</v>
          </cell>
          <cell r="G5991">
            <v>10048010</v>
          </cell>
        </row>
        <row r="5992">
          <cell r="E5992" t="str">
            <v>D-71118</v>
          </cell>
          <cell r="G5992">
            <v>10048011</v>
          </cell>
        </row>
        <row r="5993">
          <cell r="E5993" t="str">
            <v>D-71124</v>
          </cell>
          <cell r="G5993">
            <v>10048012</v>
          </cell>
        </row>
        <row r="5994">
          <cell r="E5994" t="str">
            <v>D-71146</v>
          </cell>
          <cell r="G5994">
            <v>10048013</v>
          </cell>
        </row>
        <row r="5995">
          <cell r="E5995" t="str">
            <v>D-71152</v>
          </cell>
          <cell r="G5995">
            <v>10048014</v>
          </cell>
        </row>
        <row r="5996">
          <cell r="E5996" t="str">
            <v>D-71168</v>
          </cell>
          <cell r="G5996">
            <v>10048015</v>
          </cell>
        </row>
        <row r="5997">
          <cell r="E5997" t="str">
            <v>199910-7</v>
          </cell>
          <cell r="G5997">
            <v>10048016</v>
          </cell>
        </row>
        <row r="5998">
          <cell r="E5998" t="str">
            <v>B-17120</v>
          </cell>
          <cell r="G5998">
            <v>10048024</v>
          </cell>
        </row>
        <row r="5999">
          <cell r="E5999" t="str">
            <v>B-69434</v>
          </cell>
          <cell r="G5999">
            <v>10048025</v>
          </cell>
        </row>
        <row r="6000">
          <cell r="E6000" t="str">
            <v>E-23391</v>
          </cell>
          <cell r="G6000">
            <v>10048026</v>
          </cell>
        </row>
        <row r="6001">
          <cell r="E6001" t="str">
            <v>D-26587</v>
          </cell>
          <cell r="G6001">
            <v>10048027</v>
          </cell>
        </row>
        <row r="6002">
          <cell r="E6002" t="str">
            <v>632R68-2</v>
          </cell>
          <cell r="G6002">
            <v>40012027</v>
          </cell>
        </row>
        <row r="6003">
          <cell r="E6003" t="str">
            <v>516514-4</v>
          </cell>
          <cell r="G6003">
            <v>40012029</v>
          </cell>
        </row>
        <row r="6004">
          <cell r="E6004" t="str">
            <v>515864-4</v>
          </cell>
          <cell r="G6004">
            <v>40012030</v>
          </cell>
        </row>
        <row r="6005">
          <cell r="E6005" t="str">
            <v>319565-4</v>
          </cell>
          <cell r="G6005">
            <v>40012031</v>
          </cell>
        </row>
        <row r="6006">
          <cell r="E6006" t="str">
            <v>521364-4</v>
          </cell>
          <cell r="G6006">
            <v>40012036</v>
          </cell>
        </row>
        <row r="6007">
          <cell r="E6007" t="str">
            <v>140648-7</v>
          </cell>
          <cell r="G6007">
            <v>40012032</v>
          </cell>
        </row>
        <row r="6008">
          <cell r="E6008" t="str">
            <v>344377-6</v>
          </cell>
          <cell r="G6008">
            <v>40012033</v>
          </cell>
        </row>
        <row r="6009">
          <cell r="E6009">
            <v>3640630</v>
          </cell>
          <cell r="G6009">
            <v>40012035</v>
          </cell>
        </row>
        <row r="6010">
          <cell r="E6010" t="str">
            <v>651232-8</v>
          </cell>
          <cell r="G6010">
            <v>40012028</v>
          </cell>
        </row>
        <row r="6011">
          <cell r="E6011" t="str">
            <v>629D46-7</v>
          </cell>
          <cell r="G6011">
            <v>40012034</v>
          </cell>
        </row>
        <row r="6012">
          <cell r="E6012" t="str">
            <v>E-07294</v>
          </cell>
          <cell r="G6012">
            <v>10048017</v>
          </cell>
        </row>
        <row r="6013">
          <cell r="E6013" t="str">
            <v>E-07303</v>
          </cell>
          <cell r="G6013">
            <v>10048018</v>
          </cell>
        </row>
        <row r="6014">
          <cell r="E6014" t="str">
            <v>E-07319</v>
          </cell>
          <cell r="G6014">
            <v>10048019</v>
          </cell>
        </row>
        <row r="6015">
          <cell r="E6015" t="str">
            <v>E-07630</v>
          </cell>
          <cell r="G6015">
            <v>10048020</v>
          </cell>
        </row>
        <row r="6016">
          <cell r="E6016" t="str">
            <v>E-07646</v>
          </cell>
          <cell r="G6016">
            <v>10048021</v>
          </cell>
        </row>
        <row r="6017">
          <cell r="E6017" t="str">
            <v>E-07652</v>
          </cell>
          <cell r="G6017">
            <v>10048022</v>
          </cell>
        </row>
        <row r="6018">
          <cell r="E6018" t="str">
            <v>I99618</v>
          </cell>
          <cell r="G6018">
            <v>10048023</v>
          </cell>
        </row>
        <row r="6019">
          <cell r="E6019" t="str">
            <v>DJR188Z</v>
          </cell>
          <cell r="G6019">
            <v>10048671</v>
          </cell>
        </row>
        <row r="6020">
          <cell r="E6020" t="str">
            <v>DUH606Z</v>
          </cell>
          <cell r="G6020">
            <v>10048672</v>
          </cell>
        </row>
        <row r="6021">
          <cell r="E6021" t="str">
            <v>M8103KX2BX</v>
          </cell>
          <cell r="G6021">
            <v>10048673</v>
          </cell>
        </row>
        <row r="6022">
          <cell r="E6022" t="str">
            <v>ADP001G</v>
          </cell>
          <cell r="G6022">
            <v>10048674</v>
          </cell>
        </row>
        <row r="6023">
          <cell r="E6023" t="str">
            <v>E-14831</v>
          </cell>
          <cell r="G6023">
            <v>10048675</v>
          </cell>
        </row>
        <row r="6024">
          <cell r="E6024" t="str">
            <v>191U20-2</v>
          </cell>
          <cell r="G6024">
            <v>10048676</v>
          </cell>
        </row>
        <row r="6025">
          <cell r="E6025" t="str">
            <v>D-81103</v>
          </cell>
          <cell r="G6025">
            <v>10048677</v>
          </cell>
        </row>
        <row r="6026">
          <cell r="E6026" t="str">
            <v>D-81789</v>
          </cell>
          <cell r="G6026">
            <v>10048678</v>
          </cell>
        </row>
        <row r="6027">
          <cell r="E6027" t="str">
            <v>144661-7</v>
          </cell>
          <cell r="G6027">
            <v>40012061</v>
          </cell>
        </row>
        <row r="6028">
          <cell r="E6028" t="str">
            <v>JM23100099</v>
          </cell>
          <cell r="G6028">
            <v>40012062</v>
          </cell>
        </row>
        <row r="6029">
          <cell r="E6029" t="str">
            <v>JM23200120</v>
          </cell>
          <cell r="G6029">
            <v>40012063</v>
          </cell>
        </row>
        <row r="6030">
          <cell r="E6030" t="str">
            <v>JM23100177</v>
          </cell>
          <cell r="G6030">
            <v>40012064</v>
          </cell>
        </row>
        <row r="6031">
          <cell r="E6031" t="str">
            <v>JM23100098</v>
          </cell>
          <cell r="G6031">
            <v>40012065</v>
          </cell>
        </row>
        <row r="6032">
          <cell r="E6032" t="str">
            <v>324690-8</v>
          </cell>
          <cell r="G6032">
            <v>40012066</v>
          </cell>
        </row>
        <row r="6033">
          <cell r="E6033" t="str">
            <v>253308-3</v>
          </cell>
          <cell r="G6033">
            <v>40012067</v>
          </cell>
        </row>
        <row r="6034">
          <cell r="E6034" t="str">
            <v>234147-0</v>
          </cell>
          <cell r="G6034">
            <v>40012068</v>
          </cell>
        </row>
        <row r="6035">
          <cell r="E6035" t="str">
            <v>141868-6</v>
          </cell>
          <cell r="G6035">
            <v>40012069</v>
          </cell>
        </row>
        <row r="6036">
          <cell r="E6036" t="str">
            <v>267112-4</v>
          </cell>
          <cell r="G6036">
            <v>40012070</v>
          </cell>
        </row>
        <row r="6037">
          <cell r="E6037" t="str">
            <v>631832-0</v>
          </cell>
          <cell r="G6037">
            <v>40012071</v>
          </cell>
        </row>
        <row r="6038">
          <cell r="E6038" t="str">
            <v>140L27-1</v>
          </cell>
          <cell r="G6038">
            <v>40012072</v>
          </cell>
        </row>
        <row r="6039">
          <cell r="E6039" t="str">
            <v>511A03-0</v>
          </cell>
          <cell r="G6039">
            <v>40012073</v>
          </cell>
        </row>
        <row r="6040">
          <cell r="E6040" t="str">
            <v>654502-4</v>
          </cell>
          <cell r="G6040">
            <v>40012074</v>
          </cell>
        </row>
        <row r="6041">
          <cell r="E6041" t="str">
            <v>140049-9</v>
          </cell>
        </row>
        <row r="6042">
          <cell r="E6042" t="str">
            <v>140083-9</v>
          </cell>
        </row>
        <row r="6043">
          <cell r="E6043" t="str">
            <v>140164-9</v>
          </cell>
        </row>
        <row r="6044">
          <cell r="E6044" t="str">
            <v>140G83-1</v>
          </cell>
        </row>
        <row r="6045">
          <cell r="E6045" t="str">
            <v>142341-9</v>
          </cell>
        </row>
        <row r="6046">
          <cell r="E6046" t="str">
            <v>227495-4</v>
          </cell>
        </row>
        <row r="6047">
          <cell r="E6047" t="str">
            <v>233372-0</v>
          </cell>
        </row>
        <row r="6048">
          <cell r="E6048" t="str">
            <v>265995-6</v>
          </cell>
        </row>
        <row r="6049">
          <cell r="E6049" t="str">
            <v>319393-7</v>
          </cell>
        </row>
        <row r="6050">
          <cell r="E6050" t="str">
            <v>324322-7</v>
          </cell>
        </row>
        <row r="6051">
          <cell r="E6051" t="str">
            <v>415999-0</v>
          </cell>
        </row>
        <row r="6052">
          <cell r="E6052" t="str">
            <v>416356-5</v>
          </cell>
        </row>
        <row r="6053">
          <cell r="E6053" t="str">
            <v>451003-1</v>
          </cell>
        </row>
        <row r="6054">
          <cell r="E6054" t="str">
            <v>451194-8</v>
          </cell>
        </row>
        <row r="6055">
          <cell r="E6055" t="str">
            <v>643716-0</v>
          </cell>
        </row>
        <row r="6056">
          <cell r="E6056" t="str">
            <v>JM23100102</v>
          </cell>
        </row>
        <row r="6057">
          <cell r="E6057" t="str">
            <v>JM23100103</v>
          </cell>
        </row>
        <row r="6058">
          <cell r="E6058" t="str">
            <v>254038-9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ARCH"/>
      <sheetName val="So R"/>
      <sheetName val="HOME"/>
      <sheetName val="service "/>
      <sheetName val="Sheet1"/>
    </sheetNames>
    <sheetDataSet>
      <sheetData sheetId="0" refreshError="1"/>
      <sheetData sheetId="1" refreshError="1">
        <row r="1">
          <cell r="B1" t="str">
            <v>NEW ARTICLE</v>
          </cell>
          <cell r="C1" t="str">
            <v>PartNo</v>
          </cell>
          <cell r="D1" t="str">
            <v>Zone</v>
          </cell>
        </row>
        <row r="2">
          <cell r="B2">
            <v>40007431</v>
          </cell>
          <cell r="C2" t="str">
            <v>514609-7</v>
          </cell>
          <cell r="D2">
            <v>1</v>
          </cell>
        </row>
        <row r="3">
          <cell r="B3">
            <v>40010774</v>
          </cell>
          <cell r="C3" t="str">
            <v>513909-2</v>
          </cell>
          <cell r="D3">
            <v>1</v>
          </cell>
        </row>
        <row r="4">
          <cell r="B4">
            <v>40007741</v>
          </cell>
          <cell r="C4" t="str">
            <v>JM27000309</v>
          </cell>
          <cell r="D4">
            <v>2</v>
          </cell>
        </row>
        <row r="5">
          <cell r="B5">
            <v>40007475</v>
          </cell>
          <cell r="C5" t="str">
            <v>JM23000100</v>
          </cell>
          <cell r="D5">
            <v>2</v>
          </cell>
        </row>
        <row r="6">
          <cell r="B6">
            <v>40006332</v>
          </cell>
          <cell r="C6" t="str">
            <v>510084-5</v>
          </cell>
          <cell r="D6">
            <v>3</v>
          </cell>
        </row>
        <row r="7">
          <cell r="B7">
            <v>40007746</v>
          </cell>
          <cell r="C7" t="str">
            <v>510050-2</v>
          </cell>
          <cell r="D7">
            <v>3</v>
          </cell>
        </row>
        <row r="8">
          <cell r="B8">
            <v>40007449</v>
          </cell>
          <cell r="C8" t="str">
            <v>516084-3</v>
          </cell>
          <cell r="D8">
            <v>4</v>
          </cell>
        </row>
        <row r="9">
          <cell r="B9">
            <v>40005830</v>
          </cell>
          <cell r="C9" t="str">
            <v>517804-8</v>
          </cell>
          <cell r="D9">
            <v>4</v>
          </cell>
        </row>
        <row r="10">
          <cell r="B10">
            <v>40007459</v>
          </cell>
          <cell r="C10" t="str">
            <v>516274-8</v>
          </cell>
          <cell r="D10" t="str">
            <v>5(S-2)</v>
          </cell>
        </row>
        <row r="11">
          <cell r="B11">
            <v>40007073</v>
          </cell>
          <cell r="C11" t="str">
            <v>516308-7</v>
          </cell>
          <cell r="D11">
            <v>5</v>
          </cell>
        </row>
        <row r="12">
          <cell r="B12">
            <v>40007471</v>
          </cell>
          <cell r="C12" t="str">
            <v>516922-9</v>
          </cell>
          <cell r="D12">
            <v>5</v>
          </cell>
        </row>
        <row r="13">
          <cell r="B13">
            <v>40007472</v>
          </cell>
          <cell r="C13" t="str">
            <v>513549-6</v>
          </cell>
          <cell r="D13">
            <v>6</v>
          </cell>
        </row>
        <row r="14">
          <cell r="B14">
            <v>40007425</v>
          </cell>
          <cell r="C14" t="str">
            <v>514884-5</v>
          </cell>
          <cell r="D14">
            <v>6</v>
          </cell>
        </row>
        <row r="15">
          <cell r="B15">
            <v>40008075</v>
          </cell>
          <cell r="C15" t="str">
            <v>510167-1</v>
          </cell>
          <cell r="D15">
            <v>7</v>
          </cell>
        </row>
        <row r="16">
          <cell r="B16">
            <v>40006131</v>
          </cell>
          <cell r="C16" t="str">
            <v>515223-2</v>
          </cell>
          <cell r="D16">
            <v>8</v>
          </cell>
        </row>
        <row r="17">
          <cell r="B17">
            <v>40005666</v>
          </cell>
          <cell r="C17" t="str">
            <v>517829-2</v>
          </cell>
          <cell r="D17">
            <v>8</v>
          </cell>
        </row>
        <row r="18">
          <cell r="B18">
            <v>40006732</v>
          </cell>
          <cell r="C18" t="str">
            <v>516574-6</v>
          </cell>
          <cell r="D18">
            <v>9</v>
          </cell>
        </row>
        <row r="19">
          <cell r="B19">
            <v>40007168</v>
          </cell>
          <cell r="C19" t="str">
            <v>512167-7</v>
          </cell>
          <cell r="D19">
            <v>9</v>
          </cell>
        </row>
        <row r="20">
          <cell r="B20">
            <v>40005927</v>
          </cell>
          <cell r="C20" t="str">
            <v>510377-0</v>
          </cell>
          <cell r="D20">
            <v>10</v>
          </cell>
        </row>
        <row r="21">
          <cell r="B21">
            <v>40007496</v>
          </cell>
          <cell r="C21" t="str">
            <v>510060-9</v>
          </cell>
          <cell r="D21">
            <v>10</v>
          </cell>
        </row>
        <row r="22">
          <cell r="B22">
            <v>40010954</v>
          </cell>
          <cell r="C22" t="str">
            <v>513469-4</v>
          </cell>
          <cell r="D22">
            <v>11</v>
          </cell>
        </row>
        <row r="23">
          <cell r="B23">
            <v>40007150</v>
          </cell>
          <cell r="C23" t="str">
            <v>JM23200001</v>
          </cell>
          <cell r="D23">
            <v>11</v>
          </cell>
        </row>
        <row r="24">
          <cell r="B24">
            <v>40007491</v>
          </cell>
          <cell r="C24" t="str">
            <v>516974-0</v>
          </cell>
          <cell r="D24">
            <v>12</v>
          </cell>
        </row>
        <row r="25">
          <cell r="B25">
            <v>40006500</v>
          </cell>
          <cell r="C25" t="str">
            <v>519268-2</v>
          </cell>
          <cell r="D25">
            <v>12</v>
          </cell>
        </row>
        <row r="26">
          <cell r="B26">
            <v>10019292</v>
          </cell>
          <cell r="C26" t="str">
            <v>513633-7</v>
          </cell>
          <cell r="D26">
            <v>13</v>
          </cell>
        </row>
        <row r="27">
          <cell r="B27">
            <v>40007484</v>
          </cell>
          <cell r="C27" t="str">
            <v>517754-7</v>
          </cell>
          <cell r="D27">
            <v>13</v>
          </cell>
        </row>
        <row r="28">
          <cell r="B28">
            <v>40007500</v>
          </cell>
          <cell r="C28" t="str">
            <v>516764-1</v>
          </cell>
          <cell r="D28">
            <v>14</v>
          </cell>
        </row>
        <row r="29">
          <cell r="B29">
            <v>40005327</v>
          </cell>
          <cell r="C29" t="str">
            <v>517979-3</v>
          </cell>
          <cell r="D29">
            <v>14</v>
          </cell>
        </row>
        <row r="30">
          <cell r="B30">
            <v>40005824</v>
          </cell>
          <cell r="C30" t="str">
            <v>593969-0</v>
          </cell>
          <cell r="D30">
            <v>15</v>
          </cell>
        </row>
        <row r="31">
          <cell r="B31">
            <v>40007478</v>
          </cell>
          <cell r="C31" t="str">
            <v>517439-5</v>
          </cell>
          <cell r="D31">
            <v>15</v>
          </cell>
        </row>
        <row r="32">
          <cell r="B32">
            <v>40006992</v>
          </cell>
          <cell r="C32" t="str">
            <v>517864-0</v>
          </cell>
          <cell r="D32">
            <v>16</v>
          </cell>
        </row>
        <row r="33">
          <cell r="B33">
            <v>40007599</v>
          </cell>
          <cell r="C33" t="str">
            <v>515634-1</v>
          </cell>
          <cell r="D33">
            <v>16</v>
          </cell>
        </row>
        <row r="34">
          <cell r="B34">
            <v>40005823</v>
          </cell>
          <cell r="C34" t="str">
            <v>513874-5</v>
          </cell>
          <cell r="D34">
            <v>17</v>
          </cell>
        </row>
        <row r="35">
          <cell r="B35">
            <v>40007458</v>
          </cell>
          <cell r="C35" t="str">
            <v>516279-8</v>
          </cell>
          <cell r="D35">
            <v>17</v>
          </cell>
        </row>
        <row r="36">
          <cell r="B36">
            <v>40006897</v>
          </cell>
          <cell r="C36" t="str">
            <v>513784-6</v>
          </cell>
          <cell r="D36">
            <v>18</v>
          </cell>
        </row>
        <row r="37">
          <cell r="B37">
            <v>40007454</v>
          </cell>
          <cell r="C37" t="str">
            <v>516149-1</v>
          </cell>
          <cell r="D37">
            <v>18</v>
          </cell>
        </row>
        <row r="38">
          <cell r="B38">
            <v>40006756</v>
          </cell>
          <cell r="C38" t="str">
            <v>513779-9</v>
          </cell>
          <cell r="D38">
            <v>19</v>
          </cell>
        </row>
        <row r="39">
          <cell r="B39">
            <v>40008243</v>
          </cell>
          <cell r="C39" t="str">
            <v>513704-0</v>
          </cell>
          <cell r="D39" t="str">
            <v>19(S-2)</v>
          </cell>
        </row>
        <row r="40">
          <cell r="B40">
            <v>40005713</v>
          </cell>
          <cell r="C40" t="str">
            <v>516868-9</v>
          </cell>
          <cell r="D40">
            <v>20</v>
          </cell>
        </row>
        <row r="41">
          <cell r="B41">
            <v>40005600</v>
          </cell>
          <cell r="C41" t="str">
            <v>513713-9</v>
          </cell>
          <cell r="D41">
            <v>20</v>
          </cell>
        </row>
        <row r="42">
          <cell r="B42">
            <v>40005414</v>
          </cell>
          <cell r="C42" t="str">
            <v>513479-1</v>
          </cell>
          <cell r="D42">
            <v>21</v>
          </cell>
        </row>
        <row r="43">
          <cell r="B43">
            <v>40007753</v>
          </cell>
          <cell r="C43" t="str">
            <v>516884-1</v>
          </cell>
          <cell r="D43">
            <v>21</v>
          </cell>
        </row>
        <row r="44">
          <cell r="B44">
            <v>40007742</v>
          </cell>
          <cell r="C44" t="str">
            <v>516719-6</v>
          </cell>
          <cell r="D44">
            <v>22</v>
          </cell>
        </row>
        <row r="45">
          <cell r="B45">
            <v>40005832</v>
          </cell>
          <cell r="C45" t="str">
            <v>518186-1</v>
          </cell>
          <cell r="D45" t="str">
            <v>22(A23)</v>
          </cell>
        </row>
        <row r="46">
          <cell r="B46">
            <v>40005367</v>
          </cell>
          <cell r="C46" t="str">
            <v>135794-9</v>
          </cell>
          <cell r="D46">
            <v>23</v>
          </cell>
        </row>
        <row r="47">
          <cell r="B47">
            <v>40007750</v>
          </cell>
          <cell r="C47" t="str">
            <v>516909-1</v>
          </cell>
          <cell r="D47">
            <v>23</v>
          </cell>
        </row>
        <row r="48">
          <cell r="B48">
            <v>40007446</v>
          </cell>
          <cell r="C48" t="str">
            <v>514859-4</v>
          </cell>
          <cell r="D48">
            <v>24</v>
          </cell>
        </row>
        <row r="49">
          <cell r="B49">
            <v>40005265</v>
          </cell>
          <cell r="C49" t="str">
            <v>515434-9</v>
          </cell>
          <cell r="D49">
            <v>24</v>
          </cell>
        </row>
        <row r="50">
          <cell r="B50">
            <v>40006498</v>
          </cell>
          <cell r="C50" t="str">
            <v>513494-5</v>
          </cell>
          <cell r="D50">
            <v>25</v>
          </cell>
        </row>
        <row r="51">
          <cell r="B51">
            <v>40003881</v>
          </cell>
          <cell r="C51" t="str">
            <v>596264-7</v>
          </cell>
          <cell r="D51" t="str">
            <v>25(S-2)</v>
          </cell>
        </row>
        <row r="52">
          <cell r="B52">
            <v>40007784</v>
          </cell>
          <cell r="C52" t="str">
            <v>596249-3</v>
          </cell>
          <cell r="D52">
            <v>26</v>
          </cell>
        </row>
        <row r="53">
          <cell r="B53">
            <v>40007517</v>
          </cell>
          <cell r="C53" t="str">
            <v>513699-7</v>
          </cell>
          <cell r="D53">
            <v>26</v>
          </cell>
        </row>
        <row r="54">
          <cell r="B54">
            <v>40007450</v>
          </cell>
          <cell r="C54" t="str">
            <v>510009-9</v>
          </cell>
          <cell r="D54">
            <v>27</v>
          </cell>
        </row>
        <row r="55">
          <cell r="B55">
            <v>40005271</v>
          </cell>
          <cell r="C55" t="str">
            <v>515423-4</v>
          </cell>
          <cell r="D55">
            <v>27</v>
          </cell>
        </row>
        <row r="56">
          <cell r="B56">
            <v>40005275</v>
          </cell>
          <cell r="C56" t="str">
            <v>513578-9</v>
          </cell>
          <cell r="D56">
            <v>27</v>
          </cell>
        </row>
        <row r="57">
          <cell r="B57">
            <v>40007064</v>
          </cell>
          <cell r="C57" t="str">
            <v>156592-8</v>
          </cell>
          <cell r="D57">
            <v>28</v>
          </cell>
        </row>
        <row r="58">
          <cell r="B58">
            <v>40006713</v>
          </cell>
          <cell r="C58" t="str">
            <v>161328-2</v>
          </cell>
          <cell r="D58">
            <v>28</v>
          </cell>
        </row>
        <row r="59">
          <cell r="B59">
            <v>40005194</v>
          </cell>
          <cell r="C59" t="str">
            <v>513449-0</v>
          </cell>
          <cell r="D59">
            <v>28</v>
          </cell>
        </row>
        <row r="60">
          <cell r="B60">
            <v>40005957</v>
          </cell>
          <cell r="C60" t="str">
            <v>515364-4</v>
          </cell>
          <cell r="D60">
            <v>29</v>
          </cell>
        </row>
        <row r="61">
          <cell r="B61">
            <v>40007320</v>
          </cell>
          <cell r="C61" t="str">
            <v>517838-1</v>
          </cell>
          <cell r="D61">
            <v>29</v>
          </cell>
        </row>
        <row r="62">
          <cell r="B62">
            <v>10018528</v>
          </cell>
          <cell r="C62" t="str">
            <v>515208-8</v>
          </cell>
          <cell r="D62" t="str">
            <v>30(S-2)</v>
          </cell>
        </row>
        <row r="63">
          <cell r="B63">
            <v>40007473</v>
          </cell>
          <cell r="C63" t="str">
            <v>517764-4</v>
          </cell>
          <cell r="D63" t="str">
            <v>30(S-1)</v>
          </cell>
        </row>
        <row r="64">
          <cell r="B64">
            <v>40007442</v>
          </cell>
          <cell r="C64" t="str">
            <v>514714-0</v>
          </cell>
          <cell r="D64">
            <v>31</v>
          </cell>
        </row>
        <row r="65">
          <cell r="B65">
            <v>40007175</v>
          </cell>
          <cell r="C65" t="str">
            <v>517824-2</v>
          </cell>
          <cell r="D65">
            <v>31</v>
          </cell>
        </row>
        <row r="66">
          <cell r="B66">
            <v>40006054</v>
          </cell>
          <cell r="C66" t="str">
            <v>513809-6</v>
          </cell>
          <cell r="D66">
            <v>32</v>
          </cell>
        </row>
        <row r="67">
          <cell r="B67">
            <v>40007176</v>
          </cell>
          <cell r="C67" t="str">
            <v>517774-1</v>
          </cell>
          <cell r="D67">
            <v>32</v>
          </cell>
        </row>
        <row r="68">
          <cell r="B68">
            <v>40007819</v>
          </cell>
          <cell r="C68" t="str">
            <v>616969-4</v>
          </cell>
          <cell r="D68">
            <v>33</v>
          </cell>
        </row>
        <row r="69">
          <cell r="B69">
            <v>40010225</v>
          </cell>
          <cell r="C69" t="str">
            <v>516739-0</v>
          </cell>
          <cell r="D69">
            <v>33</v>
          </cell>
        </row>
        <row r="70">
          <cell r="B70">
            <v>40010587</v>
          </cell>
          <cell r="C70" t="str">
            <v>JM27000302</v>
          </cell>
          <cell r="D70">
            <v>34</v>
          </cell>
        </row>
        <row r="71">
          <cell r="B71">
            <v>40005448</v>
          </cell>
          <cell r="C71" t="str">
            <v>513893-1</v>
          </cell>
          <cell r="D71">
            <v>34</v>
          </cell>
        </row>
        <row r="72">
          <cell r="B72">
            <v>40005383</v>
          </cell>
          <cell r="C72" t="str">
            <v>513459-7</v>
          </cell>
          <cell r="D72">
            <v>34</v>
          </cell>
        </row>
        <row r="73">
          <cell r="B73">
            <v>40007084</v>
          </cell>
          <cell r="C73" t="str">
            <v>182305-1</v>
          </cell>
          <cell r="D73">
            <v>35</v>
          </cell>
        </row>
        <row r="74">
          <cell r="B74">
            <v>40007866</v>
          </cell>
          <cell r="C74" t="str">
            <v>623528-7</v>
          </cell>
          <cell r="D74">
            <v>36</v>
          </cell>
        </row>
        <row r="75">
          <cell r="B75">
            <v>40005642</v>
          </cell>
          <cell r="C75" t="str">
            <v>515844-0</v>
          </cell>
          <cell r="D75">
            <v>36</v>
          </cell>
        </row>
        <row r="76">
          <cell r="B76">
            <v>40005700</v>
          </cell>
          <cell r="C76" t="str">
            <v>513888-4</v>
          </cell>
          <cell r="D76">
            <v>37</v>
          </cell>
        </row>
        <row r="77">
          <cell r="B77">
            <v>40010362</v>
          </cell>
          <cell r="C77" t="str">
            <v>517904-4</v>
          </cell>
          <cell r="D77">
            <v>37</v>
          </cell>
        </row>
        <row r="78">
          <cell r="B78">
            <v>10040633</v>
          </cell>
          <cell r="C78" t="str">
            <v>191C17-3</v>
          </cell>
          <cell r="D78" t="str">
            <v>65 (3)</v>
          </cell>
        </row>
        <row r="79">
          <cell r="B79">
            <v>40008242</v>
          </cell>
          <cell r="C79" t="str">
            <v>515619-7</v>
          </cell>
          <cell r="D79" t="str">
            <v>A1(S-2)</v>
          </cell>
        </row>
        <row r="80">
          <cell r="B80">
            <v>40006836</v>
          </cell>
          <cell r="C80" t="str">
            <v>516433-4</v>
          </cell>
          <cell r="D80" t="str">
            <v>A10</v>
          </cell>
        </row>
        <row r="81">
          <cell r="B81">
            <v>40007325</v>
          </cell>
          <cell r="C81" t="str">
            <v>629817-8</v>
          </cell>
          <cell r="D81" t="str">
            <v>A10</v>
          </cell>
        </row>
        <row r="82">
          <cell r="B82">
            <v>40007759</v>
          </cell>
          <cell r="C82" t="str">
            <v>524077-6</v>
          </cell>
          <cell r="D82" t="str">
            <v>A11</v>
          </cell>
        </row>
        <row r="83">
          <cell r="B83">
            <v>40007443</v>
          </cell>
          <cell r="C83" t="str">
            <v>516219-6</v>
          </cell>
          <cell r="D83" t="str">
            <v>A12</v>
          </cell>
        </row>
        <row r="84">
          <cell r="B84">
            <v>40005254</v>
          </cell>
          <cell r="C84" t="str">
            <v>122C95-2</v>
          </cell>
          <cell r="D84" t="str">
            <v>A12</v>
          </cell>
        </row>
        <row r="85">
          <cell r="B85">
            <v>40007814</v>
          </cell>
          <cell r="C85" t="str">
            <v>593703-8</v>
          </cell>
          <cell r="D85" t="str">
            <v>A13</v>
          </cell>
        </row>
        <row r="86">
          <cell r="B86">
            <v>40005328</v>
          </cell>
          <cell r="C86" t="str">
            <v>626574-9</v>
          </cell>
          <cell r="D86" t="str">
            <v>A13</v>
          </cell>
        </row>
        <row r="87">
          <cell r="B87">
            <v>40007457</v>
          </cell>
          <cell r="C87" t="str">
            <v>517303-0</v>
          </cell>
          <cell r="D87" t="str">
            <v>A14</v>
          </cell>
        </row>
        <row r="88">
          <cell r="B88">
            <v>40007435</v>
          </cell>
          <cell r="C88" t="str">
            <v>512614-8</v>
          </cell>
          <cell r="D88" t="str">
            <v>A14</v>
          </cell>
        </row>
        <row r="89">
          <cell r="B89">
            <v>40005599</v>
          </cell>
          <cell r="C89" t="str">
            <v>593869-4</v>
          </cell>
          <cell r="D89" t="str">
            <v>A15</v>
          </cell>
        </row>
        <row r="90">
          <cell r="B90">
            <v>40007452</v>
          </cell>
          <cell r="C90" t="str">
            <v>511959-1</v>
          </cell>
          <cell r="D90" t="str">
            <v>A16</v>
          </cell>
        </row>
        <row r="91">
          <cell r="B91">
            <v>40007793</v>
          </cell>
          <cell r="C91" t="str">
            <v>596158-6</v>
          </cell>
          <cell r="D91" t="str">
            <v>A17</v>
          </cell>
        </row>
        <row r="92">
          <cell r="B92">
            <v>40011918</v>
          </cell>
          <cell r="C92" t="str">
            <v>634864-6</v>
          </cell>
          <cell r="D92" t="str">
            <v>A17</v>
          </cell>
        </row>
        <row r="93">
          <cell r="B93">
            <v>40007748</v>
          </cell>
          <cell r="C93" t="str">
            <v>517464-6</v>
          </cell>
          <cell r="D93" t="str">
            <v>A18</v>
          </cell>
        </row>
        <row r="94">
          <cell r="B94">
            <v>40007453</v>
          </cell>
          <cell r="C94" t="str">
            <v>517099-3</v>
          </cell>
          <cell r="D94" t="str">
            <v>A18</v>
          </cell>
        </row>
        <row r="95">
          <cell r="B95">
            <v>40006986</v>
          </cell>
          <cell r="C95" t="str">
            <v>515869-4</v>
          </cell>
          <cell r="D95" t="str">
            <v>A19</v>
          </cell>
        </row>
        <row r="96">
          <cell r="B96">
            <v>40006875</v>
          </cell>
          <cell r="C96" t="str">
            <v>638107-8</v>
          </cell>
          <cell r="D96" t="str">
            <v>A19</v>
          </cell>
        </row>
        <row r="97">
          <cell r="B97">
            <v>40006092</v>
          </cell>
          <cell r="C97" t="str">
            <v>510255-4</v>
          </cell>
          <cell r="D97" t="str">
            <v>A2</v>
          </cell>
        </row>
        <row r="98">
          <cell r="B98">
            <v>40007180</v>
          </cell>
          <cell r="C98" t="str">
            <v>526179-4</v>
          </cell>
          <cell r="D98" t="str">
            <v>A20</v>
          </cell>
        </row>
        <row r="99">
          <cell r="B99">
            <v>40010778</v>
          </cell>
          <cell r="C99" t="str">
            <v>127355-9</v>
          </cell>
          <cell r="D99" t="str">
            <v>A20</v>
          </cell>
        </row>
        <row r="100">
          <cell r="B100">
            <v>40005667</v>
          </cell>
          <cell r="C100" t="str">
            <v>526193-0</v>
          </cell>
          <cell r="D100" t="str">
            <v>A21</v>
          </cell>
        </row>
        <row r="101">
          <cell r="B101">
            <v>40007669</v>
          </cell>
          <cell r="C101">
            <v>21180210</v>
          </cell>
          <cell r="D101" t="str">
            <v>A22</v>
          </cell>
        </row>
        <row r="102">
          <cell r="B102">
            <v>40006196</v>
          </cell>
          <cell r="C102" t="str">
            <v>599089-8</v>
          </cell>
          <cell r="D102" t="str">
            <v>A22(A23)</v>
          </cell>
        </row>
        <row r="103">
          <cell r="B103">
            <v>40006449</v>
          </cell>
          <cell r="C103" t="str">
            <v>619290-0</v>
          </cell>
          <cell r="D103" t="str">
            <v>A23</v>
          </cell>
        </row>
        <row r="104">
          <cell r="B104">
            <v>40006246</v>
          </cell>
          <cell r="C104" t="str">
            <v>619202-3</v>
          </cell>
          <cell r="D104" t="str">
            <v>A24</v>
          </cell>
        </row>
        <row r="105">
          <cell r="B105">
            <v>40006379</v>
          </cell>
          <cell r="C105" t="str">
            <v>156436-2</v>
          </cell>
          <cell r="D105" t="str">
            <v>A24</v>
          </cell>
        </row>
        <row r="106">
          <cell r="B106">
            <v>40005484</v>
          </cell>
          <cell r="C106" t="str">
            <v>419704-7</v>
          </cell>
          <cell r="D106" t="str">
            <v>A24</v>
          </cell>
        </row>
        <row r="107">
          <cell r="B107">
            <v>40006551</v>
          </cell>
          <cell r="C107" t="str">
            <v>140W56-0</v>
          </cell>
          <cell r="D107" t="str">
            <v>A24</v>
          </cell>
        </row>
        <row r="108">
          <cell r="B108">
            <v>40005449</v>
          </cell>
          <cell r="C108" t="str">
            <v>347641-4</v>
          </cell>
          <cell r="D108" t="str">
            <v>A24</v>
          </cell>
        </row>
        <row r="109">
          <cell r="B109">
            <v>40007817</v>
          </cell>
          <cell r="C109" t="str">
            <v>526609-5</v>
          </cell>
          <cell r="D109" t="str">
            <v>A25</v>
          </cell>
        </row>
        <row r="110">
          <cell r="B110">
            <v>40008027</v>
          </cell>
          <cell r="C110" t="str">
            <v>633688-7</v>
          </cell>
          <cell r="D110" t="str">
            <v>A26</v>
          </cell>
        </row>
        <row r="111">
          <cell r="B111">
            <v>40005551</v>
          </cell>
          <cell r="C111" t="str">
            <v>619331-2</v>
          </cell>
          <cell r="D111" t="str">
            <v>A26</v>
          </cell>
        </row>
        <row r="112">
          <cell r="B112">
            <v>40006583</v>
          </cell>
          <cell r="C112" t="str">
            <v>142783-7</v>
          </cell>
          <cell r="D112" t="str">
            <v>A27</v>
          </cell>
        </row>
        <row r="113">
          <cell r="B113">
            <v>10018525</v>
          </cell>
          <cell r="C113" t="str">
            <v>123245-4</v>
          </cell>
          <cell r="D113" t="str">
            <v>A27</v>
          </cell>
        </row>
        <row r="114">
          <cell r="B114">
            <v>40007560</v>
          </cell>
          <cell r="C114" t="str">
            <v>132025-7</v>
          </cell>
          <cell r="D114" t="str">
            <v>A27</v>
          </cell>
        </row>
        <row r="115">
          <cell r="B115">
            <v>40008144</v>
          </cell>
          <cell r="C115" t="str">
            <v>599536-9</v>
          </cell>
          <cell r="D115" t="str">
            <v>A28</v>
          </cell>
        </row>
        <row r="116">
          <cell r="B116">
            <v>40006155</v>
          </cell>
          <cell r="C116" t="str">
            <v>650716-3</v>
          </cell>
          <cell r="D116" t="str">
            <v>A28</v>
          </cell>
        </row>
        <row r="117">
          <cell r="B117">
            <v>40007983</v>
          </cell>
          <cell r="C117" t="str">
            <v>629924-7</v>
          </cell>
          <cell r="D117" t="str">
            <v>A29</v>
          </cell>
        </row>
        <row r="118">
          <cell r="B118">
            <v>40005368</v>
          </cell>
          <cell r="C118" t="str">
            <v>629233-4</v>
          </cell>
          <cell r="D118" t="str">
            <v>A29</v>
          </cell>
        </row>
        <row r="119">
          <cell r="B119">
            <v>40007439</v>
          </cell>
          <cell r="C119" t="str">
            <v>517104-6</v>
          </cell>
          <cell r="D119" t="str">
            <v>A3</v>
          </cell>
        </row>
        <row r="120">
          <cell r="B120">
            <v>40008291</v>
          </cell>
          <cell r="C120" t="str">
            <v>692021-2</v>
          </cell>
          <cell r="D120" t="str">
            <v>A30</v>
          </cell>
        </row>
        <row r="121">
          <cell r="B121">
            <v>40010233</v>
          </cell>
          <cell r="C121" t="str">
            <v>633658-6</v>
          </cell>
          <cell r="D121" t="str">
            <v>A31</v>
          </cell>
        </row>
        <row r="122">
          <cell r="B122">
            <v>40005707</v>
          </cell>
          <cell r="C122" t="str">
            <v>594634-4</v>
          </cell>
          <cell r="D122" t="str">
            <v>A31</v>
          </cell>
        </row>
        <row r="123">
          <cell r="B123">
            <v>40005470</v>
          </cell>
          <cell r="C123" t="str">
            <v>621A39-2</v>
          </cell>
          <cell r="D123" t="str">
            <v>A32</v>
          </cell>
        </row>
        <row r="124">
          <cell r="B124">
            <v>40007770</v>
          </cell>
          <cell r="C124" t="str">
            <v>596183-7</v>
          </cell>
          <cell r="D124" t="str">
            <v>A32</v>
          </cell>
        </row>
        <row r="125">
          <cell r="B125">
            <v>40010284</v>
          </cell>
          <cell r="C125" t="str">
            <v>443147-1</v>
          </cell>
          <cell r="D125" t="str">
            <v>A33</v>
          </cell>
        </row>
        <row r="126">
          <cell r="B126">
            <v>40010245</v>
          </cell>
          <cell r="C126" t="str">
            <v>650781-2</v>
          </cell>
          <cell r="D126" t="str">
            <v>A33</v>
          </cell>
        </row>
        <row r="127">
          <cell r="B127">
            <v>40010300</v>
          </cell>
          <cell r="C127" t="str">
            <v>286287-0</v>
          </cell>
          <cell r="D127" t="str">
            <v>A33</v>
          </cell>
        </row>
        <row r="128">
          <cell r="B128">
            <v>40006511</v>
          </cell>
          <cell r="C128" t="str">
            <v>261160-5</v>
          </cell>
          <cell r="D128" t="str">
            <v>A33</v>
          </cell>
        </row>
        <row r="129">
          <cell r="B129">
            <v>40006510</v>
          </cell>
          <cell r="C129" t="str">
            <v>261154-0</v>
          </cell>
          <cell r="D129" t="str">
            <v>A33</v>
          </cell>
        </row>
        <row r="130">
          <cell r="B130">
            <v>40005450</v>
          </cell>
          <cell r="C130" t="str">
            <v>517999-7</v>
          </cell>
          <cell r="D130" t="str">
            <v>A34</v>
          </cell>
        </row>
        <row r="131">
          <cell r="B131">
            <v>40005420</v>
          </cell>
          <cell r="C131" t="str">
            <v>629C05-5</v>
          </cell>
          <cell r="D131" t="str">
            <v>A34</v>
          </cell>
        </row>
        <row r="132">
          <cell r="B132">
            <v>40007377</v>
          </cell>
          <cell r="C132" t="str">
            <v>161045-4</v>
          </cell>
          <cell r="D132" t="str">
            <v>A4</v>
          </cell>
        </row>
        <row r="133">
          <cell r="B133">
            <v>40007474</v>
          </cell>
          <cell r="C133" t="str">
            <v>515289-2</v>
          </cell>
          <cell r="D133" t="str">
            <v>A5</v>
          </cell>
        </row>
        <row r="134">
          <cell r="B134">
            <v>40005787</v>
          </cell>
          <cell r="C134" t="str">
            <v>629244-9</v>
          </cell>
          <cell r="D134" t="str">
            <v>A6</v>
          </cell>
        </row>
        <row r="135">
          <cell r="B135">
            <v>40005785</v>
          </cell>
          <cell r="C135" t="str">
            <v>638420-4</v>
          </cell>
          <cell r="D135" t="str">
            <v>A6</v>
          </cell>
        </row>
        <row r="136">
          <cell r="B136">
            <v>40007763</v>
          </cell>
          <cell r="C136" t="str">
            <v>596289-1</v>
          </cell>
          <cell r="D136" t="str">
            <v>A7</v>
          </cell>
        </row>
        <row r="137">
          <cell r="B137">
            <v>40007760</v>
          </cell>
          <cell r="C137" t="str">
            <v>633184-5</v>
          </cell>
          <cell r="D137" t="str">
            <v>A7</v>
          </cell>
        </row>
        <row r="138">
          <cell r="B138">
            <v>40007177</v>
          </cell>
          <cell r="C138" t="str">
            <v>515359-7</v>
          </cell>
          <cell r="D138" t="str">
            <v>A8</v>
          </cell>
        </row>
        <row r="139">
          <cell r="B139">
            <v>40011205</v>
          </cell>
          <cell r="C139" t="str">
            <v>629A98-0</v>
          </cell>
          <cell r="D139" t="str">
            <v>A9</v>
          </cell>
        </row>
        <row r="140">
          <cell r="B140">
            <v>40007751</v>
          </cell>
          <cell r="C140" t="str">
            <v>517494-7</v>
          </cell>
          <cell r="D140" t="str">
            <v>A9</v>
          </cell>
        </row>
        <row r="141">
          <cell r="B141">
            <v>40005644</v>
          </cell>
          <cell r="C141" t="str">
            <v>510173-6</v>
          </cell>
          <cell r="D141" t="str">
            <v>B1</v>
          </cell>
        </row>
        <row r="142">
          <cell r="B142">
            <v>40005669</v>
          </cell>
          <cell r="C142" t="str">
            <v>619375-2</v>
          </cell>
          <cell r="D142" t="str">
            <v>B10</v>
          </cell>
        </row>
        <row r="143">
          <cell r="B143">
            <v>40008213</v>
          </cell>
          <cell r="C143" t="str">
            <v>593479-7</v>
          </cell>
          <cell r="D143" t="str">
            <v>B10</v>
          </cell>
        </row>
        <row r="144">
          <cell r="B144">
            <v>40008022</v>
          </cell>
          <cell r="C144" t="str">
            <v>510142-7</v>
          </cell>
          <cell r="D144" t="str">
            <v>B11</v>
          </cell>
        </row>
        <row r="145">
          <cell r="B145">
            <v>40007777</v>
          </cell>
          <cell r="C145" t="str">
            <v>633348-1</v>
          </cell>
          <cell r="D145" t="str">
            <v>B12</v>
          </cell>
        </row>
        <row r="146">
          <cell r="B146">
            <v>40011409</v>
          </cell>
          <cell r="C146" t="str">
            <v>511559-7</v>
          </cell>
          <cell r="D146" t="str">
            <v>B13</v>
          </cell>
        </row>
        <row r="147">
          <cell r="B147">
            <v>40007774</v>
          </cell>
          <cell r="C147" t="str">
            <v>521623-6</v>
          </cell>
          <cell r="D147" t="str">
            <v>B14</v>
          </cell>
        </row>
        <row r="148">
          <cell r="B148">
            <v>40007780</v>
          </cell>
          <cell r="C148" t="str">
            <v>522439-2</v>
          </cell>
          <cell r="D148" t="str">
            <v>B14</v>
          </cell>
        </row>
        <row r="149">
          <cell r="B149">
            <v>40007680</v>
          </cell>
          <cell r="C149" t="str">
            <v>596209-5</v>
          </cell>
          <cell r="D149" t="str">
            <v>B15(B16)</v>
          </cell>
        </row>
        <row r="150">
          <cell r="B150">
            <v>40007504</v>
          </cell>
          <cell r="C150" t="str">
            <v>516329-9</v>
          </cell>
          <cell r="D150" t="str">
            <v>B15</v>
          </cell>
        </row>
        <row r="151">
          <cell r="B151">
            <v>40007792</v>
          </cell>
          <cell r="C151" t="str">
            <v>633528-9</v>
          </cell>
          <cell r="D151" t="str">
            <v>B16</v>
          </cell>
        </row>
        <row r="152">
          <cell r="B152">
            <v>40005933</v>
          </cell>
          <cell r="C152" t="str">
            <v>632J71-5</v>
          </cell>
          <cell r="D152" t="str">
            <v>B17</v>
          </cell>
        </row>
        <row r="153">
          <cell r="B153">
            <v>40010959</v>
          </cell>
          <cell r="C153" t="str">
            <v>122A41-3</v>
          </cell>
          <cell r="D153" t="str">
            <v>B17</v>
          </cell>
        </row>
        <row r="154">
          <cell r="B154">
            <v>40007675</v>
          </cell>
          <cell r="C154" t="str">
            <v>633289-1</v>
          </cell>
          <cell r="D154" t="str">
            <v>B18</v>
          </cell>
        </row>
        <row r="155">
          <cell r="B155">
            <v>40007217</v>
          </cell>
          <cell r="C155" t="str">
            <v>633573-4</v>
          </cell>
          <cell r="D155" t="str">
            <v>B18</v>
          </cell>
        </row>
        <row r="156">
          <cell r="B156">
            <v>40005847</v>
          </cell>
          <cell r="C156" t="str">
            <v>619496-0</v>
          </cell>
          <cell r="D156" t="str">
            <v>B19</v>
          </cell>
        </row>
        <row r="157">
          <cell r="B157">
            <v>40006993</v>
          </cell>
          <cell r="C157" t="str">
            <v>593803-4</v>
          </cell>
          <cell r="D157" t="str">
            <v>B19</v>
          </cell>
        </row>
        <row r="158">
          <cell r="B158">
            <v>40007502</v>
          </cell>
          <cell r="C158" t="str">
            <v>517184-2</v>
          </cell>
          <cell r="D158" t="str">
            <v>B2</v>
          </cell>
        </row>
        <row r="159">
          <cell r="B159">
            <v>40006385</v>
          </cell>
          <cell r="C159" t="str">
            <v>633693-4</v>
          </cell>
          <cell r="D159" t="str">
            <v>B20</v>
          </cell>
        </row>
        <row r="160">
          <cell r="B160">
            <v>40006402</v>
          </cell>
          <cell r="C160" t="str">
            <v>593944-6</v>
          </cell>
          <cell r="D160" t="str">
            <v>B20</v>
          </cell>
        </row>
        <row r="161">
          <cell r="B161">
            <v>40010227</v>
          </cell>
          <cell r="C161" t="str">
            <v>634293-3</v>
          </cell>
          <cell r="D161" t="str">
            <v>B21</v>
          </cell>
        </row>
        <row r="162">
          <cell r="B162">
            <v>40007495</v>
          </cell>
          <cell r="C162" t="str">
            <v>515668-4</v>
          </cell>
          <cell r="D162" t="str">
            <v>B21</v>
          </cell>
        </row>
        <row r="163">
          <cell r="B163">
            <v>40005764</v>
          </cell>
          <cell r="C163" t="str">
            <v>629A91-4</v>
          </cell>
          <cell r="D163" t="str">
            <v>B22</v>
          </cell>
        </row>
        <row r="164">
          <cell r="B164">
            <v>40006372</v>
          </cell>
          <cell r="C164" t="str">
            <v>632A40-2</v>
          </cell>
          <cell r="D164" t="str">
            <v>B23</v>
          </cell>
        </row>
        <row r="165">
          <cell r="B165">
            <v>40005665</v>
          </cell>
          <cell r="C165" t="str">
            <v>619372-8</v>
          </cell>
          <cell r="D165" t="str">
            <v>B23</v>
          </cell>
        </row>
        <row r="166">
          <cell r="B166">
            <v>40007782</v>
          </cell>
          <cell r="C166" t="str">
            <v>633314-8</v>
          </cell>
          <cell r="D166" t="str">
            <v>B24</v>
          </cell>
        </row>
        <row r="167">
          <cell r="B167">
            <v>40007144</v>
          </cell>
          <cell r="C167" t="str">
            <v>619230-8</v>
          </cell>
          <cell r="D167" t="str">
            <v>B24</v>
          </cell>
        </row>
        <row r="168">
          <cell r="B168">
            <v>40007138</v>
          </cell>
          <cell r="C168" t="str">
            <v>515799-9</v>
          </cell>
          <cell r="D168" t="str">
            <v>B25</v>
          </cell>
        </row>
        <row r="169">
          <cell r="B169">
            <v>40007815</v>
          </cell>
          <cell r="C169" t="str">
            <v>515314-9</v>
          </cell>
          <cell r="D169" t="str">
            <v>B25</v>
          </cell>
        </row>
        <row r="170">
          <cell r="B170">
            <v>40006123</v>
          </cell>
          <cell r="C170" t="str">
            <v>638989-8</v>
          </cell>
          <cell r="D170" t="str">
            <v>B26</v>
          </cell>
        </row>
        <row r="171">
          <cell r="B171">
            <v>40005553</v>
          </cell>
          <cell r="C171" t="str">
            <v>629999-6</v>
          </cell>
          <cell r="D171" t="str">
            <v>B26</v>
          </cell>
        </row>
        <row r="172">
          <cell r="B172">
            <v>40006765</v>
          </cell>
          <cell r="C172" t="str">
            <v>595094-3</v>
          </cell>
          <cell r="D172" t="str">
            <v>B27</v>
          </cell>
        </row>
        <row r="173">
          <cell r="B173">
            <v>40007769</v>
          </cell>
          <cell r="C173" t="str">
            <v>521237-1</v>
          </cell>
          <cell r="D173" t="str">
            <v>B27</v>
          </cell>
        </row>
        <row r="174">
          <cell r="B174">
            <v>40005360</v>
          </cell>
          <cell r="C174" t="str">
            <v>136312-6</v>
          </cell>
          <cell r="D174" t="str">
            <v>B28</v>
          </cell>
        </row>
        <row r="175">
          <cell r="B175">
            <v>40007986</v>
          </cell>
          <cell r="C175" t="str">
            <v>JM27000130</v>
          </cell>
          <cell r="D175" t="str">
            <v>B28</v>
          </cell>
        </row>
        <row r="176">
          <cell r="B176">
            <v>40006745</v>
          </cell>
          <cell r="C176" t="str">
            <v>451130-4</v>
          </cell>
          <cell r="D176" t="str">
            <v>B29</v>
          </cell>
        </row>
        <row r="177">
          <cell r="B177">
            <v>40007279</v>
          </cell>
          <cell r="C177" t="str">
            <v>417629-9</v>
          </cell>
          <cell r="D177" t="str">
            <v>B29</v>
          </cell>
        </row>
        <row r="178">
          <cell r="B178">
            <v>40007811</v>
          </cell>
          <cell r="C178" t="str">
            <v>515784-2</v>
          </cell>
          <cell r="D178" t="str">
            <v>B3(S-2)</v>
          </cell>
        </row>
        <row r="179">
          <cell r="B179">
            <v>40007757</v>
          </cell>
          <cell r="C179" t="str">
            <v>524127-7</v>
          </cell>
          <cell r="D179" t="str">
            <v>B30</v>
          </cell>
        </row>
        <row r="180">
          <cell r="B180">
            <v>40007438</v>
          </cell>
          <cell r="C180" t="str">
            <v>512067-1</v>
          </cell>
          <cell r="D180" t="str">
            <v>B30</v>
          </cell>
        </row>
        <row r="181">
          <cell r="B181">
            <v>40011145</v>
          </cell>
          <cell r="C181" t="str">
            <v>682573-1</v>
          </cell>
          <cell r="D181" t="str">
            <v>B31</v>
          </cell>
        </row>
        <row r="182">
          <cell r="B182">
            <v>40010278</v>
          </cell>
          <cell r="C182" t="str">
            <v>262149-6</v>
          </cell>
          <cell r="D182" t="str">
            <v>B31</v>
          </cell>
        </row>
        <row r="183">
          <cell r="B183">
            <v>40010295</v>
          </cell>
          <cell r="C183" t="str">
            <v>282015-1</v>
          </cell>
          <cell r="D183" t="str">
            <v>B31</v>
          </cell>
        </row>
        <row r="184">
          <cell r="B184">
            <v>40010306</v>
          </cell>
          <cell r="C184" t="str">
            <v>327269-4</v>
          </cell>
          <cell r="D184" t="str">
            <v>B31</v>
          </cell>
        </row>
        <row r="185">
          <cell r="B185">
            <v>40010240</v>
          </cell>
          <cell r="C185" t="str">
            <v>143416-7</v>
          </cell>
          <cell r="D185" t="str">
            <v>B31</v>
          </cell>
        </row>
        <row r="186">
          <cell r="B186">
            <v>40010962</v>
          </cell>
          <cell r="C186" t="str">
            <v>682560-0</v>
          </cell>
          <cell r="D186" t="str">
            <v>B31</v>
          </cell>
        </row>
        <row r="187">
          <cell r="B187">
            <v>40010305</v>
          </cell>
          <cell r="C187" t="str">
            <v>424261-2</v>
          </cell>
          <cell r="D187" t="str">
            <v>B31</v>
          </cell>
        </row>
        <row r="188">
          <cell r="B188">
            <v>40005225</v>
          </cell>
          <cell r="C188" t="str">
            <v>273649-1</v>
          </cell>
          <cell r="D188" t="str">
            <v>B31</v>
          </cell>
        </row>
        <row r="189">
          <cell r="B189">
            <v>40005647</v>
          </cell>
          <cell r="C189" t="str">
            <v>161370-3</v>
          </cell>
          <cell r="D189" t="str">
            <v>B32</v>
          </cell>
        </row>
        <row r="190">
          <cell r="B190">
            <v>40007803</v>
          </cell>
          <cell r="C190" t="str">
            <v>225044-1</v>
          </cell>
          <cell r="D190" t="str">
            <v>B33</v>
          </cell>
        </row>
        <row r="191">
          <cell r="B191">
            <v>40007806</v>
          </cell>
          <cell r="C191" t="str">
            <v>225069-5</v>
          </cell>
          <cell r="D191" t="str">
            <v>B33</v>
          </cell>
        </row>
        <row r="192">
          <cell r="B192">
            <v>40005888</v>
          </cell>
          <cell r="C192" t="str">
            <v>326828-1</v>
          </cell>
          <cell r="D192" t="str">
            <v>B34</v>
          </cell>
        </row>
        <row r="193">
          <cell r="B193">
            <v>40007092</v>
          </cell>
          <cell r="C193" t="str">
            <v>416006-2</v>
          </cell>
          <cell r="D193" t="str">
            <v>B34</v>
          </cell>
        </row>
        <row r="194">
          <cell r="B194">
            <v>40005404</v>
          </cell>
          <cell r="C194" t="str">
            <v>629A44-3</v>
          </cell>
          <cell r="D194" t="str">
            <v>B34</v>
          </cell>
        </row>
        <row r="195">
          <cell r="B195">
            <v>40005403</v>
          </cell>
          <cell r="C195" t="str">
            <v>619672-6</v>
          </cell>
          <cell r="D195" t="str">
            <v>B34</v>
          </cell>
        </row>
        <row r="196">
          <cell r="B196">
            <v>40005922</v>
          </cell>
          <cell r="C196" t="str">
            <v>619415-6</v>
          </cell>
          <cell r="D196" t="str">
            <v>B34</v>
          </cell>
        </row>
        <row r="197">
          <cell r="B197">
            <v>40007530</v>
          </cell>
          <cell r="C197" t="str">
            <v>CB-105</v>
          </cell>
          <cell r="D197" t="str">
            <v>B35</v>
          </cell>
        </row>
        <row r="198">
          <cell r="B198">
            <v>40010575</v>
          </cell>
          <cell r="C198" t="str">
            <v>181030-1</v>
          </cell>
          <cell r="D198" t="str">
            <v>B36</v>
          </cell>
        </row>
        <row r="199">
          <cell r="B199">
            <v>40007797</v>
          </cell>
          <cell r="C199" t="str">
            <v>CB-411</v>
          </cell>
          <cell r="D199" t="str">
            <v>B37</v>
          </cell>
        </row>
        <row r="200">
          <cell r="B200">
            <v>40007487</v>
          </cell>
          <cell r="C200" t="str">
            <v>515609-0</v>
          </cell>
          <cell r="D200" t="str">
            <v>B4(S-1)</v>
          </cell>
        </row>
        <row r="201">
          <cell r="B201">
            <v>40007744</v>
          </cell>
          <cell r="C201" t="str">
            <v>619088-5</v>
          </cell>
          <cell r="D201" t="str">
            <v>B5</v>
          </cell>
        </row>
        <row r="202">
          <cell r="B202">
            <v>40007764</v>
          </cell>
          <cell r="C202" t="str">
            <v>626579-9</v>
          </cell>
          <cell r="D202" t="str">
            <v>B6</v>
          </cell>
        </row>
        <row r="203">
          <cell r="B203">
            <v>40010229</v>
          </cell>
          <cell r="C203" t="str">
            <v>525834-5</v>
          </cell>
          <cell r="D203" t="str">
            <v>B6</v>
          </cell>
        </row>
        <row r="204">
          <cell r="B204">
            <v>40008129</v>
          </cell>
          <cell r="C204" t="str">
            <v>510164-7</v>
          </cell>
          <cell r="D204" t="str">
            <v>B7</v>
          </cell>
        </row>
        <row r="205">
          <cell r="B205">
            <v>40008296</v>
          </cell>
          <cell r="C205" t="str">
            <v>411650-0</v>
          </cell>
          <cell r="D205" t="str">
            <v>B8</v>
          </cell>
        </row>
        <row r="206">
          <cell r="B206">
            <v>40006453</v>
          </cell>
          <cell r="C206" t="str">
            <v>143277-5</v>
          </cell>
          <cell r="D206" t="str">
            <v>B8</v>
          </cell>
        </row>
        <row r="207">
          <cell r="B207">
            <v>40008196</v>
          </cell>
          <cell r="C207" t="str">
            <v>153664-0</v>
          </cell>
          <cell r="D207" t="str">
            <v>B8</v>
          </cell>
        </row>
        <row r="208">
          <cell r="B208">
            <v>40007528</v>
          </cell>
          <cell r="C208" t="str">
            <v>593589-0</v>
          </cell>
          <cell r="D208" t="str">
            <v>B9</v>
          </cell>
        </row>
        <row r="209">
          <cell r="B209">
            <v>40005664</v>
          </cell>
          <cell r="C209">
            <v>38114052</v>
          </cell>
          <cell r="D209" t="str">
            <v>BA1</v>
          </cell>
        </row>
        <row r="210">
          <cell r="B210">
            <v>40008172</v>
          </cell>
          <cell r="C210" t="str">
            <v>344411-2</v>
          </cell>
          <cell r="D210" t="str">
            <v>BA2</v>
          </cell>
        </row>
        <row r="211">
          <cell r="B211">
            <v>10019878</v>
          </cell>
          <cell r="C211" t="str">
            <v>224053-7</v>
          </cell>
          <cell r="D211" t="str">
            <v>BA3</v>
          </cell>
        </row>
        <row r="212">
          <cell r="B212">
            <v>40007699</v>
          </cell>
          <cell r="C212" t="str">
            <v>344412-0</v>
          </cell>
          <cell r="D212" t="str">
            <v>BB1</v>
          </cell>
        </row>
        <row r="213">
          <cell r="B213">
            <v>40006826</v>
          </cell>
          <cell r="C213" t="str">
            <v>154769-9</v>
          </cell>
          <cell r="D213" t="str">
            <v>BB2</v>
          </cell>
        </row>
        <row r="214">
          <cell r="B214">
            <v>40006824</v>
          </cell>
          <cell r="C214" t="str">
            <v>213507-9</v>
          </cell>
          <cell r="D214" t="str">
            <v>BB4</v>
          </cell>
        </row>
        <row r="215">
          <cell r="B215">
            <v>40007359</v>
          </cell>
          <cell r="C215" t="str">
            <v>342505-7</v>
          </cell>
          <cell r="D215" t="str">
            <v>BC2</v>
          </cell>
        </row>
        <row r="216">
          <cell r="B216">
            <v>40007702</v>
          </cell>
          <cell r="C216" t="str">
            <v>226684-8</v>
          </cell>
          <cell r="D216" t="str">
            <v>BC3</v>
          </cell>
        </row>
        <row r="217">
          <cell r="B217">
            <v>40008233</v>
          </cell>
          <cell r="C217">
            <v>965524062</v>
          </cell>
          <cell r="D217" t="str">
            <v>BC4</v>
          </cell>
        </row>
        <row r="218">
          <cell r="B218">
            <v>40011740</v>
          </cell>
          <cell r="C218" t="str">
            <v>651172-0</v>
          </cell>
          <cell r="D218" t="str">
            <v>BC5</v>
          </cell>
        </row>
        <row r="219">
          <cell r="B219">
            <v>40006108</v>
          </cell>
          <cell r="C219" t="str">
            <v>227541-3</v>
          </cell>
          <cell r="D219" t="str">
            <v>BD1</v>
          </cell>
        </row>
        <row r="220">
          <cell r="B220">
            <v>40008165</v>
          </cell>
          <cell r="C220" t="str">
            <v>227213-0</v>
          </cell>
          <cell r="D220" t="str">
            <v>BD2</v>
          </cell>
        </row>
        <row r="221">
          <cell r="B221">
            <v>40007197</v>
          </cell>
          <cell r="C221" t="str">
            <v>135508-6</v>
          </cell>
          <cell r="D221" t="str">
            <v>BD3</v>
          </cell>
        </row>
        <row r="222">
          <cell r="B222" t="e">
            <v>#N/A</v>
          </cell>
          <cell r="D222" t="str">
            <v>BD4</v>
          </cell>
        </row>
        <row r="223">
          <cell r="B223">
            <v>40007295</v>
          </cell>
          <cell r="C223">
            <v>965517141</v>
          </cell>
          <cell r="D223" t="str">
            <v>BD5</v>
          </cell>
        </row>
        <row r="224">
          <cell r="B224">
            <v>40011660</v>
          </cell>
          <cell r="C224" t="str">
            <v>256437-1</v>
          </cell>
          <cell r="D224" t="str">
            <v>BE1</v>
          </cell>
        </row>
        <row r="225">
          <cell r="B225">
            <v>40011659</v>
          </cell>
          <cell r="C225" t="str">
            <v>233127-3</v>
          </cell>
          <cell r="D225" t="str">
            <v>BE1</v>
          </cell>
        </row>
        <row r="226">
          <cell r="B226">
            <v>40010271</v>
          </cell>
          <cell r="C226" t="str">
            <v>195760-8</v>
          </cell>
          <cell r="D226" t="str">
            <v>BE2</v>
          </cell>
        </row>
        <row r="227">
          <cell r="B227">
            <v>40006446</v>
          </cell>
          <cell r="C227" t="str">
            <v>632F22-4</v>
          </cell>
          <cell r="D227" t="str">
            <v>BE3</v>
          </cell>
        </row>
        <row r="228">
          <cell r="B228">
            <v>40006981</v>
          </cell>
          <cell r="C228" t="str">
            <v>346304-9</v>
          </cell>
          <cell r="D228" t="str">
            <v>BE4</v>
          </cell>
        </row>
        <row r="229">
          <cell r="B229">
            <v>40005419</v>
          </cell>
          <cell r="C229" t="str">
            <v>327531-7</v>
          </cell>
          <cell r="D229" t="str">
            <v>BE5</v>
          </cell>
        </row>
        <row r="230">
          <cell r="B230">
            <v>40006527</v>
          </cell>
          <cell r="C230" t="str">
            <v>643834-4</v>
          </cell>
          <cell r="D230" t="str">
            <v>BF1</v>
          </cell>
        </row>
        <row r="231">
          <cell r="B231">
            <v>40007316</v>
          </cell>
          <cell r="C231">
            <v>965404520</v>
          </cell>
          <cell r="D231" t="str">
            <v>BF2</v>
          </cell>
        </row>
        <row r="232">
          <cell r="B232">
            <v>40007544</v>
          </cell>
          <cell r="C232" t="str">
            <v>323221-0</v>
          </cell>
          <cell r="D232" t="str">
            <v>BF3</v>
          </cell>
        </row>
        <row r="233">
          <cell r="B233">
            <v>10018214</v>
          </cell>
          <cell r="C233" t="str">
            <v>452947-8</v>
          </cell>
          <cell r="D233" t="str">
            <v>BF4</v>
          </cell>
        </row>
        <row r="234">
          <cell r="B234">
            <v>40005517</v>
          </cell>
          <cell r="C234" t="str">
            <v>458099-3</v>
          </cell>
          <cell r="D234" t="str">
            <v>BF5</v>
          </cell>
        </row>
        <row r="235">
          <cell r="B235">
            <v>40008281</v>
          </cell>
          <cell r="C235" t="str">
            <v>221669-9</v>
          </cell>
          <cell r="D235" t="str">
            <v>BG1</v>
          </cell>
        </row>
        <row r="236">
          <cell r="B236">
            <v>40006038</v>
          </cell>
          <cell r="C236" t="str">
            <v>227641-9</v>
          </cell>
          <cell r="D236" t="str">
            <v>BG2</v>
          </cell>
        </row>
        <row r="237">
          <cell r="B237">
            <v>40006348</v>
          </cell>
          <cell r="C237" t="str">
            <v>456099-7</v>
          </cell>
          <cell r="D237" t="str">
            <v>BG3</v>
          </cell>
        </row>
        <row r="238">
          <cell r="B238">
            <v>40011589</v>
          </cell>
          <cell r="C238" t="str">
            <v>324873-0</v>
          </cell>
          <cell r="D238" t="str">
            <v>BG4</v>
          </cell>
        </row>
        <row r="239">
          <cell r="B239">
            <v>40007650</v>
          </cell>
          <cell r="C239" t="str">
            <v>317037-3</v>
          </cell>
          <cell r="D239" t="str">
            <v>BH1</v>
          </cell>
        </row>
        <row r="240">
          <cell r="B240">
            <v>40007851</v>
          </cell>
          <cell r="C240" t="str">
            <v>424087-2</v>
          </cell>
          <cell r="D240" t="str">
            <v>BH2</v>
          </cell>
        </row>
        <row r="241">
          <cell r="B241">
            <v>40008073</v>
          </cell>
          <cell r="C241" t="str">
            <v>345363-0</v>
          </cell>
          <cell r="D241" t="str">
            <v>BH3</v>
          </cell>
        </row>
        <row r="242">
          <cell r="B242">
            <v>40005568</v>
          </cell>
          <cell r="C242" t="str">
            <v>450961-8</v>
          </cell>
          <cell r="D242" t="str">
            <v>BH4</v>
          </cell>
        </row>
        <row r="243">
          <cell r="B243">
            <v>40006656</v>
          </cell>
          <cell r="C243" t="str">
            <v>256546-6</v>
          </cell>
          <cell r="D243" t="str">
            <v>BH5</v>
          </cell>
        </row>
        <row r="244">
          <cell r="B244">
            <v>40010552</v>
          </cell>
          <cell r="C244" t="str">
            <v>620734-5</v>
          </cell>
          <cell r="D244" t="str">
            <v>BI1</v>
          </cell>
        </row>
        <row r="245">
          <cell r="B245">
            <v>40007451</v>
          </cell>
          <cell r="C245" t="str">
            <v>511939-7</v>
          </cell>
          <cell r="D245" t="str">
            <v>C1(S-1)</v>
          </cell>
        </row>
        <row r="246">
          <cell r="B246">
            <v>40006856</v>
          </cell>
          <cell r="C246" t="str">
            <v>593639-1</v>
          </cell>
          <cell r="D246" t="str">
            <v>C10</v>
          </cell>
        </row>
        <row r="247">
          <cell r="B247">
            <v>40007778</v>
          </cell>
          <cell r="C247" t="str">
            <v>593523-0</v>
          </cell>
          <cell r="D247" t="str">
            <v>C10(S-1)</v>
          </cell>
        </row>
        <row r="248">
          <cell r="B248">
            <v>40005930</v>
          </cell>
          <cell r="C248" t="str">
            <v>626653-3</v>
          </cell>
          <cell r="D248" t="str">
            <v>C11</v>
          </cell>
        </row>
        <row r="249">
          <cell r="B249">
            <v>40011588</v>
          </cell>
          <cell r="C249" t="str">
            <v>126001-1</v>
          </cell>
          <cell r="D249" t="str">
            <v>C11</v>
          </cell>
        </row>
        <row r="250">
          <cell r="B250">
            <v>40007897</v>
          </cell>
          <cell r="C250" t="str">
            <v>635104-5</v>
          </cell>
          <cell r="D250" t="str">
            <v>C12</v>
          </cell>
        </row>
        <row r="251">
          <cell r="B251">
            <v>40007766</v>
          </cell>
          <cell r="C251" t="str">
            <v>522267-5</v>
          </cell>
          <cell r="D251" t="str">
            <v>C12</v>
          </cell>
        </row>
        <row r="252">
          <cell r="B252">
            <v>40006731</v>
          </cell>
          <cell r="C252" t="str">
            <v>515724-0</v>
          </cell>
          <cell r="D252" t="str">
            <v>C13</v>
          </cell>
        </row>
        <row r="253">
          <cell r="B253">
            <v>40005266</v>
          </cell>
          <cell r="C253" t="str">
            <v>594679-2</v>
          </cell>
          <cell r="D253" t="str">
            <v>C13</v>
          </cell>
        </row>
        <row r="254">
          <cell r="B254">
            <v>40007220</v>
          </cell>
          <cell r="C254" t="str">
            <v>593508-6</v>
          </cell>
          <cell r="D254" t="str">
            <v>C14</v>
          </cell>
        </row>
        <row r="255">
          <cell r="B255">
            <v>40007501</v>
          </cell>
          <cell r="C255" t="str">
            <v>515119-7</v>
          </cell>
          <cell r="D255" t="str">
            <v>C15</v>
          </cell>
        </row>
        <row r="256">
          <cell r="B256">
            <v>40007162</v>
          </cell>
          <cell r="C256" t="str">
            <v>636148-8</v>
          </cell>
          <cell r="D256" t="str">
            <v>C16</v>
          </cell>
        </row>
        <row r="257">
          <cell r="B257">
            <v>40011739</v>
          </cell>
          <cell r="C257" t="str">
            <v>634774-7</v>
          </cell>
          <cell r="D257" t="str">
            <v>C16</v>
          </cell>
        </row>
        <row r="258">
          <cell r="B258">
            <v>40003865</v>
          </cell>
          <cell r="C258" t="str">
            <v>522838-8</v>
          </cell>
          <cell r="D258" t="str">
            <v>C17</v>
          </cell>
        </row>
        <row r="259">
          <cell r="B259">
            <v>40011920</v>
          </cell>
          <cell r="C259" t="str">
            <v>137223-8</v>
          </cell>
          <cell r="D259" t="str">
            <v>C17</v>
          </cell>
        </row>
        <row r="260">
          <cell r="B260">
            <v>40008267</v>
          </cell>
          <cell r="C260" t="str">
            <v>594469-3</v>
          </cell>
          <cell r="D260" t="str">
            <v>C18</v>
          </cell>
        </row>
        <row r="261">
          <cell r="B261">
            <v>40005654</v>
          </cell>
          <cell r="C261">
            <v>39130032</v>
          </cell>
          <cell r="D261" t="str">
            <v>C18</v>
          </cell>
        </row>
        <row r="262">
          <cell r="B262">
            <v>40007651</v>
          </cell>
          <cell r="C262" t="str">
            <v>512839-4</v>
          </cell>
          <cell r="D262" t="str">
            <v>C19</v>
          </cell>
        </row>
        <row r="263">
          <cell r="B263">
            <v>40005591</v>
          </cell>
          <cell r="C263" t="str">
            <v>126353-0</v>
          </cell>
          <cell r="D263" t="str">
            <v>C19</v>
          </cell>
        </row>
        <row r="264">
          <cell r="B264">
            <v>40007441</v>
          </cell>
          <cell r="C264" t="str">
            <v>517044-8</v>
          </cell>
          <cell r="D264" t="str">
            <v>C2</v>
          </cell>
        </row>
        <row r="265">
          <cell r="B265">
            <v>40007436</v>
          </cell>
          <cell r="C265" t="str">
            <v>511754-9</v>
          </cell>
          <cell r="D265" t="str">
            <v>C20</v>
          </cell>
        </row>
        <row r="266">
          <cell r="B266">
            <v>40005793</v>
          </cell>
          <cell r="C266" t="str">
            <v>516214-6</v>
          </cell>
          <cell r="D266" t="str">
            <v>C20</v>
          </cell>
        </row>
        <row r="267">
          <cell r="B267">
            <v>40008303</v>
          </cell>
          <cell r="C267" t="str">
            <v>515794-9</v>
          </cell>
          <cell r="D267" t="str">
            <v>C21(C22)</v>
          </cell>
        </row>
        <row r="268">
          <cell r="B268">
            <v>40006541</v>
          </cell>
          <cell r="C268" t="str">
            <v>593949-6</v>
          </cell>
          <cell r="D268" t="str">
            <v>C21</v>
          </cell>
        </row>
        <row r="269">
          <cell r="B269">
            <v>40005518</v>
          </cell>
          <cell r="C269" t="str">
            <v>458100-4</v>
          </cell>
          <cell r="D269" t="str">
            <v>C22</v>
          </cell>
        </row>
        <row r="270">
          <cell r="B270">
            <v>40006443</v>
          </cell>
          <cell r="C270" t="str">
            <v>317796-9</v>
          </cell>
          <cell r="D270" t="str">
            <v>C22</v>
          </cell>
        </row>
        <row r="271">
          <cell r="B271">
            <v>40011158</v>
          </cell>
          <cell r="C271" t="str">
            <v>141165-0</v>
          </cell>
          <cell r="D271" t="str">
            <v>C22</v>
          </cell>
        </row>
        <row r="272">
          <cell r="B272">
            <v>40006730</v>
          </cell>
          <cell r="C272" t="str">
            <v>326599-0</v>
          </cell>
          <cell r="D272" t="str">
            <v>C22</v>
          </cell>
        </row>
        <row r="273">
          <cell r="B273">
            <v>40005523</v>
          </cell>
          <cell r="C273" t="str">
            <v>459478-8</v>
          </cell>
          <cell r="D273" t="str">
            <v>C22</v>
          </cell>
        </row>
        <row r="274">
          <cell r="B274">
            <v>40005469</v>
          </cell>
          <cell r="C274" t="str">
            <v>412697-7</v>
          </cell>
          <cell r="D274" t="str">
            <v>C22</v>
          </cell>
        </row>
        <row r="275">
          <cell r="B275">
            <v>40005897</v>
          </cell>
          <cell r="C275" t="str">
            <v>125867-6</v>
          </cell>
          <cell r="D275" t="str">
            <v>C23</v>
          </cell>
        </row>
        <row r="276">
          <cell r="B276">
            <v>40005763</v>
          </cell>
          <cell r="C276" t="str">
            <v>629A46-9</v>
          </cell>
          <cell r="D276" t="str">
            <v>C23</v>
          </cell>
        </row>
        <row r="277">
          <cell r="B277">
            <v>40006349</v>
          </cell>
          <cell r="C277" t="str">
            <v>126410-4</v>
          </cell>
          <cell r="D277" t="str">
            <v>C24</v>
          </cell>
        </row>
        <row r="278">
          <cell r="B278">
            <v>40008153</v>
          </cell>
          <cell r="C278" t="str">
            <v>635014-6</v>
          </cell>
          <cell r="D278" t="str">
            <v>C25</v>
          </cell>
        </row>
        <row r="279">
          <cell r="B279">
            <v>40007170</v>
          </cell>
          <cell r="C279" t="str">
            <v>125485-0</v>
          </cell>
          <cell r="D279" t="str">
            <v>C25</v>
          </cell>
        </row>
        <row r="280">
          <cell r="B280">
            <v>40006737</v>
          </cell>
          <cell r="C280" t="str">
            <v>593668-4</v>
          </cell>
          <cell r="D280" t="str">
            <v>C26</v>
          </cell>
        </row>
        <row r="281">
          <cell r="B281">
            <v>40007463</v>
          </cell>
          <cell r="C281" t="str">
            <v>512954-4</v>
          </cell>
          <cell r="D281" t="str">
            <v>C27</v>
          </cell>
        </row>
        <row r="282">
          <cell r="B282">
            <v>40011584</v>
          </cell>
          <cell r="C282" t="str">
            <v>512584-1</v>
          </cell>
          <cell r="D282" t="str">
            <v>C27</v>
          </cell>
        </row>
        <row r="283">
          <cell r="B283">
            <v>40011957</v>
          </cell>
          <cell r="C283" t="str">
            <v>143298-7</v>
          </cell>
          <cell r="D283" t="str">
            <v>C28</v>
          </cell>
        </row>
        <row r="284">
          <cell r="B284">
            <v>40006742</v>
          </cell>
          <cell r="C284" t="str">
            <v>158285-3</v>
          </cell>
          <cell r="D284" t="str">
            <v>C28</v>
          </cell>
        </row>
        <row r="285">
          <cell r="B285">
            <v>40006248</v>
          </cell>
          <cell r="C285" t="str">
            <v>211373-8</v>
          </cell>
          <cell r="D285" t="str">
            <v>C28</v>
          </cell>
        </row>
        <row r="286">
          <cell r="B286">
            <v>40005386</v>
          </cell>
          <cell r="C286" t="str">
            <v>142973-2</v>
          </cell>
          <cell r="D286" t="str">
            <v>C29</v>
          </cell>
        </row>
        <row r="287">
          <cell r="B287">
            <v>40005272</v>
          </cell>
          <cell r="C287" t="str">
            <v>628393-9</v>
          </cell>
          <cell r="D287" t="str">
            <v>C29</v>
          </cell>
        </row>
        <row r="288">
          <cell r="B288">
            <v>40008056</v>
          </cell>
          <cell r="C288" t="str">
            <v>515294-9</v>
          </cell>
          <cell r="D288" t="str">
            <v>C3(S-2)</v>
          </cell>
        </row>
        <row r="289">
          <cell r="B289">
            <v>40011651</v>
          </cell>
          <cell r="C289" t="str">
            <v>515528-0</v>
          </cell>
          <cell r="D289" t="str">
            <v>C3</v>
          </cell>
        </row>
        <row r="290">
          <cell r="B290">
            <v>40005846</v>
          </cell>
          <cell r="C290" t="str">
            <v>123849-2</v>
          </cell>
          <cell r="D290" t="str">
            <v>C30</v>
          </cell>
        </row>
        <row r="291">
          <cell r="B291">
            <v>40005621</v>
          </cell>
          <cell r="C291" t="str">
            <v>633754-0</v>
          </cell>
          <cell r="D291" t="str">
            <v>C30</v>
          </cell>
        </row>
        <row r="292">
          <cell r="B292">
            <v>40007810</v>
          </cell>
          <cell r="C292" t="str">
            <v>211306-3</v>
          </cell>
          <cell r="D292" t="str">
            <v>C31</v>
          </cell>
        </row>
        <row r="293">
          <cell r="B293">
            <v>40007630</v>
          </cell>
          <cell r="C293" t="str">
            <v>211279-0</v>
          </cell>
          <cell r="D293" t="str">
            <v>C31</v>
          </cell>
        </row>
        <row r="294">
          <cell r="B294">
            <v>40006608</v>
          </cell>
          <cell r="C294" t="str">
            <v>226862-0</v>
          </cell>
          <cell r="D294" t="str">
            <v>C32</v>
          </cell>
        </row>
        <row r="295">
          <cell r="B295">
            <v>40006611</v>
          </cell>
          <cell r="C295" t="str">
            <v>226976-5</v>
          </cell>
          <cell r="D295" t="str">
            <v>C32</v>
          </cell>
        </row>
        <row r="296">
          <cell r="B296">
            <v>40005415</v>
          </cell>
          <cell r="C296" t="str">
            <v>327524-4</v>
          </cell>
          <cell r="D296" t="str">
            <v>C32</v>
          </cell>
        </row>
        <row r="297">
          <cell r="B297">
            <v>40006658</v>
          </cell>
          <cell r="C297" t="str">
            <v>262167-4</v>
          </cell>
          <cell r="D297" t="str">
            <v>C32</v>
          </cell>
        </row>
        <row r="298">
          <cell r="B298">
            <v>40005496</v>
          </cell>
          <cell r="C298" t="str">
            <v>422816-7</v>
          </cell>
          <cell r="D298" t="str">
            <v>C32</v>
          </cell>
        </row>
        <row r="299">
          <cell r="B299">
            <v>40006655</v>
          </cell>
          <cell r="C299" t="str">
            <v>262166-6</v>
          </cell>
          <cell r="D299" t="str">
            <v>C32</v>
          </cell>
        </row>
        <row r="300">
          <cell r="B300">
            <v>40006555</v>
          </cell>
          <cell r="C300" t="str">
            <v>140Y51-2</v>
          </cell>
          <cell r="D300" t="str">
            <v>C32</v>
          </cell>
        </row>
        <row r="301">
          <cell r="B301">
            <v>40006740</v>
          </cell>
          <cell r="C301" t="str">
            <v>AL00000013</v>
          </cell>
          <cell r="D301" t="str">
            <v>C32</v>
          </cell>
        </row>
        <row r="302">
          <cell r="B302">
            <v>40006616</v>
          </cell>
          <cell r="C302" t="str">
            <v>227338-0</v>
          </cell>
          <cell r="D302" t="str">
            <v>C32</v>
          </cell>
        </row>
        <row r="303">
          <cell r="B303">
            <v>40005407</v>
          </cell>
          <cell r="C303" t="str">
            <v>326669-5</v>
          </cell>
          <cell r="D303" t="str">
            <v>C32</v>
          </cell>
        </row>
        <row r="304">
          <cell r="B304">
            <v>40006553</v>
          </cell>
          <cell r="C304" t="str">
            <v>140Y38-4</v>
          </cell>
          <cell r="D304" t="str">
            <v>C32</v>
          </cell>
        </row>
        <row r="305">
          <cell r="B305">
            <v>40005757</v>
          </cell>
          <cell r="C305" t="str">
            <v>629476-8</v>
          </cell>
          <cell r="D305" t="str">
            <v>C33</v>
          </cell>
        </row>
        <row r="306">
          <cell r="B306">
            <v>40006203</v>
          </cell>
          <cell r="C306" t="str">
            <v>126729-1</v>
          </cell>
          <cell r="D306" t="str">
            <v>C33</v>
          </cell>
        </row>
        <row r="307">
          <cell r="B307">
            <v>40007786</v>
          </cell>
          <cell r="C307" t="str">
            <v>633568-7</v>
          </cell>
          <cell r="D307" t="str">
            <v>C34</v>
          </cell>
        </row>
        <row r="308">
          <cell r="B308">
            <v>40006787</v>
          </cell>
          <cell r="C308" t="str">
            <v>210067-2</v>
          </cell>
          <cell r="D308" t="str">
            <v>C34</v>
          </cell>
        </row>
        <row r="309">
          <cell r="B309">
            <v>40006220</v>
          </cell>
          <cell r="C309" t="str">
            <v>633674-8</v>
          </cell>
          <cell r="D309" t="str">
            <v>C35</v>
          </cell>
        </row>
        <row r="310">
          <cell r="B310">
            <v>40005936</v>
          </cell>
          <cell r="C310" t="str">
            <v>594709-9</v>
          </cell>
          <cell r="D310" t="str">
            <v>C35</v>
          </cell>
        </row>
        <row r="311">
          <cell r="B311">
            <v>40007548</v>
          </cell>
          <cell r="C311" t="str">
            <v>CB-303</v>
          </cell>
          <cell r="D311" t="str">
            <v>C37</v>
          </cell>
        </row>
        <row r="312">
          <cell r="B312">
            <v>40008161</v>
          </cell>
          <cell r="C312" t="str">
            <v>517654-1</v>
          </cell>
          <cell r="D312" t="str">
            <v>C4(S-2)</v>
          </cell>
        </row>
        <row r="313">
          <cell r="B313">
            <v>40007896</v>
          </cell>
          <cell r="C313" t="str">
            <v>515849-0</v>
          </cell>
          <cell r="D313" t="str">
            <v>C5(S-1)</v>
          </cell>
        </row>
        <row r="314">
          <cell r="B314">
            <v>40007678</v>
          </cell>
          <cell r="C314" t="str">
            <v>526068-3</v>
          </cell>
          <cell r="D314" t="str">
            <v>C6(S-1)</v>
          </cell>
        </row>
        <row r="315">
          <cell r="B315">
            <v>40007480</v>
          </cell>
          <cell r="C315" t="str">
            <v>517454-9</v>
          </cell>
          <cell r="D315" t="str">
            <v>C7</v>
          </cell>
        </row>
        <row r="316">
          <cell r="B316">
            <v>40008265</v>
          </cell>
          <cell r="C316" t="str">
            <v>510139-6</v>
          </cell>
          <cell r="D316" t="str">
            <v>C8(S-2)</v>
          </cell>
        </row>
        <row r="317">
          <cell r="B317">
            <v>40008163</v>
          </cell>
          <cell r="C317" t="str">
            <v>635109-5</v>
          </cell>
          <cell r="D317" t="str">
            <v>C9</v>
          </cell>
        </row>
        <row r="318">
          <cell r="B318">
            <v>40007229</v>
          </cell>
          <cell r="C318" t="str">
            <v>510197-2</v>
          </cell>
          <cell r="D318" t="str">
            <v>D1(G3)</v>
          </cell>
        </row>
        <row r="319">
          <cell r="B319">
            <v>40010332</v>
          </cell>
          <cell r="C319" t="str">
            <v>629815-2</v>
          </cell>
          <cell r="D319" t="str">
            <v>D10</v>
          </cell>
        </row>
        <row r="320">
          <cell r="B320">
            <v>40005931</v>
          </cell>
          <cell r="C320" t="str">
            <v>629395-8</v>
          </cell>
          <cell r="D320" t="str">
            <v>D10(S-2)</v>
          </cell>
        </row>
        <row r="321">
          <cell r="B321">
            <v>40007200</v>
          </cell>
          <cell r="C321" t="str">
            <v>JM23100001</v>
          </cell>
          <cell r="D321" t="str">
            <v>D11</v>
          </cell>
        </row>
        <row r="322">
          <cell r="B322">
            <v>40005384</v>
          </cell>
          <cell r="C322" t="str">
            <v>629900-1</v>
          </cell>
          <cell r="D322" t="str">
            <v>D11</v>
          </cell>
        </row>
        <row r="323">
          <cell r="B323">
            <v>40007179</v>
          </cell>
          <cell r="C323" t="str">
            <v>599531-9</v>
          </cell>
          <cell r="D323" t="str">
            <v>D12</v>
          </cell>
        </row>
        <row r="324">
          <cell r="B324">
            <v>40008005</v>
          </cell>
          <cell r="C324" t="str">
            <v>521554-9</v>
          </cell>
          <cell r="D324" t="str">
            <v>D13</v>
          </cell>
        </row>
        <row r="325">
          <cell r="B325">
            <v>40011738</v>
          </cell>
          <cell r="C325" t="str">
            <v>619334-6</v>
          </cell>
          <cell r="D325" t="str">
            <v>D13</v>
          </cell>
        </row>
        <row r="326">
          <cell r="B326">
            <v>40010359</v>
          </cell>
          <cell r="C326" t="str">
            <v>629834-8</v>
          </cell>
          <cell r="D326" t="str">
            <v>D14</v>
          </cell>
        </row>
        <row r="327">
          <cell r="B327">
            <v>40010333</v>
          </cell>
          <cell r="C327" t="str">
            <v>629962-9</v>
          </cell>
          <cell r="D327" t="str">
            <v>D14</v>
          </cell>
        </row>
        <row r="328">
          <cell r="B328">
            <v>40007485</v>
          </cell>
          <cell r="C328" t="str">
            <v>619148-3</v>
          </cell>
          <cell r="D328" t="str">
            <v>D15</v>
          </cell>
        </row>
        <row r="329">
          <cell r="B329">
            <v>40007498</v>
          </cell>
          <cell r="C329" t="str">
            <v>517398-3</v>
          </cell>
          <cell r="D329" t="str">
            <v>D16</v>
          </cell>
        </row>
        <row r="330">
          <cell r="B330">
            <v>40005330</v>
          </cell>
          <cell r="C330" t="str">
            <v>417033-2</v>
          </cell>
          <cell r="D330" t="str">
            <v>D17</v>
          </cell>
        </row>
        <row r="331">
          <cell r="B331">
            <v>40005334</v>
          </cell>
          <cell r="C331" t="str">
            <v>619421-1</v>
          </cell>
          <cell r="D331" t="str">
            <v>D17</v>
          </cell>
        </row>
        <row r="332">
          <cell r="B332">
            <v>40005333</v>
          </cell>
          <cell r="C332" t="str">
            <v>539168-0</v>
          </cell>
          <cell r="D332" t="str">
            <v>D17</v>
          </cell>
        </row>
        <row r="333">
          <cell r="B333">
            <v>40005335</v>
          </cell>
          <cell r="C333" t="str">
            <v>651939-6</v>
          </cell>
          <cell r="D333" t="str">
            <v>D17</v>
          </cell>
        </row>
        <row r="334">
          <cell r="B334">
            <v>40005338</v>
          </cell>
          <cell r="C334" t="str">
            <v>JM23100025</v>
          </cell>
          <cell r="D334" t="str">
            <v>D17</v>
          </cell>
        </row>
        <row r="335">
          <cell r="B335">
            <v>40006494</v>
          </cell>
          <cell r="C335" t="str">
            <v>JM27000087</v>
          </cell>
          <cell r="D335" t="str">
            <v>D17</v>
          </cell>
        </row>
        <row r="336">
          <cell r="B336">
            <v>40006755</v>
          </cell>
          <cell r="C336" t="str">
            <v>594594-0</v>
          </cell>
          <cell r="D336" t="str">
            <v>D18</v>
          </cell>
        </row>
        <row r="337">
          <cell r="B337">
            <v>40006735</v>
          </cell>
          <cell r="C337" t="str">
            <v>633034-4</v>
          </cell>
          <cell r="D337" t="str">
            <v>D19</v>
          </cell>
        </row>
        <row r="338">
          <cell r="B338">
            <v>40006668</v>
          </cell>
          <cell r="C338" t="str">
            <v>526104-5</v>
          </cell>
          <cell r="D338" t="str">
            <v>D19</v>
          </cell>
        </row>
        <row r="339">
          <cell r="B339">
            <v>40005472</v>
          </cell>
          <cell r="C339" t="str">
            <v>634739-9</v>
          </cell>
          <cell r="D339" t="str">
            <v>D2</v>
          </cell>
        </row>
        <row r="340">
          <cell r="B340">
            <v>40010580</v>
          </cell>
          <cell r="C340" t="str">
            <v>122F80-3</v>
          </cell>
          <cell r="D340" t="str">
            <v>D2</v>
          </cell>
        </row>
        <row r="341">
          <cell r="B341">
            <v>40010321</v>
          </cell>
          <cell r="C341" t="str">
            <v>518614-6</v>
          </cell>
          <cell r="D341" t="str">
            <v>D2(S-1)</v>
          </cell>
        </row>
        <row r="342">
          <cell r="B342">
            <v>40008003</v>
          </cell>
          <cell r="C342" t="str">
            <v>635113-4</v>
          </cell>
          <cell r="D342" t="str">
            <v>D20</v>
          </cell>
        </row>
        <row r="343">
          <cell r="B343">
            <v>40007053</v>
          </cell>
          <cell r="C343" t="str">
            <v>633488-5</v>
          </cell>
          <cell r="D343" t="str">
            <v>D21</v>
          </cell>
        </row>
        <row r="344">
          <cell r="B344">
            <v>40006736</v>
          </cell>
          <cell r="C344" t="str">
            <v>593718-5</v>
          </cell>
          <cell r="D344" t="str">
            <v>D21</v>
          </cell>
        </row>
        <row r="345">
          <cell r="B345">
            <v>40005563</v>
          </cell>
          <cell r="C345" t="str">
            <v>625119-0</v>
          </cell>
          <cell r="D345" t="str">
            <v>D22</v>
          </cell>
        </row>
        <row r="346">
          <cell r="B346">
            <v>40006589</v>
          </cell>
          <cell r="C346" t="str">
            <v>619380-9</v>
          </cell>
          <cell r="D346" t="str">
            <v>D22</v>
          </cell>
        </row>
        <row r="347">
          <cell r="B347">
            <v>40006122</v>
          </cell>
          <cell r="C347" t="str">
            <v>126099-8</v>
          </cell>
          <cell r="D347" t="str">
            <v>D23</v>
          </cell>
        </row>
        <row r="348">
          <cell r="B348">
            <v>40006717</v>
          </cell>
          <cell r="C348" t="str">
            <v>619336-2</v>
          </cell>
          <cell r="D348" t="str">
            <v>D23</v>
          </cell>
        </row>
        <row r="349">
          <cell r="B349">
            <v>40007035</v>
          </cell>
          <cell r="C349" t="str">
            <v>629798-6</v>
          </cell>
          <cell r="D349" t="str">
            <v>D24</v>
          </cell>
        </row>
        <row r="350">
          <cell r="B350">
            <v>40006269</v>
          </cell>
          <cell r="C350" t="str">
            <v>127099-1</v>
          </cell>
          <cell r="D350" t="str">
            <v>D24</v>
          </cell>
        </row>
        <row r="351">
          <cell r="B351">
            <v>40006331</v>
          </cell>
          <cell r="C351" t="str">
            <v>629842-9</v>
          </cell>
          <cell r="D351" t="str">
            <v>D25</v>
          </cell>
        </row>
        <row r="352">
          <cell r="B352">
            <v>40006215</v>
          </cell>
          <cell r="C352" t="str">
            <v>619377-8</v>
          </cell>
          <cell r="D352" t="str">
            <v>D25</v>
          </cell>
        </row>
        <row r="353">
          <cell r="B353">
            <v>40010251</v>
          </cell>
          <cell r="C353" t="str">
            <v>629195-6</v>
          </cell>
          <cell r="D353" t="str">
            <v>D26</v>
          </cell>
        </row>
        <row r="354">
          <cell r="B354">
            <v>40006430</v>
          </cell>
          <cell r="C354" t="str">
            <v>123502-0</v>
          </cell>
          <cell r="D354" t="str">
            <v>D26</v>
          </cell>
        </row>
        <row r="355">
          <cell r="B355">
            <v>10033338</v>
          </cell>
          <cell r="C355">
            <v>3320152</v>
          </cell>
          <cell r="D355" t="str">
            <v>D27</v>
          </cell>
        </row>
        <row r="356">
          <cell r="B356">
            <v>40010268</v>
          </cell>
          <cell r="C356">
            <v>3320120</v>
          </cell>
          <cell r="D356" t="str">
            <v>D27</v>
          </cell>
        </row>
        <row r="357">
          <cell r="B357">
            <v>40006923</v>
          </cell>
          <cell r="C357">
            <v>3641150</v>
          </cell>
          <cell r="D357" t="str">
            <v>D27</v>
          </cell>
        </row>
        <row r="358">
          <cell r="B358">
            <v>40007828</v>
          </cell>
          <cell r="C358" t="str">
            <v>211111-8</v>
          </cell>
          <cell r="D358" t="str">
            <v>D28</v>
          </cell>
        </row>
        <row r="359">
          <cell r="B359">
            <v>40005246</v>
          </cell>
          <cell r="C359" t="str">
            <v>211489-9</v>
          </cell>
          <cell r="D359" t="str">
            <v>D28</v>
          </cell>
        </row>
        <row r="360">
          <cell r="B360">
            <v>40007807</v>
          </cell>
          <cell r="C360" t="str">
            <v>211107-9</v>
          </cell>
          <cell r="D360" t="str">
            <v>D29</v>
          </cell>
        </row>
        <row r="361">
          <cell r="B361">
            <v>40008058</v>
          </cell>
          <cell r="C361" t="str">
            <v>210301-0</v>
          </cell>
          <cell r="D361" t="str">
            <v>D29</v>
          </cell>
        </row>
        <row r="362">
          <cell r="B362">
            <v>40005668</v>
          </cell>
          <cell r="C362" t="str">
            <v>513439-3</v>
          </cell>
          <cell r="D362" t="str">
            <v>D3(S-2)</v>
          </cell>
        </row>
        <row r="363">
          <cell r="B363">
            <v>40006026</v>
          </cell>
          <cell r="C363" t="str">
            <v>417842-9</v>
          </cell>
          <cell r="D363" t="str">
            <v>D30</v>
          </cell>
        </row>
        <row r="364">
          <cell r="B364">
            <v>40007606</v>
          </cell>
          <cell r="C364" t="str">
            <v>211106-1</v>
          </cell>
          <cell r="D364" t="str">
            <v>D30</v>
          </cell>
        </row>
        <row r="365">
          <cell r="B365">
            <v>40007028</v>
          </cell>
          <cell r="C365" t="str">
            <v>211304-7</v>
          </cell>
          <cell r="D365" t="str">
            <v>D31</v>
          </cell>
        </row>
        <row r="366">
          <cell r="B366">
            <v>40007060</v>
          </cell>
          <cell r="C366" t="str">
            <v>210062-2</v>
          </cell>
          <cell r="D366" t="str">
            <v>D32</v>
          </cell>
        </row>
        <row r="367">
          <cell r="B367">
            <v>40007616</v>
          </cell>
          <cell r="C367" t="str">
            <v>211129-9</v>
          </cell>
          <cell r="D367" t="str">
            <v>D32</v>
          </cell>
        </row>
        <row r="368">
          <cell r="B368">
            <v>40006408</v>
          </cell>
          <cell r="C368" t="str">
            <v>122A40-5</v>
          </cell>
          <cell r="D368" t="str">
            <v>D33</v>
          </cell>
        </row>
        <row r="369">
          <cell r="B369">
            <v>40007282</v>
          </cell>
          <cell r="C369" t="str">
            <v>515649-8</v>
          </cell>
          <cell r="D369" t="str">
            <v>D33</v>
          </cell>
        </row>
        <row r="370">
          <cell r="B370">
            <v>40007284</v>
          </cell>
          <cell r="C370" t="str">
            <v>125482-6</v>
          </cell>
          <cell r="D370" t="str">
            <v>D34</v>
          </cell>
        </row>
        <row r="371">
          <cell r="B371">
            <v>40006706</v>
          </cell>
          <cell r="C371" t="str">
            <v>651984-1</v>
          </cell>
          <cell r="D371" t="str">
            <v>D34</v>
          </cell>
        </row>
        <row r="372">
          <cell r="B372">
            <v>40011946</v>
          </cell>
          <cell r="C372" t="str">
            <v>620E44-0</v>
          </cell>
          <cell r="D372" t="str">
            <v>D35</v>
          </cell>
        </row>
        <row r="373">
          <cell r="B373">
            <v>40006024</v>
          </cell>
          <cell r="C373" t="str">
            <v>651393-4</v>
          </cell>
          <cell r="D373" t="str">
            <v>D35</v>
          </cell>
        </row>
        <row r="374">
          <cell r="B374">
            <v>40005462</v>
          </cell>
          <cell r="C374" t="str">
            <v>234251-5</v>
          </cell>
          <cell r="D374" t="str">
            <v>D35</v>
          </cell>
        </row>
        <row r="375">
          <cell r="B375">
            <v>40007657</v>
          </cell>
          <cell r="C375" t="str">
            <v>CB-459</v>
          </cell>
          <cell r="D375" t="str">
            <v>C36</v>
          </cell>
        </row>
        <row r="376">
          <cell r="B376">
            <v>40008248</v>
          </cell>
          <cell r="C376" t="str">
            <v>CB-64</v>
          </cell>
          <cell r="D376" t="str">
            <v>D37</v>
          </cell>
        </row>
        <row r="377">
          <cell r="B377">
            <v>40006249</v>
          </cell>
          <cell r="C377" t="str">
            <v>516288-7</v>
          </cell>
          <cell r="D377" t="str">
            <v>D4</v>
          </cell>
        </row>
        <row r="378">
          <cell r="B378">
            <v>40005754</v>
          </cell>
          <cell r="C378" t="str">
            <v>629458-0</v>
          </cell>
          <cell r="D378" t="str">
            <v>D5</v>
          </cell>
        </row>
        <row r="379">
          <cell r="B379">
            <v>40007785</v>
          </cell>
          <cell r="C379" t="str">
            <v>594438-4</v>
          </cell>
          <cell r="D379" t="str">
            <v>D5</v>
          </cell>
        </row>
        <row r="380">
          <cell r="B380">
            <v>40007406</v>
          </cell>
          <cell r="C380" t="str">
            <v>525099-9</v>
          </cell>
          <cell r="D380" t="str">
            <v>D6</v>
          </cell>
        </row>
        <row r="381">
          <cell r="B381">
            <v>40008301</v>
          </cell>
          <cell r="C381" t="str">
            <v>517034-1</v>
          </cell>
          <cell r="D381" t="str">
            <v>D7</v>
          </cell>
        </row>
        <row r="382">
          <cell r="B382">
            <v>40007674</v>
          </cell>
          <cell r="C382" t="str">
            <v>522017-8</v>
          </cell>
          <cell r="D382" t="str">
            <v>D7</v>
          </cell>
        </row>
        <row r="383">
          <cell r="B383">
            <v>40005934</v>
          </cell>
          <cell r="C383" t="str">
            <v>590087-5</v>
          </cell>
          <cell r="D383" t="str">
            <v>D8</v>
          </cell>
        </row>
        <row r="384">
          <cell r="B384">
            <v>40005361</v>
          </cell>
          <cell r="C384" t="str">
            <v>632U16-9</v>
          </cell>
          <cell r="D384" t="str">
            <v>D8</v>
          </cell>
        </row>
        <row r="385">
          <cell r="B385">
            <v>40005709</v>
          </cell>
          <cell r="C385" t="str">
            <v>636389-6</v>
          </cell>
          <cell r="D385" t="str">
            <v>D9</v>
          </cell>
        </row>
        <row r="386">
          <cell r="B386">
            <v>40003882</v>
          </cell>
          <cell r="C386" t="str">
            <v>633159-4</v>
          </cell>
          <cell r="D386" t="str">
            <v>D9</v>
          </cell>
        </row>
        <row r="387">
          <cell r="B387">
            <v>40007756</v>
          </cell>
          <cell r="C387" t="str">
            <v>593119-7</v>
          </cell>
          <cell r="D387" t="str">
            <v>E1</v>
          </cell>
        </row>
        <row r="388">
          <cell r="B388">
            <v>40007317</v>
          </cell>
          <cell r="C388" t="str">
            <v>619170-0</v>
          </cell>
          <cell r="D388" t="str">
            <v>E10</v>
          </cell>
        </row>
        <row r="389">
          <cell r="B389">
            <v>40007789</v>
          </cell>
          <cell r="C389" t="str">
            <v>593009-4</v>
          </cell>
          <cell r="D389" t="str">
            <v>E10</v>
          </cell>
        </row>
        <row r="390">
          <cell r="B390">
            <v>40007209</v>
          </cell>
          <cell r="C390" t="str">
            <v>626604-6</v>
          </cell>
          <cell r="D390" t="str">
            <v>E11</v>
          </cell>
        </row>
        <row r="391">
          <cell r="B391">
            <v>40007660</v>
          </cell>
          <cell r="C391" t="str">
            <v>626634-7</v>
          </cell>
          <cell r="D391" t="str">
            <v>E11</v>
          </cell>
        </row>
        <row r="392">
          <cell r="B392">
            <v>40011818</v>
          </cell>
          <cell r="C392" t="str">
            <v>629454-8</v>
          </cell>
          <cell r="D392" t="str">
            <v>E12</v>
          </cell>
        </row>
        <row r="393">
          <cell r="B393">
            <v>40005874</v>
          </cell>
          <cell r="C393" t="str">
            <v>621818-2</v>
          </cell>
          <cell r="D393" t="str">
            <v>E12</v>
          </cell>
        </row>
        <row r="394">
          <cell r="B394">
            <v>40003866</v>
          </cell>
          <cell r="C394" t="str">
            <v>633414-4</v>
          </cell>
          <cell r="D394" t="str">
            <v>E13</v>
          </cell>
        </row>
        <row r="395">
          <cell r="B395">
            <v>40007107</v>
          </cell>
          <cell r="C395" t="str">
            <v>517414-1</v>
          </cell>
          <cell r="D395" t="str">
            <v>E13</v>
          </cell>
        </row>
        <row r="396">
          <cell r="B396">
            <v>40007131</v>
          </cell>
          <cell r="C396" t="str">
            <v>515699-3</v>
          </cell>
          <cell r="D396" t="str">
            <v>E14</v>
          </cell>
        </row>
        <row r="397">
          <cell r="B397">
            <v>40007456</v>
          </cell>
          <cell r="C397" t="str">
            <v>515099-7</v>
          </cell>
          <cell r="D397" t="str">
            <v>E15</v>
          </cell>
        </row>
        <row r="398">
          <cell r="B398">
            <v>40005912</v>
          </cell>
          <cell r="C398" t="str">
            <v>629178-6</v>
          </cell>
          <cell r="D398" t="str">
            <v>E15</v>
          </cell>
        </row>
        <row r="399">
          <cell r="B399">
            <v>40007982</v>
          </cell>
          <cell r="C399" t="str">
            <v>619198-8</v>
          </cell>
          <cell r="D399" t="str">
            <v>E16</v>
          </cell>
        </row>
        <row r="400">
          <cell r="B400">
            <v>40011917</v>
          </cell>
          <cell r="C400" t="str">
            <v>510613-4</v>
          </cell>
          <cell r="D400" t="str">
            <v>E16</v>
          </cell>
        </row>
        <row r="401">
          <cell r="B401">
            <v>40005885</v>
          </cell>
          <cell r="C401" t="str">
            <v>127499-5</v>
          </cell>
          <cell r="D401" t="str">
            <v>E17</v>
          </cell>
        </row>
        <row r="402">
          <cell r="B402">
            <v>40005873</v>
          </cell>
          <cell r="C402" t="str">
            <v>522459-6</v>
          </cell>
          <cell r="D402" t="str">
            <v>E17</v>
          </cell>
        </row>
        <row r="403">
          <cell r="B403">
            <v>40006354</v>
          </cell>
          <cell r="C403" t="str">
            <v>510198-0</v>
          </cell>
          <cell r="D403" t="str">
            <v>E18</v>
          </cell>
        </row>
        <row r="404">
          <cell r="B404">
            <v>40005790</v>
          </cell>
          <cell r="C404" t="str">
            <v>517108-8</v>
          </cell>
          <cell r="D404" t="str">
            <v>E19</v>
          </cell>
        </row>
        <row r="405">
          <cell r="B405">
            <v>40006546</v>
          </cell>
          <cell r="C405" t="str">
            <v>127729-4</v>
          </cell>
          <cell r="D405" t="str">
            <v>E19</v>
          </cell>
        </row>
        <row r="406">
          <cell r="B406">
            <v>40005252</v>
          </cell>
          <cell r="C406" t="str">
            <v>619737-4</v>
          </cell>
          <cell r="D406" t="str">
            <v>E2</v>
          </cell>
        </row>
        <row r="407">
          <cell r="B407">
            <v>40008149</v>
          </cell>
          <cell r="C407" t="str">
            <v>513748-0</v>
          </cell>
          <cell r="D407" t="str">
            <v>E2 (S-1)</v>
          </cell>
        </row>
        <row r="408">
          <cell r="B408">
            <v>40007124</v>
          </cell>
          <cell r="C408" t="str">
            <v>633579-2</v>
          </cell>
          <cell r="D408" t="str">
            <v>E20</v>
          </cell>
        </row>
        <row r="409">
          <cell r="B409">
            <v>40007007</v>
          </cell>
          <cell r="C409" t="str">
            <v>526584-5</v>
          </cell>
          <cell r="D409" t="str">
            <v>E20</v>
          </cell>
        </row>
        <row r="410">
          <cell r="B410">
            <v>40007676</v>
          </cell>
          <cell r="C410" t="str">
            <v>522479-0</v>
          </cell>
          <cell r="D410" t="str">
            <v>E21</v>
          </cell>
        </row>
        <row r="411">
          <cell r="B411">
            <v>40007444</v>
          </cell>
          <cell r="C411" t="str">
            <v>514824-3</v>
          </cell>
          <cell r="D411" t="str">
            <v>E21(S-1)</v>
          </cell>
        </row>
        <row r="412">
          <cell r="B412">
            <v>40006218</v>
          </cell>
          <cell r="C412" t="str">
            <v>126459-4</v>
          </cell>
          <cell r="D412" t="str">
            <v>E22</v>
          </cell>
        </row>
        <row r="413">
          <cell r="B413">
            <v>40007167</v>
          </cell>
          <cell r="C413" t="str">
            <v>629853-4</v>
          </cell>
          <cell r="D413" t="str">
            <v>E22</v>
          </cell>
        </row>
        <row r="414">
          <cell r="B414">
            <v>10018484</v>
          </cell>
          <cell r="C414" t="str">
            <v>620B33-7</v>
          </cell>
          <cell r="D414" t="str">
            <v>E23</v>
          </cell>
        </row>
        <row r="415">
          <cell r="B415">
            <v>40007693</v>
          </cell>
          <cell r="C415" t="str">
            <v>125237-9</v>
          </cell>
          <cell r="D415" t="str">
            <v>E24</v>
          </cell>
        </row>
        <row r="416">
          <cell r="B416">
            <v>40006497</v>
          </cell>
          <cell r="C416" t="str">
            <v>629224-5</v>
          </cell>
          <cell r="D416" t="str">
            <v>E24</v>
          </cell>
        </row>
        <row r="417">
          <cell r="B417">
            <v>40010406</v>
          </cell>
          <cell r="C417" t="str">
            <v>629937-8</v>
          </cell>
          <cell r="D417" t="str">
            <v>E25</v>
          </cell>
        </row>
        <row r="418">
          <cell r="B418">
            <v>40005705</v>
          </cell>
          <cell r="C418" t="str">
            <v>633834-2</v>
          </cell>
          <cell r="D418" t="str">
            <v>E25</v>
          </cell>
        </row>
        <row r="419">
          <cell r="B419">
            <v>40005882</v>
          </cell>
          <cell r="C419" t="str">
            <v>123867-0</v>
          </cell>
          <cell r="D419" t="str">
            <v>E26</v>
          </cell>
        </row>
        <row r="420">
          <cell r="B420">
            <v>40005353</v>
          </cell>
          <cell r="C420" t="str">
            <v>629228-7</v>
          </cell>
          <cell r="D420" t="str">
            <v>E26</v>
          </cell>
        </row>
        <row r="421">
          <cell r="B421">
            <v>40010228</v>
          </cell>
          <cell r="C421" t="str">
            <v>522166-1</v>
          </cell>
          <cell r="D421" t="str">
            <v>E27</v>
          </cell>
        </row>
        <row r="422">
          <cell r="B422">
            <v>40010230</v>
          </cell>
          <cell r="C422" t="str">
            <v>633714-2</v>
          </cell>
          <cell r="D422" t="str">
            <v>E27</v>
          </cell>
        </row>
        <row r="423">
          <cell r="B423">
            <v>40007781</v>
          </cell>
          <cell r="C423" t="str">
            <v>524509-3</v>
          </cell>
          <cell r="D423" t="str">
            <v>E27</v>
          </cell>
        </row>
        <row r="424">
          <cell r="B424">
            <v>40006775</v>
          </cell>
          <cell r="C424" t="str">
            <v>211282-1</v>
          </cell>
          <cell r="D424" t="str">
            <v>E28</v>
          </cell>
        </row>
        <row r="425">
          <cell r="B425">
            <v>40010977</v>
          </cell>
          <cell r="C425" t="str">
            <v>651066-9</v>
          </cell>
          <cell r="D425" t="str">
            <v>E28</v>
          </cell>
        </row>
        <row r="426">
          <cell r="B426">
            <v>40010371</v>
          </cell>
          <cell r="C426" t="str">
            <v>211241-5</v>
          </cell>
          <cell r="D426" t="str">
            <v>E29</v>
          </cell>
        </row>
        <row r="427">
          <cell r="B427">
            <v>40006885</v>
          </cell>
          <cell r="C427" t="str">
            <v>210023-2</v>
          </cell>
          <cell r="D427" t="str">
            <v>E29</v>
          </cell>
        </row>
        <row r="428">
          <cell r="B428">
            <v>40007283</v>
          </cell>
          <cell r="C428" t="str">
            <v>633624-3</v>
          </cell>
          <cell r="D428" t="str">
            <v>E3</v>
          </cell>
        </row>
        <row r="429">
          <cell r="B429">
            <v>40007448</v>
          </cell>
          <cell r="C429" t="str">
            <v>512555-8</v>
          </cell>
          <cell r="D429" t="str">
            <v>E3</v>
          </cell>
        </row>
        <row r="430">
          <cell r="B430">
            <v>40005919</v>
          </cell>
          <cell r="C430" t="str">
            <v>140M12-0</v>
          </cell>
          <cell r="D430" t="str">
            <v>E30</v>
          </cell>
        </row>
        <row r="431">
          <cell r="B431">
            <v>40007647</v>
          </cell>
          <cell r="C431" t="str">
            <v>210107-6</v>
          </cell>
          <cell r="D431" t="str">
            <v>E30</v>
          </cell>
        </row>
        <row r="432">
          <cell r="B432">
            <v>40007638</v>
          </cell>
          <cell r="C432" t="str">
            <v>211326-7</v>
          </cell>
          <cell r="D432" t="str">
            <v>E31</v>
          </cell>
        </row>
        <row r="433">
          <cell r="B433">
            <v>40006853</v>
          </cell>
          <cell r="C433" t="str">
            <v>211021-9</v>
          </cell>
          <cell r="D433" t="str">
            <v>E31</v>
          </cell>
        </row>
        <row r="434">
          <cell r="B434">
            <v>40005460</v>
          </cell>
          <cell r="C434" t="str">
            <v>219024-7</v>
          </cell>
          <cell r="D434" t="str">
            <v>E32</v>
          </cell>
        </row>
        <row r="435">
          <cell r="B435">
            <v>40008077</v>
          </cell>
          <cell r="C435" t="str">
            <v>211211-4</v>
          </cell>
          <cell r="D435" t="str">
            <v>E32</v>
          </cell>
        </row>
        <row r="436">
          <cell r="B436">
            <v>40005298</v>
          </cell>
          <cell r="C436" t="str">
            <v>219021-3</v>
          </cell>
          <cell r="D436" t="str">
            <v>E33</v>
          </cell>
        </row>
        <row r="437">
          <cell r="B437">
            <v>40007808</v>
          </cell>
          <cell r="C437" t="str">
            <v>210043-6</v>
          </cell>
          <cell r="D437" t="str">
            <v>E34</v>
          </cell>
        </row>
        <row r="438">
          <cell r="B438">
            <v>40007826</v>
          </cell>
          <cell r="C438" t="str">
            <v>211201-7</v>
          </cell>
          <cell r="D438" t="str">
            <v>E34</v>
          </cell>
        </row>
        <row r="439">
          <cell r="B439">
            <v>40005245</v>
          </cell>
          <cell r="C439" t="str">
            <v>210216-1</v>
          </cell>
          <cell r="D439" t="str">
            <v>E33</v>
          </cell>
        </row>
        <row r="440">
          <cell r="B440">
            <v>40006873</v>
          </cell>
          <cell r="C440" t="str">
            <v>210059-1</v>
          </cell>
          <cell r="D440" t="str">
            <v>E35</v>
          </cell>
        </row>
        <row r="441">
          <cell r="B441">
            <v>40007550</v>
          </cell>
          <cell r="C441" t="str">
            <v>CB-415</v>
          </cell>
          <cell r="D441" t="str">
            <v>A37</v>
          </cell>
        </row>
        <row r="442">
          <cell r="B442">
            <v>40006244</v>
          </cell>
          <cell r="C442" t="str">
            <v>510227-9</v>
          </cell>
          <cell r="D442" t="str">
            <v>E4(D4)</v>
          </cell>
        </row>
        <row r="443">
          <cell r="B443">
            <v>40007464</v>
          </cell>
          <cell r="C443" t="str">
            <v>511699-1</v>
          </cell>
          <cell r="D443" t="str">
            <v>E5</v>
          </cell>
        </row>
        <row r="444">
          <cell r="B444">
            <v>40007503</v>
          </cell>
          <cell r="C444" t="str">
            <v>516813-4</v>
          </cell>
          <cell r="D444" t="str">
            <v>E6</v>
          </cell>
        </row>
        <row r="445">
          <cell r="B445">
            <v>40005262</v>
          </cell>
          <cell r="C445" t="str">
            <v>513944-0</v>
          </cell>
          <cell r="D445" t="str">
            <v>E6</v>
          </cell>
        </row>
        <row r="446">
          <cell r="B446">
            <v>40005975</v>
          </cell>
          <cell r="C446" t="str">
            <v>625704-9</v>
          </cell>
          <cell r="D446" t="str">
            <v>E7</v>
          </cell>
        </row>
        <row r="447">
          <cell r="B447">
            <v>40007758</v>
          </cell>
          <cell r="C447" t="str">
            <v>523027-8</v>
          </cell>
          <cell r="D447" t="str">
            <v>E7</v>
          </cell>
        </row>
        <row r="448">
          <cell r="B448">
            <v>40006253</v>
          </cell>
          <cell r="C448" t="str">
            <v>526074-8</v>
          </cell>
          <cell r="D448" t="str">
            <v>E8</v>
          </cell>
        </row>
        <row r="449">
          <cell r="B449">
            <v>40005362</v>
          </cell>
          <cell r="C449" t="str">
            <v>519173-3</v>
          </cell>
          <cell r="D449" t="str">
            <v>E9</v>
          </cell>
        </row>
        <row r="450">
          <cell r="B450">
            <v>40006884</v>
          </cell>
          <cell r="C450" t="str">
            <v>517683-4</v>
          </cell>
          <cell r="D450" t="str">
            <v>F1</v>
          </cell>
        </row>
        <row r="451">
          <cell r="B451">
            <v>40007460</v>
          </cell>
          <cell r="C451" t="str">
            <v>516643-3</v>
          </cell>
          <cell r="D451" t="str">
            <v>F10</v>
          </cell>
        </row>
        <row r="452">
          <cell r="B452">
            <v>40007306</v>
          </cell>
          <cell r="C452" t="str">
            <v>517448-4</v>
          </cell>
          <cell r="D452" t="str">
            <v>F11</v>
          </cell>
        </row>
        <row r="453">
          <cell r="B453">
            <v>40008021</v>
          </cell>
          <cell r="C453" t="str">
            <v>510259-6</v>
          </cell>
          <cell r="D453" t="str">
            <v>F12</v>
          </cell>
        </row>
        <row r="454">
          <cell r="B454">
            <v>40005284</v>
          </cell>
          <cell r="C454" t="str">
            <v>233152-4</v>
          </cell>
          <cell r="D454" t="str">
            <v>F13</v>
          </cell>
        </row>
        <row r="455">
          <cell r="B455">
            <v>40005195</v>
          </cell>
          <cell r="C455" t="str">
            <v>144929-1</v>
          </cell>
          <cell r="D455" t="str">
            <v>F13</v>
          </cell>
        </row>
        <row r="456">
          <cell r="B456">
            <v>40011826</v>
          </cell>
          <cell r="C456" t="str">
            <v>140J53-8</v>
          </cell>
          <cell r="D456" t="str">
            <v>F13</v>
          </cell>
        </row>
        <row r="457">
          <cell r="B457">
            <v>40006401</v>
          </cell>
          <cell r="C457" t="str">
            <v>JM23100078</v>
          </cell>
          <cell r="D457" t="str">
            <v>F13</v>
          </cell>
        </row>
        <row r="458">
          <cell r="B458">
            <v>40011882</v>
          </cell>
          <cell r="C458" t="str">
            <v>227B90-2</v>
          </cell>
          <cell r="D458" t="str">
            <v>F13</v>
          </cell>
        </row>
        <row r="459">
          <cell r="B459">
            <v>40010364</v>
          </cell>
          <cell r="C459" t="str">
            <v>593644-8</v>
          </cell>
          <cell r="D459" t="str">
            <v>F14</v>
          </cell>
        </row>
        <row r="460">
          <cell r="B460">
            <v>40007779</v>
          </cell>
          <cell r="C460" t="str">
            <v>529083-6</v>
          </cell>
          <cell r="D460" t="str">
            <v>F15</v>
          </cell>
        </row>
        <row r="461">
          <cell r="B461">
            <v>40007791</v>
          </cell>
          <cell r="C461" t="str">
            <v>529090-9</v>
          </cell>
          <cell r="D461" t="str">
            <v>F16</v>
          </cell>
        </row>
        <row r="462">
          <cell r="B462">
            <v>40010334</v>
          </cell>
          <cell r="C462" t="str">
            <v>621713-6</v>
          </cell>
          <cell r="D462" t="str">
            <v>F17</v>
          </cell>
        </row>
        <row r="463">
          <cell r="B463">
            <v>40007755</v>
          </cell>
          <cell r="C463" t="str">
            <v>524754-0</v>
          </cell>
          <cell r="D463" t="str">
            <v>F18</v>
          </cell>
        </row>
        <row r="464">
          <cell r="B464">
            <v>40006539</v>
          </cell>
          <cell r="C464" t="str">
            <v>638020-0</v>
          </cell>
          <cell r="D464" t="str">
            <v>F18</v>
          </cell>
        </row>
        <row r="465">
          <cell r="B465">
            <v>40006053</v>
          </cell>
          <cell r="C465" t="str">
            <v>526234-2</v>
          </cell>
          <cell r="D465" t="str">
            <v>F19</v>
          </cell>
        </row>
        <row r="466">
          <cell r="B466">
            <v>40005926</v>
          </cell>
          <cell r="C466" t="str">
            <v>633799-8</v>
          </cell>
          <cell r="D466" t="str">
            <v>F19</v>
          </cell>
        </row>
        <row r="467">
          <cell r="B467">
            <v>40005820</v>
          </cell>
          <cell r="C467" t="str">
            <v>519226-8</v>
          </cell>
          <cell r="D467" t="str">
            <v>F2</v>
          </cell>
        </row>
        <row r="468">
          <cell r="B468">
            <v>40007482</v>
          </cell>
          <cell r="C468" t="str">
            <v>515684-6</v>
          </cell>
          <cell r="D468" t="str">
            <v>F20</v>
          </cell>
        </row>
        <row r="469">
          <cell r="B469">
            <v>40007493</v>
          </cell>
          <cell r="C469" t="str">
            <v>629827-5</v>
          </cell>
          <cell r="D469" t="str">
            <v>F20</v>
          </cell>
        </row>
        <row r="470">
          <cell r="B470">
            <v>40007178</v>
          </cell>
          <cell r="C470" t="str">
            <v>593739-7</v>
          </cell>
          <cell r="D470" t="str">
            <v>F21</v>
          </cell>
        </row>
        <row r="471">
          <cell r="B471">
            <v>40007977</v>
          </cell>
          <cell r="C471" t="str">
            <v>125460-6</v>
          </cell>
          <cell r="D471" t="str">
            <v>F22</v>
          </cell>
        </row>
        <row r="472">
          <cell r="B472">
            <v>40006445</v>
          </cell>
          <cell r="C472" t="str">
            <v>123443-0</v>
          </cell>
          <cell r="D472" t="str">
            <v>F22</v>
          </cell>
        </row>
        <row r="473">
          <cell r="B473">
            <v>40006834</v>
          </cell>
          <cell r="C473" t="str">
            <v>633789-1</v>
          </cell>
          <cell r="D473" t="str">
            <v>F23</v>
          </cell>
        </row>
        <row r="474">
          <cell r="B474">
            <v>40007677</v>
          </cell>
          <cell r="C474" t="str">
            <v>522226-9</v>
          </cell>
          <cell r="D474" t="str">
            <v>F23</v>
          </cell>
        </row>
        <row r="475">
          <cell r="B475">
            <v>40008130</v>
          </cell>
          <cell r="C475" t="str">
            <v>635099-2</v>
          </cell>
          <cell r="D475" t="str">
            <v>F24</v>
          </cell>
        </row>
        <row r="476">
          <cell r="B476">
            <v>40007775</v>
          </cell>
          <cell r="C476" t="str">
            <v>621658-8</v>
          </cell>
          <cell r="D476" t="str">
            <v>F24</v>
          </cell>
        </row>
        <row r="477">
          <cell r="B477">
            <v>40007204</v>
          </cell>
          <cell r="C477" t="str">
            <v>125484-2</v>
          </cell>
          <cell r="D477" t="str">
            <v>F25</v>
          </cell>
        </row>
        <row r="478">
          <cell r="B478">
            <v>40005358</v>
          </cell>
          <cell r="C478" t="str">
            <v>633994-0</v>
          </cell>
          <cell r="D478" t="str">
            <v>F25</v>
          </cell>
        </row>
        <row r="479">
          <cell r="B479">
            <v>40006448</v>
          </cell>
          <cell r="C479" t="str">
            <v>629167-1</v>
          </cell>
          <cell r="D479" t="str">
            <v>F26</v>
          </cell>
        </row>
        <row r="480">
          <cell r="B480">
            <v>40006352</v>
          </cell>
          <cell r="C480" t="str">
            <v>619353-2</v>
          </cell>
          <cell r="D480" t="str">
            <v>F26</v>
          </cell>
        </row>
        <row r="481">
          <cell r="B481">
            <v>40007771</v>
          </cell>
          <cell r="C481" t="str">
            <v>636009-2</v>
          </cell>
          <cell r="D481" t="str">
            <v>F27</v>
          </cell>
        </row>
        <row r="482">
          <cell r="B482">
            <v>40006921</v>
          </cell>
          <cell r="C482">
            <v>3640920</v>
          </cell>
          <cell r="D482" t="str">
            <v>F27</v>
          </cell>
        </row>
        <row r="483">
          <cell r="B483">
            <v>40005677</v>
          </cell>
          <cell r="C483" t="str">
            <v>211341-1</v>
          </cell>
          <cell r="D483" t="str">
            <v>F28</v>
          </cell>
        </row>
        <row r="484">
          <cell r="B484">
            <v>40007067</v>
          </cell>
          <cell r="C484" t="str">
            <v>210042-8</v>
          </cell>
          <cell r="D484" t="str">
            <v>F28</v>
          </cell>
        </row>
        <row r="485">
          <cell r="B485">
            <v>40007820</v>
          </cell>
          <cell r="C485" t="str">
            <v>211206-7</v>
          </cell>
          <cell r="D485" t="str">
            <v>F29</v>
          </cell>
        </row>
        <row r="486">
          <cell r="B486">
            <v>40010958</v>
          </cell>
          <cell r="C486" t="str">
            <v>6202LLB</v>
          </cell>
          <cell r="D486" t="str">
            <v>F29</v>
          </cell>
        </row>
        <row r="487">
          <cell r="B487">
            <v>40007387</v>
          </cell>
          <cell r="C487" t="str">
            <v>743009-6</v>
          </cell>
          <cell r="D487" t="str">
            <v>F29</v>
          </cell>
        </row>
        <row r="488">
          <cell r="B488">
            <v>40007767</v>
          </cell>
          <cell r="C488" t="str">
            <v>596144-7</v>
          </cell>
          <cell r="D488" t="str">
            <v>F3</v>
          </cell>
        </row>
        <row r="489">
          <cell r="B489">
            <v>40007818</v>
          </cell>
          <cell r="C489" t="str">
            <v>211066-7</v>
          </cell>
          <cell r="D489" t="str">
            <v>F30</v>
          </cell>
        </row>
        <row r="490">
          <cell r="B490">
            <v>40005474</v>
          </cell>
          <cell r="C490" t="str">
            <v>141477-1</v>
          </cell>
          <cell r="D490" t="str">
            <v>F30</v>
          </cell>
        </row>
        <row r="491">
          <cell r="B491">
            <v>40005468</v>
          </cell>
          <cell r="C491" t="str">
            <v>456039-5</v>
          </cell>
          <cell r="D491" t="str">
            <v>F30</v>
          </cell>
        </row>
        <row r="492">
          <cell r="B492">
            <v>40006022</v>
          </cell>
          <cell r="C492" t="str">
            <v>327376-3</v>
          </cell>
          <cell r="D492" t="str">
            <v>F30</v>
          </cell>
        </row>
        <row r="493">
          <cell r="B493">
            <v>40005418</v>
          </cell>
          <cell r="C493" t="str">
            <v>593889-8</v>
          </cell>
          <cell r="D493" t="str">
            <v>F31</v>
          </cell>
        </row>
        <row r="494">
          <cell r="B494">
            <v>40007829</v>
          </cell>
          <cell r="C494" t="str">
            <v>210028-2</v>
          </cell>
          <cell r="D494" t="str">
            <v>F31</v>
          </cell>
        </row>
        <row r="495">
          <cell r="B495">
            <v>40007816</v>
          </cell>
          <cell r="C495" t="str">
            <v>211103-7</v>
          </cell>
          <cell r="D495" t="str">
            <v>F32</v>
          </cell>
        </row>
        <row r="496">
          <cell r="B496">
            <v>40003868</v>
          </cell>
          <cell r="C496" t="str">
            <v>211061-7</v>
          </cell>
          <cell r="D496" t="str">
            <v>F32</v>
          </cell>
        </row>
        <row r="497">
          <cell r="B497">
            <v>40007822</v>
          </cell>
          <cell r="C497" t="str">
            <v>211032-4</v>
          </cell>
          <cell r="D497" t="str">
            <v>F33</v>
          </cell>
        </row>
        <row r="498">
          <cell r="B498">
            <v>40007812</v>
          </cell>
          <cell r="C498" t="str">
            <v>6200ZZ</v>
          </cell>
          <cell r="D498" t="str">
            <v>F33</v>
          </cell>
        </row>
        <row r="499">
          <cell r="B499">
            <v>40008290</v>
          </cell>
          <cell r="C499" t="str">
            <v>210025-8</v>
          </cell>
          <cell r="D499" t="str">
            <v>D31</v>
          </cell>
        </row>
        <row r="500">
          <cell r="B500">
            <v>40010578</v>
          </cell>
          <cell r="C500" t="str">
            <v>211062-5</v>
          </cell>
          <cell r="D500" t="str">
            <v>F34</v>
          </cell>
        </row>
        <row r="501">
          <cell r="B501">
            <v>40010372</v>
          </cell>
          <cell r="C501" t="str">
            <v>211092-6</v>
          </cell>
          <cell r="D501" t="str">
            <v>F34</v>
          </cell>
        </row>
        <row r="502">
          <cell r="B502">
            <v>40007824</v>
          </cell>
          <cell r="C502" t="str">
            <v>211028-5</v>
          </cell>
          <cell r="D502" t="str">
            <v>F34</v>
          </cell>
        </row>
        <row r="503">
          <cell r="B503">
            <v>40005357</v>
          </cell>
          <cell r="C503" t="str">
            <v>513989-8</v>
          </cell>
          <cell r="D503" t="str">
            <v>F35</v>
          </cell>
        </row>
        <row r="504">
          <cell r="B504">
            <v>40007799</v>
          </cell>
          <cell r="C504" t="str">
            <v>CB-430</v>
          </cell>
          <cell r="D504" t="str">
            <v>F36</v>
          </cell>
        </row>
        <row r="505">
          <cell r="B505">
            <v>40007547</v>
          </cell>
          <cell r="C505" t="str">
            <v>CB-155</v>
          </cell>
          <cell r="D505" t="str">
            <v>F37</v>
          </cell>
        </row>
        <row r="506">
          <cell r="B506">
            <v>40007619</v>
          </cell>
          <cell r="C506" t="str">
            <v>CB-85</v>
          </cell>
          <cell r="D506" t="str">
            <v>F37</v>
          </cell>
        </row>
        <row r="507">
          <cell r="B507">
            <v>40005231</v>
          </cell>
          <cell r="C507" t="str">
            <v>510188-3</v>
          </cell>
          <cell r="D507" t="str">
            <v>F4</v>
          </cell>
        </row>
        <row r="508">
          <cell r="B508">
            <v>40010322</v>
          </cell>
          <cell r="C508" t="str">
            <v>515829-6</v>
          </cell>
          <cell r="D508" t="str">
            <v>F4</v>
          </cell>
        </row>
        <row r="509">
          <cell r="B509">
            <v>40006386</v>
          </cell>
          <cell r="C509" t="str">
            <v>515734-7</v>
          </cell>
          <cell r="D509" t="str">
            <v>F4</v>
          </cell>
        </row>
        <row r="510">
          <cell r="B510">
            <v>40005250</v>
          </cell>
          <cell r="C510" t="str">
            <v>529187-4</v>
          </cell>
          <cell r="D510" t="str">
            <v>F5</v>
          </cell>
        </row>
        <row r="511">
          <cell r="B511">
            <v>40005230</v>
          </cell>
          <cell r="C511" t="str">
            <v>629220-3</v>
          </cell>
          <cell r="D511" t="str">
            <v>F5</v>
          </cell>
        </row>
        <row r="512">
          <cell r="B512">
            <v>40005232</v>
          </cell>
          <cell r="C512" t="str">
            <v>633733-8</v>
          </cell>
          <cell r="D512" t="str">
            <v>F5</v>
          </cell>
        </row>
        <row r="513">
          <cell r="B513">
            <v>40006459</v>
          </cell>
          <cell r="C513" t="str">
            <v>512654-6</v>
          </cell>
          <cell r="D513" t="str">
            <v>F6</v>
          </cell>
        </row>
        <row r="514">
          <cell r="B514">
            <v>40007745</v>
          </cell>
          <cell r="C514" t="str">
            <v>513509-8</v>
          </cell>
          <cell r="D514" t="str">
            <v>F7</v>
          </cell>
        </row>
        <row r="515">
          <cell r="B515">
            <v>40006831</v>
          </cell>
          <cell r="C515" t="str">
            <v>515854-7</v>
          </cell>
          <cell r="D515" t="str">
            <v>F8</v>
          </cell>
        </row>
        <row r="516">
          <cell r="B516">
            <v>40007215</v>
          </cell>
          <cell r="C516" t="str">
            <v>517404-4</v>
          </cell>
          <cell r="D516" t="str">
            <v>F9</v>
          </cell>
        </row>
        <row r="517">
          <cell r="B517">
            <v>40011820</v>
          </cell>
          <cell r="C517" t="str">
            <v>619841-9</v>
          </cell>
          <cell r="D517" t="str">
            <v>F9</v>
          </cell>
        </row>
        <row r="518">
          <cell r="B518">
            <v>40008302</v>
          </cell>
          <cell r="C518" t="str">
            <v>515859-7</v>
          </cell>
          <cell r="D518" t="str">
            <v>G1</v>
          </cell>
        </row>
        <row r="519">
          <cell r="B519">
            <v>40007947</v>
          </cell>
          <cell r="C519" t="str">
            <v>510208-3</v>
          </cell>
          <cell r="D519" t="str">
            <v>G10</v>
          </cell>
        </row>
        <row r="520">
          <cell r="B520">
            <v>40003863</v>
          </cell>
          <cell r="C520" t="str">
            <v>514549-9</v>
          </cell>
          <cell r="D520" t="str">
            <v>G11</v>
          </cell>
        </row>
        <row r="521">
          <cell r="B521">
            <v>40006874</v>
          </cell>
          <cell r="C521" t="str">
            <v>519199-5</v>
          </cell>
          <cell r="D521" t="str">
            <v>G11</v>
          </cell>
        </row>
        <row r="522">
          <cell r="B522">
            <v>40007169</v>
          </cell>
          <cell r="C522" t="str">
            <v>318484-1</v>
          </cell>
          <cell r="D522" t="str">
            <v>G12</v>
          </cell>
        </row>
        <row r="523">
          <cell r="B523">
            <v>10019766</v>
          </cell>
          <cell r="C523">
            <v>3641950</v>
          </cell>
          <cell r="D523" t="str">
            <v>G13</v>
          </cell>
        </row>
        <row r="524">
          <cell r="B524">
            <v>40006277</v>
          </cell>
          <cell r="C524" t="str">
            <v>123868-8</v>
          </cell>
          <cell r="D524" t="str">
            <v>G14</v>
          </cell>
        </row>
        <row r="525">
          <cell r="B525">
            <v>40010564</v>
          </cell>
          <cell r="C525" t="str">
            <v>451929-7</v>
          </cell>
          <cell r="D525" t="str">
            <v>G15</v>
          </cell>
        </row>
        <row r="526">
          <cell r="B526">
            <v>40003864</v>
          </cell>
          <cell r="C526" t="str">
            <v>512639-2</v>
          </cell>
          <cell r="D526" t="str">
            <v>G16(S-1)</v>
          </cell>
        </row>
        <row r="527">
          <cell r="B527">
            <v>40010337</v>
          </cell>
          <cell r="C527" t="str">
            <v>633793-0</v>
          </cell>
          <cell r="D527" t="str">
            <v>G16</v>
          </cell>
        </row>
        <row r="528">
          <cell r="B528">
            <v>40007445</v>
          </cell>
          <cell r="C528" t="str">
            <v>514559-6</v>
          </cell>
          <cell r="D528" t="str">
            <v>G17</v>
          </cell>
        </row>
        <row r="529">
          <cell r="B529">
            <v>40005409</v>
          </cell>
          <cell r="C529" t="str">
            <v>629A16-8</v>
          </cell>
          <cell r="D529" t="str">
            <v>G18</v>
          </cell>
        </row>
        <row r="530">
          <cell r="B530">
            <v>40005536</v>
          </cell>
          <cell r="C530" t="str">
            <v>519630-1</v>
          </cell>
          <cell r="D530" t="str">
            <v>G18</v>
          </cell>
        </row>
        <row r="531">
          <cell r="B531">
            <v>40005619</v>
          </cell>
          <cell r="C531" t="str">
            <v>513864-8</v>
          </cell>
          <cell r="D531" t="str">
            <v>G19</v>
          </cell>
        </row>
        <row r="532">
          <cell r="B532">
            <v>40007776</v>
          </cell>
          <cell r="C532" t="str">
            <v>522639-4</v>
          </cell>
          <cell r="D532" t="str">
            <v>G19</v>
          </cell>
        </row>
        <row r="533">
          <cell r="B533">
            <v>40007055</v>
          </cell>
          <cell r="C533" t="str">
            <v>517424-8</v>
          </cell>
          <cell r="D533" t="str">
            <v>G2</v>
          </cell>
        </row>
        <row r="534">
          <cell r="B534">
            <v>40006192</v>
          </cell>
          <cell r="C534" t="str">
            <v>629232-6</v>
          </cell>
          <cell r="D534" t="str">
            <v>G20</v>
          </cell>
        </row>
        <row r="535">
          <cell r="B535">
            <v>40005876</v>
          </cell>
          <cell r="C535" t="str">
            <v>457478-2</v>
          </cell>
          <cell r="D535" t="str">
            <v>G21</v>
          </cell>
        </row>
        <row r="536">
          <cell r="B536">
            <v>40007679</v>
          </cell>
          <cell r="C536" t="str">
            <v>523037-5</v>
          </cell>
          <cell r="D536" t="str">
            <v>G22</v>
          </cell>
        </row>
        <row r="537">
          <cell r="B537">
            <v>40007765</v>
          </cell>
          <cell r="C537" t="str">
            <v>634299-1</v>
          </cell>
          <cell r="D537" t="str">
            <v>G22</v>
          </cell>
        </row>
        <row r="538">
          <cell r="B538">
            <v>40006496</v>
          </cell>
          <cell r="C538" t="str">
            <v>127511-1</v>
          </cell>
          <cell r="D538" t="str">
            <v>G23</v>
          </cell>
        </row>
        <row r="539">
          <cell r="B539">
            <v>40005921</v>
          </cell>
          <cell r="C539" t="str">
            <v>619393-0</v>
          </cell>
          <cell r="D539" t="str">
            <v>G24</v>
          </cell>
        </row>
        <row r="540">
          <cell r="B540">
            <v>40005381</v>
          </cell>
          <cell r="C540" t="str">
            <v>619408-3</v>
          </cell>
          <cell r="D540" t="str">
            <v>G24</v>
          </cell>
        </row>
        <row r="541">
          <cell r="B541">
            <v>40006320</v>
          </cell>
          <cell r="C541" t="str">
            <v>520040-7</v>
          </cell>
          <cell r="D541" t="str">
            <v>G25</v>
          </cell>
        </row>
        <row r="542">
          <cell r="B542">
            <v>40008294</v>
          </cell>
          <cell r="C542" t="str">
            <v>125348-0</v>
          </cell>
          <cell r="D542" t="str">
            <v>G26</v>
          </cell>
        </row>
        <row r="543">
          <cell r="B543">
            <v>40007171</v>
          </cell>
          <cell r="C543" t="str">
            <v>629851-8</v>
          </cell>
          <cell r="D543" t="str">
            <v>G26</v>
          </cell>
        </row>
        <row r="544">
          <cell r="B544">
            <v>40005712</v>
          </cell>
          <cell r="C544" t="str">
            <v>454826-6</v>
          </cell>
          <cell r="D544" t="str">
            <v>G27</v>
          </cell>
        </row>
        <row r="545">
          <cell r="B545">
            <v>40006939</v>
          </cell>
          <cell r="C545" t="str">
            <v>650699-7</v>
          </cell>
          <cell r="D545" t="str">
            <v>G27</v>
          </cell>
        </row>
        <row r="546">
          <cell r="B546">
            <v>40007216</v>
          </cell>
          <cell r="C546" t="str">
            <v>650226-0</v>
          </cell>
          <cell r="D546" t="str">
            <v>G28</v>
          </cell>
        </row>
        <row r="547">
          <cell r="B547">
            <v>40010348</v>
          </cell>
          <cell r="C547" t="str">
            <v>650689-0</v>
          </cell>
          <cell r="D547" t="str">
            <v>G29</v>
          </cell>
        </row>
        <row r="548">
          <cell r="B548">
            <v>40007447</v>
          </cell>
          <cell r="C548" t="str">
            <v>516089-3</v>
          </cell>
          <cell r="D548" t="str">
            <v>G29</v>
          </cell>
        </row>
        <row r="549">
          <cell r="B549">
            <v>40007489</v>
          </cell>
          <cell r="C549" t="str">
            <v>516478-2</v>
          </cell>
          <cell r="D549" t="str">
            <v>G3</v>
          </cell>
        </row>
        <row r="550">
          <cell r="B550">
            <v>40005192</v>
          </cell>
          <cell r="C550" t="str">
            <v>211022-7</v>
          </cell>
          <cell r="D550" t="str">
            <v>G30</v>
          </cell>
        </row>
        <row r="551">
          <cell r="B551">
            <v>40005198</v>
          </cell>
          <cell r="C551" t="str">
            <v>188859-6</v>
          </cell>
          <cell r="D551" t="str">
            <v>G30</v>
          </cell>
        </row>
        <row r="552">
          <cell r="B552">
            <v>40006738</v>
          </cell>
          <cell r="C552" t="str">
            <v>636169-0</v>
          </cell>
          <cell r="D552" t="str">
            <v>G31</v>
          </cell>
        </row>
        <row r="553">
          <cell r="B553">
            <v>40006863</v>
          </cell>
          <cell r="C553" t="str">
            <v>158898-0</v>
          </cell>
          <cell r="D553" t="str">
            <v>G31</v>
          </cell>
        </row>
        <row r="554">
          <cell r="B554">
            <v>40008234</v>
          </cell>
          <cell r="C554" t="str">
            <v>651433-8</v>
          </cell>
          <cell r="D554" t="str">
            <v>G32</v>
          </cell>
        </row>
        <row r="555">
          <cell r="B555">
            <v>40011148</v>
          </cell>
          <cell r="C555" t="str">
            <v>327515-5</v>
          </cell>
          <cell r="D555" t="str">
            <v>G32</v>
          </cell>
        </row>
        <row r="556">
          <cell r="B556">
            <v>40011161</v>
          </cell>
          <cell r="C556" t="str">
            <v>266920-0</v>
          </cell>
          <cell r="D556" t="str">
            <v>G32</v>
          </cell>
        </row>
        <row r="557">
          <cell r="B557">
            <v>40011140</v>
          </cell>
          <cell r="C557" t="str">
            <v>310257-8</v>
          </cell>
          <cell r="D557" t="str">
            <v>G32</v>
          </cell>
        </row>
        <row r="558">
          <cell r="B558">
            <v>40006637</v>
          </cell>
          <cell r="C558" t="str">
            <v>233948-3</v>
          </cell>
          <cell r="D558" t="str">
            <v>G32</v>
          </cell>
        </row>
        <row r="559">
          <cell r="B559">
            <v>40011164</v>
          </cell>
          <cell r="C559" t="str">
            <v>456044-2</v>
          </cell>
          <cell r="D559" t="str">
            <v>G32</v>
          </cell>
        </row>
        <row r="560">
          <cell r="B560">
            <v>40011165</v>
          </cell>
          <cell r="C560" t="str">
            <v>456967-4</v>
          </cell>
          <cell r="D560" t="str">
            <v>G32</v>
          </cell>
        </row>
        <row r="561">
          <cell r="B561">
            <v>40007754</v>
          </cell>
          <cell r="C561" t="str">
            <v>524559-8</v>
          </cell>
          <cell r="D561" t="str">
            <v>G33</v>
          </cell>
        </row>
        <row r="562">
          <cell r="B562">
            <v>40008240</v>
          </cell>
          <cell r="C562" t="str">
            <v>594489-7</v>
          </cell>
          <cell r="D562" t="str">
            <v>G34</v>
          </cell>
        </row>
        <row r="563">
          <cell r="B563">
            <v>40005704</v>
          </cell>
          <cell r="C563" t="str">
            <v>515894-5</v>
          </cell>
          <cell r="D563" t="str">
            <v>G35</v>
          </cell>
        </row>
        <row r="564">
          <cell r="B564">
            <v>40011562</v>
          </cell>
          <cell r="C564" t="str">
            <v>633984-3</v>
          </cell>
          <cell r="D564" t="str">
            <v>G35</v>
          </cell>
        </row>
        <row r="565">
          <cell r="B565">
            <v>40007800</v>
          </cell>
          <cell r="C565" t="str">
            <v>A-81343</v>
          </cell>
          <cell r="D565" t="str">
            <v>G36</v>
          </cell>
        </row>
        <row r="566">
          <cell r="B566">
            <v>40010532</v>
          </cell>
          <cell r="C566" t="str">
            <v>195021-6</v>
          </cell>
          <cell r="D566" t="str">
            <v>G37</v>
          </cell>
        </row>
        <row r="567">
          <cell r="B567">
            <v>40007440</v>
          </cell>
          <cell r="C567" t="str">
            <v>512699-4</v>
          </cell>
          <cell r="D567" t="str">
            <v>G4</v>
          </cell>
        </row>
        <row r="568">
          <cell r="B568">
            <v>40008255</v>
          </cell>
          <cell r="C568" t="str">
            <v>515719-3</v>
          </cell>
          <cell r="D568" t="str">
            <v>G5</v>
          </cell>
        </row>
        <row r="569">
          <cell r="B569">
            <v>40006499</v>
          </cell>
          <cell r="C569" t="str">
            <v>515548-4</v>
          </cell>
          <cell r="D569" t="str">
            <v>G6(S-2)</v>
          </cell>
        </row>
        <row r="570">
          <cell r="B570">
            <v>40006995</v>
          </cell>
          <cell r="C570" t="str">
            <v>513743-0</v>
          </cell>
          <cell r="D570" t="str">
            <v>G7</v>
          </cell>
        </row>
        <row r="571">
          <cell r="B571">
            <v>40005925</v>
          </cell>
          <cell r="C571" t="str">
            <v>510181-7</v>
          </cell>
          <cell r="D571" t="str">
            <v>G8</v>
          </cell>
        </row>
        <row r="572">
          <cell r="B572">
            <v>40007752</v>
          </cell>
          <cell r="C572" t="str">
            <v>515669-2</v>
          </cell>
          <cell r="D572" t="str">
            <v>G9</v>
          </cell>
        </row>
        <row r="573">
          <cell r="B573">
            <v>40007462</v>
          </cell>
          <cell r="C573" t="str">
            <v>515114-7</v>
          </cell>
          <cell r="D573" t="str">
            <v>H1(S-2)</v>
          </cell>
        </row>
        <row r="574">
          <cell r="B574">
            <v>40007525</v>
          </cell>
          <cell r="C574" t="str">
            <v>152675-2</v>
          </cell>
          <cell r="D574" t="str">
            <v>H10</v>
          </cell>
        </row>
        <row r="575">
          <cell r="B575">
            <v>40007749</v>
          </cell>
          <cell r="C575" t="str">
            <v>511929-0</v>
          </cell>
          <cell r="D575" t="str">
            <v>H10</v>
          </cell>
        </row>
        <row r="576">
          <cell r="B576">
            <v>40006362</v>
          </cell>
          <cell r="C576" t="str">
            <v>143339-9</v>
          </cell>
          <cell r="D576" t="str">
            <v>H11</v>
          </cell>
        </row>
        <row r="577">
          <cell r="B577">
            <v>40005910</v>
          </cell>
          <cell r="C577" t="str">
            <v>515553-1</v>
          </cell>
          <cell r="D577" t="str">
            <v>H12</v>
          </cell>
        </row>
        <row r="578">
          <cell r="B578">
            <v>40006452</v>
          </cell>
          <cell r="C578" t="str">
            <v>629163-9</v>
          </cell>
          <cell r="D578" t="str">
            <v>H13</v>
          </cell>
        </row>
        <row r="579">
          <cell r="B579">
            <v>40006722</v>
          </cell>
          <cell r="C579" t="str">
            <v>168648-5</v>
          </cell>
          <cell r="D579" t="str">
            <v>H14</v>
          </cell>
        </row>
        <row r="580">
          <cell r="B580">
            <v>40005858</v>
          </cell>
          <cell r="C580" t="str">
            <v>168517-0</v>
          </cell>
          <cell r="D580" t="str">
            <v>H15</v>
          </cell>
        </row>
        <row r="581">
          <cell r="B581">
            <v>40006714</v>
          </cell>
          <cell r="C581" t="str">
            <v>168599-2</v>
          </cell>
          <cell r="D581" t="str">
            <v>H15</v>
          </cell>
        </row>
        <row r="582">
          <cell r="B582">
            <v>40006046</v>
          </cell>
          <cell r="C582" t="str">
            <v>S-591868</v>
          </cell>
          <cell r="D582" t="str">
            <v>H15</v>
          </cell>
        </row>
        <row r="583">
          <cell r="B583">
            <v>40006938</v>
          </cell>
          <cell r="C583" t="str">
            <v>168401-9</v>
          </cell>
          <cell r="D583" t="str">
            <v>H16</v>
          </cell>
        </row>
        <row r="584">
          <cell r="B584">
            <v>40007652</v>
          </cell>
          <cell r="C584" t="str">
            <v>638500-6</v>
          </cell>
          <cell r="D584" t="str">
            <v>H17</v>
          </cell>
        </row>
        <row r="585">
          <cell r="B585">
            <v>40007198</v>
          </cell>
          <cell r="C585" t="str">
            <v>625758-6</v>
          </cell>
          <cell r="D585" t="str">
            <v>H18</v>
          </cell>
        </row>
        <row r="586">
          <cell r="B586">
            <v>40006766</v>
          </cell>
          <cell r="C586" t="str">
            <v>593649-8</v>
          </cell>
          <cell r="D586" t="str">
            <v>H18</v>
          </cell>
        </row>
        <row r="587">
          <cell r="B587">
            <v>40006334</v>
          </cell>
          <cell r="C587" t="str">
            <v>593864-4</v>
          </cell>
          <cell r="D587" t="str">
            <v>H19</v>
          </cell>
        </row>
        <row r="588">
          <cell r="B588">
            <v>40006333</v>
          </cell>
          <cell r="C588" t="str">
            <v>510251-2</v>
          </cell>
          <cell r="D588" t="str">
            <v>H2</v>
          </cell>
        </row>
        <row r="589">
          <cell r="B589">
            <v>40005887</v>
          </cell>
          <cell r="C589" t="str">
            <v>629217-2</v>
          </cell>
          <cell r="D589" t="str">
            <v>H20</v>
          </cell>
        </row>
        <row r="590">
          <cell r="B590">
            <v>40007148</v>
          </cell>
          <cell r="C590" t="str">
            <v>517844-6</v>
          </cell>
          <cell r="D590" t="str">
            <v>H21</v>
          </cell>
        </row>
        <row r="591">
          <cell r="B591">
            <v>40005825</v>
          </cell>
          <cell r="C591" t="str">
            <v>127124-8</v>
          </cell>
          <cell r="D591" t="str">
            <v>H21</v>
          </cell>
        </row>
        <row r="592">
          <cell r="B592">
            <v>40005640</v>
          </cell>
          <cell r="C592" t="str">
            <v>633769-7</v>
          </cell>
          <cell r="D592" t="str">
            <v>H22</v>
          </cell>
        </row>
        <row r="593">
          <cell r="B593">
            <v>40007979</v>
          </cell>
          <cell r="C593" t="str">
            <v>638887-6</v>
          </cell>
          <cell r="D593" t="str">
            <v>H22</v>
          </cell>
        </row>
        <row r="594">
          <cell r="B594">
            <v>40008034</v>
          </cell>
          <cell r="C594" t="str">
            <v>152198-0</v>
          </cell>
          <cell r="D594" t="str">
            <v>H23</v>
          </cell>
        </row>
        <row r="595">
          <cell r="B595">
            <v>40008100</v>
          </cell>
          <cell r="C595" t="str">
            <v>619247-1</v>
          </cell>
          <cell r="D595" t="str">
            <v>H24</v>
          </cell>
        </row>
        <row r="596">
          <cell r="B596">
            <v>40010955</v>
          </cell>
          <cell r="C596" t="str">
            <v>594559-2</v>
          </cell>
          <cell r="D596" t="str">
            <v>H25</v>
          </cell>
        </row>
        <row r="597">
          <cell r="B597">
            <v>40007787</v>
          </cell>
          <cell r="C597" t="str">
            <v>524709-5</v>
          </cell>
          <cell r="D597" t="str">
            <v>H25</v>
          </cell>
        </row>
        <row r="598">
          <cell r="B598">
            <v>40007351</v>
          </cell>
          <cell r="C598" t="str">
            <v>629821-7</v>
          </cell>
          <cell r="D598" t="str">
            <v>H26</v>
          </cell>
        </row>
        <row r="599">
          <cell r="B599">
            <v>40011661</v>
          </cell>
          <cell r="C599" t="str">
            <v>519457-9</v>
          </cell>
          <cell r="D599" t="str">
            <v>H26</v>
          </cell>
        </row>
        <row r="600">
          <cell r="B600">
            <v>40011662</v>
          </cell>
          <cell r="C600" t="str">
            <v>629292-8</v>
          </cell>
          <cell r="D600" t="str">
            <v>H26</v>
          </cell>
        </row>
        <row r="601">
          <cell r="B601">
            <v>40006580</v>
          </cell>
          <cell r="C601" t="str">
            <v>183N57-1</v>
          </cell>
          <cell r="D601" t="str">
            <v>H27</v>
          </cell>
        </row>
        <row r="602">
          <cell r="B602">
            <v>40006594</v>
          </cell>
          <cell r="C602" t="str">
            <v>183R15-1</v>
          </cell>
          <cell r="D602" t="str">
            <v>H27</v>
          </cell>
        </row>
        <row r="603">
          <cell r="B603">
            <v>40007364</v>
          </cell>
          <cell r="C603" t="str">
            <v>411023-7</v>
          </cell>
          <cell r="D603" t="str">
            <v>H28</v>
          </cell>
        </row>
        <row r="604">
          <cell r="B604">
            <v>40005594</v>
          </cell>
          <cell r="C604" t="str">
            <v>319091-3</v>
          </cell>
          <cell r="D604" t="str">
            <v>H28</v>
          </cell>
        </row>
        <row r="605">
          <cell r="B605">
            <v>40006829</v>
          </cell>
          <cell r="C605" t="str">
            <v>126270-4</v>
          </cell>
          <cell r="D605" t="str">
            <v>H29</v>
          </cell>
        </row>
        <row r="606">
          <cell r="B606">
            <v>40007592</v>
          </cell>
          <cell r="C606" t="str">
            <v>513568-2</v>
          </cell>
          <cell r="D606" t="str">
            <v>H3(S-1)</v>
          </cell>
        </row>
        <row r="607">
          <cell r="B607">
            <v>40007621</v>
          </cell>
          <cell r="C607" t="str">
            <v>140441-9</v>
          </cell>
          <cell r="D607" t="str">
            <v>H30</v>
          </cell>
        </row>
        <row r="608">
          <cell r="B608">
            <v>40007307</v>
          </cell>
          <cell r="C608" t="str">
            <v>158796-8</v>
          </cell>
          <cell r="D608" t="str">
            <v>H31</v>
          </cell>
        </row>
        <row r="609">
          <cell r="B609">
            <v>40008019</v>
          </cell>
          <cell r="C609" t="str">
            <v>168848-7</v>
          </cell>
          <cell r="D609" t="str">
            <v>H32</v>
          </cell>
        </row>
        <row r="610">
          <cell r="B610">
            <v>40008194</v>
          </cell>
          <cell r="C610" t="str">
            <v>650586-0</v>
          </cell>
          <cell r="D610" t="str">
            <v>H33</v>
          </cell>
        </row>
        <row r="611">
          <cell r="B611">
            <v>40005340</v>
          </cell>
          <cell r="C611" t="str">
            <v>PR00000073</v>
          </cell>
          <cell r="D611" t="str">
            <v>H33</v>
          </cell>
        </row>
        <row r="612">
          <cell r="B612">
            <v>40005341</v>
          </cell>
          <cell r="C612" t="str">
            <v>PR00000075</v>
          </cell>
          <cell r="D612" t="str">
            <v>H33</v>
          </cell>
        </row>
        <row r="613">
          <cell r="B613">
            <v>40005342</v>
          </cell>
          <cell r="C613" t="str">
            <v>PR00000077</v>
          </cell>
          <cell r="D613" t="str">
            <v>H33</v>
          </cell>
        </row>
        <row r="614">
          <cell r="B614">
            <v>40007801</v>
          </cell>
          <cell r="C614" t="str">
            <v>225007-7</v>
          </cell>
          <cell r="D614" t="str">
            <v>H34</v>
          </cell>
        </row>
        <row r="615">
          <cell r="B615">
            <v>40010365</v>
          </cell>
          <cell r="C615" t="str">
            <v>593974-7</v>
          </cell>
          <cell r="D615" t="str">
            <v>H35</v>
          </cell>
        </row>
        <row r="616">
          <cell r="B616">
            <v>40005292</v>
          </cell>
          <cell r="C616" t="str">
            <v>455393-4</v>
          </cell>
          <cell r="D616" t="str">
            <v>H35</v>
          </cell>
        </row>
        <row r="617">
          <cell r="B617">
            <v>40005306</v>
          </cell>
          <cell r="C617" t="str">
            <v>632K38-9</v>
          </cell>
          <cell r="D617" t="str">
            <v>H35</v>
          </cell>
        </row>
        <row r="618">
          <cell r="B618">
            <v>40007796</v>
          </cell>
          <cell r="C618" t="str">
            <v>191628-6</v>
          </cell>
          <cell r="D618" t="str">
            <v>H36</v>
          </cell>
        </row>
        <row r="619">
          <cell r="B619">
            <v>40010581</v>
          </cell>
          <cell r="C619" t="str">
            <v>CB-203</v>
          </cell>
          <cell r="D619" t="str">
            <v>H37</v>
          </cell>
        </row>
        <row r="620">
          <cell r="B620">
            <v>40006712</v>
          </cell>
          <cell r="C620" t="str">
            <v>191953-5</v>
          </cell>
          <cell r="D620" t="str">
            <v>H37</v>
          </cell>
        </row>
        <row r="621">
          <cell r="B621">
            <v>40006763</v>
          </cell>
          <cell r="C621" t="str">
            <v>514864-1</v>
          </cell>
          <cell r="D621" t="str">
            <v>H4S(1)</v>
          </cell>
        </row>
        <row r="622">
          <cell r="B622">
            <v>40006757</v>
          </cell>
          <cell r="C622" t="str">
            <v>511434-7</v>
          </cell>
          <cell r="D622" t="str">
            <v>H5</v>
          </cell>
        </row>
        <row r="623">
          <cell r="B623">
            <v>40007285</v>
          </cell>
          <cell r="C623" t="str">
            <v>521217-7</v>
          </cell>
          <cell r="D623" t="str">
            <v>H6</v>
          </cell>
        </row>
        <row r="624">
          <cell r="B624">
            <v>40005163</v>
          </cell>
          <cell r="C624" t="str">
            <v>594704-9</v>
          </cell>
          <cell r="D624" t="str">
            <v>H7</v>
          </cell>
        </row>
        <row r="625">
          <cell r="B625">
            <v>40005170</v>
          </cell>
          <cell r="C625" t="str">
            <v>513654-9</v>
          </cell>
          <cell r="D625" t="str">
            <v>H7</v>
          </cell>
        </row>
        <row r="626">
          <cell r="B626">
            <v>40006467</v>
          </cell>
          <cell r="C626" t="str">
            <v>127125-6</v>
          </cell>
          <cell r="D626" t="str">
            <v>H8</v>
          </cell>
        </row>
        <row r="627">
          <cell r="B627">
            <v>40007790</v>
          </cell>
          <cell r="C627" t="str">
            <v>621708-9</v>
          </cell>
          <cell r="D627" t="str">
            <v>H8</v>
          </cell>
        </row>
        <row r="628">
          <cell r="B628">
            <v>40007794</v>
          </cell>
          <cell r="C628" t="str">
            <v>593458-5</v>
          </cell>
          <cell r="D628" t="str">
            <v>H9</v>
          </cell>
        </row>
        <row r="629">
          <cell r="B629">
            <v>40007467</v>
          </cell>
          <cell r="C629" t="str">
            <v>517339-9</v>
          </cell>
          <cell r="D629" t="str">
            <v>i1(S-1)</v>
          </cell>
        </row>
        <row r="630">
          <cell r="B630">
            <v>40007477</v>
          </cell>
          <cell r="C630" t="str">
            <v>517499-7</v>
          </cell>
          <cell r="D630" t="str">
            <v>i10</v>
          </cell>
        </row>
        <row r="631">
          <cell r="B631">
            <v>10018854</v>
          </cell>
          <cell r="C631" t="str">
            <v>319612-1</v>
          </cell>
          <cell r="D631" t="str">
            <v>i11</v>
          </cell>
        </row>
        <row r="632">
          <cell r="B632">
            <v>40007794</v>
          </cell>
          <cell r="C632" t="str">
            <v>593458-5</v>
          </cell>
          <cell r="D632" t="str">
            <v>i12</v>
          </cell>
        </row>
        <row r="633">
          <cell r="B633">
            <v>40006529</v>
          </cell>
          <cell r="C633" t="str">
            <v>231329-5</v>
          </cell>
          <cell r="D633" t="str">
            <v>i13</v>
          </cell>
        </row>
        <row r="634">
          <cell r="B634">
            <v>40007663</v>
          </cell>
          <cell r="C634" t="str">
            <v>411709-3</v>
          </cell>
          <cell r="D634" t="str">
            <v>i13</v>
          </cell>
        </row>
        <row r="635">
          <cell r="B635">
            <v>40005894</v>
          </cell>
          <cell r="C635" t="str">
            <v>JM23100320</v>
          </cell>
          <cell r="D635" t="str">
            <v>i13</v>
          </cell>
        </row>
        <row r="636">
          <cell r="B636">
            <v>40006202</v>
          </cell>
          <cell r="C636">
            <v>38130071</v>
          </cell>
          <cell r="D636" t="str">
            <v>i14</v>
          </cell>
        </row>
        <row r="637">
          <cell r="B637">
            <v>40007739</v>
          </cell>
          <cell r="C637" t="str">
            <v>516339-6</v>
          </cell>
          <cell r="D637" t="str">
            <v>i15(S-1)</v>
          </cell>
        </row>
        <row r="638">
          <cell r="B638">
            <v>40005944</v>
          </cell>
          <cell r="C638" t="str">
            <v>513678-5</v>
          </cell>
          <cell r="D638" t="str">
            <v>i16</v>
          </cell>
        </row>
        <row r="639">
          <cell r="B639">
            <v>40011208</v>
          </cell>
          <cell r="C639" t="str">
            <v>619613-2</v>
          </cell>
          <cell r="D639" t="str">
            <v>i17</v>
          </cell>
        </row>
        <row r="640">
          <cell r="B640">
            <v>40005288</v>
          </cell>
          <cell r="C640" t="str">
            <v>629B61-9</v>
          </cell>
          <cell r="D640" t="str">
            <v>i17</v>
          </cell>
        </row>
        <row r="641">
          <cell r="B641">
            <v>40008169</v>
          </cell>
          <cell r="C641" t="str">
            <v>650613-3</v>
          </cell>
          <cell r="D641" t="str">
            <v>i18</v>
          </cell>
        </row>
        <row r="642">
          <cell r="B642">
            <v>40007554</v>
          </cell>
          <cell r="C642" t="str">
            <v>525768-2</v>
          </cell>
          <cell r="D642" t="str">
            <v>i19(20)</v>
          </cell>
        </row>
        <row r="643">
          <cell r="B643">
            <v>40006384</v>
          </cell>
          <cell r="C643" t="str">
            <v>515764-8</v>
          </cell>
          <cell r="D643" t="str">
            <v>i19</v>
          </cell>
        </row>
        <row r="644">
          <cell r="B644">
            <v>40010252</v>
          </cell>
          <cell r="C644" t="str">
            <v>629211-4</v>
          </cell>
          <cell r="D644" t="str">
            <v>i2</v>
          </cell>
        </row>
        <row r="645">
          <cell r="B645">
            <v>40010231</v>
          </cell>
          <cell r="C645" t="str">
            <v>629B59-6</v>
          </cell>
          <cell r="D645" t="str">
            <v>i2</v>
          </cell>
        </row>
        <row r="646">
          <cell r="B646">
            <v>40007466</v>
          </cell>
          <cell r="C646" t="str">
            <v>512407-3</v>
          </cell>
          <cell r="D646" t="str">
            <v>i20</v>
          </cell>
        </row>
        <row r="647">
          <cell r="B647">
            <v>40007928</v>
          </cell>
          <cell r="C647" t="str">
            <v>638655-7</v>
          </cell>
          <cell r="D647" t="str">
            <v>i22</v>
          </cell>
        </row>
        <row r="648">
          <cell r="B648">
            <v>40006126</v>
          </cell>
          <cell r="C648" t="str">
            <v>619263-3</v>
          </cell>
          <cell r="D648" t="str">
            <v>i23</v>
          </cell>
        </row>
        <row r="649">
          <cell r="B649">
            <v>40006227</v>
          </cell>
          <cell r="C649" t="str">
            <v>628185-6</v>
          </cell>
          <cell r="D649" t="str">
            <v>i24</v>
          </cell>
        </row>
        <row r="650">
          <cell r="B650">
            <v>40005332</v>
          </cell>
          <cell r="C650" t="str">
            <v>517689-2</v>
          </cell>
          <cell r="D650" t="str">
            <v>i25</v>
          </cell>
        </row>
        <row r="651">
          <cell r="B651">
            <v>40008151</v>
          </cell>
          <cell r="C651" t="str">
            <v>625813-4</v>
          </cell>
          <cell r="D651" t="str">
            <v>i25</v>
          </cell>
        </row>
        <row r="652">
          <cell r="B652">
            <v>40005405</v>
          </cell>
          <cell r="C652" t="str">
            <v>122B23-1</v>
          </cell>
          <cell r="D652" t="str">
            <v>I26</v>
          </cell>
        </row>
        <row r="653">
          <cell r="B653">
            <v>40007788</v>
          </cell>
          <cell r="C653" t="str">
            <v>522509-7</v>
          </cell>
          <cell r="D653" t="str">
            <v>i26</v>
          </cell>
        </row>
        <row r="654">
          <cell r="B654">
            <v>40008309</v>
          </cell>
          <cell r="C654" t="str">
            <v>692434-7</v>
          </cell>
          <cell r="D654" t="str">
            <v>i27</v>
          </cell>
        </row>
        <row r="655">
          <cell r="B655">
            <v>40007433</v>
          </cell>
          <cell r="C655" t="str">
            <v>159909-4</v>
          </cell>
          <cell r="D655" t="str">
            <v>i27</v>
          </cell>
        </row>
        <row r="656">
          <cell r="B656">
            <v>40007393</v>
          </cell>
          <cell r="C656" t="str">
            <v>152869-9</v>
          </cell>
          <cell r="D656" t="str">
            <v>i27</v>
          </cell>
        </row>
        <row r="657">
          <cell r="B657">
            <v>40007725</v>
          </cell>
          <cell r="C657" t="str">
            <v>415980-1</v>
          </cell>
          <cell r="D657" t="str">
            <v>i28</v>
          </cell>
        </row>
        <row r="658">
          <cell r="B658">
            <v>40008037</v>
          </cell>
          <cell r="C658" t="str">
            <v>631883-3</v>
          </cell>
          <cell r="D658" t="str">
            <v>i28</v>
          </cell>
        </row>
        <row r="659">
          <cell r="B659">
            <v>40007240</v>
          </cell>
          <cell r="C659">
            <v>225223112</v>
          </cell>
          <cell r="D659" t="str">
            <v>i29</v>
          </cell>
        </row>
        <row r="660">
          <cell r="B660">
            <v>40007768</v>
          </cell>
          <cell r="C660" t="str">
            <v>634159-7</v>
          </cell>
          <cell r="D660" t="str">
            <v>i3</v>
          </cell>
        </row>
        <row r="661">
          <cell r="B661">
            <v>40007225</v>
          </cell>
          <cell r="C661" t="str">
            <v>650524-2</v>
          </cell>
          <cell r="D661" t="str">
            <v>i30</v>
          </cell>
        </row>
        <row r="662">
          <cell r="B662">
            <v>40006337</v>
          </cell>
          <cell r="C662" t="str">
            <v>141574-3</v>
          </cell>
          <cell r="D662" t="str">
            <v>i31</v>
          </cell>
        </row>
        <row r="663">
          <cell r="B663">
            <v>40006696</v>
          </cell>
          <cell r="C663" t="str">
            <v>158670-0</v>
          </cell>
          <cell r="D663" t="str">
            <v>i31</v>
          </cell>
        </row>
        <row r="664">
          <cell r="B664">
            <v>40006427</v>
          </cell>
          <cell r="C664" t="str">
            <v>324985-9</v>
          </cell>
          <cell r="D664" t="str">
            <v>i32</v>
          </cell>
        </row>
        <row r="665">
          <cell r="B665">
            <v>40006450</v>
          </cell>
          <cell r="C665" t="str">
            <v>632J77-3</v>
          </cell>
          <cell r="D665" t="str">
            <v>i32</v>
          </cell>
        </row>
        <row r="666">
          <cell r="B666">
            <v>40010236</v>
          </cell>
          <cell r="C666" t="str">
            <v>650751-1</v>
          </cell>
          <cell r="D666" t="str">
            <v>i33</v>
          </cell>
        </row>
        <row r="667">
          <cell r="B667">
            <v>40006436</v>
          </cell>
          <cell r="C667" t="str">
            <v>650753-7</v>
          </cell>
          <cell r="D667" t="str">
            <v>i34</v>
          </cell>
        </row>
        <row r="668">
          <cell r="B668">
            <v>40010583</v>
          </cell>
          <cell r="C668" t="str">
            <v>154951-0</v>
          </cell>
          <cell r="D668" t="str">
            <v>i35</v>
          </cell>
        </row>
        <row r="669">
          <cell r="B669">
            <v>40006208</v>
          </cell>
          <cell r="C669" t="str">
            <v>419138-4</v>
          </cell>
          <cell r="D669" t="str">
            <v>i35</v>
          </cell>
        </row>
        <row r="670">
          <cell r="B670">
            <v>40008023</v>
          </cell>
          <cell r="C670" t="str">
            <v>194074-2</v>
          </cell>
          <cell r="D670" t="str">
            <v>i36</v>
          </cell>
        </row>
        <row r="671">
          <cell r="B671">
            <v>40007617</v>
          </cell>
          <cell r="C671" t="str">
            <v>CB-51</v>
          </cell>
          <cell r="D671" t="str">
            <v>i37</v>
          </cell>
        </row>
        <row r="672">
          <cell r="B672">
            <v>40006366</v>
          </cell>
          <cell r="C672" t="str">
            <v>515263-0</v>
          </cell>
          <cell r="D672" t="str">
            <v>i4</v>
          </cell>
        </row>
        <row r="673">
          <cell r="B673">
            <v>40006263</v>
          </cell>
          <cell r="C673" t="str">
            <v>513793-5</v>
          </cell>
          <cell r="D673" t="str">
            <v>i5(S-1)</v>
          </cell>
        </row>
        <row r="674">
          <cell r="B674">
            <v>40005861</v>
          </cell>
          <cell r="C674" t="str">
            <v>161365-6</v>
          </cell>
          <cell r="D674" t="str">
            <v>i6</v>
          </cell>
        </row>
        <row r="675">
          <cell r="B675">
            <v>40006455</v>
          </cell>
          <cell r="C675" t="str">
            <v>411423-1</v>
          </cell>
          <cell r="D675" t="str">
            <v>i6</v>
          </cell>
        </row>
        <row r="676">
          <cell r="B676">
            <v>40007856</v>
          </cell>
          <cell r="C676" t="str">
            <v>650209-0</v>
          </cell>
          <cell r="D676" t="str">
            <v>i6</v>
          </cell>
        </row>
        <row r="677">
          <cell r="B677">
            <v>40006338</v>
          </cell>
          <cell r="C677" t="str">
            <v>224209-2</v>
          </cell>
          <cell r="D677" t="str">
            <v>i6</v>
          </cell>
        </row>
        <row r="678">
          <cell r="B678">
            <v>40011193</v>
          </cell>
          <cell r="C678" t="str">
            <v>316883-1</v>
          </cell>
          <cell r="D678" t="str">
            <v>BG5</v>
          </cell>
        </row>
        <row r="679">
          <cell r="B679">
            <v>40005899</v>
          </cell>
          <cell r="C679" t="str">
            <v>418349-8</v>
          </cell>
          <cell r="D679" t="str">
            <v>i7</v>
          </cell>
        </row>
        <row r="680">
          <cell r="B680">
            <v>40005775</v>
          </cell>
          <cell r="C680" t="str">
            <v>651443-5</v>
          </cell>
          <cell r="D680" t="str">
            <v>i7</v>
          </cell>
        </row>
        <row r="681">
          <cell r="B681">
            <v>40006251</v>
          </cell>
          <cell r="C681" t="str">
            <v>450956-1</v>
          </cell>
          <cell r="D681" t="str">
            <v>i7</v>
          </cell>
        </row>
        <row r="682">
          <cell r="B682">
            <v>40007205</v>
          </cell>
          <cell r="C682" t="str">
            <v>322989-5</v>
          </cell>
          <cell r="D682" t="str">
            <v>i7</v>
          </cell>
        </row>
        <row r="683">
          <cell r="B683">
            <v>40006487</v>
          </cell>
          <cell r="C683" t="str">
            <v>418350-3</v>
          </cell>
          <cell r="D683" t="str">
            <v>i7</v>
          </cell>
        </row>
        <row r="684">
          <cell r="B684">
            <v>40006495</v>
          </cell>
          <cell r="C684" t="str">
            <v>JM27000150</v>
          </cell>
          <cell r="D684" t="str">
            <v>i7</v>
          </cell>
        </row>
        <row r="685">
          <cell r="B685">
            <v>40007367</v>
          </cell>
          <cell r="C685" t="str">
            <v>423035-8</v>
          </cell>
          <cell r="D685" t="str">
            <v>i7</v>
          </cell>
        </row>
        <row r="686">
          <cell r="B686">
            <v>40007568</v>
          </cell>
          <cell r="C686" t="str">
            <v>123029-0</v>
          </cell>
          <cell r="D686" t="str">
            <v>i7</v>
          </cell>
        </row>
        <row r="687">
          <cell r="B687">
            <v>40006479</v>
          </cell>
          <cell r="C687" t="str">
            <v>266432-3</v>
          </cell>
          <cell r="D687" t="str">
            <v>i7</v>
          </cell>
        </row>
        <row r="688">
          <cell r="B688">
            <v>40006471</v>
          </cell>
          <cell r="C688" t="str">
            <v>193540-6</v>
          </cell>
          <cell r="D688" t="str">
            <v>i7</v>
          </cell>
        </row>
        <row r="689">
          <cell r="B689">
            <v>40006236</v>
          </cell>
          <cell r="C689" t="str">
            <v>629888-5</v>
          </cell>
          <cell r="D689" t="str">
            <v>i7</v>
          </cell>
        </row>
        <row r="690">
          <cell r="B690">
            <v>40006483</v>
          </cell>
          <cell r="C690" t="str">
            <v>346094-4</v>
          </cell>
          <cell r="D690" t="str">
            <v>i7</v>
          </cell>
        </row>
        <row r="691">
          <cell r="B691">
            <v>40006490</v>
          </cell>
          <cell r="C691" t="str">
            <v>620470-3</v>
          </cell>
          <cell r="D691" t="str">
            <v>i7</v>
          </cell>
        </row>
        <row r="692">
          <cell r="B692">
            <v>10019275</v>
          </cell>
          <cell r="C692">
            <v>941719131</v>
          </cell>
          <cell r="D692" t="str">
            <v>i7</v>
          </cell>
        </row>
        <row r="693">
          <cell r="B693">
            <v>40005901</v>
          </cell>
          <cell r="C693" t="str">
            <v>423036-6</v>
          </cell>
          <cell r="D693" t="str">
            <v>i7</v>
          </cell>
        </row>
        <row r="694">
          <cell r="B694">
            <v>40006486</v>
          </cell>
          <cell r="C694" t="str">
            <v>411114-4</v>
          </cell>
          <cell r="D694" t="str">
            <v>i7</v>
          </cell>
        </row>
        <row r="695">
          <cell r="B695">
            <v>40006339</v>
          </cell>
          <cell r="C695" t="str">
            <v>224208-4</v>
          </cell>
          <cell r="D695" t="str">
            <v>i7</v>
          </cell>
        </row>
        <row r="696">
          <cell r="B696">
            <v>40005872</v>
          </cell>
          <cell r="C696" t="str">
            <v>628391-3</v>
          </cell>
          <cell r="D696" t="str">
            <v>i8</v>
          </cell>
        </row>
        <row r="697">
          <cell r="B697">
            <v>40005169</v>
          </cell>
          <cell r="C697" t="str">
            <v>633844-9</v>
          </cell>
          <cell r="D697" t="str">
            <v>i9</v>
          </cell>
        </row>
        <row r="698">
          <cell r="B698">
            <v>40008026</v>
          </cell>
          <cell r="C698" t="str">
            <v>625764-1</v>
          </cell>
          <cell r="D698" t="str">
            <v>i9</v>
          </cell>
        </row>
        <row r="699">
          <cell r="B699">
            <v>40007499</v>
          </cell>
          <cell r="C699" t="str">
            <v>517479-3</v>
          </cell>
          <cell r="D699" t="str">
            <v>J1</v>
          </cell>
        </row>
        <row r="700">
          <cell r="B700">
            <v>40007468</v>
          </cell>
          <cell r="C700" t="str">
            <v>516819-2</v>
          </cell>
          <cell r="D700" t="str">
            <v>J10(S-2)</v>
          </cell>
        </row>
        <row r="701">
          <cell r="B701">
            <v>40005706</v>
          </cell>
          <cell r="C701" t="str">
            <v>513904-2</v>
          </cell>
          <cell r="D701" t="str">
            <v>J11(J12)</v>
          </cell>
        </row>
        <row r="702">
          <cell r="B702">
            <v>40006989</v>
          </cell>
          <cell r="C702" t="str">
            <v>454115-9</v>
          </cell>
          <cell r="D702" t="str">
            <v>J13</v>
          </cell>
        </row>
        <row r="703">
          <cell r="B703">
            <v>40006803</v>
          </cell>
          <cell r="C703" t="str">
            <v>157753-3</v>
          </cell>
          <cell r="D703" t="str">
            <v>J14</v>
          </cell>
        </row>
        <row r="704">
          <cell r="B704">
            <v>40006423</v>
          </cell>
          <cell r="C704" t="str">
            <v>JM23300003</v>
          </cell>
          <cell r="D704" t="str">
            <v>J15</v>
          </cell>
        </row>
        <row r="705">
          <cell r="B705">
            <v>40008053</v>
          </cell>
          <cell r="C705" t="str">
            <v>JM27000298</v>
          </cell>
          <cell r="D705" t="str">
            <v>J15</v>
          </cell>
        </row>
        <row r="706">
          <cell r="B706">
            <v>40011147</v>
          </cell>
          <cell r="C706" t="str">
            <v>JM00000150</v>
          </cell>
          <cell r="D706" t="str">
            <v>J15</v>
          </cell>
        </row>
        <row r="707">
          <cell r="B707">
            <v>40008052</v>
          </cell>
          <cell r="C707" t="str">
            <v>418838-3</v>
          </cell>
          <cell r="D707" t="str">
            <v>J16</v>
          </cell>
        </row>
        <row r="708">
          <cell r="B708">
            <v>40007747</v>
          </cell>
          <cell r="C708" t="str">
            <v>517458-1</v>
          </cell>
          <cell r="D708" t="str">
            <v>J17</v>
          </cell>
        </row>
        <row r="709">
          <cell r="B709">
            <v>40007352</v>
          </cell>
          <cell r="C709">
            <v>40130023</v>
          </cell>
          <cell r="D709" t="str">
            <v>J17</v>
          </cell>
        </row>
        <row r="710">
          <cell r="B710">
            <v>40006990</v>
          </cell>
          <cell r="C710" t="str">
            <v>454120-6</v>
          </cell>
          <cell r="D710" t="str">
            <v>J18</v>
          </cell>
        </row>
        <row r="711">
          <cell r="B711">
            <v>40008131</v>
          </cell>
          <cell r="C711" t="str">
            <v>517794-5</v>
          </cell>
          <cell r="D711" t="str">
            <v>J19</v>
          </cell>
        </row>
        <row r="712">
          <cell r="B712">
            <v>40008244</v>
          </cell>
          <cell r="C712" t="str">
            <v>515708-8</v>
          </cell>
          <cell r="D712" t="str">
            <v>J2(S-2)</v>
          </cell>
        </row>
        <row r="713">
          <cell r="B713">
            <v>40007696</v>
          </cell>
          <cell r="C713" t="str">
            <v>153551-3</v>
          </cell>
          <cell r="D713" t="str">
            <v>J20</v>
          </cell>
        </row>
        <row r="714">
          <cell r="B714">
            <v>40008145</v>
          </cell>
          <cell r="C714" t="str">
            <v>417818-6</v>
          </cell>
          <cell r="D714" t="str">
            <v>J21</v>
          </cell>
        </row>
        <row r="715">
          <cell r="B715">
            <v>40007032</v>
          </cell>
          <cell r="C715" t="str">
            <v>159681-8</v>
          </cell>
          <cell r="D715" t="str">
            <v>J22</v>
          </cell>
        </row>
        <row r="716">
          <cell r="B716">
            <v>40005276</v>
          </cell>
          <cell r="C716" t="str">
            <v>634513-5</v>
          </cell>
          <cell r="D716" t="str">
            <v>J22</v>
          </cell>
        </row>
        <row r="717">
          <cell r="B717">
            <v>40008055</v>
          </cell>
          <cell r="C717" t="str">
            <v>153536-9</v>
          </cell>
          <cell r="D717" t="str">
            <v>J23</v>
          </cell>
        </row>
        <row r="718">
          <cell r="B718">
            <v>40006758</v>
          </cell>
          <cell r="C718" t="str">
            <v>594388-3</v>
          </cell>
          <cell r="D718" t="str">
            <v>J24</v>
          </cell>
        </row>
        <row r="719">
          <cell r="B719">
            <v>40007151</v>
          </cell>
          <cell r="C719" t="str">
            <v>594344-3</v>
          </cell>
          <cell r="D719" t="str">
            <v>J25</v>
          </cell>
        </row>
        <row r="720">
          <cell r="B720">
            <v>40005396</v>
          </cell>
          <cell r="C720" t="str">
            <v>JM23000211</v>
          </cell>
          <cell r="D720" t="str">
            <v>J26</v>
          </cell>
        </row>
        <row r="721">
          <cell r="B721">
            <v>40005597</v>
          </cell>
          <cell r="C721" t="str">
            <v>183B54-5</v>
          </cell>
          <cell r="D721" t="str">
            <v>J26</v>
          </cell>
        </row>
        <row r="722">
          <cell r="B722">
            <v>40007075</v>
          </cell>
          <cell r="C722" t="str">
            <v>125259-9</v>
          </cell>
          <cell r="D722" t="str">
            <v>J27</v>
          </cell>
        </row>
        <row r="723">
          <cell r="B723">
            <v>40008143</v>
          </cell>
          <cell r="C723" t="str">
            <v>593539-5</v>
          </cell>
          <cell r="D723" t="str">
            <v>J27</v>
          </cell>
        </row>
        <row r="724">
          <cell r="B724">
            <v>40005869</v>
          </cell>
          <cell r="C724" t="str">
            <v>S-593960</v>
          </cell>
          <cell r="D724" t="str">
            <v>J28</v>
          </cell>
        </row>
        <row r="725">
          <cell r="B725">
            <v>40011653</v>
          </cell>
          <cell r="C725" t="str">
            <v>142342-7</v>
          </cell>
          <cell r="D725" t="str">
            <v>J28</v>
          </cell>
        </row>
        <row r="726">
          <cell r="B726">
            <v>40006047</v>
          </cell>
          <cell r="C726" t="str">
            <v>168705-9</v>
          </cell>
          <cell r="D726" t="str">
            <v>J29</v>
          </cell>
        </row>
        <row r="727">
          <cell r="B727">
            <v>40007533</v>
          </cell>
          <cell r="C727" t="str">
            <v>125331-7</v>
          </cell>
          <cell r="D727" t="str">
            <v>J29</v>
          </cell>
        </row>
        <row r="728">
          <cell r="B728">
            <v>40007363</v>
          </cell>
          <cell r="C728" t="str">
            <v>629785-5</v>
          </cell>
          <cell r="D728" t="str">
            <v>J3</v>
          </cell>
        </row>
        <row r="729">
          <cell r="B729">
            <v>40006109</v>
          </cell>
          <cell r="C729" t="str">
            <v>227542-1</v>
          </cell>
          <cell r="D729" t="str">
            <v>J30</v>
          </cell>
        </row>
        <row r="730">
          <cell r="B730">
            <v>40008158</v>
          </cell>
          <cell r="C730" t="str">
            <v>651286-5</v>
          </cell>
          <cell r="D730" t="str">
            <v>J31</v>
          </cell>
        </row>
        <row r="731">
          <cell r="B731">
            <v>40005652</v>
          </cell>
          <cell r="C731" t="str">
            <v>510249-9</v>
          </cell>
          <cell r="D731" t="str">
            <v>J32</v>
          </cell>
        </row>
        <row r="732">
          <cell r="B732">
            <v>40007821</v>
          </cell>
          <cell r="C732" t="str">
            <v>639534-2</v>
          </cell>
          <cell r="D732" t="str">
            <v>J33</v>
          </cell>
        </row>
        <row r="733">
          <cell r="B733">
            <v>40005699</v>
          </cell>
          <cell r="C733" t="str">
            <v>631623-9</v>
          </cell>
          <cell r="D733" t="str">
            <v>J34</v>
          </cell>
        </row>
        <row r="734">
          <cell r="B734">
            <v>40007795</v>
          </cell>
          <cell r="C734" t="str">
            <v>A-81212</v>
          </cell>
          <cell r="D734" t="str">
            <v>J35</v>
          </cell>
        </row>
        <row r="735">
          <cell r="B735">
            <v>40007057</v>
          </cell>
          <cell r="C735" t="str">
            <v>CB-318</v>
          </cell>
          <cell r="D735" t="str">
            <v>J36</v>
          </cell>
        </row>
        <row r="736">
          <cell r="B736">
            <v>40007239</v>
          </cell>
          <cell r="C736" t="str">
            <v>JM23000123</v>
          </cell>
          <cell r="D736" t="str">
            <v>J36</v>
          </cell>
        </row>
        <row r="737">
          <cell r="B737">
            <v>40006963</v>
          </cell>
          <cell r="C737" t="str">
            <v>158216-2</v>
          </cell>
          <cell r="D737" t="str">
            <v>J4</v>
          </cell>
        </row>
        <row r="738">
          <cell r="B738">
            <v>40007437</v>
          </cell>
          <cell r="C738" t="str">
            <v>511799-7</v>
          </cell>
          <cell r="D738" t="str">
            <v>J5</v>
          </cell>
        </row>
        <row r="739">
          <cell r="B739">
            <v>40005290</v>
          </cell>
          <cell r="C739" t="str">
            <v>634549-4</v>
          </cell>
          <cell r="D739" t="str">
            <v>J6</v>
          </cell>
        </row>
        <row r="740">
          <cell r="B740">
            <v>40007772</v>
          </cell>
          <cell r="C740" t="str">
            <v>634154-7</v>
          </cell>
          <cell r="D740" t="str">
            <v>J7</v>
          </cell>
        </row>
        <row r="741">
          <cell r="B741">
            <v>40010568</v>
          </cell>
          <cell r="C741" t="str">
            <v>633879-0</v>
          </cell>
          <cell r="D741" t="str">
            <v>J8</v>
          </cell>
        </row>
        <row r="742">
          <cell r="B742">
            <v>40006326</v>
          </cell>
          <cell r="C742" t="str">
            <v>629116-8</v>
          </cell>
          <cell r="D742" t="str">
            <v>J8</v>
          </cell>
        </row>
        <row r="743">
          <cell r="B743">
            <v>40010226</v>
          </cell>
          <cell r="C743" t="str">
            <v>515354-7</v>
          </cell>
          <cell r="D743" t="str">
            <v>J9</v>
          </cell>
        </row>
        <row r="744">
          <cell r="B744">
            <v>40007975</v>
          </cell>
          <cell r="C744" t="str">
            <v>443034-4</v>
          </cell>
          <cell r="D744" t="str">
            <v>MA01</v>
          </cell>
        </row>
        <row r="745">
          <cell r="B745">
            <v>40005541</v>
          </cell>
          <cell r="C745" t="str">
            <v>620283-2</v>
          </cell>
          <cell r="D745" t="str">
            <v>MA01</v>
          </cell>
        </row>
        <row r="746">
          <cell r="B746">
            <v>40008241</v>
          </cell>
          <cell r="C746" t="str">
            <v>654020-2</v>
          </cell>
          <cell r="D746" t="str">
            <v>MA02</v>
          </cell>
        </row>
        <row r="747">
          <cell r="B747">
            <v>40005721</v>
          </cell>
          <cell r="C747">
            <v>10114010</v>
          </cell>
          <cell r="D747" t="str">
            <v>MA02</v>
          </cell>
        </row>
        <row r="748">
          <cell r="B748">
            <v>40007262</v>
          </cell>
          <cell r="C748" t="str">
            <v>256486-8</v>
          </cell>
          <cell r="D748" t="str">
            <v>MA03</v>
          </cell>
        </row>
        <row r="749">
          <cell r="B749">
            <v>40006103</v>
          </cell>
          <cell r="C749" t="str">
            <v>652113-9</v>
          </cell>
          <cell r="D749" t="str">
            <v>MA03</v>
          </cell>
        </row>
        <row r="750">
          <cell r="B750">
            <v>40008188</v>
          </cell>
          <cell r="C750">
            <v>930304030</v>
          </cell>
          <cell r="D750" t="str">
            <v>MA04</v>
          </cell>
        </row>
        <row r="751">
          <cell r="B751">
            <v>40007960</v>
          </cell>
          <cell r="C751" t="str">
            <v>421959-2</v>
          </cell>
          <cell r="D751" t="str">
            <v>MA04</v>
          </cell>
        </row>
        <row r="752">
          <cell r="B752">
            <v>10019416</v>
          </cell>
          <cell r="C752">
            <v>1213042</v>
          </cell>
          <cell r="D752" t="str">
            <v>MA05</v>
          </cell>
        </row>
        <row r="753">
          <cell r="B753">
            <v>40011416</v>
          </cell>
          <cell r="C753" t="str">
            <v>231975-4</v>
          </cell>
          <cell r="D753" t="str">
            <v>MA06</v>
          </cell>
        </row>
        <row r="754">
          <cell r="B754">
            <v>40007738</v>
          </cell>
          <cell r="C754" t="str">
            <v>213575-2</v>
          </cell>
          <cell r="D754" t="str">
            <v>MA06</v>
          </cell>
        </row>
        <row r="755">
          <cell r="B755">
            <v>40006843</v>
          </cell>
          <cell r="C755" t="str">
            <v>417820-9</v>
          </cell>
          <cell r="D755" t="str">
            <v>MA07</v>
          </cell>
        </row>
        <row r="756">
          <cell r="B756">
            <v>40007555</v>
          </cell>
          <cell r="C756" t="str">
            <v>421808-3</v>
          </cell>
          <cell r="D756" t="str">
            <v>MA07</v>
          </cell>
        </row>
        <row r="757">
          <cell r="B757">
            <v>40006066</v>
          </cell>
          <cell r="C757" t="str">
            <v>419413-8</v>
          </cell>
          <cell r="D757" t="str">
            <v>MA08</v>
          </cell>
        </row>
        <row r="758">
          <cell r="B758">
            <v>40007065</v>
          </cell>
          <cell r="C758" t="str">
            <v>153334-1</v>
          </cell>
          <cell r="D758" t="str">
            <v>MA09</v>
          </cell>
        </row>
        <row r="759">
          <cell r="B759">
            <v>40006975</v>
          </cell>
          <cell r="C759" t="str">
            <v>265099-4</v>
          </cell>
          <cell r="D759" t="str">
            <v>MA09</v>
          </cell>
        </row>
        <row r="760">
          <cell r="B760">
            <v>40010519</v>
          </cell>
          <cell r="C760" t="str">
            <v>234358-7</v>
          </cell>
          <cell r="D760" t="str">
            <v>MA10</v>
          </cell>
        </row>
        <row r="761">
          <cell r="B761">
            <v>40005569</v>
          </cell>
          <cell r="C761" t="str">
            <v>213149-9</v>
          </cell>
          <cell r="D761" t="str">
            <v>MA10</v>
          </cell>
        </row>
        <row r="762">
          <cell r="B762">
            <v>40006209</v>
          </cell>
          <cell r="C762" t="str">
            <v>252652-5</v>
          </cell>
          <cell r="D762" t="str">
            <v>MA100</v>
          </cell>
        </row>
        <row r="763">
          <cell r="B763">
            <v>40006229</v>
          </cell>
          <cell r="C763" t="str">
            <v>225091-2</v>
          </cell>
          <cell r="D763" t="str">
            <v>MA100</v>
          </cell>
        </row>
        <row r="764">
          <cell r="B764">
            <v>40008259</v>
          </cell>
          <cell r="C764">
            <v>965527070</v>
          </cell>
          <cell r="D764" t="str">
            <v>MA101</v>
          </cell>
        </row>
        <row r="765">
          <cell r="B765">
            <v>40006345</v>
          </cell>
          <cell r="C765" t="str">
            <v>643755-0</v>
          </cell>
          <cell r="D765" t="str">
            <v>MA101</v>
          </cell>
        </row>
        <row r="766">
          <cell r="B766">
            <v>40006255</v>
          </cell>
          <cell r="C766" t="str">
            <v>265771-8</v>
          </cell>
          <cell r="D766" t="str">
            <v>MA102</v>
          </cell>
        </row>
        <row r="767">
          <cell r="B767">
            <v>40006241</v>
          </cell>
          <cell r="C767" t="str">
            <v>267353-2</v>
          </cell>
          <cell r="D767" t="str">
            <v>MA102</v>
          </cell>
        </row>
        <row r="768">
          <cell r="B768">
            <v>40007634</v>
          </cell>
          <cell r="C768" t="str">
            <v>224181-8</v>
          </cell>
          <cell r="D768" t="str">
            <v>MA103</v>
          </cell>
        </row>
        <row r="769">
          <cell r="B769">
            <v>40005742</v>
          </cell>
          <cell r="C769" t="str">
            <v>272261-4</v>
          </cell>
          <cell r="D769" t="str">
            <v>MA103</v>
          </cell>
        </row>
        <row r="770">
          <cell r="B770">
            <v>40010518</v>
          </cell>
          <cell r="C770" t="str">
            <v>424706-0</v>
          </cell>
          <cell r="D770" t="str">
            <v>MA104</v>
          </cell>
        </row>
        <row r="771">
          <cell r="B771">
            <v>40006247</v>
          </cell>
          <cell r="C771" t="str">
            <v>HY00000029</v>
          </cell>
          <cell r="D771" t="str">
            <v>MA104</v>
          </cell>
        </row>
        <row r="772">
          <cell r="B772">
            <v>40007117</v>
          </cell>
          <cell r="C772" t="str">
            <v>265408-7</v>
          </cell>
          <cell r="D772" t="str">
            <v>MA105</v>
          </cell>
        </row>
        <row r="773">
          <cell r="B773">
            <v>40006261</v>
          </cell>
          <cell r="C773" t="str">
            <v>643932-4</v>
          </cell>
          <cell r="D773" t="str">
            <v>MA105</v>
          </cell>
        </row>
        <row r="774">
          <cell r="B774">
            <v>40006169</v>
          </cell>
          <cell r="C774" t="str">
            <v>961002-0</v>
          </cell>
          <cell r="D774" t="str">
            <v>MA106</v>
          </cell>
        </row>
        <row r="775">
          <cell r="B775">
            <v>40006272</v>
          </cell>
          <cell r="C775" t="str">
            <v>JM23100043</v>
          </cell>
          <cell r="D775" t="str">
            <v>MA106</v>
          </cell>
        </row>
        <row r="776">
          <cell r="B776">
            <v>40007402</v>
          </cell>
          <cell r="C776" t="str">
            <v>924316-8</v>
          </cell>
          <cell r="D776" t="str">
            <v>MA107</v>
          </cell>
        </row>
        <row r="777">
          <cell r="B777">
            <v>40005904</v>
          </cell>
          <cell r="C777" t="str">
            <v>JM27100067</v>
          </cell>
          <cell r="D777" t="str">
            <v>MA108</v>
          </cell>
        </row>
        <row r="778">
          <cell r="B778">
            <v>40007936</v>
          </cell>
          <cell r="C778">
            <v>1111012</v>
          </cell>
          <cell r="D778" t="str">
            <v>MA108</v>
          </cell>
        </row>
        <row r="779">
          <cell r="B779">
            <v>40010277</v>
          </cell>
          <cell r="C779" t="str">
            <v>262148-8</v>
          </cell>
          <cell r="D779" t="str">
            <v>MA109</v>
          </cell>
        </row>
        <row r="780">
          <cell r="B780">
            <v>40006267</v>
          </cell>
          <cell r="C780" t="str">
            <v>272262-2</v>
          </cell>
          <cell r="D780" t="str">
            <v>MA109</v>
          </cell>
        </row>
        <row r="781">
          <cell r="B781">
            <v>40007993</v>
          </cell>
          <cell r="C781" t="str">
            <v>256251-5</v>
          </cell>
          <cell r="D781" t="str">
            <v>MA11</v>
          </cell>
        </row>
        <row r="782">
          <cell r="B782">
            <v>40006172</v>
          </cell>
          <cell r="C782" t="str">
            <v>326448-1</v>
          </cell>
          <cell r="D782" t="str">
            <v>MA11</v>
          </cell>
        </row>
        <row r="783">
          <cell r="B783">
            <v>40010267</v>
          </cell>
          <cell r="C783" t="str">
            <v>223167-9</v>
          </cell>
          <cell r="D783" t="str">
            <v>MA110</v>
          </cell>
        </row>
        <row r="784">
          <cell r="B784">
            <v>40006265</v>
          </cell>
          <cell r="C784" t="str">
            <v>451044-7</v>
          </cell>
          <cell r="D784" t="str">
            <v>MA110</v>
          </cell>
        </row>
        <row r="785">
          <cell r="B785">
            <v>40005302</v>
          </cell>
          <cell r="C785" t="str">
            <v>347230-5</v>
          </cell>
          <cell r="D785" t="str">
            <v>MA111</v>
          </cell>
        </row>
        <row r="786">
          <cell r="B786">
            <v>40007562</v>
          </cell>
          <cell r="C786" t="str">
            <v>JM27000319</v>
          </cell>
          <cell r="D786" t="str">
            <v>MA111</v>
          </cell>
        </row>
        <row r="787">
          <cell r="B787">
            <v>40007172</v>
          </cell>
          <cell r="C787" t="str">
            <v>321514-9</v>
          </cell>
          <cell r="D787" t="str">
            <v>MA112</v>
          </cell>
        </row>
        <row r="788">
          <cell r="B788">
            <v>40006252</v>
          </cell>
          <cell r="C788" t="str">
            <v>346047-3</v>
          </cell>
          <cell r="D788" t="str">
            <v>MA112</v>
          </cell>
        </row>
        <row r="789">
          <cell r="B789">
            <v>40005903</v>
          </cell>
          <cell r="C789">
            <v>671015252</v>
          </cell>
          <cell r="D789" t="str">
            <v>MA113</v>
          </cell>
        </row>
        <row r="790">
          <cell r="B790">
            <v>40007963</v>
          </cell>
          <cell r="C790" t="str">
            <v>168421-3</v>
          </cell>
          <cell r="D790" t="str">
            <v>MA113</v>
          </cell>
        </row>
        <row r="791">
          <cell r="B791">
            <v>40005902</v>
          </cell>
          <cell r="C791">
            <v>671010730</v>
          </cell>
          <cell r="D791" t="str">
            <v>MA114</v>
          </cell>
        </row>
        <row r="792">
          <cell r="B792">
            <v>40005317</v>
          </cell>
          <cell r="C792" t="str">
            <v>213787-7</v>
          </cell>
          <cell r="D792" t="str">
            <v>MA114</v>
          </cell>
        </row>
        <row r="793">
          <cell r="B793">
            <v>40005295</v>
          </cell>
          <cell r="C793" t="str">
            <v>346834-0</v>
          </cell>
          <cell r="D793" t="str">
            <v>MA115</v>
          </cell>
        </row>
        <row r="794">
          <cell r="B794">
            <v>40005476</v>
          </cell>
          <cell r="C794" t="str">
            <v>424753-1</v>
          </cell>
          <cell r="D794" t="str">
            <v>MA115</v>
          </cell>
        </row>
        <row r="795">
          <cell r="B795">
            <v>40007350</v>
          </cell>
          <cell r="C795" t="str">
            <v>226750-1</v>
          </cell>
          <cell r="D795" t="str">
            <v>MA116</v>
          </cell>
        </row>
        <row r="796">
          <cell r="B796">
            <v>40006869</v>
          </cell>
          <cell r="C796" t="str">
            <v>158899-8</v>
          </cell>
          <cell r="D796" t="str">
            <v>MA117</v>
          </cell>
        </row>
        <row r="797">
          <cell r="B797">
            <v>40007842</v>
          </cell>
          <cell r="C797" t="str">
            <v>651240-9</v>
          </cell>
          <cell r="D797" t="str">
            <v>MA118</v>
          </cell>
        </row>
        <row r="798">
          <cell r="B798">
            <v>40006804</v>
          </cell>
          <cell r="C798" t="str">
            <v>321082-2</v>
          </cell>
          <cell r="D798" t="str">
            <v>MA119</v>
          </cell>
        </row>
        <row r="799">
          <cell r="B799">
            <v>40006322</v>
          </cell>
          <cell r="C799" t="str">
            <v>410129-8</v>
          </cell>
          <cell r="D799" t="str">
            <v>MA119</v>
          </cell>
        </row>
        <row r="800">
          <cell r="B800">
            <v>40007864</v>
          </cell>
          <cell r="C800" t="str">
            <v>419589-1</v>
          </cell>
          <cell r="D800" t="str">
            <v>MA12</v>
          </cell>
        </row>
        <row r="801">
          <cell r="B801">
            <v>40006072</v>
          </cell>
          <cell r="C801" t="str">
            <v>213445-5</v>
          </cell>
          <cell r="D801" t="str">
            <v>MA12</v>
          </cell>
        </row>
        <row r="802">
          <cell r="B802">
            <v>40006936</v>
          </cell>
          <cell r="C802" t="str">
            <v>424056-3</v>
          </cell>
          <cell r="D802" t="str">
            <v>MA120</v>
          </cell>
        </row>
        <row r="803">
          <cell r="B803">
            <v>40006883</v>
          </cell>
          <cell r="C803" t="str">
            <v>253133-2</v>
          </cell>
          <cell r="D803" t="str">
            <v>MA120</v>
          </cell>
        </row>
        <row r="804">
          <cell r="B804">
            <v>40011887</v>
          </cell>
          <cell r="C804" t="str">
            <v>681636-0</v>
          </cell>
          <cell r="D804" t="str">
            <v>MA120</v>
          </cell>
        </row>
        <row r="805">
          <cell r="B805">
            <v>40007118</v>
          </cell>
          <cell r="C805" t="str">
            <v>253823-7</v>
          </cell>
          <cell r="D805" t="str">
            <v>MA121</v>
          </cell>
        </row>
        <row r="806">
          <cell r="B806">
            <v>40006948</v>
          </cell>
          <cell r="C806" t="str">
            <v>216022-2</v>
          </cell>
          <cell r="D806" t="str">
            <v>MA121</v>
          </cell>
        </row>
        <row r="807">
          <cell r="B807">
            <v>40006200</v>
          </cell>
          <cell r="C807" t="str">
            <v>226791-7</v>
          </cell>
          <cell r="D807" t="str">
            <v>MA122</v>
          </cell>
        </row>
        <row r="808">
          <cell r="B808">
            <v>40007253</v>
          </cell>
          <cell r="C808" t="str">
            <v>164491-0</v>
          </cell>
          <cell r="D808" t="str">
            <v>MA123</v>
          </cell>
        </row>
        <row r="809">
          <cell r="B809">
            <v>40007704</v>
          </cell>
          <cell r="C809" t="str">
            <v>153379-9</v>
          </cell>
          <cell r="D809" t="str">
            <v>MA124</v>
          </cell>
        </row>
        <row r="810">
          <cell r="B810">
            <v>40007691</v>
          </cell>
          <cell r="C810" t="str">
            <v>227451-4</v>
          </cell>
          <cell r="D810" t="str">
            <v>MA125</v>
          </cell>
        </row>
        <row r="811">
          <cell r="B811">
            <v>40006019</v>
          </cell>
          <cell r="C811" t="str">
            <v>232501-2</v>
          </cell>
          <cell r="D811" t="str">
            <v>MA126</v>
          </cell>
        </row>
        <row r="812">
          <cell r="B812">
            <v>40008139</v>
          </cell>
          <cell r="C812" t="str">
            <v>210013-5</v>
          </cell>
          <cell r="D812" t="str">
            <v>MA126</v>
          </cell>
        </row>
        <row r="813">
          <cell r="B813">
            <v>40006772</v>
          </cell>
          <cell r="C813" t="str">
            <v>411852-8</v>
          </cell>
          <cell r="D813" t="str">
            <v>MA127</v>
          </cell>
        </row>
        <row r="814">
          <cell r="B814">
            <v>40007721</v>
          </cell>
          <cell r="C814" t="str">
            <v>251680-7</v>
          </cell>
          <cell r="D814" t="str">
            <v>MA128</v>
          </cell>
        </row>
        <row r="815">
          <cell r="B815">
            <v>40007247</v>
          </cell>
          <cell r="C815">
            <v>927306000</v>
          </cell>
          <cell r="D815" t="str">
            <v>MA128</v>
          </cell>
        </row>
        <row r="816">
          <cell r="B816">
            <v>40008206</v>
          </cell>
          <cell r="C816" t="str">
            <v>344690-2</v>
          </cell>
          <cell r="D816" t="str">
            <v>MA128</v>
          </cell>
        </row>
        <row r="817">
          <cell r="B817">
            <v>40007346</v>
          </cell>
          <cell r="C817">
            <v>225229010</v>
          </cell>
          <cell r="D817" t="str">
            <v>MA129</v>
          </cell>
        </row>
        <row r="818">
          <cell r="B818">
            <v>40006411</v>
          </cell>
          <cell r="C818" t="str">
            <v>454337-1</v>
          </cell>
          <cell r="D818" t="str">
            <v>MA129</v>
          </cell>
        </row>
        <row r="819">
          <cell r="B819">
            <v>40011727</v>
          </cell>
          <cell r="C819" t="str">
            <v>419918-8</v>
          </cell>
          <cell r="D819" t="str">
            <v>MA13</v>
          </cell>
        </row>
        <row r="820">
          <cell r="B820">
            <v>40006970</v>
          </cell>
          <cell r="C820" t="str">
            <v>254211-1</v>
          </cell>
          <cell r="D820" t="str">
            <v>MA13</v>
          </cell>
        </row>
        <row r="821">
          <cell r="B821">
            <v>40007488</v>
          </cell>
          <cell r="C821" t="str">
            <v>256266-2</v>
          </cell>
          <cell r="D821" t="str">
            <v>MA13</v>
          </cell>
        </row>
        <row r="822">
          <cell r="B822">
            <v>40007090</v>
          </cell>
          <cell r="C822" t="str">
            <v>210006-2</v>
          </cell>
          <cell r="D822" t="str">
            <v>MA130</v>
          </cell>
        </row>
        <row r="823">
          <cell r="B823">
            <v>40006364</v>
          </cell>
          <cell r="C823" t="str">
            <v>961034-7</v>
          </cell>
          <cell r="D823" t="str">
            <v>MA130</v>
          </cell>
        </row>
        <row r="824">
          <cell r="B824">
            <v>40007013</v>
          </cell>
          <cell r="C824" t="str">
            <v>195483-8</v>
          </cell>
          <cell r="D824" t="str">
            <v>MA131</v>
          </cell>
        </row>
        <row r="825">
          <cell r="B825">
            <v>40006032</v>
          </cell>
          <cell r="C825" t="str">
            <v>JM23100153</v>
          </cell>
          <cell r="D825" t="str">
            <v>MA132</v>
          </cell>
        </row>
        <row r="826">
          <cell r="B826">
            <v>40005711</v>
          </cell>
          <cell r="C826" t="str">
            <v>650717-1</v>
          </cell>
          <cell r="D826" t="str">
            <v>MA132</v>
          </cell>
        </row>
        <row r="827">
          <cell r="B827">
            <v>40006180</v>
          </cell>
          <cell r="C827" t="str">
            <v>451202-5</v>
          </cell>
          <cell r="D827" t="str">
            <v>MA133</v>
          </cell>
        </row>
        <row r="828">
          <cell r="B828">
            <v>40008321</v>
          </cell>
          <cell r="C828" t="str">
            <v>651478-6</v>
          </cell>
          <cell r="D828" t="str">
            <v>MA133</v>
          </cell>
        </row>
        <row r="829">
          <cell r="B829">
            <v>40008185</v>
          </cell>
          <cell r="C829" t="str">
            <v>253804-1</v>
          </cell>
          <cell r="D829" t="str">
            <v>MA134</v>
          </cell>
        </row>
        <row r="830">
          <cell r="B830">
            <v>40005948</v>
          </cell>
          <cell r="C830" t="str">
            <v>168823-3</v>
          </cell>
          <cell r="D830" t="str">
            <v>MA134</v>
          </cell>
        </row>
        <row r="831">
          <cell r="B831">
            <v>40006997</v>
          </cell>
          <cell r="C831" t="str">
            <v>631780-3</v>
          </cell>
          <cell r="D831" t="str">
            <v>MA135</v>
          </cell>
        </row>
        <row r="832">
          <cell r="B832">
            <v>40008283</v>
          </cell>
          <cell r="C832" t="str">
            <v>226553-3</v>
          </cell>
          <cell r="D832" t="str">
            <v>MA136</v>
          </cell>
        </row>
        <row r="833">
          <cell r="B833">
            <v>40005658</v>
          </cell>
          <cell r="C833" t="str">
            <v>912116-8</v>
          </cell>
          <cell r="D833" t="str">
            <v>MA136</v>
          </cell>
        </row>
        <row r="834">
          <cell r="B834">
            <v>40006078</v>
          </cell>
          <cell r="C834" t="str">
            <v>265103-9</v>
          </cell>
          <cell r="D834" t="str">
            <v>MA137</v>
          </cell>
        </row>
        <row r="835">
          <cell r="B835">
            <v>40005527</v>
          </cell>
          <cell r="C835" t="str">
            <v>620388-8</v>
          </cell>
          <cell r="D835" t="str">
            <v>MA137</v>
          </cell>
        </row>
        <row r="836">
          <cell r="B836">
            <v>40007040</v>
          </cell>
          <cell r="C836" t="str">
            <v>271226-3</v>
          </cell>
          <cell r="D836" t="str">
            <v>MA138</v>
          </cell>
        </row>
        <row r="837">
          <cell r="B837">
            <v>40005970</v>
          </cell>
          <cell r="C837" t="str">
            <v>443124-3</v>
          </cell>
          <cell r="D837" t="str">
            <v>MA138</v>
          </cell>
        </row>
        <row r="838">
          <cell r="B838">
            <v>40003870</v>
          </cell>
          <cell r="C838" t="str">
            <v>216003-6</v>
          </cell>
          <cell r="D838" t="str">
            <v>MA139</v>
          </cell>
        </row>
        <row r="839">
          <cell r="B839">
            <v>40006913</v>
          </cell>
          <cell r="C839" t="str">
            <v>421950-0</v>
          </cell>
          <cell r="D839" t="str">
            <v>MA139</v>
          </cell>
        </row>
        <row r="840">
          <cell r="B840">
            <v>40008125</v>
          </cell>
          <cell r="C840" t="str">
            <v>163430-7</v>
          </cell>
          <cell r="D840" t="str">
            <v>MA14</v>
          </cell>
        </row>
        <row r="841">
          <cell r="B841">
            <v>40007910</v>
          </cell>
          <cell r="C841" t="str">
            <v>421886-3</v>
          </cell>
          <cell r="D841" t="str">
            <v>MA14</v>
          </cell>
        </row>
        <row r="842">
          <cell r="B842">
            <v>40008113</v>
          </cell>
          <cell r="C842" t="str">
            <v>415619-6</v>
          </cell>
          <cell r="D842" t="str">
            <v>MA140</v>
          </cell>
        </row>
        <row r="843">
          <cell r="B843">
            <v>40006828</v>
          </cell>
          <cell r="C843" t="str">
            <v>324919-2</v>
          </cell>
          <cell r="D843" t="str">
            <v>MA140</v>
          </cell>
        </row>
        <row r="844">
          <cell r="B844">
            <v>40007311</v>
          </cell>
          <cell r="C844" t="str">
            <v>654168-0</v>
          </cell>
          <cell r="D844" t="str">
            <v>MA141</v>
          </cell>
        </row>
        <row r="845">
          <cell r="B845">
            <v>40006391</v>
          </cell>
          <cell r="C845" t="str">
            <v>416282-8</v>
          </cell>
          <cell r="D845" t="str">
            <v>MA141</v>
          </cell>
        </row>
        <row r="846">
          <cell r="B846">
            <v>40008094</v>
          </cell>
          <cell r="C846" t="str">
            <v>419041-9</v>
          </cell>
          <cell r="D846" t="str">
            <v>MA142</v>
          </cell>
        </row>
        <row r="847">
          <cell r="B847">
            <v>40008122</v>
          </cell>
          <cell r="C847" t="str">
            <v>346035-0</v>
          </cell>
          <cell r="D847" t="str">
            <v>MA142</v>
          </cell>
        </row>
        <row r="848">
          <cell r="B848">
            <v>40006105</v>
          </cell>
          <cell r="C848" t="str">
            <v>911133-5</v>
          </cell>
          <cell r="D848" t="str">
            <v>MA143</v>
          </cell>
        </row>
        <row r="849">
          <cell r="B849">
            <v>40006307</v>
          </cell>
          <cell r="C849" t="str">
            <v>450274-7</v>
          </cell>
          <cell r="D849" t="str">
            <v>MA143</v>
          </cell>
        </row>
        <row r="850">
          <cell r="B850">
            <v>40010409</v>
          </cell>
          <cell r="C850" t="str">
            <v>251217-0</v>
          </cell>
          <cell r="D850" t="str">
            <v>MA144</v>
          </cell>
        </row>
        <row r="851">
          <cell r="B851">
            <v>40006683</v>
          </cell>
          <cell r="C851" t="str">
            <v>285809-3</v>
          </cell>
          <cell r="D851" t="str">
            <v>MA144</v>
          </cell>
        </row>
        <row r="852">
          <cell r="B852">
            <v>40008155</v>
          </cell>
          <cell r="C852" t="str">
            <v>418141-2</v>
          </cell>
          <cell r="D852" t="str">
            <v>MA145</v>
          </cell>
        </row>
        <row r="853">
          <cell r="B853">
            <v>40006930</v>
          </cell>
          <cell r="C853" t="str">
            <v>285815-8</v>
          </cell>
          <cell r="D853" t="str">
            <v>MA145</v>
          </cell>
        </row>
        <row r="854">
          <cell r="B854">
            <v>40007331</v>
          </cell>
          <cell r="C854" t="str">
            <v>226461-8</v>
          </cell>
          <cell r="D854" t="str">
            <v>MA146</v>
          </cell>
        </row>
        <row r="855">
          <cell r="B855">
            <v>40007916</v>
          </cell>
          <cell r="C855" t="str">
            <v>A0800-0381</v>
          </cell>
          <cell r="D855" t="str">
            <v>MA146</v>
          </cell>
        </row>
        <row r="856">
          <cell r="B856">
            <v>40006849</v>
          </cell>
          <cell r="C856" t="str">
            <v>257173-2</v>
          </cell>
          <cell r="D856" t="str">
            <v>MA147</v>
          </cell>
        </row>
        <row r="857">
          <cell r="B857">
            <v>40006160</v>
          </cell>
          <cell r="C857" t="str">
            <v>262137-3</v>
          </cell>
          <cell r="D857" t="str">
            <v>MA147</v>
          </cell>
        </row>
        <row r="858">
          <cell r="B858">
            <v>40006132</v>
          </cell>
          <cell r="C858" t="str">
            <v>421738-8</v>
          </cell>
          <cell r="D858" t="str">
            <v>MA148</v>
          </cell>
        </row>
        <row r="859">
          <cell r="B859">
            <v>40005651</v>
          </cell>
          <cell r="C859" t="str">
            <v>345867-2</v>
          </cell>
          <cell r="D859" t="str">
            <v>MA148</v>
          </cell>
        </row>
        <row r="860">
          <cell r="B860">
            <v>40005798</v>
          </cell>
          <cell r="C860" t="str">
            <v>620088-0</v>
          </cell>
          <cell r="D860" t="str">
            <v>MA149</v>
          </cell>
        </row>
        <row r="861">
          <cell r="B861">
            <v>40007892</v>
          </cell>
          <cell r="C861" t="str">
            <v>452399-3</v>
          </cell>
          <cell r="D861" t="str">
            <v>MA149</v>
          </cell>
        </row>
        <row r="862">
          <cell r="B862">
            <v>40008040</v>
          </cell>
          <cell r="C862" t="str">
            <v>216019-1</v>
          </cell>
          <cell r="D862" t="str">
            <v>MA15</v>
          </cell>
        </row>
        <row r="863">
          <cell r="B863">
            <v>40006418</v>
          </cell>
          <cell r="C863" t="str">
            <v>454317-7</v>
          </cell>
          <cell r="D863" t="str">
            <v>MA15</v>
          </cell>
        </row>
        <row r="864">
          <cell r="B864">
            <v>40005637</v>
          </cell>
          <cell r="C864">
            <v>3641140</v>
          </cell>
          <cell r="D864" t="str">
            <v>MA150</v>
          </cell>
        </row>
        <row r="865">
          <cell r="B865">
            <v>40008164</v>
          </cell>
          <cell r="C865">
            <v>21245060</v>
          </cell>
          <cell r="D865" t="str">
            <v>MA150</v>
          </cell>
        </row>
        <row r="866">
          <cell r="B866">
            <v>40006682</v>
          </cell>
          <cell r="C866" t="str">
            <v>651416-8</v>
          </cell>
          <cell r="D866" t="str">
            <v>MA151</v>
          </cell>
        </row>
        <row r="867">
          <cell r="B867">
            <v>40007079</v>
          </cell>
          <cell r="C867" t="str">
            <v>153120-0</v>
          </cell>
          <cell r="D867" t="str">
            <v>MA151</v>
          </cell>
        </row>
        <row r="868">
          <cell r="B868">
            <v>40007250</v>
          </cell>
          <cell r="C868" t="str">
            <v>421763-9</v>
          </cell>
          <cell r="D868" t="str">
            <v>MA152</v>
          </cell>
        </row>
        <row r="869">
          <cell r="B869">
            <v>40007887</v>
          </cell>
          <cell r="C869" t="str">
            <v>331435-7</v>
          </cell>
          <cell r="D869" t="str">
            <v>MA152</v>
          </cell>
        </row>
        <row r="870">
          <cell r="B870">
            <v>40006876</v>
          </cell>
          <cell r="C870" t="str">
            <v>643818-2</v>
          </cell>
          <cell r="D870" t="str">
            <v>MA153</v>
          </cell>
        </row>
        <row r="871">
          <cell r="B871">
            <v>40005998</v>
          </cell>
          <cell r="C871" t="str">
            <v>154438-2</v>
          </cell>
          <cell r="D871" t="str">
            <v>MA153</v>
          </cell>
        </row>
        <row r="872">
          <cell r="B872">
            <v>40006254</v>
          </cell>
          <cell r="C872" t="str">
            <v>322951-0</v>
          </cell>
          <cell r="D872" t="str">
            <v>MA154</v>
          </cell>
        </row>
        <row r="873">
          <cell r="B873">
            <v>40006045</v>
          </cell>
          <cell r="C873" t="str">
            <v>651131-4</v>
          </cell>
          <cell r="D873" t="str">
            <v>MA154</v>
          </cell>
        </row>
        <row r="874">
          <cell r="B874">
            <v>40007876</v>
          </cell>
          <cell r="C874" t="str">
            <v>272253-3</v>
          </cell>
          <cell r="D874" t="str">
            <v>MA155</v>
          </cell>
        </row>
        <row r="875">
          <cell r="B875">
            <v>40007924</v>
          </cell>
          <cell r="C875" t="str">
            <v>286288-8</v>
          </cell>
          <cell r="D875" t="str">
            <v>MA155</v>
          </cell>
        </row>
        <row r="876">
          <cell r="B876">
            <v>40007579</v>
          </cell>
          <cell r="C876" t="str">
            <v>231504-3</v>
          </cell>
          <cell r="D876" t="str">
            <v>MA156</v>
          </cell>
        </row>
        <row r="877">
          <cell r="B877">
            <v>40006256</v>
          </cell>
          <cell r="C877" t="str">
            <v>416288-6</v>
          </cell>
          <cell r="D877" t="str">
            <v>MA156</v>
          </cell>
        </row>
        <row r="878">
          <cell r="B878">
            <v>40003879</v>
          </cell>
          <cell r="C878" t="str">
            <v>262506-8</v>
          </cell>
          <cell r="D878" t="str">
            <v>MA157</v>
          </cell>
        </row>
        <row r="879">
          <cell r="B879">
            <v>40008062</v>
          </cell>
          <cell r="C879" t="str">
            <v>213227-5</v>
          </cell>
          <cell r="D879" t="str">
            <v>MA157</v>
          </cell>
        </row>
        <row r="880">
          <cell r="B880">
            <v>40007959</v>
          </cell>
          <cell r="C880" t="str">
            <v>213039-6</v>
          </cell>
          <cell r="D880" t="str">
            <v>MA158</v>
          </cell>
        </row>
        <row r="881">
          <cell r="B881">
            <v>40007962</v>
          </cell>
          <cell r="C881" t="str">
            <v>221422-3</v>
          </cell>
          <cell r="D881" t="str">
            <v>MA158</v>
          </cell>
        </row>
        <row r="882">
          <cell r="B882">
            <v>40006204</v>
          </cell>
          <cell r="C882" t="str">
            <v>231730-4</v>
          </cell>
          <cell r="D882" t="str">
            <v>MA159</v>
          </cell>
        </row>
        <row r="883">
          <cell r="B883">
            <v>40006059</v>
          </cell>
          <cell r="C883" t="str">
            <v>934301-3</v>
          </cell>
          <cell r="D883" t="str">
            <v>MA159</v>
          </cell>
        </row>
        <row r="884">
          <cell r="B884">
            <v>40007006</v>
          </cell>
          <cell r="C884" t="str">
            <v>265355-2</v>
          </cell>
          <cell r="D884" t="str">
            <v>MA16</v>
          </cell>
        </row>
        <row r="885">
          <cell r="B885">
            <v>40007857</v>
          </cell>
          <cell r="C885" t="str">
            <v>232239-9</v>
          </cell>
          <cell r="D885" t="str">
            <v>MA16</v>
          </cell>
        </row>
        <row r="886">
          <cell r="B886">
            <v>40006491</v>
          </cell>
          <cell r="C886" t="str">
            <v>922211-6</v>
          </cell>
          <cell r="D886" t="str">
            <v>MA160</v>
          </cell>
        </row>
        <row r="887">
          <cell r="B887">
            <v>40007709</v>
          </cell>
          <cell r="C887" t="str">
            <v>961054-1</v>
          </cell>
          <cell r="D887" t="str">
            <v>MA160</v>
          </cell>
        </row>
        <row r="888">
          <cell r="B888">
            <v>40007196</v>
          </cell>
          <cell r="C888">
            <v>369155010</v>
          </cell>
          <cell r="D888" t="str">
            <v>MA161</v>
          </cell>
        </row>
        <row r="889">
          <cell r="B889">
            <v>40003877</v>
          </cell>
          <cell r="C889" t="str">
            <v>643552-4</v>
          </cell>
          <cell r="D889" t="str">
            <v>MA161</v>
          </cell>
        </row>
        <row r="890">
          <cell r="B890">
            <v>40005649</v>
          </cell>
          <cell r="C890" t="str">
            <v>450235-7</v>
          </cell>
          <cell r="D890" t="str">
            <v>MA162</v>
          </cell>
        </row>
        <row r="891">
          <cell r="B891">
            <v>40006223</v>
          </cell>
          <cell r="C891" t="str">
            <v>143484-0</v>
          </cell>
          <cell r="D891" t="str">
            <v>MA162</v>
          </cell>
        </row>
        <row r="892">
          <cell r="B892">
            <v>40006232</v>
          </cell>
          <cell r="C892" t="str">
            <v>912357-6</v>
          </cell>
          <cell r="D892" t="str">
            <v>MA163</v>
          </cell>
        </row>
        <row r="893">
          <cell r="B893">
            <v>40005596</v>
          </cell>
          <cell r="C893" t="str">
            <v>454818-5</v>
          </cell>
          <cell r="D893" t="str">
            <v>MA164</v>
          </cell>
        </row>
        <row r="894">
          <cell r="B894">
            <v>40006225</v>
          </cell>
          <cell r="C894" t="str">
            <v>232154-7</v>
          </cell>
          <cell r="D894" t="str">
            <v>MA164</v>
          </cell>
        </row>
        <row r="895">
          <cell r="B895">
            <v>40005674</v>
          </cell>
          <cell r="C895" t="str">
            <v>344463-3</v>
          </cell>
          <cell r="D895" t="str">
            <v>MA165</v>
          </cell>
        </row>
        <row r="896">
          <cell r="B896">
            <v>40006239</v>
          </cell>
          <cell r="C896">
            <v>962900061</v>
          </cell>
          <cell r="D896" t="str">
            <v>MA165</v>
          </cell>
        </row>
        <row r="897">
          <cell r="B897">
            <v>40006477</v>
          </cell>
          <cell r="C897" t="str">
            <v>231928-3</v>
          </cell>
          <cell r="D897" t="str">
            <v>MA166</v>
          </cell>
        </row>
        <row r="898">
          <cell r="B898">
            <v>40007952</v>
          </cell>
          <cell r="C898" t="str">
            <v>158281-1</v>
          </cell>
          <cell r="D898" t="str">
            <v>MA166</v>
          </cell>
        </row>
        <row r="899">
          <cell r="B899">
            <v>40010253</v>
          </cell>
          <cell r="C899" t="str">
            <v>257932-4</v>
          </cell>
          <cell r="D899" t="str">
            <v>MA167</v>
          </cell>
        </row>
        <row r="900">
          <cell r="B900">
            <v>40005941</v>
          </cell>
          <cell r="C900" t="str">
            <v>326555-0</v>
          </cell>
          <cell r="D900" t="str">
            <v>MA167</v>
          </cell>
        </row>
        <row r="901">
          <cell r="B901">
            <v>40007712</v>
          </cell>
          <cell r="C901" t="str">
            <v>262074-1</v>
          </cell>
          <cell r="D901" t="str">
            <v>MA168</v>
          </cell>
        </row>
        <row r="902">
          <cell r="B902">
            <v>40008187</v>
          </cell>
          <cell r="C902" t="str">
            <v>267136-0</v>
          </cell>
          <cell r="D902" t="str">
            <v>MA169</v>
          </cell>
        </row>
        <row r="903">
          <cell r="B903">
            <v>40005942</v>
          </cell>
          <cell r="C903" t="str">
            <v>922261-1</v>
          </cell>
          <cell r="D903" t="str">
            <v>MA169</v>
          </cell>
        </row>
        <row r="904">
          <cell r="B904">
            <v>40010264</v>
          </cell>
          <cell r="C904" t="str">
            <v>227496-2</v>
          </cell>
          <cell r="D904" t="str">
            <v>MA17</v>
          </cell>
        </row>
        <row r="905">
          <cell r="B905">
            <v>40007608</v>
          </cell>
          <cell r="C905" t="str">
            <v>325125-2</v>
          </cell>
          <cell r="D905" t="str">
            <v>MA170</v>
          </cell>
        </row>
        <row r="906">
          <cell r="B906">
            <v>40005397</v>
          </cell>
          <cell r="C906" t="str">
            <v>JM23200031</v>
          </cell>
          <cell r="D906" t="str">
            <v>MA170</v>
          </cell>
        </row>
        <row r="907">
          <cell r="B907">
            <v>40007123</v>
          </cell>
          <cell r="C907" t="str">
            <v>153384-6</v>
          </cell>
          <cell r="D907" t="str">
            <v>MA171</v>
          </cell>
        </row>
        <row r="908">
          <cell r="B908">
            <v>40006701</v>
          </cell>
          <cell r="C908" t="str">
            <v>324669-9</v>
          </cell>
          <cell r="D908" t="str">
            <v>MA171</v>
          </cell>
        </row>
        <row r="909">
          <cell r="B909">
            <v>40007280</v>
          </cell>
          <cell r="C909" t="str">
            <v>345187-4</v>
          </cell>
          <cell r="D909" t="str">
            <v>MA172</v>
          </cell>
        </row>
        <row r="910">
          <cell r="B910">
            <v>40005924</v>
          </cell>
          <cell r="C910" t="str">
            <v>681613-2</v>
          </cell>
          <cell r="D910" t="str">
            <v>MA172</v>
          </cell>
        </row>
        <row r="911">
          <cell r="B911">
            <v>40006700</v>
          </cell>
          <cell r="C911" t="str">
            <v>331769-8</v>
          </cell>
          <cell r="D911" t="str">
            <v>MA173</v>
          </cell>
        </row>
        <row r="912">
          <cell r="B912">
            <v>40006702</v>
          </cell>
          <cell r="C912" t="str">
            <v>324402-9</v>
          </cell>
          <cell r="D912" t="str">
            <v>MA173</v>
          </cell>
        </row>
        <row r="913">
          <cell r="B913">
            <v>40006703</v>
          </cell>
          <cell r="C913" t="str">
            <v>421955-0</v>
          </cell>
          <cell r="D913" t="str">
            <v>MA174</v>
          </cell>
        </row>
        <row r="914">
          <cell r="B914">
            <v>40006999</v>
          </cell>
          <cell r="C914" t="str">
            <v>253807-5</v>
          </cell>
          <cell r="D914" t="str">
            <v>MA174</v>
          </cell>
        </row>
        <row r="915">
          <cell r="B915">
            <v>40007189</v>
          </cell>
          <cell r="C915" t="str">
            <v>258002-2</v>
          </cell>
          <cell r="D915" t="str">
            <v>MA175</v>
          </cell>
        </row>
        <row r="916">
          <cell r="B916">
            <v>40010244</v>
          </cell>
          <cell r="C916" t="str">
            <v>650224-4</v>
          </cell>
          <cell r="D916" t="str">
            <v>MA175</v>
          </cell>
        </row>
        <row r="917">
          <cell r="B917">
            <v>10018946</v>
          </cell>
          <cell r="C917" t="str">
            <v>232257-7</v>
          </cell>
          <cell r="D917" t="str">
            <v>MA176</v>
          </cell>
        </row>
        <row r="918">
          <cell r="B918">
            <v>40007732</v>
          </cell>
          <cell r="C918">
            <v>21245007</v>
          </cell>
          <cell r="D918" t="str">
            <v>MA176</v>
          </cell>
        </row>
        <row r="919">
          <cell r="B919">
            <v>10018944</v>
          </cell>
          <cell r="C919" t="str">
            <v>443141-3</v>
          </cell>
          <cell r="D919" t="str">
            <v>MA177</v>
          </cell>
        </row>
        <row r="920">
          <cell r="B920">
            <v>40008069</v>
          </cell>
          <cell r="C920" t="str">
            <v>266007-8</v>
          </cell>
          <cell r="D920" t="str">
            <v>MA177</v>
          </cell>
        </row>
        <row r="921">
          <cell r="B921">
            <v>40005907</v>
          </cell>
          <cell r="C921" t="str">
            <v>443140-5</v>
          </cell>
          <cell r="D921" t="str">
            <v>MA178</v>
          </cell>
        </row>
        <row r="922">
          <cell r="B922">
            <v>40005915</v>
          </cell>
          <cell r="C922" t="str">
            <v>JM27000169</v>
          </cell>
          <cell r="D922" t="str">
            <v>MA178</v>
          </cell>
        </row>
        <row r="923">
          <cell r="B923">
            <v>40007265</v>
          </cell>
          <cell r="C923" t="str">
            <v>JM27000167</v>
          </cell>
          <cell r="D923" t="str">
            <v>MA179</v>
          </cell>
        </row>
        <row r="924">
          <cell r="B924">
            <v>40007494</v>
          </cell>
          <cell r="C924" t="str">
            <v>JM27000155</v>
          </cell>
          <cell r="D924" t="str">
            <v>MA179</v>
          </cell>
        </row>
        <row r="925">
          <cell r="B925">
            <v>40008135</v>
          </cell>
          <cell r="C925" t="str">
            <v>254032-1</v>
          </cell>
          <cell r="D925" t="str">
            <v>MA18</v>
          </cell>
        </row>
        <row r="926">
          <cell r="B926">
            <v>40007946</v>
          </cell>
          <cell r="C926" t="str">
            <v>JM27000159</v>
          </cell>
          <cell r="D926" t="str">
            <v>MA18</v>
          </cell>
        </row>
        <row r="927">
          <cell r="B927">
            <v>40007894</v>
          </cell>
          <cell r="C927" t="str">
            <v>163447-0</v>
          </cell>
          <cell r="D927" t="str">
            <v>MA180</v>
          </cell>
        </row>
        <row r="928">
          <cell r="B928">
            <v>40005905</v>
          </cell>
          <cell r="C928" t="str">
            <v>168561-7</v>
          </cell>
          <cell r="D928" t="str">
            <v>MA180</v>
          </cell>
        </row>
        <row r="929">
          <cell r="B929">
            <v>40006488</v>
          </cell>
          <cell r="C929" t="str">
            <v>450427-8</v>
          </cell>
          <cell r="D929" t="str">
            <v>MA181</v>
          </cell>
        </row>
        <row r="930">
          <cell r="B930">
            <v>40008204</v>
          </cell>
          <cell r="C930" t="str">
            <v>256447-8</v>
          </cell>
          <cell r="D930" t="str">
            <v>MA181</v>
          </cell>
        </row>
        <row r="931">
          <cell r="B931">
            <v>40006224</v>
          </cell>
          <cell r="C931" t="str">
            <v>643989-5</v>
          </cell>
          <cell r="D931" t="str">
            <v>MA182</v>
          </cell>
        </row>
        <row r="932">
          <cell r="B932">
            <v>40005673</v>
          </cell>
          <cell r="C932" t="str">
            <v>252014-7</v>
          </cell>
          <cell r="D932" t="str">
            <v>MA183</v>
          </cell>
        </row>
        <row r="933">
          <cell r="B933">
            <v>40008154</v>
          </cell>
          <cell r="C933" t="str">
            <v>912222-9</v>
          </cell>
          <cell r="D933" t="str">
            <v>MA183</v>
          </cell>
        </row>
        <row r="934">
          <cell r="B934">
            <v>40007130</v>
          </cell>
          <cell r="C934" t="str">
            <v>184678-8</v>
          </cell>
          <cell r="D934" t="str">
            <v>MA184</v>
          </cell>
        </row>
        <row r="935">
          <cell r="B935">
            <v>40006284</v>
          </cell>
          <cell r="C935" t="str">
            <v>322813-2</v>
          </cell>
          <cell r="D935" t="str">
            <v>MA185</v>
          </cell>
        </row>
        <row r="936">
          <cell r="B936">
            <v>40007263</v>
          </cell>
          <cell r="C936" t="str">
            <v>JM27000066</v>
          </cell>
          <cell r="D936" t="str">
            <v>MA185</v>
          </cell>
        </row>
        <row r="937">
          <cell r="B937">
            <v>40006141</v>
          </cell>
          <cell r="C937" t="str">
            <v>318151-8</v>
          </cell>
          <cell r="D937" t="str">
            <v>MA186</v>
          </cell>
        </row>
        <row r="938">
          <cell r="B938">
            <v>40006537</v>
          </cell>
          <cell r="C938" t="str">
            <v>421977-0</v>
          </cell>
          <cell r="D938" t="str">
            <v>MA186</v>
          </cell>
        </row>
        <row r="939">
          <cell r="B939">
            <v>40005390</v>
          </cell>
          <cell r="C939" t="str">
            <v>226141-6</v>
          </cell>
          <cell r="D939" t="str">
            <v>MA187</v>
          </cell>
        </row>
        <row r="940">
          <cell r="B940">
            <v>40007399</v>
          </cell>
          <cell r="C940" t="str">
            <v>224333-1</v>
          </cell>
          <cell r="D940" t="str">
            <v>MA187</v>
          </cell>
        </row>
        <row r="941">
          <cell r="B941">
            <v>40007714</v>
          </cell>
          <cell r="C941" t="str">
            <v>267035-6</v>
          </cell>
          <cell r="D941" t="str">
            <v>MA188</v>
          </cell>
        </row>
        <row r="942">
          <cell r="B942">
            <v>40008010</v>
          </cell>
          <cell r="C942" t="str">
            <v>310301-1</v>
          </cell>
          <cell r="D942" t="str">
            <v>MA188</v>
          </cell>
        </row>
        <row r="943">
          <cell r="B943">
            <v>40010370</v>
          </cell>
          <cell r="C943" t="str">
            <v>267785-3</v>
          </cell>
          <cell r="D943" t="str">
            <v>MA188</v>
          </cell>
        </row>
        <row r="944">
          <cell r="B944">
            <v>40007368</v>
          </cell>
          <cell r="C944" t="str">
            <v>961052-5</v>
          </cell>
          <cell r="D944" t="str">
            <v>MA189</v>
          </cell>
        </row>
        <row r="945">
          <cell r="B945">
            <v>40006050</v>
          </cell>
          <cell r="C945" t="str">
            <v>213962-5</v>
          </cell>
          <cell r="D945" t="str">
            <v>MA189</v>
          </cell>
        </row>
        <row r="946">
          <cell r="B946">
            <v>40007188</v>
          </cell>
          <cell r="C946" t="str">
            <v>325601-6</v>
          </cell>
          <cell r="D946" t="str">
            <v>MA19</v>
          </cell>
        </row>
        <row r="947">
          <cell r="B947">
            <v>40006458</v>
          </cell>
          <cell r="C947" t="str">
            <v>911221-8</v>
          </cell>
          <cell r="D947" t="str">
            <v>MA19</v>
          </cell>
        </row>
        <row r="948">
          <cell r="B948">
            <v>40005393</v>
          </cell>
          <cell r="C948" t="str">
            <v>332139-4</v>
          </cell>
          <cell r="D948" t="str">
            <v>MA190</v>
          </cell>
        </row>
        <row r="949">
          <cell r="B949">
            <v>40006278</v>
          </cell>
          <cell r="C949" t="str">
            <v>419986-1</v>
          </cell>
          <cell r="D949" t="str">
            <v>MA190</v>
          </cell>
        </row>
        <row r="950">
          <cell r="B950">
            <v>40006121</v>
          </cell>
          <cell r="C950" t="str">
            <v>620138-1</v>
          </cell>
          <cell r="D950" t="str">
            <v>MA191</v>
          </cell>
        </row>
        <row r="951">
          <cell r="B951">
            <v>40008043</v>
          </cell>
          <cell r="C951" t="str">
            <v>231965-7</v>
          </cell>
          <cell r="D951" t="str">
            <v>MA191</v>
          </cell>
        </row>
        <row r="952">
          <cell r="B952">
            <v>40010317</v>
          </cell>
          <cell r="C952" t="str">
            <v>424247-6</v>
          </cell>
          <cell r="D952" t="str">
            <v>MA192</v>
          </cell>
        </row>
        <row r="953">
          <cell r="B953">
            <v>40010304</v>
          </cell>
          <cell r="C953" t="str">
            <v>257960-9</v>
          </cell>
          <cell r="D953" t="str">
            <v>MA192</v>
          </cell>
        </row>
        <row r="954">
          <cell r="B954">
            <v>40010254</v>
          </cell>
          <cell r="C954" t="str">
            <v>266029-8</v>
          </cell>
          <cell r="D954" t="str">
            <v>MA192</v>
          </cell>
        </row>
        <row r="955">
          <cell r="B955">
            <v>40010294</v>
          </cell>
          <cell r="C955" t="str">
            <v>268101-2</v>
          </cell>
          <cell r="D955" t="str">
            <v>MA192</v>
          </cell>
        </row>
        <row r="956">
          <cell r="B956">
            <v>40007259</v>
          </cell>
          <cell r="C956" t="str">
            <v>213960-9</v>
          </cell>
          <cell r="D956" t="str">
            <v>MA193</v>
          </cell>
        </row>
        <row r="957">
          <cell r="B957">
            <v>40005593</v>
          </cell>
          <cell r="C957" t="str">
            <v>689170-4</v>
          </cell>
          <cell r="D957" t="str">
            <v>MA193</v>
          </cell>
        </row>
        <row r="958">
          <cell r="B958">
            <v>40006190</v>
          </cell>
          <cell r="C958">
            <v>38173101</v>
          </cell>
          <cell r="D958" t="str">
            <v>MA194</v>
          </cell>
        </row>
        <row r="959">
          <cell r="B959">
            <v>40008295</v>
          </cell>
          <cell r="C959" t="str">
            <v>341381-6</v>
          </cell>
          <cell r="D959" t="str">
            <v>MA194</v>
          </cell>
        </row>
        <row r="960">
          <cell r="B960">
            <v>40006184</v>
          </cell>
          <cell r="C960" t="str">
            <v>141981-0</v>
          </cell>
          <cell r="D960" t="str">
            <v>MA195</v>
          </cell>
        </row>
        <row r="961">
          <cell r="B961">
            <v>40008137</v>
          </cell>
          <cell r="C961" t="str">
            <v>263005-3</v>
          </cell>
          <cell r="D961" t="str">
            <v>MA195</v>
          </cell>
        </row>
        <row r="962">
          <cell r="B962">
            <v>40008134</v>
          </cell>
          <cell r="C962" t="str">
            <v>325550-7</v>
          </cell>
          <cell r="D962" t="str">
            <v>MA196</v>
          </cell>
        </row>
        <row r="963">
          <cell r="B963">
            <v>10018038</v>
          </cell>
          <cell r="C963" t="str">
            <v>343693-3</v>
          </cell>
          <cell r="D963" t="str">
            <v>MA196</v>
          </cell>
        </row>
        <row r="964">
          <cell r="B964">
            <v>40007687</v>
          </cell>
          <cell r="C964" t="str">
            <v>226725-0</v>
          </cell>
          <cell r="D964" t="str">
            <v>MA196</v>
          </cell>
        </row>
        <row r="965">
          <cell r="B965">
            <v>40007089</v>
          </cell>
          <cell r="C965" t="str">
            <v>226331-1</v>
          </cell>
          <cell r="D965" t="str">
            <v>MA196</v>
          </cell>
        </row>
        <row r="966">
          <cell r="B966">
            <v>40007576</v>
          </cell>
          <cell r="C966" t="str">
            <v>341342-6</v>
          </cell>
          <cell r="D966" t="str">
            <v>MA196</v>
          </cell>
        </row>
        <row r="967">
          <cell r="B967">
            <v>40005816</v>
          </cell>
          <cell r="C967">
            <v>965404981</v>
          </cell>
          <cell r="D967" t="str">
            <v>MA196</v>
          </cell>
        </row>
        <row r="968">
          <cell r="B968">
            <v>40008078</v>
          </cell>
          <cell r="C968" t="str">
            <v>226726-8</v>
          </cell>
          <cell r="D968" t="str">
            <v>MA196</v>
          </cell>
        </row>
        <row r="969">
          <cell r="B969">
            <v>40008084</v>
          </cell>
          <cell r="C969" t="str">
            <v>233918-2</v>
          </cell>
          <cell r="D969" t="str">
            <v>MA196</v>
          </cell>
        </row>
        <row r="970">
          <cell r="B970">
            <v>40007382</v>
          </cell>
          <cell r="C970" t="str">
            <v>231294-8</v>
          </cell>
          <cell r="D970" t="str">
            <v>MA196</v>
          </cell>
        </row>
        <row r="971">
          <cell r="B971">
            <v>40005622</v>
          </cell>
          <cell r="C971" t="str">
            <v>452502-6</v>
          </cell>
          <cell r="D971" t="str">
            <v>MA196</v>
          </cell>
        </row>
        <row r="972">
          <cell r="B972">
            <v>40006872</v>
          </cell>
          <cell r="C972" t="str">
            <v>638503-0</v>
          </cell>
          <cell r="D972" t="str">
            <v>MA197</v>
          </cell>
        </row>
        <row r="973">
          <cell r="B973">
            <v>40007895</v>
          </cell>
          <cell r="C973">
            <v>181245100</v>
          </cell>
          <cell r="D973" t="str">
            <v>MA197</v>
          </cell>
        </row>
        <row r="974">
          <cell r="B974">
            <v>40008119</v>
          </cell>
          <cell r="C974" t="str">
            <v>331734-7</v>
          </cell>
          <cell r="D974" t="str">
            <v>MA198</v>
          </cell>
        </row>
        <row r="975">
          <cell r="B975">
            <v>40005802</v>
          </cell>
          <cell r="C975" t="str">
            <v>252145-2</v>
          </cell>
          <cell r="D975" t="str">
            <v>MA198</v>
          </cell>
        </row>
        <row r="976">
          <cell r="B976">
            <v>40007483</v>
          </cell>
          <cell r="C976" t="str">
            <v>322073-6</v>
          </cell>
          <cell r="D976" t="str">
            <v>MA198</v>
          </cell>
        </row>
        <row r="977">
          <cell r="B977">
            <v>40007644</v>
          </cell>
          <cell r="C977" t="str">
            <v>265461-3</v>
          </cell>
          <cell r="D977" t="str">
            <v>MA198</v>
          </cell>
        </row>
        <row r="978">
          <cell r="B978">
            <v>40008275</v>
          </cell>
          <cell r="C978" t="str">
            <v>231936-4</v>
          </cell>
          <cell r="D978" t="str">
            <v>MA198</v>
          </cell>
        </row>
        <row r="979">
          <cell r="B979">
            <v>40007512</v>
          </cell>
          <cell r="C979" t="str">
            <v>345507-2</v>
          </cell>
          <cell r="D979" t="str">
            <v>MA199</v>
          </cell>
        </row>
        <row r="980">
          <cell r="B980">
            <v>40005166</v>
          </cell>
          <cell r="C980" t="str">
            <v>213432-4</v>
          </cell>
          <cell r="D980" t="str">
            <v>MA199</v>
          </cell>
        </row>
        <row r="981">
          <cell r="B981">
            <v>40005808</v>
          </cell>
          <cell r="C981">
            <v>965525003</v>
          </cell>
          <cell r="D981" t="str">
            <v>MA199</v>
          </cell>
        </row>
        <row r="982">
          <cell r="B982">
            <v>40005165</v>
          </cell>
          <cell r="C982" t="str">
            <v>231231-2</v>
          </cell>
          <cell r="D982" t="str">
            <v>MA199</v>
          </cell>
        </row>
        <row r="983">
          <cell r="B983">
            <v>40006848</v>
          </cell>
          <cell r="C983" t="str">
            <v>210036-3</v>
          </cell>
          <cell r="D983" t="str">
            <v>MA199</v>
          </cell>
        </row>
        <row r="984">
          <cell r="B984">
            <v>40006945</v>
          </cell>
          <cell r="C984" t="str">
            <v>213373-4</v>
          </cell>
          <cell r="D984" t="str">
            <v>MA199</v>
          </cell>
        </row>
        <row r="985">
          <cell r="B985">
            <v>40007158</v>
          </cell>
          <cell r="C985" t="str">
            <v>285657-0</v>
          </cell>
          <cell r="D985" t="str">
            <v>MA199</v>
          </cell>
        </row>
        <row r="986">
          <cell r="B986">
            <v>40007375</v>
          </cell>
          <cell r="C986">
            <v>221229180</v>
          </cell>
          <cell r="D986" t="str">
            <v>MA20</v>
          </cell>
        </row>
        <row r="987">
          <cell r="B987">
            <v>40007022</v>
          </cell>
          <cell r="C987" t="str">
            <v>257804-3</v>
          </cell>
          <cell r="D987" t="str">
            <v>MA20</v>
          </cell>
        </row>
        <row r="988">
          <cell r="B988">
            <v>40005966</v>
          </cell>
          <cell r="C988" t="str">
            <v>346556-2</v>
          </cell>
          <cell r="D988" t="str">
            <v>MA200</v>
          </cell>
        </row>
        <row r="989">
          <cell r="B989">
            <v>40008114</v>
          </cell>
          <cell r="C989">
            <v>27245010</v>
          </cell>
          <cell r="D989" t="str">
            <v>MA200</v>
          </cell>
        </row>
        <row r="990">
          <cell r="B990">
            <v>40006310</v>
          </cell>
          <cell r="C990">
            <v>27245021</v>
          </cell>
          <cell r="D990" t="str">
            <v>MA200</v>
          </cell>
        </row>
        <row r="991">
          <cell r="B991">
            <v>40007255</v>
          </cell>
          <cell r="C991" t="str">
            <v>341079-5</v>
          </cell>
          <cell r="D991" t="str">
            <v>MA200</v>
          </cell>
        </row>
        <row r="992">
          <cell r="B992">
            <v>40006910</v>
          </cell>
          <cell r="C992" t="str">
            <v>212077-5</v>
          </cell>
          <cell r="D992" t="str">
            <v>MA200</v>
          </cell>
        </row>
        <row r="993">
          <cell r="B993">
            <v>40005741</v>
          </cell>
          <cell r="C993">
            <v>965404780</v>
          </cell>
          <cell r="D993" t="str">
            <v>MA200</v>
          </cell>
        </row>
        <row r="994">
          <cell r="B994">
            <v>40008008</v>
          </cell>
          <cell r="C994">
            <v>965403430</v>
          </cell>
          <cell r="D994" t="str">
            <v>MA200</v>
          </cell>
        </row>
        <row r="995">
          <cell r="B995">
            <v>40007287</v>
          </cell>
          <cell r="C995">
            <v>170213780</v>
          </cell>
          <cell r="D995" t="str">
            <v>MA200</v>
          </cell>
        </row>
        <row r="996">
          <cell r="B996">
            <v>40008012</v>
          </cell>
          <cell r="C996" t="str">
            <v>310300-3</v>
          </cell>
          <cell r="D996" t="str">
            <v>MA200</v>
          </cell>
        </row>
        <row r="997">
          <cell r="B997">
            <v>40006114</v>
          </cell>
          <cell r="C997" t="str">
            <v>231955-0</v>
          </cell>
          <cell r="D997" t="str">
            <v>MA200</v>
          </cell>
        </row>
        <row r="998">
          <cell r="B998">
            <v>40005809</v>
          </cell>
          <cell r="C998">
            <v>38310062</v>
          </cell>
          <cell r="D998" t="str">
            <v>MA200</v>
          </cell>
        </row>
        <row r="999">
          <cell r="B999">
            <v>10039723</v>
          </cell>
          <cell r="C999" t="str">
            <v>450821-4</v>
          </cell>
          <cell r="D999" t="str">
            <v>MA200</v>
          </cell>
        </row>
        <row r="1000">
          <cell r="B1000">
            <v>40005803</v>
          </cell>
          <cell r="C1000">
            <v>165174060</v>
          </cell>
          <cell r="D1000" t="str">
            <v>MA201</v>
          </cell>
        </row>
        <row r="1001">
          <cell r="B1001">
            <v>40006822</v>
          </cell>
          <cell r="C1001" t="str">
            <v>324552-0</v>
          </cell>
          <cell r="D1001" t="str">
            <v>MA201</v>
          </cell>
        </row>
        <row r="1002">
          <cell r="B1002">
            <v>40006052</v>
          </cell>
          <cell r="C1002">
            <v>195160020</v>
          </cell>
          <cell r="D1002" t="str">
            <v>MA201</v>
          </cell>
        </row>
        <row r="1003">
          <cell r="B1003">
            <v>40006825</v>
          </cell>
          <cell r="C1003">
            <v>965524023</v>
          </cell>
          <cell r="D1003" t="str">
            <v>MA201</v>
          </cell>
        </row>
        <row r="1004">
          <cell r="B1004">
            <v>40006777</v>
          </cell>
          <cell r="C1004">
            <v>965524082</v>
          </cell>
          <cell r="D1004" t="str">
            <v>MA201</v>
          </cell>
        </row>
        <row r="1005">
          <cell r="B1005">
            <v>40007142</v>
          </cell>
          <cell r="C1005">
            <v>965525042</v>
          </cell>
          <cell r="D1005" t="str">
            <v>MA201</v>
          </cell>
        </row>
        <row r="1006">
          <cell r="B1006">
            <v>40006056</v>
          </cell>
          <cell r="C1006" t="str">
            <v>JM23100049</v>
          </cell>
          <cell r="D1006" t="str">
            <v>MA202</v>
          </cell>
        </row>
        <row r="1007">
          <cell r="B1007">
            <v>40005655</v>
          </cell>
          <cell r="C1007">
            <v>20131043</v>
          </cell>
          <cell r="D1007" t="str">
            <v>MA202</v>
          </cell>
        </row>
        <row r="1008">
          <cell r="B1008">
            <v>40005813</v>
          </cell>
          <cell r="C1008" t="str">
            <v>212133-1</v>
          </cell>
          <cell r="D1008" t="str">
            <v>MA202</v>
          </cell>
        </row>
        <row r="1009">
          <cell r="B1009">
            <v>40007713</v>
          </cell>
          <cell r="C1009">
            <v>962210026</v>
          </cell>
          <cell r="D1009" t="str">
            <v>MA202</v>
          </cell>
        </row>
        <row r="1010">
          <cell r="B1010">
            <v>40008142</v>
          </cell>
          <cell r="C1010" t="str">
            <v>233052-8</v>
          </cell>
          <cell r="D1010" t="str">
            <v>MA202</v>
          </cell>
        </row>
        <row r="1011">
          <cell r="B1011">
            <v>40006749</v>
          </cell>
          <cell r="C1011" t="str">
            <v>324463-9</v>
          </cell>
          <cell r="D1011" t="str">
            <v>MA202</v>
          </cell>
        </row>
        <row r="1012">
          <cell r="B1012">
            <v>40005976</v>
          </cell>
          <cell r="C1012" t="str">
            <v>419133-4</v>
          </cell>
          <cell r="D1012" t="str">
            <v>MA202</v>
          </cell>
        </row>
        <row r="1013">
          <cell r="B1013">
            <v>40007248</v>
          </cell>
          <cell r="C1013">
            <v>962210024</v>
          </cell>
          <cell r="D1013" t="str">
            <v>MA202</v>
          </cell>
        </row>
        <row r="1014">
          <cell r="B1014">
            <v>40007688</v>
          </cell>
          <cell r="C1014" t="str">
            <v>226572-9</v>
          </cell>
          <cell r="D1014" t="str">
            <v>MA202</v>
          </cell>
        </row>
        <row r="1015">
          <cell r="B1015">
            <v>40007535</v>
          </cell>
          <cell r="C1015" t="str">
            <v>450584-2</v>
          </cell>
          <cell r="D1015" t="str">
            <v>MA202</v>
          </cell>
        </row>
        <row r="1016">
          <cell r="B1016">
            <v>40007296</v>
          </cell>
          <cell r="C1016">
            <v>965518090</v>
          </cell>
          <cell r="D1016" t="str">
            <v>MA202</v>
          </cell>
        </row>
        <row r="1017">
          <cell r="B1017">
            <v>40005819</v>
          </cell>
          <cell r="C1017" t="str">
            <v>632L89-8</v>
          </cell>
          <cell r="D1017" t="str">
            <v>MA203</v>
          </cell>
        </row>
        <row r="1018">
          <cell r="B1018">
            <v>40005959</v>
          </cell>
          <cell r="C1018" t="str">
            <v>638950-5</v>
          </cell>
          <cell r="D1018" t="str">
            <v>MA203</v>
          </cell>
        </row>
        <row r="1019">
          <cell r="B1019">
            <v>40007581</v>
          </cell>
          <cell r="C1019" t="str">
            <v>651184-3</v>
          </cell>
          <cell r="D1019" t="str">
            <v>MA203</v>
          </cell>
        </row>
        <row r="1020">
          <cell r="B1020">
            <v>40005818</v>
          </cell>
          <cell r="C1020">
            <v>38180014</v>
          </cell>
          <cell r="D1020" t="str">
            <v>MA204</v>
          </cell>
        </row>
        <row r="1021">
          <cell r="B1021">
            <v>40006982</v>
          </cell>
          <cell r="C1021" t="str">
            <v>424340-6</v>
          </cell>
          <cell r="D1021" t="str">
            <v>MA205</v>
          </cell>
        </row>
        <row r="1022">
          <cell r="B1022">
            <v>40006752</v>
          </cell>
          <cell r="C1022" t="str">
            <v>257504-5</v>
          </cell>
          <cell r="D1022" t="str">
            <v>MA205</v>
          </cell>
        </row>
        <row r="1023">
          <cell r="B1023">
            <v>40007479</v>
          </cell>
          <cell r="C1023" t="str">
            <v>322070-2</v>
          </cell>
          <cell r="D1023" t="str">
            <v>MA205</v>
          </cell>
        </row>
        <row r="1024">
          <cell r="B1024">
            <v>40008146</v>
          </cell>
          <cell r="C1024">
            <v>119224070</v>
          </cell>
          <cell r="D1024" t="str">
            <v>MA206</v>
          </cell>
        </row>
        <row r="1025">
          <cell r="B1025">
            <v>40008093</v>
          </cell>
          <cell r="C1025">
            <v>965517031</v>
          </cell>
          <cell r="D1025" t="str">
            <v>MA206</v>
          </cell>
        </row>
        <row r="1026">
          <cell r="B1026">
            <v>40007537</v>
          </cell>
          <cell r="C1026">
            <v>908005205</v>
          </cell>
          <cell r="D1026" t="str">
            <v>MA206</v>
          </cell>
        </row>
        <row r="1027">
          <cell r="B1027">
            <v>40007115</v>
          </cell>
          <cell r="C1027" t="str">
            <v>226449-8</v>
          </cell>
          <cell r="D1027" t="str">
            <v>MA206</v>
          </cell>
        </row>
        <row r="1028">
          <cell r="B1028">
            <v>40005800</v>
          </cell>
          <cell r="C1028" t="str">
            <v>252171-1</v>
          </cell>
          <cell r="D1028" t="str">
            <v>MA206</v>
          </cell>
        </row>
        <row r="1029">
          <cell r="B1029">
            <v>40007570</v>
          </cell>
          <cell r="C1029">
            <v>962210025</v>
          </cell>
          <cell r="D1029" t="str">
            <v>MA206</v>
          </cell>
        </row>
        <row r="1030">
          <cell r="B1030">
            <v>40008279</v>
          </cell>
          <cell r="C1030" t="str">
            <v>226465-0</v>
          </cell>
          <cell r="D1030" t="str">
            <v>MA207</v>
          </cell>
        </row>
        <row r="1031">
          <cell r="B1031">
            <v>40005739</v>
          </cell>
          <cell r="C1031">
            <v>957604260</v>
          </cell>
          <cell r="D1031" t="str">
            <v>MA207</v>
          </cell>
        </row>
        <row r="1032">
          <cell r="B1032">
            <v>40006837</v>
          </cell>
          <cell r="C1032" t="str">
            <v>TL00000020</v>
          </cell>
          <cell r="D1032" t="str">
            <v>MA208</v>
          </cell>
        </row>
        <row r="1033">
          <cell r="B1033">
            <v>40006776</v>
          </cell>
          <cell r="C1033">
            <v>965524131</v>
          </cell>
          <cell r="D1033" t="str">
            <v>MA208</v>
          </cell>
        </row>
        <row r="1034">
          <cell r="B1034">
            <v>40006308</v>
          </cell>
          <cell r="C1034">
            <v>20245041</v>
          </cell>
          <cell r="D1034" t="str">
            <v>MA208</v>
          </cell>
        </row>
        <row r="1035">
          <cell r="B1035">
            <v>40007297</v>
          </cell>
          <cell r="C1035">
            <v>957150100</v>
          </cell>
          <cell r="D1035" t="str">
            <v>MA208</v>
          </cell>
        </row>
        <row r="1036">
          <cell r="B1036">
            <v>40007540</v>
          </cell>
          <cell r="C1036">
            <v>38114190</v>
          </cell>
          <cell r="D1036" t="str">
            <v>MA208</v>
          </cell>
        </row>
        <row r="1037">
          <cell r="B1037">
            <v>40007538</v>
          </cell>
          <cell r="C1037">
            <v>927408000</v>
          </cell>
          <cell r="D1037" t="str">
            <v>MA208</v>
          </cell>
        </row>
        <row r="1038">
          <cell r="B1038">
            <v>40007126</v>
          </cell>
          <cell r="C1038">
            <v>965525032</v>
          </cell>
          <cell r="D1038" t="str">
            <v>MA208</v>
          </cell>
        </row>
        <row r="1039">
          <cell r="B1039">
            <v>40007539</v>
          </cell>
          <cell r="C1039">
            <v>38114130</v>
          </cell>
          <cell r="D1039" t="str">
            <v>MA208</v>
          </cell>
        </row>
        <row r="1040">
          <cell r="B1040">
            <v>40007155</v>
          </cell>
          <cell r="C1040" t="str">
            <v>416972-3</v>
          </cell>
          <cell r="D1040" t="str">
            <v>MA209</v>
          </cell>
        </row>
        <row r="1041">
          <cell r="B1041">
            <v>40006390</v>
          </cell>
          <cell r="C1041" t="str">
            <v>643928-5</v>
          </cell>
          <cell r="D1041" t="str">
            <v>MA209</v>
          </cell>
        </row>
        <row r="1042">
          <cell r="B1042">
            <v>40007970</v>
          </cell>
          <cell r="C1042" t="str">
            <v>631768-3</v>
          </cell>
          <cell r="D1042" t="str">
            <v>MA209</v>
          </cell>
        </row>
        <row r="1043">
          <cell r="B1043">
            <v>40006116</v>
          </cell>
          <cell r="C1043" t="str">
            <v>331568-8</v>
          </cell>
          <cell r="D1043" t="str">
            <v>MA209</v>
          </cell>
        </row>
        <row r="1044">
          <cell r="B1044">
            <v>40005724</v>
          </cell>
          <cell r="C1044" t="str">
            <v>421265-5</v>
          </cell>
          <cell r="D1044" t="str">
            <v>MA209</v>
          </cell>
        </row>
        <row r="1045">
          <cell r="B1045">
            <v>40010386</v>
          </cell>
          <cell r="C1045" t="str">
            <v>232182-2</v>
          </cell>
          <cell r="D1045" t="str">
            <v>MA21</v>
          </cell>
        </row>
        <row r="1046">
          <cell r="B1046">
            <v>40007019</v>
          </cell>
          <cell r="C1046" t="str">
            <v>212965-6</v>
          </cell>
          <cell r="D1046" t="str">
            <v>MA21</v>
          </cell>
        </row>
        <row r="1047">
          <cell r="B1047">
            <v>40005464</v>
          </cell>
          <cell r="C1047" t="str">
            <v>346925-7</v>
          </cell>
          <cell r="D1047" t="str">
            <v>MA210</v>
          </cell>
        </row>
        <row r="1048">
          <cell r="B1048">
            <v>40007273</v>
          </cell>
          <cell r="C1048" t="str">
            <v>225021-3</v>
          </cell>
          <cell r="D1048" t="str">
            <v>MA210</v>
          </cell>
        </row>
        <row r="1049">
          <cell r="B1049">
            <v>40007066</v>
          </cell>
          <cell r="C1049" t="str">
            <v>638375-3</v>
          </cell>
          <cell r="D1049" t="str">
            <v>MA211</v>
          </cell>
        </row>
        <row r="1050">
          <cell r="B1050">
            <v>40005974</v>
          </cell>
          <cell r="C1050" t="str">
            <v>227456-4</v>
          </cell>
          <cell r="D1050" t="str">
            <v>MA211</v>
          </cell>
        </row>
        <row r="1051">
          <cell r="B1051">
            <v>40007553</v>
          </cell>
          <cell r="C1051">
            <v>36163010</v>
          </cell>
          <cell r="D1051" t="str">
            <v>MA211</v>
          </cell>
        </row>
        <row r="1052">
          <cell r="B1052">
            <v>40005938</v>
          </cell>
          <cell r="C1052" t="str">
            <v>257759-2</v>
          </cell>
          <cell r="D1052" t="str">
            <v>MA211</v>
          </cell>
        </row>
        <row r="1053">
          <cell r="B1053">
            <v>40006915</v>
          </cell>
          <cell r="C1053" t="str">
            <v>317853-3</v>
          </cell>
          <cell r="D1053" t="str">
            <v>MA211</v>
          </cell>
        </row>
        <row r="1054">
          <cell r="B1054">
            <v>40011591</v>
          </cell>
          <cell r="C1054" t="str">
            <v>345226-0</v>
          </cell>
          <cell r="D1054" t="str">
            <v>MA211</v>
          </cell>
        </row>
        <row r="1055">
          <cell r="B1055">
            <v>40006946</v>
          </cell>
          <cell r="C1055" t="str">
            <v>168393-2</v>
          </cell>
          <cell r="D1055" t="str">
            <v>MA212</v>
          </cell>
        </row>
        <row r="1056">
          <cell r="B1056">
            <v>40006187</v>
          </cell>
          <cell r="C1056" t="str">
            <v>345815-1</v>
          </cell>
          <cell r="D1056" t="str">
            <v>MA212</v>
          </cell>
        </row>
        <row r="1057">
          <cell r="B1057">
            <v>40005981</v>
          </cell>
          <cell r="C1057" t="str">
            <v>285724-1</v>
          </cell>
          <cell r="D1057" t="str">
            <v>MA212</v>
          </cell>
        </row>
        <row r="1058">
          <cell r="B1058">
            <v>40006426</v>
          </cell>
          <cell r="C1058">
            <v>38162024</v>
          </cell>
          <cell r="D1058" t="str">
            <v>MA212</v>
          </cell>
        </row>
        <row r="1059">
          <cell r="B1059">
            <v>40007183</v>
          </cell>
          <cell r="C1059">
            <v>38155052</v>
          </cell>
          <cell r="D1059" t="str">
            <v>MA212</v>
          </cell>
        </row>
        <row r="1060">
          <cell r="B1060">
            <v>40007649</v>
          </cell>
          <cell r="C1060">
            <v>965403491</v>
          </cell>
          <cell r="D1060" t="str">
            <v>MA213</v>
          </cell>
        </row>
        <row r="1061">
          <cell r="B1061">
            <v>40007541</v>
          </cell>
          <cell r="C1061" t="str">
            <v>227506-5</v>
          </cell>
          <cell r="D1061" t="str">
            <v>MA213</v>
          </cell>
        </row>
        <row r="1062">
          <cell r="B1062">
            <v>40008304</v>
          </cell>
          <cell r="C1062" t="str">
            <v>631693-8</v>
          </cell>
          <cell r="D1062" t="str">
            <v>MA213</v>
          </cell>
        </row>
        <row r="1063">
          <cell r="B1063">
            <v>40006442</v>
          </cell>
          <cell r="C1063" t="str">
            <v>267804-5</v>
          </cell>
          <cell r="D1063" t="str">
            <v>MA214</v>
          </cell>
        </row>
        <row r="1064">
          <cell r="B1064">
            <v>40007542</v>
          </cell>
          <cell r="C1064" t="str">
            <v>227471-8</v>
          </cell>
          <cell r="D1064" t="str">
            <v>MA214</v>
          </cell>
        </row>
        <row r="1065">
          <cell r="B1065">
            <v>40008235</v>
          </cell>
          <cell r="C1065" t="str">
            <v>324140-3</v>
          </cell>
          <cell r="D1065" t="str">
            <v>MA215</v>
          </cell>
        </row>
        <row r="1066">
          <cell r="B1066">
            <v>40006186</v>
          </cell>
          <cell r="C1066" t="str">
            <v>345814-3</v>
          </cell>
          <cell r="D1066" t="str">
            <v>MA215</v>
          </cell>
        </row>
        <row r="1067">
          <cell r="B1067">
            <v>40006425</v>
          </cell>
          <cell r="C1067" t="str">
            <v>345582-8</v>
          </cell>
          <cell r="D1067" t="str">
            <v>MA215</v>
          </cell>
        </row>
        <row r="1068">
          <cell r="B1068">
            <v>40005980</v>
          </cell>
          <cell r="C1068" t="str">
            <v>256491-5</v>
          </cell>
          <cell r="D1068" t="str">
            <v>MA215</v>
          </cell>
        </row>
        <row r="1069">
          <cell r="B1069">
            <v>40005559</v>
          </cell>
          <cell r="C1069" t="str">
            <v>142665-3</v>
          </cell>
          <cell r="D1069" t="str">
            <v>MA215</v>
          </cell>
        </row>
        <row r="1070">
          <cell r="B1070">
            <v>40006806</v>
          </cell>
          <cell r="C1070" t="str">
            <v>345726-0</v>
          </cell>
          <cell r="D1070" t="str">
            <v>MA216</v>
          </cell>
        </row>
        <row r="1071">
          <cell r="B1071">
            <v>40005978</v>
          </cell>
          <cell r="C1071" t="str">
            <v>227488-1</v>
          </cell>
          <cell r="D1071" t="str">
            <v>MA216</v>
          </cell>
        </row>
        <row r="1072">
          <cell r="B1072">
            <v>40010265</v>
          </cell>
          <cell r="C1072" t="str">
            <v>419875-0</v>
          </cell>
          <cell r="D1072" t="str">
            <v>MA217</v>
          </cell>
        </row>
        <row r="1073">
          <cell r="B1073">
            <v>40007141</v>
          </cell>
          <cell r="C1073" t="str">
            <v>253806-7</v>
          </cell>
          <cell r="D1073" t="str">
            <v>MA217</v>
          </cell>
        </row>
        <row r="1074">
          <cell r="B1074">
            <v>10018769</v>
          </cell>
          <cell r="C1074" t="str">
            <v>264022-6</v>
          </cell>
          <cell r="D1074" t="str">
            <v>MA217</v>
          </cell>
        </row>
        <row r="1075">
          <cell r="B1075">
            <v>40006933</v>
          </cell>
          <cell r="C1075">
            <v>965451185</v>
          </cell>
          <cell r="D1075" t="str">
            <v>MA217</v>
          </cell>
        </row>
        <row r="1076">
          <cell r="B1076">
            <v>40007304</v>
          </cell>
          <cell r="C1076" t="str">
            <v>650514-5</v>
          </cell>
          <cell r="D1076" t="str">
            <v>MA218</v>
          </cell>
        </row>
        <row r="1077">
          <cell r="B1077">
            <v>40008081</v>
          </cell>
          <cell r="C1077" t="str">
            <v>221193-2</v>
          </cell>
          <cell r="D1077" t="str">
            <v>MA218</v>
          </cell>
        </row>
        <row r="1078">
          <cell r="B1078">
            <v>40007987</v>
          </cell>
          <cell r="C1078" t="str">
            <v>JM27000121</v>
          </cell>
          <cell r="D1078" t="str">
            <v>MA218</v>
          </cell>
        </row>
        <row r="1079">
          <cell r="B1079">
            <v>40005804</v>
          </cell>
          <cell r="C1079">
            <v>181184020</v>
          </cell>
          <cell r="D1079" t="str">
            <v>MA218</v>
          </cell>
        </row>
        <row r="1080">
          <cell r="B1080">
            <v>40007344</v>
          </cell>
          <cell r="C1080" t="str">
            <v>152947-5</v>
          </cell>
          <cell r="D1080" t="str">
            <v>MA218</v>
          </cell>
        </row>
        <row r="1081">
          <cell r="B1081">
            <v>40006838</v>
          </cell>
          <cell r="C1081" t="str">
            <v>AL00000030</v>
          </cell>
          <cell r="D1081" t="str">
            <v>MA219</v>
          </cell>
        </row>
        <row r="1082">
          <cell r="B1082">
            <v>40007980</v>
          </cell>
          <cell r="C1082" t="str">
            <v>643862-9</v>
          </cell>
          <cell r="D1082" t="str">
            <v>MA219</v>
          </cell>
        </row>
        <row r="1083">
          <cell r="B1083">
            <v>40006071</v>
          </cell>
          <cell r="C1083" t="str">
            <v>324246-7</v>
          </cell>
          <cell r="D1083" t="str">
            <v>MA219</v>
          </cell>
        </row>
        <row r="1084">
          <cell r="B1084">
            <v>10019973</v>
          </cell>
          <cell r="C1084" t="str">
            <v>265142-9</v>
          </cell>
          <cell r="D1084" t="str">
            <v>MA22</v>
          </cell>
        </row>
        <row r="1085">
          <cell r="B1085">
            <v>40006143</v>
          </cell>
          <cell r="C1085" t="str">
            <v>265175-4</v>
          </cell>
          <cell r="D1085" t="str">
            <v>MA22</v>
          </cell>
        </row>
        <row r="1086">
          <cell r="B1086">
            <v>40011622</v>
          </cell>
          <cell r="C1086" t="str">
            <v>153254-9</v>
          </cell>
          <cell r="D1086" t="str">
            <v>MA220</v>
          </cell>
        </row>
        <row r="1087">
          <cell r="B1087">
            <v>40006321</v>
          </cell>
          <cell r="C1087" t="str">
            <v>324282-3</v>
          </cell>
          <cell r="D1087" t="str">
            <v>MA220</v>
          </cell>
        </row>
        <row r="1088">
          <cell r="B1088">
            <v>40008229</v>
          </cell>
          <cell r="C1088" t="str">
            <v>922126-7</v>
          </cell>
          <cell r="D1088" t="str">
            <v>MA220</v>
          </cell>
        </row>
        <row r="1089">
          <cell r="B1089">
            <v>40006771</v>
          </cell>
          <cell r="C1089">
            <v>960102131</v>
          </cell>
          <cell r="D1089" t="str">
            <v>MA220</v>
          </cell>
        </row>
        <row r="1090">
          <cell r="B1090">
            <v>40005964</v>
          </cell>
          <cell r="C1090" t="str">
            <v>961005-4</v>
          </cell>
          <cell r="D1090" t="str">
            <v>MA221</v>
          </cell>
        </row>
        <row r="1091">
          <cell r="B1091">
            <v>40007587</v>
          </cell>
          <cell r="C1091" t="str">
            <v>951116-3</v>
          </cell>
          <cell r="D1091" t="str">
            <v>MA221</v>
          </cell>
        </row>
        <row r="1092">
          <cell r="B1092">
            <v>40008007</v>
          </cell>
          <cell r="C1092">
            <v>21224011</v>
          </cell>
          <cell r="D1092" t="str">
            <v>MA221</v>
          </cell>
        </row>
        <row r="1093">
          <cell r="B1093">
            <v>40005801</v>
          </cell>
          <cell r="C1093" t="str">
            <v>924206-5</v>
          </cell>
          <cell r="D1093" t="str">
            <v>MA221</v>
          </cell>
        </row>
        <row r="1094">
          <cell r="B1094">
            <v>40006984</v>
          </cell>
          <cell r="C1094" t="str">
            <v>912117-6</v>
          </cell>
          <cell r="D1094" t="str">
            <v>MA221</v>
          </cell>
        </row>
        <row r="1095">
          <cell r="B1095">
            <v>40007950</v>
          </cell>
          <cell r="C1095" t="str">
            <v>911148-2</v>
          </cell>
          <cell r="D1095" t="str">
            <v>MA221</v>
          </cell>
        </row>
        <row r="1096">
          <cell r="B1096">
            <v>40007221</v>
          </cell>
          <cell r="C1096" t="str">
            <v>650656-5</v>
          </cell>
          <cell r="D1096" t="str">
            <v>MA222</v>
          </cell>
        </row>
        <row r="1097">
          <cell r="B1097">
            <v>40005363</v>
          </cell>
          <cell r="C1097" t="str">
            <v>141026-4</v>
          </cell>
          <cell r="D1097" t="str">
            <v>MA223</v>
          </cell>
        </row>
        <row r="1098">
          <cell r="B1098">
            <v>40005949</v>
          </cell>
          <cell r="C1098" t="str">
            <v>168601-1</v>
          </cell>
          <cell r="D1098" t="str">
            <v>MA224</v>
          </cell>
        </row>
        <row r="1099">
          <cell r="B1099">
            <v>40007563</v>
          </cell>
          <cell r="C1099" t="str">
            <v>155812-7</v>
          </cell>
          <cell r="D1099" t="str">
            <v>MA224</v>
          </cell>
        </row>
        <row r="1100">
          <cell r="B1100">
            <v>40008123</v>
          </cell>
          <cell r="C1100" t="str">
            <v>961017-7</v>
          </cell>
          <cell r="D1100" t="str">
            <v>MA224</v>
          </cell>
        </row>
        <row r="1101">
          <cell r="B1101">
            <v>40007623</v>
          </cell>
          <cell r="C1101" t="str">
            <v>212063-6</v>
          </cell>
          <cell r="D1101" t="str">
            <v>MA224</v>
          </cell>
        </row>
        <row r="1102">
          <cell r="B1102">
            <v>40007327</v>
          </cell>
          <cell r="C1102" t="str">
            <v>651527-9</v>
          </cell>
          <cell r="D1102" t="str">
            <v>MA224</v>
          </cell>
        </row>
        <row r="1103">
          <cell r="B1103">
            <v>40005962</v>
          </cell>
          <cell r="C1103" t="str">
            <v>453369-5</v>
          </cell>
          <cell r="D1103" t="str">
            <v>MA224</v>
          </cell>
        </row>
        <row r="1104">
          <cell r="B1104">
            <v>40007017</v>
          </cell>
          <cell r="C1104" t="str">
            <v>251391-4</v>
          </cell>
          <cell r="D1104" t="str">
            <v>MA224</v>
          </cell>
        </row>
        <row r="1105">
          <cell r="B1105">
            <v>40010237</v>
          </cell>
          <cell r="C1105" t="str">
            <v>638883-4</v>
          </cell>
          <cell r="D1105" t="str">
            <v>MA225</v>
          </cell>
        </row>
        <row r="1106">
          <cell r="B1106">
            <v>40005725</v>
          </cell>
          <cell r="C1106" t="str">
            <v>651145-3</v>
          </cell>
          <cell r="D1106" t="str">
            <v>MA226</v>
          </cell>
        </row>
        <row r="1107">
          <cell r="B1107">
            <v>40005972</v>
          </cell>
          <cell r="C1107" t="str">
            <v>326454-6</v>
          </cell>
          <cell r="D1107" t="str">
            <v>MA226</v>
          </cell>
        </row>
        <row r="1108">
          <cell r="B1108">
            <v>40007315</v>
          </cell>
          <cell r="C1108">
            <v>965404460</v>
          </cell>
          <cell r="D1108" t="str">
            <v>MA227</v>
          </cell>
        </row>
        <row r="1109">
          <cell r="B1109">
            <v>40005973</v>
          </cell>
          <cell r="C1109" t="str">
            <v>227457-2</v>
          </cell>
          <cell r="D1109" t="str">
            <v>MA227</v>
          </cell>
        </row>
        <row r="1110">
          <cell r="B1110">
            <v>40007161</v>
          </cell>
          <cell r="C1110">
            <v>38245011</v>
          </cell>
          <cell r="D1110" t="str">
            <v>MA228</v>
          </cell>
        </row>
        <row r="1111">
          <cell r="B1111">
            <v>40006950</v>
          </cell>
          <cell r="C1111" t="str">
            <v>163451-9</v>
          </cell>
          <cell r="D1111" t="str">
            <v>MA229</v>
          </cell>
        </row>
        <row r="1112">
          <cell r="B1112">
            <v>40010260</v>
          </cell>
          <cell r="C1112" t="str">
            <v>412073-5</v>
          </cell>
          <cell r="D1112" t="str">
            <v>MA23</v>
          </cell>
        </row>
        <row r="1113">
          <cell r="B1113">
            <v>40008059</v>
          </cell>
          <cell r="C1113" t="str">
            <v>324135-6</v>
          </cell>
          <cell r="D1113" t="str">
            <v>MA23</v>
          </cell>
        </row>
        <row r="1114">
          <cell r="B1114">
            <v>40008184</v>
          </cell>
          <cell r="C1114" t="str">
            <v>654018-9</v>
          </cell>
          <cell r="D1114" t="str">
            <v>MA230</v>
          </cell>
        </row>
        <row r="1115">
          <cell r="B1115">
            <v>40007832</v>
          </cell>
          <cell r="C1115" t="str">
            <v>650556-9</v>
          </cell>
          <cell r="D1115" t="str">
            <v>MA230</v>
          </cell>
        </row>
        <row r="1116">
          <cell r="B1116">
            <v>40006819</v>
          </cell>
          <cell r="C1116" t="str">
            <v>419271-2</v>
          </cell>
          <cell r="D1116" t="str">
            <v>MA231</v>
          </cell>
        </row>
        <row r="1117">
          <cell r="B1117">
            <v>40007481</v>
          </cell>
          <cell r="C1117" t="str">
            <v>213310-8</v>
          </cell>
          <cell r="D1117" t="str">
            <v>MA231</v>
          </cell>
        </row>
        <row r="1118">
          <cell r="B1118">
            <v>40007386</v>
          </cell>
          <cell r="C1118" t="str">
            <v>213477-2</v>
          </cell>
          <cell r="D1118" t="str">
            <v>MA231</v>
          </cell>
        </row>
        <row r="1119">
          <cell r="B1119">
            <v>40007400</v>
          </cell>
          <cell r="C1119" t="str">
            <v>911226-8</v>
          </cell>
          <cell r="D1119" t="str">
            <v>MA232</v>
          </cell>
        </row>
        <row r="1120">
          <cell r="B1120">
            <v>40007371</v>
          </cell>
          <cell r="C1120" t="str">
            <v>232053-3</v>
          </cell>
          <cell r="D1120" t="str">
            <v>MA232</v>
          </cell>
        </row>
        <row r="1121">
          <cell r="B1121">
            <v>40008087</v>
          </cell>
          <cell r="C1121" t="str">
            <v>227028-5</v>
          </cell>
          <cell r="D1121" t="str">
            <v>MA232</v>
          </cell>
        </row>
        <row r="1122">
          <cell r="B1122">
            <v>40006941</v>
          </cell>
          <cell r="C1122" t="str">
            <v>151726-8</v>
          </cell>
          <cell r="D1122" t="str">
            <v>MA233</v>
          </cell>
        </row>
        <row r="1123">
          <cell r="B1123">
            <v>40005977</v>
          </cell>
          <cell r="C1123" t="str">
            <v>233292-8</v>
          </cell>
          <cell r="D1123" t="str">
            <v>MA233</v>
          </cell>
        </row>
        <row r="1124">
          <cell r="B1124">
            <v>40006368</v>
          </cell>
          <cell r="C1124" t="str">
            <v>346177-0</v>
          </cell>
          <cell r="D1124" t="str">
            <v>MA234</v>
          </cell>
        </row>
        <row r="1125">
          <cell r="B1125">
            <v>40007686</v>
          </cell>
          <cell r="C1125" t="str">
            <v>226754-3</v>
          </cell>
          <cell r="D1125" t="str">
            <v>MA234</v>
          </cell>
        </row>
        <row r="1126">
          <cell r="B1126">
            <v>40008085</v>
          </cell>
          <cell r="C1126" t="str">
            <v>267228-5</v>
          </cell>
          <cell r="D1126" t="str">
            <v>MA234</v>
          </cell>
        </row>
        <row r="1127">
          <cell r="B1127">
            <v>40008221</v>
          </cell>
          <cell r="C1127" t="str">
            <v>231940-3</v>
          </cell>
          <cell r="D1127" t="str">
            <v>MA235</v>
          </cell>
        </row>
        <row r="1128">
          <cell r="B1128">
            <v>40008278</v>
          </cell>
          <cell r="C1128" t="str">
            <v>221712-4</v>
          </cell>
          <cell r="D1128" t="str">
            <v>MA235</v>
          </cell>
        </row>
        <row r="1129">
          <cell r="B1129">
            <v>40006460</v>
          </cell>
          <cell r="C1129" t="str">
            <v>221602-1</v>
          </cell>
          <cell r="D1129" t="str">
            <v>MA235</v>
          </cell>
        </row>
        <row r="1130">
          <cell r="B1130">
            <v>40010367</v>
          </cell>
          <cell r="C1130" t="str">
            <v>911124-6</v>
          </cell>
          <cell r="D1130" t="str">
            <v>MA236</v>
          </cell>
        </row>
        <row r="1131">
          <cell r="B1131">
            <v>40006530</v>
          </cell>
          <cell r="C1131" t="str">
            <v>310991-0</v>
          </cell>
          <cell r="D1131" t="str">
            <v>MA236</v>
          </cell>
        </row>
        <row r="1132">
          <cell r="B1132">
            <v>40006617</v>
          </cell>
          <cell r="C1132" t="str">
            <v>227612-6</v>
          </cell>
          <cell r="D1132" t="str">
            <v>MA236</v>
          </cell>
        </row>
        <row r="1133">
          <cell r="B1133">
            <v>40010563</v>
          </cell>
          <cell r="C1133" t="str">
            <v>423414-0</v>
          </cell>
          <cell r="D1133" t="str">
            <v>MA236</v>
          </cell>
        </row>
        <row r="1134">
          <cell r="B1134">
            <v>40005529</v>
          </cell>
          <cell r="C1134" t="str">
            <v>459924-1</v>
          </cell>
          <cell r="D1134" t="str">
            <v>MA237</v>
          </cell>
        </row>
        <row r="1135">
          <cell r="B1135">
            <v>40006613</v>
          </cell>
          <cell r="C1135" t="str">
            <v>226990-1</v>
          </cell>
          <cell r="D1135" t="str">
            <v>MA237</v>
          </cell>
        </row>
        <row r="1136">
          <cell r="B1136">
            <v>40005421</v>
          </cell>
          <cell r="C1136" t="str">
            <v>327573-1</v>
          </cell>
          <cell r="D1136" t="str">
            <v>MA237</v>
          </cell>
        </row>
        <row r="1137">
          <cell r="B1137">
            <v>40006609</v>
          </cell>
          <cell r="C1137" t="str">
            <v>226960-0</v>
          </cell>
          <cell r="D1137" t="str">
            <v>MA237</v>
          </cell>
        </row>
        <row r="1138">
          <cell r="B1138">
            <v>40006841</v>
          </cell>
          <cell r="C1138" t="str">
            <v>417819-4</v>
          </cell>
          <cell r="D1138" t="str">
            <v>MA238</v>
          </cell>
        </row>
        <row r="1139">
          <cell r="B1139">
            <v>40005487</v>
          </cell>
          <cell r="C1139" t="str">
            <v>422472-3</v>
          </cell>
          <cell r="D1139" t="str">
            <v>MA238</v>
          </cell>
        </row>
        <row r="1140">
          <cell r="B1140">
            <v>40005433</v>
          </cell>
          <cell r="C1140" t="str">
            <v>346670-4</v>
          </cell>
          <cell r="D1140" t="str">
            <v>MA238</v>
          </cell>
        </row>
        <row r="1141">
          <cell r="B1141">
            <v>40006660</v>
          </cell>
          <cell r="C1141" t="str">
            <v>262168-2</v>
          </cell>
          <cell r="D1141" t="str">
            <v>MA238</v>
          </cell>
        </row>
        <row r="1142">
          <cell r="B1142">
            <v>40006619</v>
          </cell>
          <cell r="C1142" t="str">
            <v>231907-1</v>
          </cell>
          <cell r="D1142" t="str">
            <v>MA238</v>
          </cell>
        </row>
        <row r="1143">
          <cell r="B1143">
            <v>40006664</v>
          </cell>
          <cell r="C1143" t="str">
            <v>263036-2</v>
          </cell>
          <cell r="D1143" t="str">
            <v>MA239</v>
          </cell>
        </row>
        <row r="1144">
          <cell r="B1144">
            <v>40005486</v>
          </cell>
          <cell r="C1144" t="str">
            <v>422460-0</v>
          </cell>
          <cell r="D1144" t="str">
            <v>MA239</v>
          </cell>
        </row>
        <row r="1145">
          <cell r="B1145">
            <v>40006662</v>
          </cell>
          <cell r="C1145" t="str">
            <v>263032-0</v>
          </cell>
          <cell r="D1145" t="str">
            <v>MA239</v>
          </cell>
        </row>
        <row r="1146">
          <cell r="B1146">
            <v>40006646</v>
          </cell>
          <cell r="C1146" t="str">
            <v>256886-2</v>
          </cell>
          <cell r="D1146" t="str">
            <v>MA239</v>
          </cell>
        </row>
        <row r="1147">
          <cell r="B1147">
            <v>40007840</v>
          </cell>
          <cell r="C1147" t="str">
            <v>152448-3</v>
          </cell>
          <cell r="D1147" t="str">
            <v>MA24</v>
          </cell>
        </row>
        <row r="1148">
          <cell r="B1148">
            <v>40005650</v>
          </cell>
          <cell r="C1148" t="str">
            <v>267833-8</v>
          </cell>
          <cell r="D1148" t="str">
            <v>MA24</v>
          </cell>
        </row>
        <row r="1149">
          <cell r="B1149">
            <v>40005525</v>
          </cell>
          <cell r="C1149" t="str">
            <v>459759-0</v>
          </cell>
          <cell r="D1149" t="str">
            <v>MA240</v>
          </cell>
        </row>
        <row r="1150">
          <cell r="B1150">
            <v>40005485</v>
          </cell>
          <cell r="C1150" t="str">
            <v>422268-2</v>
          </cell>
          <cell r="D1150" t="str">
            <v>MA240</v>
          </cell>
        </row>
        <row r="1151">
          <cell r="B1151">
            <v>40006328</v>
          </cell>
          <cell r="C1151" t="str">
            <v>419874-2</v>
          </cell>
          <cell r="D1151" t="str">
            <v>MA240</v>
          </cell>
        </row>
        <row r="1152">
          <cell r="B1152">
            <v>40006620</v>
          </cell>
          <cell r="C1152" t="str">
            <v>232152-1</v>
          </cell>
          <cell r="D1152" t="str">
            <v>MA240</v>
          </cell>
        </row>
        <row r="1153">
          <cell r="B1153">
            <v>40006944</v>
          </cell>
          <cell r="C1153" t="str">
            <v>423469-5</v>
          </cell>
          <cell r="D1153" t="str">
            <v>MA241</v>
          </cell>
        </row>
        <row r="1154">
          <cell r="B1154">
            <v>40006441</v>
          </cell>
          <cell r="C1154" t="str">
            <v>424109-8</v>
          </cell>
          <cell r="D1154" t="str">
            <v>MA241</v>
          </cell>
        </row>
        <row r="1155">
          <cell r="B1155">
            <v>40006612</v>
          </cell>
          <cell r="C1155" t="str">
            <v>226989-6</v>
          </cell>
          <cell r="D1155" t="str">
            <v>MA241</v>
          </cell>
        </row>
        <row r="1156">
          <cell r="B1156">
            <v>40008018</v>
          </cell>
          <cell r="C1156" t="str">
            <v>265265-3</v>
          </cell>
          <cell r="D1156" t="str">
            <v>MA241</v>
          </cell>
        </row>
        <row r="1157">
          <cell r="B1157">
            <v>40005346</v>
          </cell>
          <cell r="C1157" t="str">
            <v>327266-0</v>
          </cell>
          <cell r="D1157" t="str">
            <v>MA242</v>
          </cell>
        </row>
        <row r="1158">
          <cell r="B1158">
            <v>40005850</v>
          </cell>
          <cell r="C1158">
            <v>389213081</v>
          </cell>
          <cell r="D1158" t="str">
            <v>MA242</v>
          </cell>
        </row>
        <row r="1159">
          <cell r="B1159">
            <v>40005347</v>
          </cell>
          <cell r="C1159" t="str">
            <v>213622-9</v>
          </cell>
          <cell r="D1159" t="str">
            <v>MA242</v>
          </cell>
        </row>
        <row r="1160">
          <cell r="B1160">
            <v>40006412</v>
          </cell>
          <cell r="C1160" t="str">
            <v>253906-3</v>
          </cell>
          <cell r="D1160" t="str">
            <v>MA243</v>
          </cell>
        </row>
        <row r="1161">
          <cell r="B1161">
            <v>40007518</v>
          </cell>
          <cell r="C1161" t="str">
            <v>226648-2</v>
          </cell>
          <cell r="D1161" t="str">
            <v>MA243</v>
          </cell>
        </row>
        <row r="1162">
          <cell r="B1162">
            <v>40005854</v>
          </cell>
          <cell r="C1162" t="str">
            <v>JM21000191</v>
          </cell>
          <cell r="D1162" t="str">
            <v>MA244</v>
          </cell>
        </row>
        <row r="1163">
          <cell r="B1163">
            <v>40005348</v>
          </cell>
          <cell r="C1163" t="str">
            <v>211242-3</v>
          </cell>
          <cell r="D1163" t="str">
            <v>MA244</v>
          </cell>
        </row>
        <row r="1164">
          <cell r="B1164">
            <v>40006405</v>
          </cell>
          <cell r="C1164" t="str">
            <v>132311-6</v>
          </cell>
          <cell r="D1164" t="str">
            <v>MA245</v>
          </cell>
        </row>
        <row r="1165">
          <cell r="B1165">
            <v>40005344</v>
          </cell>
          <cell r="C1165" t="str">
            <v>411305-7</v>
          </cell>
          <cell r="D1165" t="str">
            <v>MA245</v>
          </cell>
        </row>
        <row r="1166">
          <cell r="B1166">
            <v>40005852</v>
          </cell>
          <cell r="C1166">
            <v>1213020</v>
          </cell>
          <cell r="D1166" t="str">
            <v>MA245</v>
          </cell>
        </row>
        <row r="1167">
          <cell r="B1167">
            <v>40005380</v>
          </cell>
          <cell r="C1167" t="str">
            <v>316527-3</v>
          </cell>
          <cell r="D1167" t="str">
            <v>MA246</v>
          </cell>
        </row>
        <row r="1168">
          <cell r="B1168">
            <v>40005382</v>
          </cell>
          <cell r="C1168" t="str">
            <v>222050-7</v>
          </cell>
          <cell r="D1168" t="str">
            <v>MA246</v>
          </cell>
        </row>
        <row r="1169">
          <cell r="B1169">
            <v>40005483</v>
          </cell>
          <cell r="C1169" t="str">
            <v>413C49-3</v>
          </cell>
          <cell r="D1169" t="str">
            <v>MA246</v>
          </cell>
        </row>
        <row r="1170">
          <cell r="B1170">
            <v>40006968</v>
          </cell>
          <cell r="C1170" t="str">
            <v>222063-8</v>
          </cell>
          <cell r="D1170" t="str">
            <v>MA247</v>
          </cell>
        </row>
        <row r="1171">
          <cell r="B1171">
            <v>40005378</v>
          </cell>
          <cell r="C1171" t="str">
            <v>317284-6</v>
          </cell>
          <cell r="D1171" t="str">
            <v>MA247</v>
          </cell>
        </row>
        <row r="1172">
          <cell r="B1172">
            <v>40008120</v>
          </cell>
          <cell r="C1172" t="str">
            <v>227182-5</v>
          </cell>
          <cell r="D1172" t="str">
            <v>MA247</v>
          </cell>
        </row>
        <row r="1173">
          <cell r="B1173">
            <v>40005492</v>
          </cell>
          <cell r="C1173" t="str">
            <v>422584-2</v>
          </cell>
          <cell r="D1173" t="str">
            <v>MA248</v>
          </cell>
        </row>
        <row r="1174">
          <cell r="B1174">
            <v>40005495</v>
          </cell>
          <cell r="C1174" t="str">
            <v>422723-4</v>
          </cell>
          <cell r="D1174" t="str">
            <v>MA248</v>
          </cell>
        </row>
        <row r="1175">
          <cell r="B1175">
            <v>40006634</v>
          </cell>
          <cell r="C1175" t="str">
            <v>233438-6</v>
          </cell>
          <cell r="D1175" t="str">
            <v>MA248</v>
          </cell>
        </row>
        <row r="1176">
          <cell r="B1176">
            <v>40006623</v>
          </cell>
          <cell r="C1176" t="str">
            <v>232418-9</v>
          </cell>
          <cell r="D1176" t="str">
            <v>MA248</v>
          </cell>
        </row>
        <row r="1177">
          <cell r="B1177">
            <v>40006786</v>
          </cell>
          <cell r="C1177" t="str">
            <v>325643-0</v>
          </cell>
          <cell r="D1177" t="str">
            <v>MA249</v>
          </cell>
        </row>
        <row r="1178">
          <cell r="B1178">
            <v>40005565</v>
          </cell>
          <cell r="C1178" t="str">
            <v>310279-8</v>
          </cell>
          <cell r="D1178" t="str">
            <v>MA249</v>
          </cell>
        </row>
        <row r="1179">
          <cell r="B1179">
            <v>40005811</v>
          </cell>
          <cell r="C1179" t="str">
            <v>140G46-7</v>
          </cell>
          <cell r="D1179" t="str">
            <v>MA25</v>
          </cell>
        </row>
        <row r="1180">
          <cell r="B1180">
            <v>40007193</v>
          </cell>
          <cell r="C1180" t="str">
            <v>135060-4</v>
          </cell>
          <cell r="D1180" t="str">
            <v>MA25</v>
          </cell>
        </row>
        <row r="1181">
          <cell r="B1181">
            <v>40006796</v>
          </cell>
          <cell r="C1181" t="str">
            <v>285732-2</v>
          </cell>
          <cell r="D1181" t="str">
            <v>MA250</v>
          </cell>
        </row>
        <row r="1182">
          <cell r="B1182">
            <v>40006792</v>
          </cell>
          <cell r="C1182" t="str">
            <v>942101-7</v>
          </cell>
          <cell r="D1182" t="str">
            <v>MA250</v>
          </cell>
        </row>
        <row r="1183">
          <cell r="B1183">
            <v>40006624</v>
          </cell>
          <cell r="C1183" t="str">
            <v>232485-4</v>
          </cell>
          <cell r="D1183" t="str">
            <v>MA250</v>
          </cell>
        </row>
        <row r="1184">
          <cell r="B1184">
            <v>40006790</v>
          </cell>
          <cell r="C1184" t="str">
            <v>442147-8</v>
          </cell>
          <cell r="D1184" t="str">
            <v>MA250</v>
          </cell>
        </row>
        <row r="1185">
          <cell r="B1185">
            <v>40006916</v>
          </cell>
          <cell r="C1185" t="str">
            <v>213586-7</v>
          </cell>
          <cell r="D1185" t="str">
            <v>MA250</v>
          </cell>
        </row>
        <row r="1186">
          <cell r="B1186">
            <v>40008029</v>
          </cell>
          <cell r="C1186" t="str">
            <v>227545-5</v>
          </cell>
          <cell r="D1186" t="str">
            <v>MA251</v>
          </cell>
        </row>
        <row r="1187">
          <cell r="B1187">
            <v>40006791</v>
          </cell>
          <cell r="C1187" t="str">
            <v>267010-2</v>
          </cell>
          <cell r="D1187" t="str">
            <v>MA251</v>
          </cell>
        </row>
        <row r="1188">
          <cell r="B1188">
            <v>40006641</v>
          </cell>
          <cell r="C1188" t="str">
            <v>234381-2</v>
          </cell>
          <cell r="D1188" t="str">
            <v>MA251</v>
          </cell>
        </row>
        <row r="1189">
          <cell r="B1189">
            <v>40006805</v>
          </cell>
          <cell r="C1189" t="str">
            <v>266309-2</v>
          </cell>
          <cell r="D1189" t="str">
            <v>MA252</v>
          </cell>
        </row>
        <row r="1190">
          <cell r="B1190">
            <v>40005848</v>
          </cell>
          <cell r="C1190" t="str">
            <v>322376-8</v>
          </cell>
          <cell r="D1190" t="str">
            <v>MA252</v>
          </cell>
        </row>
        <row r="1191">
          <cell r="B1191">
            <v>40006473</v>
          </cell>
          <cell r="C1191" t="str">
            <v>226610-7</v>
          </cell>
          <cell r="D1191" t="str">
            <v>MA252</v>
          </cell>
        </row>
        <row r="1192">
          <cell r="B1192">
            <v>40003867</v>
          </cell>
          <cell r="C1192" t="str">
            <v>225049-1</v>
          </cell>
          <cell r="D1192" t="str">
            <v>MA253</v>
          </cell>
        </row>
        <row r="1193">
          <cell r="B1193">
            <v>40010388</v>
          </cell>
          <cell r="C1193" t="str">
            <v>213262-3</v>
          </cell>
          <cell r="D1193" t="str">
            <v>MA254</v>
          </cell>
        </row>
        <row r="1194">
          <cell r="B1194">
            <v>40010390</v>
          </cell>
          <cell r="C1194" t="str">
            <v>213510-0</v>
          </cell>
          <cell r="D1194" t="str">
            <v>MA254</v>
          </cell>
        </row>
        <row r="1195">
          <cell r="B1195">
            <v>40010389</v>
          </cell>
          <cell r="C1195" t="str">
            <v>213499-2</v>
          </cell>
          <cell r="D1195" t="str">
            <v>MA254</v>
          </cell>
        </row>
        <row r="1196">
          <cell r="B1196">
            <v>40010374</v>
          </cell>
          <cell r="C1196" t="str">
            <v>212225-6</v>
          </cell>
          <cell r="D1196" t="str">
            <v>MA254</v>
          </cell>
        </row>
        <row r="1197">
          <cell r="B1197">
            <v>40010274</v>
          </cell>
          <cell r="C1197" t="str">
            <v>213394-6</v>
          </cell>
          <cell r="D1197" t="str">
            <v>MA254</v>
          </cell>
        </row>
        <row r="1198">
          <cell r="B1198">
            <v>40010385</v>
          </cell>
          <cell r="C1198" t="str">
            <v>213431-6</v>
          </cell>
          <cell r="D1198" t="str">
            <v>MA254</v>
          </cell>
        </row>
        <row r="1199">
          <cell r="B1199">
            <v>40010403</v>
          </cell>
          <cell r="C1199" t="str">
            <v>213980-3</v>
          </cell>
          <cell r="D1199" t="str">
            <v>MA254</v>
          </cell>
        </row>
        <row r="1200">
          <cell r="B1200">
            <v>40010393</v>
          </cell>
          <cell r="C1200" t="str">
            <v>233973-4</v>
          </cell>
          <cell r="D1200" t="str">
            <v>MA254</v>
          </cell>
        </row>
        <row r="1201">
          <cell r="B1201">
            <v>40010383</v>
          </cell>
          <cell r="C1201" t="str">
            <v>325660-0</v>
          </cell>
          <cell r="D1201" t="str">
            <v>MA254</v>
          </cell>
        </row>
        <row r="1202">
          <cell r="B1202">
            <v>40006474</v>
          </cell>
          <cell r="C1202" t="str">
            <v>227360-7</v>
          </cell>
          <cell r="D1202" t="str">
            <v>MA255</v>
          </cell>
        </row>
        <row r="1203">
          <cell r="B1203">
            <v>40005356</v>
          </cell>
          <cell r="C1203" t="str">
            <v>325798-1</v>
          </cell>
          <cell r="D1203" t="str">
            <v>MA255</v>
          </cell>
        </row>
        <row r="1204">
          <cell r="B1204">
            <v>40005376</v>
          </cell>
          <cell r="C1204" t="str">
            <v>456252-5</v>
          </cell>
          <cell r="D1204" t="str">
            <v>MA256</v>
          </cell>
        </row>
        <row r="1205">
          <cell r="B1205">
            <v>40007027</v>
          </cell>
          <cell r="C1205" t="str">
            <v>313215-3</v>
          </cell>
          <cell r="D1205" t="str">
            <v>MA256</v>
          </cell>
        </row>
        <row r="1206">
          <cell r="B1206">
            <v>40005374</v>
          </cell>
          <cell r="C1206" t="str">
            <v>JM27000317</v>
          </cell>
          <cell r="D1206" t="str">
            <v>MA257</v>
          </cell>
        </row>
        <row r="1207">
          <cell r="B1207">
            <v>40005375</v>
          </cell>
          <cell r="C1207" t="str">
            <v>266755-9</v>
          </cell>
          <cell r="D1207" t="str">
            <v>MA257</v>
          </cell>
        </row>
        <row r="1208">
          <cell r="B1208">
            <v>40006444</v>
          </cell>
          <cell r="C1208" t="str">
            <v>631930-0</v>
          </cell>
          <cell r="D1208" t="str">
            <v>MA258</v>
          </cell>
        </row>
        <row r="1209">
          <cell r="B1209">
            <v>40005208</v>
          </cell>
          <cell r="C1209" t="str">
            <v>326507-1</v>
          </cell>
          <cell r="D1209" t="str">
            <v>MA259</v>
          </cell>
        </row>
        <row r="1210">
          <cell r="B1210">
            <v>40007416</v>
          </cell>
          <cell r="C1210" t="str">
            <v>922107-1</v>
          </cell>
          <cell r="D1210" t="str">
            <v>MA26</v>
          </cell>
        </row>
        <row r="1211">
          <cell r="B1211">
            <v>40006128</v>
          </cell>
          <cell r="C1211" t="str">
            <v>450069-8</v>
          </cell>
          <cell r="D1211" t="str">
            <v>MA26</v>
          </cell>
        </row>
        <row r="1212">
          <cell r="B1212">
            <v>40010301</v>
          </cell>
          <cell r="C1212" t="str">
            <v>456135-9</v>
          </cell>
          <cell r="D1212" t="str">
            <v>MA260</v>
          </cell>
        </row>
        <row r="1213">
          <cell r="B1213">
            <v>40010292</v>
          </cell>
          <cell r="C1213" t="str">
            <v>219029-7</v>
          </cell>
          <cell r="D1213" t="str">
            <v>MA260</v>
          </cell>
        </row>
        <row r="1214">
          <cell r="B1214">
            <v>40008076</v>
          </cell>
          <cell r="C1214" t="str">
            <v>153290-5</v>
          </cell>
          <cell r="D1214" t="str">
            <v>MA261</v>
          </cell>
        </row>
        <row r="1215">
          <cell r="B1215">
            <v>40007274</v>
          </cell>
          <cell r="C1215" t="str">
            <v>156448-5</v>
          </cell>
          <cell r="D1215" t="str">
            <v>MA262</v>
          </cell>
        </row>
        <row r="1216">
          <cell r="B1216">
            <v>40007335</v>
          </cell>
          <cell r="C1216" t="str">
            <v>153119-5</v>
          </cell>
          <cell r="D1216" t="str">
            <v>MA262</v>
          </cell>
        </row>
        <row r="1217">
          <cell r="B1217">
            <v>40005387</v>
          </cell>
          <cell r="C1217" t="str">
            <v>143975-1</v>
          </cell>
          <cell r="D1217" t="str">
            <v>MA263</v>
          </cell>
        </row>
        <row r="1218">
          <cell r="B1218">
            <v>40006031</v>
          </cell>
          <cell r="C1218" t="str">
            <v>JM23100182</v>
          </cell>
          <cell r="D1218" t="str">
            <v>MA263</v>
          </cell>
        </row>
        <row r="1219">
          <cell r="B1219">
            <v>40005624</v>
          </cell>
          <cell r="C1219" t="str">
            <v>227578-0</v>
          </cell>
          <cell r="D1219" t="str">
            <v>MA264</v>
          </cell>
        </row>
        <row r="1220">
          <cell r="B1220">
            <v>40005392</v>
          </cell>
          <cell r="C1220" t="str">
            <v>331706-2</v>
          </cell>
          <cell r="D1220" t="str">
            <v>MA264</v>
          </cell>
        </row>
        <row r="1221">
          <cell r="B1221">
            <v>40005428</v>
          </cell>
          <cell r="C1221" t="str">
            <v>318382-9</v>
          </cell>
          <cell r="D1221" t="str">
            <v>MA264</v>
          </cell>
        </row>
        <row r="1222">
          <cell r="B1222">
            <v>40005391</v>
          </cell>
          <cell r="C1222" t="str">
            <v>324278-4</v>
          </cell>
          <cell r="D1222" t="str">
            <v>MA265</v>
          </cell>
        </row>
        <row r="1223">
          <cell r="B1223">
            <v>40006185</v>
          </cell>
          <cell r="C1223" t="str">
            <v>227532-4</v>
          </cell>
          <cell r="D1223" t="str">
            <v>MA265</v>
          </cell>
        </row>
        <row r="1224">
          <cell r="B1224">
            <v>40005394</v>
          </cell>
          <cell r="C1224" t="str">
            <v>456711-9</v>
          </cell>
          <cell r="D1224" t="str">
            <v>MA265</v>
          </cell>
        </row>
        <row r="1225">
          <cell r="B1225">
            <v>40005401</v>
          </cell>
          <cell r="C1225" t="str">
            <v>266320-4</v>
          </cell>
          <cell r="D1225" t="str">
            <v>MA266</v>
          </cell>
        </row>
        <row r="1226">
          <cell r="B1226">
            <v>40005389</v>
          </cell>
          <cell r="C1226" t="str">
            <v>219019-0</v>
          </cell>
          <cell r="D1226" t="str">
            <v>MA266</v>
          </cell>
        </row>
        <row r="1227">
          <cell r="B1227">
            <v>40006107</v>
          </cell>
          <cell r="C1227" t="str">
            <v>911258-5</v>
          </cell>
          <cell r="D1227" t="str">
            <v>MA266</v>
          </cell>
        </row>
        <row r="1228">
          <cell r="B1228">
            <v>40005399</v>
          </cell>
          <cell r="C1228" t="str">
            <v>TG00000005</v>
          </cell>
          <cell r="D1228" t="str">
            <v>MA267</v>
          </cell>
        </row>
        <row r="1229">
          <cell r="B1229">
            <v>40005444</v>
          </cell>
          <cell r="C1229" t="str">
            <v>144132-4</v>
          </cell>
          <cell r="D1229" t="str">
            <v>MA268</v>
          </cell>
        </row>
        <row r="1230">
          <cell r="B1230">
            <v>40005432</v>
          </cell>
          <cell r="C1230">
            <v>38132020</v>
          </cell>
          <cell r="D1230" t="str">
            <v>MA268</v>
          </cell>
        </row>
        <row r="1231">
          <cell r="B1231">
            <v>40005412</v>
          </cell>
          <cell r="C1231" t="str">
            <v>135602-4</v>
          </cell>
          <cell r="D1231" t="str">
            <v>MA268</v>
          </cell>
        </row>
        <row r="1232">
          <cell r="B1232">
            <v>40005436</v>
          </cell>
          <cell r="C1232" t="str">
            <v>423470-0</v>
          </cell>
          <cell r="D1232" t="str">
            <v>MA268</v>
          </cell>
        </row>
        <row r="1233">
          <cell r="B1233">
            <v>40005779</v>
          </cell>
          <cell r="C1233" t="str">
            <v>922128-3</v>
          </cell>
          <cell r="D1233" t="str">
            <v>MA268</v>
          </cell>
        </row>
        <row r="1234">
          <cell r="B1234">
            <v>40005693</v>
          </cell>
          <cell r="C1234" t="str">
            <v>682540-6</v>
          </cell>
          <cell r="D1234" t="str">
            <v>MA269</v>
          </cell>
        </row>
        <row r="1235">
          <cell r="B1235">
            <v>40007003</v>
          </cell>
          <cell r="C1235">
            <v>957213023</v>
          </cell>
          <cell r="D1235" t="str">
            <v>MA27</v>
          </cell>
        </row>
        <row r="1236">
          <cell r="B1236">
            <v>40007915</v>
          </cell>
          <cell r="C1236" t="str">
            <v>A0200-0911</v>
          </cell>
          <cell r="D1236" t="str">
            <v>MA27</v>
          </cell>
        </row>
        <row r="1237">
          <cell r="B1237">
            <v>40005274</v>
          </cell>
          <cell r="C1237" t="str">
            <v>922316-2</v>
          </cell>
          <cell r="D1237" t="str">
            <v>MA270</v>
          </cell>
        </row>
        <row r="1238">
          <cell r="B1238">
            <v>40005277</v>
          </cell>
          <cell r="C1238" t="str">
            <v>233954-8</v>
          </cell>
          <cell r="D1238" t="str">
            <v>MA270</v>
          </cell>
        </row>
        <row r="1239">
          <cell r="B1239">
            <v>40007362</v>
          </cell>
          <cell r="C1239" t="str">
            <v>643650-4</v>
          </cell>
          <cell r="D1239" t="str">
            <v>MA270</v>
          </cell>
        </row>
        <row r="1240">
          <cell r="B1240">
            <v>40005224</v>
          </cell>
          <cell r="C1240" t="str">
            <v>286235-9</v>
          </cell>
          <cell r="D1240" t="str">
            <v>MA271</v>
          </cell>
        </row>
        <row r="1241">
          <cell r="B1241">
            <v>40005218</v>
          </cell>
          <cell r="C1241" t="str">
            <v>231574-2</v>
          </cell>
          <cell r="D1241" t="str">
            <v>MA271</v>
          </cell>
        </row>
        <row r="1242">
          <cell r="B1242">
            <v>40005220</v>
          </cell>
          <cell r="C1242" t="str">
            <v>341933-3</v>
          </cell>
          <cell r="D1242" t="str">
            <v>MA271</v>
          </cell>
        </row>
        <row r="1243">
          <cell r="B1243">
            <v>40005223</v>
          </cell>
          <cell r="C1243" t="str">
            <v>256606-4</v>
          </cell>
          <cell r="D1243" t="str">
            <v>MA271</v>
          </cell>
        </row>
        <row r="1244">
          <cell r="B1244">
            <v>40005221</v>
          </cell>
          <cell r="C1244" t="str">
            <v>265269-5</v>
          </cell>
          <cell r="D1244" t="str">
            <v>MA271</v>
          </cell>
        </row>
        <row r="1245">
          <cell r="B1245">
            <v>40005217</v>
          </cell>
          <cell r="C1245" t="str">
            <v>323559-3</v>
          </cell>
          <cell r="D1245" t="str">
            <v>MA271</v>
          </cell>
        </row>
        <row r="1246">
          <cell r="B1246">
            <v>40005216</v>
          </cell>
          <cell r="C1246" t="str">
            <v>231142-1</v>
          </cell>
          <cell r="D1246" t="str">
            <v>MA271</v>
          </cell>
        </row>
        <row r="1247">
          <cell r="B1247">
            <v>40005219</v>
          </cell>
          <cell r="C1247" t="str">
            <v>265813-8</v>
          </cell>
          <cell r="D1247" t="str">
            <v>MA271</v>
          </cell>
        </row>
        <row r="1248">
          <cell r="B1248">
            <v>40005222</v>
          </cell>
          <cell r="C1248" t="str">
            <v>962062-5</v>
          </cell>
          <cell r="D1248" t="str">
            <v>MA271</v>
          </cell>
        </row>
        <row r="1249">
          <cell r="B1249">
            <v>40007152</v>
          </cell>
          <cell r="C1249" t="str">
            <v>344464-1</v>
          </cell>
          <cell r="D1249" t="str">
            <v>MA272</v>
          </cell>
        </row>
        <row r="1250">
          <cell r="B1250">
            <v>40005286</v>
          </cell>
          <cell r="C1250" t="str">
            <v>410128-0</v>
          </cell>
          <cell r="D1250" t="str">
            <v>MA272</v>
          </cell>
        </row>
        <row r="1251">
          <cell r="B1251">
            <v>40010400</v>
          </cell>
          <cell r="C1251" t="str">
            <v>347252-5</v>
          </cell>
          <cell r="D1251" t="str">
            <v>MA272</v>
          </cell>
        </row>
        <row r="1252">
          <cell r="B1252">
            <v>40007424</v>
          </cell>
          <cell r="C1252" t="str">
            <v>961018-5</v>
          </cell>
          <cell r="D1252" t="str">
            <v>MA272</v>
          </cell>
        </row>
        <row r="1253">
          <cell r="B1253">
            <v>40010379</v>
          </cell>
          <cell r="C1253" t="str">
            <v>234121-8</v>
          </cell>
          <cell r="D1253" t="str">
            <v>MA273</v>
          </cell>
        </row>
        <row r="1254">
          <cell r="B1254">
            <v>40005303</v>
          </cell>
          <cell r="C1254" t="str">
            <v>234343-0</v>
          </cell>
          <cell r="D1254" t="str">
            <v>MA273</v>
          </cell>
        </row>
        <row r="1255">
          <cell r="B1255">
            <v>40010366</v>
          </cell>
          <cell r="C1255" t="str">
            <v>267202-3</v>
          </cell>
          <cell r="D1255" t="str">
            <v>MA273</v>
          </cell>
        </row>
        <row r="1256">
          <cell r="B1256">
            <v>40007105</v>
          </cell>
          <cell r="C1256" t="str">
            <v>911586-8</v>
          </cell>
          <cell r="D1256" t="str">
            <v>MA273</v>
          </cell>
        </row>
        <row r="1257">
          <cell r="B1257">
            <v>40006217</v>
          </cell>
          <cell r="C1257" t="str">
            <v>326629-7</v>
          </cell>
          <cell r="D1257" t="str">
            <v>MA273</v>
          </cell>
        </row>
        <row r="1258">
          <cell r="B1258">
            <v>40005197</v>
          </cell>
          <cell r="C1258" t="str">
            <v>347213-5</v>
          </cell>
          <cell r="D1258" t="str">
            <v>MA273</v>
          </cell>
        </row>
        <row r="1259">
          <cell r="B1259">
            <v>40005203</v>
          </cell>
          <cell r="C1259" t="str">
            <v>324469-7</v>
          </cell>
          <cell r="D1259" t="str">
            <v>MA274</v>
          </cell>
        </row>
        <row r="1260">
          <cell r="B1260">
            <v>40006625</v>
          </cell>
          <cell r="C1260" t="str">
            <v>232493-5</v>
          </cell>
          <cell r="D1260" t="str">
            <v>MA274</v>
          </cell>
        </row>
        <row r="1261">
          <cell r="B1261">
            <v>40006835</v>
          </cell>
          <cell r="C1261" t="str">
            <v>158671-8</v>
          </cell>
          <cell r="D1261" t="str">
            <v>MA275</v>
          </cell>
        </row>
        <row r="1262">
          <cell r="B1262">
            <v>40007360</v>
          </cell>
          <cell r="C1262" t="str">
            <v>643550-8</v>
          </cell>
          <cell r="D1262" t="str">
            <v>MA275</v>
          </cell>
        </row>
        <row r="1263">
          <cell r="B1263">
            <v>40007111</v>
          </cell>
          <cell r="C1263" t="str">
            <v>213278-8</v>
          </cell>
          <cell r="D1263" t="str">
            <v>MA276</v>
          </cell>
        </row>
        <row r="1264">
          <cell r="B1264">
            <v>40005578</v>
          </cell>
          <cell r="C1264" t="str">
            <v>JM23100023</v>
          </cell>
          <cell r="D1264" t="str">
            <v>MA276</v>
          </cell>
        </row>
        <row r="1265">
          <cell r="B1265">
            <v>40005242</v>
          </cell>
          <cell r="C1265" t="str">
            <v>650676-9</v>
          </cell>
          <cell r="D1265" t="str">
            <v>MA276</v>
          </cell>
        </row>
        <row r="1266">
          <cell r="B1266">
            <v>40005178</v>
          </cell>
          <cell r="C1266">
            <v>20117281</v>
          </cell>
          <cell r="D1266" t="str">
            <v>MA276</v>
          </cell>
        </row>
        <row r="1267">
          <cell r="B1267">
            <v>40005261</v>
          </cell>
          <cell r="C1267" t="str">
            <v>233992-0</v>
          </cell>
          <cell r="D1267" t="str">
            <v>MA277</v>
          </cell>
        </row>
        <row r="1268">
          <cell r="B1268">
            <v>40005260</v>
          </cell>
          <cell r="C1268" t="str">
            <v>325813-1</v>
          </cell>
          <cell r="D1268" t="str">
            <v>MA277</v>
          </cell>
        </row>
        <row r="1269">
          <cell r="B1269">
            <v>40005182</v>
          </cell>
          <cell r="C1269" t="str">
            <v>JM27100016</v>
          </cell>
          <cell r="D1269" t="str">
            <v>MA278</v>
          </cell>
        </row>
        <row r="1270">
          <cell r="B1270">
            <v>40005895</v>
          </cell>
          <cell r="C1270" t="str">
            <v>JM27100070</v>
          </cell>
          <cell r="D1270" t="str">
            <v>MA278</v>
          </cell>
        </row>
        <row r="1271">
          <cell r="B1271">
            <v>40005210</v>
          </cell>
          <cell r="C1271" t="str">
            <v>234331-7</v>
          </cell>
          <cell r="D1271" t="str">
            <v>MA278</v>
          </cell>
        </row>
        <row r="1272">
          <cell r="B1272">
            <v>40005259</v>
          </cell>
          <cell r="C1272" t="str">
            <v>456529-8</v>
          </cell>
          <cell r="D1272" t="str">
            <v>MA278</v>
          </cell>
        </row>
        <row r="1273">
          <cell r="B1273">
            <v>40010562</v>
          </cell>
          <cell r="C1273" t="str">
            <v>323955-5</v>
          </cell>
          <cell r="D1273" t="str">
            <v>MA279</v>
          </cell>
        </row>
        <row r="1274">
          <cell r="B1274">
            <v>40010574</v>
          </cell>
          <cell r="C1274" t="str">
            <v>931102-0</v>
          </cell>
          <cell r="D1274" t="str">
            <v>MA279</v>
          </cell>
        </row>
        <row r="1275">
          <cell r="B1275">
            <v>40010573</v>
          </cell>
          <cell r="C1275" t="str">
            <v>411625-9</v>
          </cell>
          <cell r="D1275" t="str">
            <v>MA279</v>
          </cell>
        </row>
        <row r="1276">
          <cell r="B1276">
            <v>40010566</v>
          </cell>
          <cell r="C1276" t="str">
            <v>324840-5</v>
          </cell>
          <cell r="D1276" t="str">
            <v>MA279</v>
          </cell>
        </row>
        <row r="1277">
          <cell r="B1277">
            <v>40007365</v>
          </cell>
          <cell r="C1277" t="str">
            <v>421494-0</v>
          </cell>
          <cell r="D1277" t="str">
            <v>MA28</v>
          </cell>
        </row>
        <row r="1278">
          <cell r="B1278">
            <v>40005999</v>
          </cell>
          <cell r="C1278" t="str">
            <v>421888-9</v>
          </cell>
          <cell r="D1278" t="str">
            <v>MA28</v>
          </cell>
        </row>
        <row r="1279">
          <cell r="B1279">
            <v>40006528</v>
          </cell>
          <cell r="C1279" t="str">
            <v>643835-2</v>
          </cell>
          <cell r="D1279" t="str">
            <v>MA29</v>
          </cell>
        </row>
        <row r="1280">
          <cell r="B1280">
            <v>40005740</v>
          </cell>
          <cell r="C1280">
            <v>20245020</v>
          </cell>
          <cell r="D1280" t="str">
            <v>MA29</v>
          </cell>
        </row>
        <row r="1281">
          <cell r="B1281">
            <v>40008159</v>
          </cell>
          <cell r="C1281" t="str">
            <v>415366-9</v>
          </cell>
          <cell r="D1281" t="str">
            <v>MA30</v>
          </cell>
        </row>
        <row r="1282">
          <cell r="B1282">
            <v>40006754</v>
          </cell>
          <cell r="C1282" t="str">
            <v>212003-4</v>
          </cell>
          <cell r="D1282" t="str">
            <v>MA30</v>
          </cell>
        </row>
        <row r="1283">
          <cell r="B1283">
            <v>40007967</v>
          </cell>
          <cell r="C1283" t="str">
            <v>416274-7</v>
          </cell>
          <cell r="D1283" t="str">
            <v>MA31</v>
          </cell>
        </row>
        <row r="1284">
          <cell r="B1284">
            <v>40007917</v>
          </cell>
          <cell r="C1284" t="str">
            <v>A0310-0241</v>
          </cell>
          <cell r="D1284" t="str">
            <v>MA31</v>
          </cell>
        </row>
        <row r="1285">
          <cell r="B1285">
            <v>40008121</v>
          </cell>
          <cell r="C1285" t="str">
            <v>233388-5</v>
          </cell>
          <cell r="D1285" t="str">
            <v>MA32</v>
          </cell>
        </row>
        <row r="1286">
          <cell r="B1286">
            <v>40006851</v>
          </cell>
          <cell r="C1286" t="str">
            <v>450621-2</v>
          </cell>
          <cell r="D1286" t="str">
            <v>MA32</v>
          </cell>
        </row>
        <row r="1287">
          <cell r="B1287">
            <v>40007640</v>
          </cell>
          <cell r="C1287" t="str">
            <v>643909-9</v>
          </cell>
          <cell r="D1287" t="str">
            <v>MA33</v>
          </cell>
        </row>
        <row r="1288">
          <cell r="B1288">
            <v>40007329</v>
          </cell>
          <cell r="C1288" t="str">
            <v>233459-8</v>
          </cell>
          <cell r="D1288" t="str">
            <v>MA34</v>
          </cell>
        </row>
        <row r="1289">
          <cell r="B1289">
            <v>40008126</v>
          </cell>
          <cell r="C1289" t="str">
            <v>233344-5</v>
          </cell>
          <cell r="D1289" t="str">
            <v>MA34</v>
          </cell>
        </row>
        <row r="1290">
          <cell r="B1290">
            <v>40006076</v>
          </cell>
          <cell r="C1290" t="str">
            <v>962151-6</v>
          </cell>
          <cell r="D1290" t="str">
            <v>MA35</v>
          </cell>
        </row>
        <row r="1291">
          <cell r="B1291">
            <v>40006397</v>
          </cell>
          <cell r="C1291" t="str">
            <v>423345-3</v>
          </cell>
          <cell r="D1291" t="str">
            <v>MA35</v>
          </cell>
        </row>
        <row r="1292">
          <cell r="B1292">
            <v>40006677</v>
          </cell>
          <cell r="C1292" t="str">
            <v>233264-3</v>
          </cell>
          <cell r="D1292" t="str">
            <v>MA36</v>
          </cell>
        </row>
        <row r="1293">
          <cell r="B1293">
            <v>40005735</v>
          </cell>
          <cell r="C1293" t="str">
            <v>JM23200012</v>
          </cell>
          <cell r="D1293" t="str">
            <v>MA36</v>
          </cell>
        </row>
        <row r="1294">
          <cell r="B1294">
            <v>40005686</v>
          </cell>
          <cell r="C1294" t="str">
            <v>924341-9</v>
          </cell>
          <cell r="D1294" t="str">
            <v>MA37</v>
          </cell>
        </row>
        <row r="1295">
          <cell r="B1295">
            <v>40005736</v>
          </cell>
          <cell r="C1295">
            <v>195143200</v>
          </cell>
          <cell r="D1295" t="str">
            <v>MA38</v>
          </cell>
        </row>
        <row r="1296">
          <cell r="B1296">
            <v>40006125</v>
          </cell>
          <cell r="C1296" t="str">
            <v>A0801-1321</v>
          </cell>
          <cell r="D1296" t="str">
            <v>MA38</v>
          </cell>
        </row>
        <row r="1297">
          <cell r="B1297">
            <v>40007208</v>
          </cell>
          <cell r="C1297" t="str">
            <v>911273-9</v>
          </cell>
          <cell r="D1297" t="str">
            <v>MA39</v>
          </cell>
        </row>
        <row r="1298">
          <cell r="B1298">
            <v>40007137</v>
          </cell>
          <cell r="C1298" t="str">
            <v>650615-9</v>
          </cell>
          <cell r="D1298" t="str">
            <v>MA39</v>
          </cell>
        </row>
        <row r="1299">
          <cell r="B1299">
            <v>40007941</v>
          </cell>
          <cell r="C1299" t="str">
            <v>JM27000171</v>
          </cell>
          <cell r="D1299" t="str">
            <v>MA40</v>
          </cell>
        </row>
        <row r="1300">
          <cell r="B1300">
            <v>40010391</v>
          </cell>
          <cell r="C1300" t="str">
            <v>224409-4</v>
          </cell>
          <cell r="D1300" t="str">
            <v>MA40</v>
          </cell>
        </row>
        <row r="1301">
          <cell r="B1301">
            <v>40006049</v>
          </cell>
          <cell r="C1301" t="str">
            <v>419671-6</v>
          </cell>
          <cell r="D1301" t="str">
            <v>MA41</v>
          </cell>
        </row>
        <row r="1302">
          <cell r="B1302">
            <v>40008016</v>
          </cell>
          <cell r="C1302">
            <v>27213150</v>
          </cell>
          <cell r="D1302" t="str">
            <v>MA41</v>
          </cell>
        </row>
        <row r="1303">
          <cell r="B1303">
            <v>40005395</v>
          </cell>
          <cell r="C1303" t="str">
            <v>620E43-2</v>
          </cell>
          <cell r="D1303" t="str">
            <v>MA42</v>
          </cell>
        </row>
        <row r="1304">
          <cell r="B1304">
            <v>40007855</v>
          </cell>
          <cell r="C1304" t="str">
            <v>254011-9</v>
          </cell>
          <cell r="D1304" t="str">
            <v>MA42</v>
          </cell>
        </row>
        <row r="1305">
          <cell r="B1305">
            <v>40007703</v>
          </cell>
          <cell r="C1305" t="str">
            <v>643923-5</v>
          </cell>
          <cell r="D1305" t="str">
            <v>MA43</v>
          </cell>
        </row>
        <row r="1306">
          <cell r="B1306">
            <v>40006106</v>
          </cell>
          <cell r="C1306" t="str">
            <v>911168-6</v>
          </cell>
          <cell r="D1306" t="str">
            <v>MA43</v>
          </cell>
        </row>
        <row r="1307">
          <cell r="B1307">
            <v>40007524</v>
          </cell>
          <cell r="C1307" t="str">
            <v>253192-6</v>
          </cell>
          <cell r="D1307" t="str">
            <v>MA44</v>
          </cell>
        </row>
        <row r="1308">
          <cell r="B1308">
            <v>40005937</v>
          </cell>
          <cell r="C1308" t="str">
            <v>224479-3</v>
          </cell>
          <cell r="D1308" t="str">
            <v>MA44</v>
          </cell>
        </row>
        <row r="1309">
          <cell r="B1309">
            <v>40008208</v>
          </cell>
          <cell r="C1309" t="str">
            <v>265062-7</v>
          </cell>
          <cell r="D1309" t="str">
            <v>MA45</v>
          </cell>
        </row>
        <row r="1310">
          <cell r="B1310">
            <v>40006959</v>
          </cell>
          <cell r="C1310" t="str">
            <v>257279-6</v>
          </cell>
          <cell r="D1310" t="str">
            <v>MA45</v>
          </cell>
        </row>
        <row r="1311">
          <cell r="B1311">
            <v>40006062</v>
          </cell>
          <cell r="C1311" t="str">
            <v>911123-8</v>
          </cell>
          <cell r="D1311" t="str">
            <v>MA46</v>
          </cell>
        </row>
        <row r="1312">
          <cell r="B1312">
            <v>40005675</v>
          </cell>
          <cell r="C1312" t="str">
            <v>251887-5</v>
          </cell>
          <cell r="D1312" t="str">
            <v>MA46</v>
          </cell>
        </row>
        <row r="1313">
          <cell r="B1313">
            <v>40007414</v>
          </cell>
          <cell r="C1313" t="str">
            <v>911153-9</v>
          </cell>
          <cell r="D1313" t="str">
            <v>MA47</v>
          </cell>
        </row>
        <row r="1314">
          <cell r="B1314">
            <v>40006665</v>
          </cell>
          <cell r="C1314" t="str">
            <v>231808-3</v>
          </cell>
          <cell r="D1314" t="str">
            <v>MA47</v>
          </cell>
        </row>
        <row r="1315">
          <cell r="B1315">
            <v>40005627</v>
          </cell>
          <cell r="C1315" t="str">
            <v>452501-8</v>
          </cell>
          <cell r="D1315" t="str">
            <v>MA48</v>
          </cell>
        </row>
        <row r="1316">
          <cell r="B1316">
            <v>40007097</v>
          </cell>
          <cell r="C1316" t="str">
            <v>322924-3</v>
          </cell>
          <cell r="D1316" t="str">
            <v>MA49</v>
          </cell>
        </row>
        <row r="1317">
          <cell r="B1317">
            <v>40007002</v>
          </cell>
          <cell r="C1317" t="str">
            <v>231834-2</v>
          </cell>
          <cell r="D1317" t="str">
            <v>MA49</v>
          </cell>
        </row>
        <row r="1318">
          <cell r="B1318">
            <v>40005691</v>
          </cell>
          <cell r="C1318" t="str">
            <v>231781-7</v>
          </cell>
          <cell r="D1318" t="str">
            <v>MA50</v>
          </cell>
        </row>
        <row r="1319">
          <cell r="B1319">
            <v>40006167</v>
          </cell>
          <cell r="C1319" t="str">
            <v>419975-6</v>
          </cell>
          <cell r="D1319" t="str">
            <v>MA50</v>
          </cell>
        </row>
        <row r="1320">
          <cell r="B1320">
            <v>40005671</v>
          </cell>
          <cell r="C1320" t="str">
            <v>231634-0</v>
          </cell>
          <cell r="D1320" t="str">
            <v>MA51</v>
          </cell>
        </row>
        <row r="1321">
          <cell r="B1321">
            <v>40006164</v>
          </cell>
          <cell r="C1321" t="str">
            <v>256238-7</v>
          </cell>
          <cell r="D1321" t="str">
            <v>MA51</v>
          </cell>
        </row>
        <row r="1322">
          <cell r="B1322">
            <v>40010985</v>
          </cell>
          <cell r="C1322" t="str">
            <v>231809-1</v>
          </cell>
          <cell r="D1322" t="str">
            <v>MA52</v>
          </cell>
        </row>
        <row r="1323">
          <cell r="B1323">
            <v>40007879</v>
          </cell>
          <cell r="C1323" t="str">
            <v>231026-3</v>
          </cell>
          <cell r="D1323" t="str">
            <v>MA52</v>
          </cell>
        </row>
        <row r="1324">
          <cell r="B1324">
            <v>40005561</v>
          </cell>
          <cell r="C1324" t="str">
            <v>253194-2</v>
          </cell>
          <cell r="D1324" t="str">
            <v>MA53</v>
          </cell>
        </row>
        <row r="1325">
          <cell r="B1325">
            <v>40006877</v>
          </cell>
          <cell r="C1325" t="str">
            <v>643823-9</v>
          </cell>
          <cell r="D1325" t="str">
            <v>MA53</v>
          </cell>
        </row>
        <row r="1326">
          <cell r="B1326">
            <v>40008320</v>
          </cell>
          <cell r="C1326" t="str">
            <v>231266-3</v>
          </cell>
          <cell r="D1326" t="str">
            <v>MA54</v>
          </cell>
        </row>
        <row r="1327">
          <cell r="B1327">
            <v>40008089</v>
          </cell>
          <cell r="C1327" t="str">
            <v>324216-6</v>
          </cell>
          <cell r="D1327" t="str">
            <v>MA54</v>
          </cell>
        </row>
        <row r="1328">
          <cell r="B1328">
            <v>40006356</v>
          </cell>
          <cell r="C1328" t="str">
            <v>424193-3</v>
          </cell>
          <cell r="D1328" t="str">
            <v>MA55</v>
          </cell>
        </row>
        <row r="1329">
          <cell r="B1329">
            <v>40011417</v>
          </cell>
          <cell r="C1329" t="str">
            <v>451037-4</v>
          </cell>
          <cell r="D1329" t="str">
            <v>MA55</v>
          </cell>
        </row>
        <row r="1330">
          <cell r="B1330">
            <v>40010255</v>
          </cell>
          <cell r="C1330" t="str">
            <v>266340-8</v>
          </cell>
          <cell r="D1330" t="str">
            <v>MA55</v>
          </cell>
        </row>
        <row r="1331">
          <cell r="B1331">
            <v>40006821</v>
          </cell>
          <cell r="C1331" t="str">
            <v>231025-5</v>
          </cell>
          <cell r="D1331" t="str">
            <v>MA56</v>
          </cell>
        </row>
        <row r="1332">
          <cell r="B1332">
            <v>40005786</v>
          </cell>
          <cell r="C1332" t="str">
            <v>259034-2</v>
          </cell>
          <cell r="D1332" t="str">
            <v>MA56</v>
          </cell>
        </row>
        <row r="1333">
          <cell r="B1333">
            <v>40007921</v>
          </cell>
          <cell r="C1333" t="str">
            <v>K0300-0621</v>
          </cell>
          <cell r="D1333" t="str">
            <v>MA57</v>
          </cell>
        </row>
        <row r="1334">
          <cell r="B1334">
            <v>40007195</v>
          </cell>
          <cell r="C1334" t="str">
            <v>226028-2</v>
          </cell>
          <cell r="D1334" t="str">
            <v>MA57</v>
          </cell>
        </row>
        <row r="1335">
          <cell r="B1335">
            <v>40008173</v>
          </cell>
          <cell r="C1335" t="str">
            <v>154870-0</v>
          </cell>
          <cell r="D1335" t="str">
            <v>MA58</v>
          </cell>
        </row>
        <row r="1336">
          <cell r="B1336">
            <v>40008071</v>
          </cell>
          <cell r="C1336" t="str">
            <v>251690-4</v>
          </cell>
          <cell r="D1336" t="str">
            <v>MA58</v>
          </cell>
        </row>
        <row r="1337">
          <cell r="B1337">
            <v>40008060</v>
          </cell>
          <cell r="C1337" t="str">
            <v>411170-4</v>
          </cell>
          <cell r="D1337" t="str">
            <v>MA59</v>
          </cell>
        </row>
        <row r="1338">
          <cell r="B1338">
            <v>40005398</v>
          </cell>
          <cell r="C1338" t="str">
            <v>JM23200023</v>
          </cell>
          <cell r="D1338" t="str">
            <v>MA59</v>
          </cell>
        </row>
        <row r="1339">
          <cell r="B1339">
            <v>40007328</v>
          </cell>
          <cell r="C1339" t="str">
            <v>162245-9</v>
          </cell>
          <cell r="D1339" t="str">
            <v>MA60</v>
          </cell>
        </row>
        <row r="1340">
          <cell r="B1340">
            <v>40010517</v>
          </cell>
          <cell r="C1340" t="str">
            <v>161310-1</v>
          </cell>
          <cell r="D1340" t="str">
            <v>MA61</v>
          </cell>
        </row>
        <row r="1341">
          <cell r="B1341">
            <v>40006275</v>
          </cell>
          <cell r="C1341" t="str">
            <v>266010-9</v>
          </cell>
          <cell r="D1341" t="str">
            <v>MA61</v>
          </cell>
        </row>
        <row r="1342">
          <cell r="B1342">
            <v>40007190</v>
          </cell>
          <cell r="C1342" t="str">
            <v>345240-6</v>
          </cell>
          <cell r="D1342" t="str">
            <v>MA62</v>
          </cell>
        </row>
        <row r="1343">
          <cell r="B1343">
            <v>40005993</v>
          </cell>
          <cell r="C1343" t="str">
            <v>212263-8</v>
          </cell>
          <cell r="D1343" t="str">
            <v>MA62</v>
          </cell>
        </row>
        <row r="1344">
          <cell r="B1344">
            <v>40007626</v>
          </cell>
          <cell r="C1344" t="str">
            <v>922451-6</v>
          </cell>
          <cell r="D1344" t="str">
            <v>MA63</v>
          </cell>
        </row>
        <row r="1345">
          <cell r="B1345">
            <v>40008162</v>
          </cell>
          <cell r="C1345">
            <v>901505354</v>
          </cell>
          <cell r="D1345" t="str">
            <v>MA63</v>
          </cell>
        </row>
        <row r="1346">
          <cell r="B1346">
            <v>40006170</v>
          </cell>
          <cell r="C1346" t="str">
            <v>455392-6</v>
          </cell>
          <cell r="D1346" t="str">
            <v>MA64</v>
          </cell>
        </row>
        <row r="1347">
          <cell r="B1347">
            <v>40006240</v>
          </cell>
          <cell r="C1347" t="str">
            <v>452022-0</v>
          </cell>
          <cell r="D1347" t="str">
            <v>MA65</v>
          </cell>
        </row>
        <row r="1348">
          <cell r="B1348">
            <v>10019040</v>
          </cell>
          <cell r="C1348">
            <v>122699</v>
          </cell>
          <cell r="D1348" t="str">
            <v>MA65</v>
          </cell>
        </row>
        <row r="1349">
          <cell r="B1349">
            <v>40010969</v>
          </cell>
          <cell r="C1349" t="str">
            <v>253813-0</v>
          </cell>
          <cell r="D1349" t="str">
            <v>MA66</v>
          </cell>
        </row>
        <row r="1350">
          <cell r="B1350">
            <v>40006464</v>
          </cell>
          <cell r="C1350" t="str">
            <v>318088-9</v>
          </cell>
          <cell r="D1350" t="str">
            <v>MA66</v>
          </cell>
        </row>
        <row r="1351">
          <cell r="B1351">
            <v>40007232</v>
          </cell>
          <cell r="C1351">
            <v>226213340</v>
          </cell>
          <cell r="D1351" t="str">
            <v>MA67</v>
          </cell>
        </row>
        <row r="1352">
          <cell r="B1352">
            <v>40007717</v>
          </cell>
          <cell r="C1352" t="str">
            <v>254202-2</v>
          </cell>
          <cell r="D1352" t="str">
            <v>MA67</v>
          </cell>
        </row>
        <row r="1353">
          <cell r="B1353">
            <v>40008270</v>
          </cell>
          <cell r="C1353" t="str">
            <v>911113-1</v>
          </cell>
          <cell r="D1353" t="str">
            <v>MA68</v>
          </cell>
        </row>
        <row r="1354">
          <cell r="B1354">
            <v>40008293</v>
          </cell>
          <cell r="C1354" t="str">
            <v>125366-8</v>
          </cell>
          <cell r="D1354" t="str">
            <v>MA68</v>
          </cell>
        </row>
        <row r="1355">
          <cell r="B1355">
            <v>40006854</v>
          </cell>
          <cell r="C1355" t="str">
            <v>643566-3</v>
          </cell>
          <cell r="D1355" t="str">
            <v>MA69</v>
          </cell>
        </row>
        <row r="1356">
          <cell r="B1356">
            <v>40010556</v>
          </cell>
          <cell r="C1356" t="str">
            <v>310028-3</v>
          </cell>
          <cell r="D1356" t="str">
            <v>MA70</v>
          </cell>
        </row>
        <row r="1357">
          <cell r="B1357">
            <v>40010555</v>
          </cell>
          <cell r="C1357" t="str">
            <v>316608-3</v>
          </cell>
          <cell r="D1357" t="str">
            <v>MA70</v>
          </cell>
        </row>
        <row r="1358">
          <cell r="B1358">
            <v>40010557</v>
          </cell>
          <cell r="C1358" t="str">
            <v>344137-6</v>
          </cell>
          <cell r="D1358" t="str">
            <v>MA70</v>
          </cell>
        </row>
        <row r="1359">
          <cell r="B1359">
            <v>40010554</v>
          </cell>
          <cell r="C1359" t="str">
            <v>165089-6</v>
          </cell>
          <cell r="D1359" t="str">
            <v>MA70</v>
          </cell>
        </row>
        <row r="1360">
          <cell r="B1360">
            <v>40007292</v>
          </cell>
          <cell r="C1360" t="str">
            <v>266296-5</v>
          </cell>
          <cell r="D1360" t="str">
            <v>MA70</v>
          </cell>
        </row>
        <row r="1361">
          <cell r="B1361">
            <v>40006801</v>
          </cell>
          <cell r="C1361" t="str">
            <v>643987-9</v>
          </cell>
          <cell r="D1361" t="str">
            <v>MA71</v>
          </cell>
        </row>
        <row r="1362">
          <cell r="B1362">
            <v>40005626</v>
          </cell>
          <cell r="C1362" t="str">
            <v>452503-4</v>
          </cell>
          <cell r="D1362" t="str">
            <v>MA71</v>
          </cell>
        </row>
        <row r="1363">
          <cell r="B1363">
            <v>40007047</v>
          </cell>
          <cell r="C1363" t="str">
            <v>213047-7</v>
          </cell>
          <cell r="D1363" t="str">
            <v>MA72</v>
          </cell>
        </row>
        <row r="1364">
          <cell r="B1364">
            <v>40007577</v>
          </cell>
          <cell r="C1364" t="str">
            <v>231316-4</v>
          </cell>
          <cell r="D1364" t="str">
            <v>MA72</v>
          </cell>
        </row>
        <row r="1365">
          <cell r="B1365">
            <v>40006287</v>
          </cell>
          <cell r="C1365" t="str">
            <v>416289-4</v>
          </cell>
          <cell r="D1365" t="str">
            <v>MA73</v>
          </cell>
        </row>
        <row r="1366">
          <cell r="B1366">
            <v>40006438</v>
          </cell>
          <cell r="C1366" t="str">
            <v>418981-8</v>
          </cell>
          <cell r="D1366" t="str">
            <v>MA73</v>
          </cell>
        </row>
        <row r="1367">
          <cell r="B1367">
            <v>40007428</v>
          </cell>
          <cell r="C1367">
            <v>975001200</v>
          </cell>
          <cell r="D1367" t="str">
            <v>MA74</v>
          </cell>
        </row>
        <row r="1368">
          <cell r="B1368">
            <v>40007716</v>
          </cell>
          <cell r="C1368" t="str">
            <v>256644-6</v>
          </cell>
          <cell r="D1368" t="str">
            <v>MA75</v>
          </cell>
        </row>
        <row r="1369">
          <cell r="B1369">
            <v>40006810</v>
          </cell>
          <cell r="C1369" t="str">
            <v>419233-0</v>
          </cell>
          <cell r="D1369" t="str">
            <v>MA75</v>
          </cell>
        </row>
        <row r="1370">
          <cell r="B1370">
            <v>40007415</v>
          </cell>
          <cell r="C1370" t="str">
            <v>265812-0</v>
          </cell>
          <cell r="D1370" t="str">
            <v>MA76</v>
          </cell>
        </row>
        <row r="1371">
          <cell r="B1371">
            <v>40007873</v>
          </cell>
          <cell r="C1371" t="str">
            <v>331719-3</v>
          </cell>
          <cell r="D1371" t="str">
            <v>MA76</v>
          </cell>
        </row>
        <row r="1372">
          <cell r="B1372">
            <v>40006811</v>
          </cell>
          <cell r="C1372" t="str">
            <v>253874-0</v>
          </cell>
          <cell r="D1372" t="str">
            <v>MA77</v>
          </cell>
        </row>
        <row r="1373">
          <cell r="B1373">
            <v>40006089</v>
          </cell>
          <cell r="C1373" t="str">
            <v>231588-1</v>
          </cell>
          <cell r="D1373" t="str">
            <v>MA77</v>
          </cell>
        </row>
        <row r="1374">
          <cell r="B1374">
            <v>40007578</v>
          </cell>
          <cell r="C1374" t="str">
            <v>266286-8</v>
          </cell>
          <cell r="D1374" t="str">
            <v>MA78</v>
          </cell>
        </row>
        <row r="1375">
          <cell r="B1375">
            <v>40006323</v>
          </cell>
          <cell r="C1375" t="str">
            <v>251425-3</v>
          </cell>
          <cell r="D1375" t="str">
            <v>MA78</v>
          </cell>
        </row>
        <row r="1376">
          <cell r="B1376">
            <v>40007614</v>
          </cell>
          <cell r="C1376" t="str">
            <v>321869-2</v>
          </cell>
          <cell r="D1376" t="str">
            <v>MA79</v>
          </cell>
        </row>
        <row r="1377">
          <cell r="B1377">
            <v>40007523</v>
          </cell>
          <cell r="C1377" t="str">
            <v>261109-5</v>
          </cell>
          <cell r="D1377" t="str">
            <v>MA79</v>
          </cell>
        </row>
        <row r="1378">
          <cell r="B1378">
            <v>40006075</v>
          </cell>
          <cell r="C1378" t="str">
            <v>267794-2</v>
          </cell>
          <cell r="D1378" t="str">
            <v>MA80</v>
          </cell>
        </row>
        <row r="1379">
          <cell r="B1379">
            <v>40006171</v>
          </cell>
          <cell r="C1379" t="str">
            <v>346831-6</v>
          </cell>
          <cell r="D1379" t="str">
            <v>MA80</v>
          </cell>
        </row>
        <row r="1380">
          <cell r="B1380">
            <v>40007961</v>
          </cell>
          <cell r="C1380" t="str">
            <v>212102-2</v>
          </cell>
          <cell r="D1380" t="str">
            <v>MA81</v>
          </cell>
        </row>
        <row r="1381">
          <cell r="B1381">
            <v>40011750</v>
          </cell>
          <cell r="C1381" t="str">
            <v>321111-1</v>
          </cell>
          <cell r="D1381" t="str">
            <v>MA81</v>
          </cell>
        </row>
        <row r="1382">
          <cell r="B1382">
            <v>40011746</v>
          </cell>
          <cell r="C1382" t="str">
            <v>345464-4</v>
          </cell>
          <cell r="D1382" t="str">
            <v>MA81</v>
          </cell>
        </row>
        <row r="1383">
          <cell r="B1383">
            <v>40006689</v>
          </cell>
          <cell r="C1383" t="str">
            <v>345317-7</v>
          </cell>
          <cell r="D1383" t="str">
            <v>MA82</v>
          </cell>
        </row>
        <row r="1384">
          <cell r="B1384">
            <v>40006670</v>
          </cell>
          <cell r="C1384" t="str">
            <v>265132-2</v>
          </cell>
          <cell r="D1384" t="str">
            <v>MA83</v>
          </cell>
        </row>
        <row r="1385">
          <cell r="B1385">
            <v>40006174</v>
          </cell>
          <cell r="C1385" t="str">
            <v>332125-5</v>
          </cell>
          <cell r="D1385" t="str">
            <v>MA83</v>
          </cell>
        </row>
        <row r="1386">
          <cell r="B1386">
            <v>40006931</v>
          </cell>
          <cell r="C1386" t="str">
            <v>346518-0</v>
          </cell>
          <cell r="D1386" t="str">
            <v>MA84</v>
          </cell>
        </row>
        <row r="1387">
          <cell r="B1387">
            <v>40005737</v>
          </cell>
          <cell r="C1387">
            <v>927304000</v>
          </cell>
          <cell r="D1387" t="str">
            <v>MA84</v>
          </cell>
        </row>
        <row r="1388">
          <cell r="B1388">
            <v>40006084</v>
          </cell>
          <cell r="C1388" t="str">
            <v>231325-3</v>
          </cell>
          <cell r="D1388" t="str">
            <v>MA84</v>
          </cell>
        </row>
        <row r="1389">
          <cell r="B1389">
            <v>40010344</v>
          </cell>
          <cell r="C1389" t="str">
            <v>421868-5</v>
          </cell>
          <cell r="D1389" t="str">
            <v>MA85</v>
          </cell>
        </row>
        <row r="1390">
          <cell r="B1390">
            <v>40006814</v>
          </cell>
          <cell r="C1390" t="str">
            <v>324420-7</v>
          </cell>
          <cell r="D1390" t="str">
            <v>MA85</v>
          </cell>
        </row>
        <row r="1391">
          <cell r="B1391">
            <v>40006178</v>
          </cell>
          <cell r="C1391" t="str">
            <v>265473-6</v>
          </cell>
          <cell r="D1391" t="str">
            <v>MA86</v>
          </cell>
        </row>
        <row r="1392">
          <cell r="B1392">
            <v>40006419</v>
          </cell>
          <cell r="C1392" t="str">
            <v>227613-4</v>
          </cell>
          <cell r="D1392" t="str">
            <v>MA86</v>
          </cell>
        </row>
        <row r="1393">
          <cell r="B1393">
            <v>40006311</v>
          </cell>
          <cell r="C1393" t="str">
            <v>961155-5</v>
          </cell>
          <cell r="D1393" t="str">
            <v>MA87</v>
          </cell>
        </row>
        <row r="1394">
          <cell r="B1394">
            <v>40006094</v>
          </cell>
          <cell r="C1394" t="str">
            <v>233121-5</v>
          </cell>
          <cell r="D1394" t="str">
            <v>MA87</v>
          </cell>
        </row>
        <row r="1395">
          <cell r="B1395">
            <v>40006476</v>
          </cell>
          <cell r="C1395" t="str">
            <v>226637-7</v>
          </cell>
          <cell r="D1395" t="str">
            <v>MA88</v>
          </cell>
        </row>
        <row r="1396">
          <cell r="B1396">
            <v>40006922</v>
          </cell>
          <cell r="C1396" t="str">
            <v>168507-3</v>
          </cell>
          <cell r="D1396" t="str">
            <v>MA89</v>
          </cell>
        </row>
        <row r="1397">
          <cell r="B1397">
            <v>40006021</v>
          </cell>
          <cell r="C1397" t="str">
            <v>JM23200021</v>
          </cell>
          <cell r="D1397" t="str">
            <v>MA89</v>
          </cell>
        </row>
        <row r="1398">
          <cell r="B1398">
            <v>40006880</v>
          </cell>
          <cell r="C1398" t="str">
            <v>224455-7</v>
          </cell>
          <cell r="D1398" t="str">
            <v>MA90</v>
          </cell>
        </row>
        <row r="1399">
          <cell r="B1399">
            <v>40005607</v>
          </cell>
          <cell r="C1399" t="str">
            <v>344688-9</v>
          </cell>
          <cell r="D1399" t="str">
            <v>MA90</v>
          </cell>
        </row>
        <row r="1400">
          <cell r="B1400">
            <v>40005478</v>
          </cell>
          <cell r="C1400" t="str">
            <v>213141-5</v>
          </cell>
          <cell r="D1400" t="str">
            <v>MA91</v>
          </cell>
        </row>
        <row r="1401">
          <cell r="B1401">
            <v>40006300</v>
          </cell>
          <cell r="C1401" t="str">
            <v>141028-0</v>
          </cell>
          <cell r="D1401" t="str">
            <v>MA92</v>
          </cell>
        </row>
        <row r="1402">
          <cell r="B1402">
            <v>40008072</v>
          </cell>
          <cell r="C1402" t="str">
            <v>221019-8</v>
          </cell>
          <cell r="D1402" t="str">
            <v>MA92</v>
          </cell>
        </row>
        <row r="1403">
          <cell r="B1403">
            <v>40008054</v>
          </cell>
          <cell r="C1403" t="str">
            <v>324488-3</v>
          </cell>
          <cell r="D1403" t="str">
            <v>MA93</v>
          </cell>
        </row>
        <row r="1404">
          <cell r="B1404">
            <v>40008282</v>
          </cell>
          <cell r="C1404" t="str">
            <v>226495-1</v>
          </cell>
          <cell r="D1404" t="str">
            <v>MA94</v>
          </cell>
        </row>
        <row r="1405">
          <cell r="B1405">
            <v>40006721</v>
          </cell>
          <cell r="C1405" t="str">
            <v>346859-4</v>
          </cell>
          <cell r="D1405" t="str">
            <v>MA94</v>
          </cell>
        </row>
        <row r="1406">
          <cell r="B1406">
            <v>40005562</v>
          </cell>
          <cell r="C1406" t="str">
            <v>257600-9</v>
          </cell>
          <cell r="D1406" t="str">
            <v>MA95</v>
          </cell>
        </row>
        <row r="1407">
          <cell r="B1407">
            <v>40008057</v>
          </cell>
          <cell r="C1407" t="str">
            <v>233309-7</v>
          </cell>
          <cell r="D1407" t="str">
            <v>MA95</v>
          </cell>
        </row>
        <row r="1408">
          <cell r="B1408">
            <v>40007995</v>
          </cell>
          <cell r="C1408" t="str">
            <v>450230-7</v>
          </cell>
          <cell r="D1408" t="str">
            <v>MA96</v>
          </cell>
        </row>
        <row r="1409">
          <cell r="B1409">
            <v>40007506</v>
          </cell>
          <cell r="C1409" t="str">
            <v>210069-8</v>
          </cell>
          <cell r="D1409" t="str">
            <v>MA96</v>
          </cell>
        </row>
        <row r="1410">
          <cell r="B1410">
            <v>40007909</v>
          </cell>
          <cell r="C1410" t="str">
            <v>442139-7</v>
          </cell>
          <cell r="D1410" t="str">
            <v>MA97</v>
          </cell>
        </row>
        <row r="1411">
          <cell r="B1411">
            <v>40005994</v>
          </cell>
          <cell r="C1411" t="str">
            <v>424048-2</v>
          </cell>
          <cell r="D1411" t="str">
            <v>MA97</v>
          </cell>
        </row>
        <row r="1412">
          <cell r="B1412">
            <v>40007913</v>
          </cell>
          <cell r="C1412" t="str">
            <v>A0205-0111</v>
          </cell>
          <cell r="D1412" t="str">
            <v>MA98</v>
          </cell>
        </row>
        <row r="1413">
          <cell r="B1413">
            <v>40006416</v>
          </cell>
          <cell r="C1413" t="str">
            <v>419004-5</v>
          </cell>
          <cell r="D1413" t="str">
            <v>MA98</v>
          </cell>
        </row>
        <row r="1414">
          <cell r="B1414">
            <v>40006207</v>
          </cell>
          <cell r="C1414" t="str">
            <v>226217-9</v>
          </cell>
          <cell r="D1414" t="str">
            <v>MA99</v>
          </cell>
        </row>
        <row r="1415">
          <cell r="B1415">
            <v>40006206</v>
          </cell>
          <cell r="C1415" t="str">
            <v>183053-5</v>
          </cell>
          <cell r="D1415" t="str">
            <v>MA99</v>
          </cell>
        </row>
        <row r="1416">
          <cell r="B1416">
            <v>40005940</v>
          </cell>
          <cell r="C1416" t="str">
            <v>161357-5</v>
          </cell>
          <cell r="D1416" t="str">
            <v>S-1</v>
          </cell>
        </row>
        <row r="1417">
          <cell r="B1417">
            <v>40011916</v>
          </cell>
          <cell r="C1417" t="str">
            <v>141W46-6</v>
          </cell>
          <cell r="D1417" t="str">
            <v>S-1</v>
          </cell>
        </row>
        <row r="1418">
          <cell r="B1418">
            <v>40007695</v>
          </cell>
          <cell r="C1418" t="str">
            <v>193003-2</v>
          </cell>
          <cell r="D1418" t="str">
            <v>S-1</v>
          </cell>
        </row>
        <row r="1419">
          <cell r="B1419">
            <v>40011921</v>
          </cell>
          <cell r="C1419" t="str">
            <v>137224-6</v>
          </cell>
          <cell r="D1419" t="str">
            <v>S-1</v>
          </cell>
        </row>
        <row r="1420">
          <cell r="B1420">
            <v>40011724</v>
          </cell>
          <cell r="C1420" t="str">
            <v>513914-9</v>
          </cell>
          <cell r="D1420" t="str">
            <v>S-1</v>
          </cell>
        </row>
        <row r="1421">
          <cell r="B1421">
            <v>40011247</v>
          </cell>
          <cell r="C1421" t="str">
            <v>629298-6</v>
          </cell>
          <cell r="D1421" t="str">
            <v>S-1</v>
          </cell>
        </row>
        <row r="1422">
          <cell r="B1422">
            <v>40005758</v>
          </cell>
          <cell r="C1422" t="str">
            <v>629479-2</v>
          </cell>
          <cell r="D1422" t="str">
            <v>S-1</v>
          </cell>
        </row>
        <row r="1423">
          <cell r="B1423">
            <v>40005373</v>
          </cell>
          <cell r="C1423" t="str">
            <v>629930-2</v>
          </cell>
          <cell r="D1423" t="str">
            <v>S-1</v>
          </cell>
        </row>
        <row r="1424">
          <cell r="B1424">
            <v>40005339</v>
          </cell>
          <cell r="C1424" t="str">
            <v>620E03-4</v>
          </cell>
          <cell r="D1424" t="str">
            <v>S-1</v>
          </cell>
        </row>
        <row r="1425">
          <cell r="B1425">
            <v>40010801</v>
          </cell>
          <cell r="C1425">
            <v>671014610</v>
          </cell>
          <cell r="D1425" t="str">
            <v>S-1</v>
          </cell>
        </row>
        <row r="1426">
          <cell r="B1426">
            <v>40010788</v>
          </cell>
          <cell r="C1426" t="str">
            <v>594644-1</v>
          </cell>
          <cell r="D1426" t="str">
            <v>S-1</v>
          </cell>
        </row>
        <row r="1427">
          <cell r="B1427">
            <v>40007147</v>
          </cell>
          <cell r="C1427" t="str">
            <v>151848-4</v>
          </cell>
          <cell r="D1427" t="str">
            <v>S-1</v>
          </cell>
        </row>
        <row r="1428">
          <cell r="B1428">
            <v>40007557</v>
          </cell>
          <cell r="C1428" t="str">
            <v>JM23000104</v>
          </cell>
          <cell r="D1428" t="str">
            <v>S-1</v>
          </cell>
        </row>
        <row r="1429">
          <cell r="B1429">
            <v>40006961</v>
          </cell>
          <cell r="C1429" t="str">
            <v>DA00000048</v>
          </cell>
          <cell r="D1429" t="str">
            <v>S-1</v>
          </cell>
        </row>
        <row r="1430">
          <cell r="B1430">
            <v>40006140</v>
          </cell>
          <cell r="C1430" t="str">
            <v>140798-8</v>
          </cell>
          <cell r="D1430" t="str">
            <v>S-1</v>
          </cell>
        </row>
        <row r="1431">
          <cell r="B1431">
            <v>40007461</v>
          </cell>
          <cell r="C1431" t="str">
            <v>516724-3</v>
          </cell>
          <cell r="D1431" t="str">
            <v>S-1</v>
          </cell>
        </row>
        <row r="1432">
          <cell r="B1432">
            <v>40007455</v>
          </cell>
          <cell r="C1432" t="str">
            <v>513146-8</v>
          </cell>
          <cell r="D1432" t="str">
            <v>S-1</v>
          </cell>
        </row>
        <row r="1433">
          <cell r="B1433">
            <v>40010232</v>
          </cell>
          <cell r="C1433" t="str">
            <v>639096-0</v>
          </cell>
          <cell r="D1433" t="str">
            <v>S-1</v>
          </cell>
        </row>
        <row r="1434">
          <cell r="B1434">
            <v>40005168</v>
          </cell>
          <cell r="C1434" t="str">
            <v>515834-3</v>
          </cell>
          <cell r="D1434" t="str">
            <v>S-1</v>
          </cell>
        </row>
        <row r="1435">
          <cell r="B1435">
            <v>40006949</v>
          </cell>
          <cell r="C1435" t="str">
            <v>510241-5</v>
          </cell>
          <cell r="D1435" t="str">
            <v>S-1</v>
          </cell>
        </row>
        <row r="1436">
          <cell r="B1436">
            <v>40011328</v>
          </cell>
          <cell r="C1436" t="str">
            <v>510510-4</v>
          </cell>
          <cell r="D1436" t="str">
            <v>S-1</v>
          </cell>
        </row>
        <row r="1437">
          <cell r="B1437">
            <v>40007465</v>
          </cell>
          <cell r="C1437" t="str">
            <v>513305-4</v>
          </cell>
          <cell r="D1437" t="str">
            <v>S-1</v>
          </cell>
        </row>
        <row r="1438">
          <cell r="B1438">
            <v>40007564</v>
          </cell>
          <cell r="C1438" t="str">
            <v>152253-8</v>
          </cell>
          <cell r="D1438" t="str">
            <v>GA01</v>
          </cell>
        </row>
        <row r="1439">
          <cell r="B1439">
            <v>40007505</v>
          </cell>
          <cell r="C1439" t="str">
            <v>227736-8</v>
          </cell>
          <cell r="D1439" t="str">
            <v>GA02</v>
          </cell>
        </row>
        <row r="1440">
          <cell r="B1440">
            <v>40007379</v>
          </cell>
          <cell r="C1440" t="str">
            <v>266034-5</v>
          </cell>
          <cell r="D1440" t="str">
            <v>GA03</v>
          </cell>
        </row>
        <row r="1441">
          <cell r="B1441">
            <v>40005579</v>
          </cell>
          <cell r="C1441">
            <v>965524043</v>
          </cell>
          <cell r="D1441" t="str">
            <v>GA04</v>
          </cell>
        </row>
        <row r="1442">
          <cell r="B1442">
            <v>40006040</v>
          </cell>
          <cell r="C1442" t="str">
            <v>455447-7</v>
          </cell>
          <cell r="D1442" t="str">
            <v>GA04</v>
          </cell>
        </row>
        <row r="1443">
          <cell r="B1443">
            <v>40005960</v>
          </cell>
          <cell r="C1443" t="str">
            <v>651418-4</v>
          </cell>
          <cell r="D1443" t="str">
            <v>GB01</v>
          </cell>
        </row>
        <row r="1444">
          <cell r="B1444">
            <v>40007166</v>
          </cell>
          <cell r="C1444" t="str">
            <v>324312-0</v>
          </cell>
          <cell r="D1444" t="str">
            <v>GB02</v>
          </cell>
        </row>
        <row r="1445">
          <cell r="B1445">
            <v>40008014</v>
          </cell>
          <cell r="C1445" t="str">
            <v>213045-1</v>
          </cell>
          <cell r="D1445" t="str">
            <v>GB03</v>
          </cell>
        </row>
        <row r="1446">
          <cell r="B1446">
            <v>40011213</v>
          </cell>
          <cell r="C1446" t="str">
            <v>620F12-9</v>
          </cell>
          <cell r="D1446" t="str">
            <v>GB03</v>
          </cell>
        </row>
        <row r="1447">
          <cell r="B1447">
            <v>40007720</v>
          </cell>
          <cell r="C1447" t="str">
            <v>344473-0</v>
          </cell>
          <cell r="D1447" t="str">
            <v>GB04</v>
          </cell>
        </row>
        <row r="1448">
          <cell r="B1448">
            <v>40008245</v>
          </cell>
          <cell r="C1448" t="str">
            <v>221318-8</v>
          </cell>
          <cell r="D1448" t="str">
            <v>GC01</v>
          </cell>
        </row>
        <row r="1449">
          <cell r="B1449">
            <v>40007321</v>
          </cell>
          <cell r="C1449" t="str">
            <v>266026-4</v>
          </cell>
          <cell r="D1449" t="str">
            <v>GC02</v>
          </cell>
        </row>
        <row r="1450">
          <cell r="B1450">
            <v>40011199</v>
          </cell>
          <cell r="C1450" t="str">
            <v>266044-2</v>
          </cell>
          <cell r="D1450" t="str">
            <v>GC02</v>
          </cell>
        </row>
        <row r="1451">
          <cell r="B1451">
            <v>40011244</v>
          </cell>
          <cell r="C1451" t="str">
            <v>266304-2</v>
          </cell>
          <cell r="D1451" t="str">
            <v>GC03</v>
          </cell>
        </row>
        <row r="1452">
          <cell r="B1452">
            <v>40006983</v>
          </cell>
          <cell r="C1452" t="str">
            <v>213021-5</v>
          </cell>
          <cell r="D1452" t="str">
            <v>GC03</v>
          </cell>
        </row>
        <row r="1453">
          <cell r="B1453">
            <v>40007656</v>
          </cell>
          <cell r="C1453" t="str">
            <v>341601-8</v>
          </cell>
          <cell r="D1453" t="str">
            <v>GC04</v>
          </cell>
        </row>
        <row r="1454">
          <cell r="B1454">
            <v>40007667</v>
          </cell>
          <cell r="C1454" t="str">
            <v>417802-1</v>
          </cell>
          <cell r="D1454" t="str">
            <v>GD01</v>
          </cell>
        </row>
        <row r="1455">
          <cell r="B1455">
            <v>40005190</v>
          </cell>
          <cell r="C1455" t="str">
            <v>231987-7</v>
          </cell>
          <cell r="D1455" t="str">
            <v>GD02</v>
          </cell>
        </row>
        <row r="1456">
          <cell r="B1456">
            <v>40006985</v>
          </cell>
          <cell r="C1456" t="str">
            <v>266020-6</v>
          </cell>
          <cell r="D1456" t="str">
            <v>GD02</v>
          </cell>
        </row>
        <row r="1457">
          <cell r="B1457">
            <v>40005183</v>
          </cell>
          <cell r="C1457" t="str">
            <v>266133-3</v>
          </cell>
          <cell r="D1457" t="str">
            <v>GD03</v>
          </cell>
        </row>
        <row r="1458">
          <cell r="B1458">
            <v>40005189</v>
          </cell>
          <cell r="C1458" t="str">
            <v>213880-7</v>
          </cell>
          <cell r="D1458" t="str">
            <v>GD03</v>
          </cell>
        </row>
        <row r="1459">
          <cell r="B1459">
            <v>40011250</v>
          </cell>
          <cell r="C1459" t="str">
            <v>922138-0</v>
          </cell>
          <cell r="D1459" t="str">
            <v>GD04</v>
          </cell>
        </row>
        <row r="1460">
          <cell r="B1460">
            <v>40008070</v>
          </cell>
          <cell r="C1460" t="str">
            <v>324620-9</v>
          </cell>
          <cell r="D1460" t="str">
            <v>GD04</v>
          </cell>
        </row>
        <row r="1461">
          <cell r="B1461">
            <v>40006257</v>
          </cell>
          <cell r="C1461" t="str">
            <v>345651-5</v>
          </cell>
          <cell r="D1461" t="str">
            <v>GE01</v>
          </cell>
        </row>
        <row r="1462">
          <cell r="B1462">
            <v>40008274</v>
          </cell>
          <cell r="C1462" t="str">
            <v>911213-7</v>
          </cell>
          <cell r="D1462" t="str">
            <v>GE01</v>
          </cell>
        </row>
        <row r="1463">
          <cell r="B1463">
            <v>40005270</v>
          </cell>
          <cell r="C1463" t="str">
            <v>419283-5</v>
          </cell>
          <cell r="D1463" t="str">
            <v>GE02</v>
          </cell>
        </row>
        <row r="1464">
          <cell r="B1464">
            <v>40007160</v>
          </cell>
          <cell r="C1464" t="str">
            <v>251295-0</v>
          </cell>
          <cell r="D1464" t="str">
            <v>GE02</v>
          </cell>
        </row>
        <row r="1465">
          <cell r="B1465">
            <v>40011732</v>
          </cell>
          <cell r="C1465" t="str">
            <v>459174-8</v>
          </cell>
          <cell r="D1465" t="str">
            <v>GE03</v>
          </cell>
        </row>
        <row r="1466">
          <cell r="B1466">
            <v>40011733</v>
          </cell>
          <cell r="C1466" t="str">
            <v>459175-6</v>
          </cell>
          <cell r="D1466" t="str">
            <v>GE03</v>
          </cell>
        </row>
        <row r="1467">
          <cell r="B1467">
            <v>40007934</v>
          </cell>
          <cell r="C1467" t="str">
            <v>JM23000086</v>
          </cell>
          <cell r="D1467" t="str">
            <v>GE03</v>
          </cell>
        </row>
        <row r="1468">
          <cell r="B1468">
            <v>40006919</v>
          </cell>
          <cell r="C1468" t="str">
            <v>451010-4</v>
          </cell>
          <cell r="D1468" t="str">
            <v>GE04</v>
          </cell>
        </row>
        <row r="1469">
          <cell r="B1469">
            <v>40010351</v>
          </cell>
          <cell r="C1469" t="str">
            <v>650545-4</v>
          </cell>
          <cell r="D1469" t="str">
            <v>GE04</v>
          </cell>
        </row>
        <row r="1470">
          <cell r="B1470">
            <v>40006289</v>
          </cell>
          <cell r="C1470" t="str">
            <v>226746-2</v>
          </cell>
          <cell r="D1470" t="str">
            <v>GF01</v>
          </cell>
        </row>
        <row r="1471">
          <cell r="B1471">
            <v>40008067</v>
          </cell>
          <cell r="C1471" t="str">
            <v>324793-8</v>
          </cell>
          <cell r="D1471" t="str">
            <v>GF02</v>
          </cell>
        </row>
        <row r="1472">
          <cell r="B1472">
            <v>40007966</v>
          </cell>
          <cell r="C1472" t="str">
            <v>221013-0</v>
          </cell>
          <cell r="D1472" t="str">
            <v>GF03</v>
          </cell>
        </row>
        <row r="1473">
          <cell r="B1473">
            <v>40007228</v>
          </cell>
          <cell r="C1473" t="str">
            <v>324621-7</v>
          </cell>
          <cell r="D1473" t="str">
            <v>GF04</v>
          </cell>
        </row>
        <row r="1474">
          <cell r="B1474">
            <v>40005690</v>
          </cell>
          <cell r="C1474" t="str">
            <v>345717-1</v>
          </cell>
          <cell r="D1474" t="str">
            <v>GF04</v>
          </cell>
        </row>
        <row r="1475">
          <cell r="B1475">
            <v>40005661</v>
          </cell>
          <cell r="C1475" t="str">
            <v>227517-0</v>
          </cell>
          <cell r="D1475" t="str">
            <v>GG01</v>
          </cell>
        </row>
        <row r="1476">
          <cell r="B1476">
            <v>40007134</v>
          </cell>
          <cell r="C1476" t="str">
            <v>226032-1</v>
          </cell>
          <cell r="D1476" t="str">
            <v>GG02</v>
          </cell>
        </row>
        <row r="1477">
          <cell r="B1477">
            <v>40007905</v>
          </cell>
          <cell r="C1477" t="str">
            <v>268119-3</v>
          </cell>
          <cell r="D1477" t="str">
            <v>GG03</v>
          </cell>
        </row>
        <row r="1478">
          <cell r="B1478">
            <v>40006324</v>
          </cell>
          <cell r="C1478" t="str">
            <v>326372-8</v>
          </cell>
          <cell r="D1478" t="str">
            <v>GG04</v>
          </cell>
        </row>
        <row r="1479">
          <cell r="B1479">
            <v>40006437</v>
          </cell>
          <cell r="C1479" t="str">
            <v>324321-9</v>
          </cell>
          <cell r="D1479" t="str">
            <v>GH01</v>
          </cell>
        </row>
        <row r="1480">
          <cell r="B1480">
            <v>40011825</v>
          </cell>
          <cell r="C1480" t="str">
            <v>322633-4</v>
          </cell>
          <cell r="D1480" t="str">
            <v>GH01</v>
          </cell>
        </row>
        <row r="1481">
          <cell r="B1481">
            <v>40006175</v>
          </cell>
          <cell r="C1481" t="str">
            <v>227188-3</v>
          </cell>
          <cell r="D1481" t="str">
            <v>GH02</v>
          </cell>
        </row>
        <row r="1482">
          <cell r="B1482">
            <v>40011626</v>
          </cell>
          <cell r="C1482" t="str">
            <v>324376-4</v>
          </cell>
          <cell r="D1482" t="str">
            <v>GH02</v>
          </cell>
        </row>
        <row r="1483">
          <cell r="B1483">
            <v>40008207</v>
          </cell>
          <cell r="C1483" t="str">
            <v>325549-2</v>
          </cell>
          <cell r="D1483" t="str">
            <v>GH03</v>
          </cell>
        </row>
        <row r="1484">
          <cell r="B1484">
            <v>40007210</v>
          </cell>
          <cell r="C1484" t="str">
            <v>313084-2</v>
          </cell>
          <cell r="D1484" t="str">
            <v>GH04</v>
          </cell>
        </row>
        <row r="1485">
          <cell r="B1485">
            <v>40006663</v>
          </cell>
          <cell r="C1485" t="str">
            <v>763615-1</v>
          </cell>
          <cell r="D1485" t="str">
            <v>GH04</v>
          </cell>
        </row>
        <row r="1486">
          <cell r="B1486">
            <v>40007095</v>
          </cell>
          <cell r="C1486">
            <v>225212012</v>
          </cell>
          <cell r="D1486" t="str">
            <v>GI01</v>
          </cell>
        </row>
        <row r="1487">
          <cell r="B1487">
            <v>40008065</v>
          </cell>
          <cell r="C1487" t="str">
            <v>158282-9</v>
          </cell>
          <cell r="D1487" t="str">
            <v>GI02</v>
          </cell>
        </row>
        <row r="1488">
          <cell r="B1488">
            <v>40011246</v>
          </cell>
          <cell r="C1488" t="str">
            <v>421034-4</v>
          </cell>
          <cell r="D1488" t="str">
            <v>GI03</v>
          </cell>
        </row>
        <row r="1489">
          <cell r="B1489">
            <v>40011251</v>
          </cell>
          <cell r="C1489" t="str">
            <v>344685-5</v>
          </cell>
          <cell r="D1489" t="str">
            <v>GI03</v>
          </cell>
        </row>
        <row r="1490">
          <cell r="B1490">
            <v>40007018</v>
          </cell>
          <cell r="C1490" t="str">
            <v>135482-8</v>
          </cell>
          <cell r="D1490" t="str">
            <v>GI04</v>
          </cell>
        </row>
        <row r="1491">
          <cell r="B1491">
            <v>40006858</v>
          </cell>
          <cell r="C1491" t="str">
            <v>650685-8</v>
          </cell>
          <cell r="D1491" t="str">
            <v>GJ01</v>
          </cell>
        </row>
        <row r="1492">
          <cell r="B1492">
            <v>40006383</v>
          </cell>
          <cell r="C1492" t="str">
            <v>650614-1</v>
          </cell>
          <cell r="D1492" t="str">
            <v>GJ02</v>
          </cell>
        </row>
        <row r="1493">
          <cell r="B1493">
            <v>40006325</v>
          </cell>
          <cell r="C1493" t="str">
            <v>326310-0</v>
          </cell>
          <cell r="D1493" t="str">
            <v>GJ03</v>
          </cell>
        </row>
        <row r="1494">
          <cell r="B1494">
            <v>40007919</v>
          </cell>
          <cell r="C1494" t="str">
            <v>K0600-1761</v>
          </cell>
          <cell r="D1494" t="str">
            <v>GJ04</v>
          </cell>
        </row>
        <row r="1495">
          <cell r="B1495">
            <v>40008263</v>
          </cell>
          <cell r="C1495" t="str">
            <v>324223-9</v>
          </cell>
          <cell r="D1495" t="str">
            <v>GK01</v>
          </cell>
        </row>
        <row r="1496">
          <cell r="B1496">
            <v>40007891</v>
          </cell>
          <cell r="C1496" t="str">
            <v>651282-3</v>
          </cell>
          <cell r="D1496" t="str">
            <v>GK02</v>
          </cell>
        </row>
        <row r="1497">
          <cell r="B1497">
            <v>10019414</v>
          </cell>
          <cell r="C1497">
            <v>965403282</v>
          </cell>
          <cell r="D1497" t="str">
            <v>GK03</v>
          </cell>
        </row>
        <row r="1498">
          <cell r="B1498">
            <v>40005186</v>
          </cell>
          <cell r="C1498" t="str">
            <v>457656-4</v>
          </cell>
          <cell r="D1498" t="str">
            <v>GK04</v>
          </cell>
        </row>
        <row r="1499">
          <cell r="B1499">
            <v>40005710</v>
          </cell>
          <cell r="C1499" t="str">
            <v>650577-1</v>
          </cell>
          <cell r="D1499" t="str">
            <v>GL01</v>
          </cell>
        </row>
        <row r="1500">
          <cell r="B1500">
            <v>40007933</v>
          </cell>
          <cell r="C1500" t="str">
            <v>651481-7</v>
          </cell>
          <cell r="D1500" t="str">
            <v>GL02</v>
          </cell>
        </row>
        <row r="1501">
          <cell r="B1501">
            <v>40007559</v>
          </cell>
          <cell r="C1501" t="str">
            <v>221132-2</v>
          </cell>
          <cell r="D1501" t="str">
            <v>GL03</v>
          </cell>
        </row>
        <row r="1502">
          <cell r="B1502">
            <v>10019879</v>
          </cell>
          <cell r="C1502" t="str">
            <v>224387-8</v>
          </cell>
          <cell r="D1502" t="str">
            <v>GL04</v>
          </cell>
        </row>
        <row r="1503">
          <cell r="B1503">
            <v>40007932</v>
          </cell>
          <cell r="C1503" t="str">
            <v>JM23000085</v>
          </cell>
          <cell r="D1503" t="str">
            <v>GM01</v>
          </cell>
        </row>
        <row r="1504">
          <cell r="B1504">
            <v>40008118</v>
          </cell>
          <cell r="C1504" t="str">
            <v>233347-9</v>
          </cell>
          <cell r="D1504" t="str">
            <v>GM01</v>
          </cell>
        </row>
        <row r="1505">
          <cell r="B1505">
            <v>40008215</v>
          </cell>
          <cell r="C1505" t="str">
            <v>651262-9</v>
          </cell>
          <cell r="D1505" t="str">
            <v>GM02</v>
          </cell>
        </row>
        <row r="1506">
          <cell r="B1506">
            <v>40006074</v>
          </cell>
          <cell r="C1506" t="str">
            <v>266361-0</v>
          </cell>
          <cell r="D1506" t="str">
            <v>GM03</v>
          </cell>
        </row>
        <row r="1507">
          <cell r="B1507">
            <v>40006744</v>
          </cell>
          <cell r="C1507" t="str">
            <v>168398-2</v>
          </cell>
          <cell r="D1507" t="str">
            <v>GM04</v>
          </cell>
        </row>
        <row r="1508">
          <cell r="B1508">
            <v>40007927</v>
          </cell>
          <cell r="C1508" t="str">
            <v>651600-5</v>
          </cell>
          <cell r="D1508" t="str">
            <v>GN01</v>
          </cell>
        </row>
        <row r="1509">
          <cell r="B1509">
            <v>40007854</v>
          </cell>
          <cell r="C1509">
            <v>970001200</v>
          </cell>
          <cell r="D1509" t="str">
            <v>GN02</v>
          </cell>
        </row>
        <row r="1510">
          <cell r="B1510">
            <v>40007511</v>
          </cell>
          <cell r="C1510" t="str">
            <v>265101-3</v>
          </cell>
          <cell r="D1510" t="str">
            <v>GN03</v>
          </cell>
        </row>
        <row r="1511">
          <cell r="B1511">
            <v>40011624</v>
          </cell>
          <cell r="C1511" t="str">
            <v>342290-2</v>
          </cell>
          <cell r="D1511" t="str">
            <v>GN03</v>
          </cell>
        </row>
        <row r="1512">
          <cell r="B1512">
            <v>40007380</v>
          </cell>
          <cell r="C1512" t="str">
            <v>321261-2</v>
          </cell>
          <cell r="D1512" t="str">
            <v>GN04</v>
          </cell>
        </row>
        <row r="1513">
          <cell r="B1513">
            <v>40006380</v>
          </cell>
          <cell r="C1513" t="str">
            <v>227531-6</v>
          </cell>
          <cell r="D1513" t="str">
            <v>GO01</v>
          </cell>
        </row>
        <row r="1514">
          <cell r="B1514">
            <v>40003872</v>
          </cell>
          <cell r="C1514" t="str">
            <v>651607-1</v>
          </cell>
          <cell r="D1514" t="str">
            <v>GO02</v>
          </cell>
        </row>
        <row r="1515">
          <cell r="B1515">
            <v>40007939</v>
          </cell>
          <cell r="C1515">
            <v>225221020</v>
          </cell>
          <cell r="D1515" t="str">
            <v>GO03</v>
          </cell>
        </row>
        <row r="1516">
          <cell r="B1516">
            <v>40005729</v>
          </cell>
          <cell r="C1516" t="str">
            <v>213504-5</v>
          </cell>
          <cell r="D1516" t="str">
            <v>GO04</v>
          </cell>
        </row>
        <row r="1517">
          <cell r="B1517">
            <v>40007324</v>
          </cell>
          <cell r="C1517">
            <v>38131011</v>
          </cell>
          <cell r="D1517" t="str">
            <v>GO04</v>
          </cell>
        </row>
        <row r="1518">
          <cell r="B1518">
            <v>40006903</v>
          </cell>
          <cell r="C1518" t="str">
            <v>152577-2</v>
          </cell>
          <cell r="D1518" t="str">
            <v>GO04</v>
          </cell>
        </row>
        <row r="1519">
          <cell r="B1519">
            <v>40007710</v>
          </cell>
          <cell r="C1519" t="str">
            <v>415601-5</v>
          </cell>
          <cell r="D1519" t="str">
            <v>GP1</v>
          </cell>
        </row>
        <row r="1520">
          <cell r="B1520">
            <v>40006909</v>
          </cell>
          <cell r="C1520" t="str">
            <v>168391-6</v>
          </cell>
          <cell r="D1520" t="str">
            <v>GP1</v>
          </cell>
        </row>
        <row r="1521">
          <cell r="B1521">
            <v>40005794</v>
          </cell>
          <cell r="C1521">
            <v>325132035</v>
          </cell>
          <cell r="D1521" t="str">
            <v>GP10</v>
          </cell>
        </row>
        <row r="1522">
          <cell r="B1522">
            <v>40011604</v>
          </cell>
          <cell r="C1522" t="str">
            <v>142281-1</v>
          </cell>
          <cell r="D1522" t="str">
            <v>GP11</v>
          </cell>
        </row>
        <row r="1523">
          <cell r="B1523">
            <v>40007727</v>
          </cell>
          <cell r="C1523" t="str">
            <v>424131-5</v>
          </cell>
          <cell r="D1523" t="str">
            <v>GP11</v>
          </cell>
        </row>
        <row r="1524">
          <cell r="B1524">
            <v>40007938</v>
          </cell>
          <cell r="C1524" t="str">
            <v>161346-0</v>
          </cell>
          <cell r="D1524" t="str">
            <v>GP12</v>
          </cell>
        </row>
        <row r="1525">
          <cell r="B1525">
            <v>40007836</v>
          </cell>
          <cell r="C1525" t="str">
            <v>651989-1</v>
          </cell>
          <cell r="D1525" t="str">
            <v>GP13</v>
          </cell>
        </row>
        <row r="1526">
          <cell r="B1526">
            <v>40007157</v>
          </cell>
          <cell r="C1526">
            <v>38245020</v>
          </cell>
          <cell r="D1526" t="str">
            <v>GP13</v>
          </cell>
        </row>
        <row r="1527">
          <cell r="B1527">
            <v>40007108</v>
          </cell>
          <cell r="C1527" t="str">
            <v>651978-6</v>
          </cell>
          <cell r="D1527" t="str">
            <v>GP14</v>
          </cell>
        </row>
        <row r="1528">
          <cell r="B1528">
            <v>40007476</v>
          </cell>
          <cell r="C1528" t="str">
            <v>151790-9</v>
          </cell>
          <cell r="D1528" t="str">
            <v>GP14</v>
          </cell>
        </row>
        <row r="1529">
          <cell r="B1529">
            <v>40007120</v>
          </cell>
          <cell r="C1529" t="str">
            <v>651564-3</v>
          </cell>
          <cell r="D1529" t="str">
            <v>GP15</v>
          </cell>
        </row>
        <row r="1530">
          <cell r="B1530">
            <v>40005821</v>
          </cell>
          <cell r="C1530">
            <v>28223100</v>
          </cell>
          <cell r="D1530" t="str">
            <v>GP15</v>
          </cell>
        </row>
        <row r="1531">
          <cell r="B1531">
            <v>40007846</v>
          </cell>
          <cell r="C1531" t="str">
            <v>651242-5</v>
          </cell>
          <cell r="D1531" t="str">
            <v>GP16</v>
          </cell>
        </row>
        <row r="1532">
          <cell r="B1532">
            <v>40007159</v>
          </cell>
          <cell r="C1532" t="str">
            <v>316294-0</v>
          </cell>
          <cell r="D1532" t="str">
            <v>GP17</v>
          </cell>
        </row>
        <row r="1533">
          <cell r="B1533">
            <v>40008285</v>
          </cell>
          <cell r="C1533" t="str">
            <v>221159-2</v>
          </cell>
          <cell r="D1533" t="str">
            <v>GP17</v>
          </cell>
        </row>
        <row r="1534">
          <cell r="B1534">
            <v>40011731</v>
          </cell>
          <cell r="C1534" t="str">
            <v>321958-3</v>
          </cell>
          <cell r="D1534" t="str">
            <v>GP18</v>
          </cell>
        </row>
        <row r="1535">
          <cell r="B1535">
            <v>40007603</v>
          </cell>
          <cell r="C1535" t="str">
            <v>415213-4</v>
          </cell>
          <cell r="D1535" t="str">
            <v>GP18</v>
          </cell>
        </row>
        <row r="1536">
          <cell r="B1536">
            <v>40005950</v>
          </cell>
          <cell r="C1536" t="str">
            <v>452986-8</v>
          </cell>
          <cell r="D1536" t="str">
            <v>GP18</v>
          </cell>
        </row>
        <row r="1537">
          <cell r="B1537">
            <v>40005951</v>
          </cell>
          <cell r="C1537" t="str">
            <v>638747-2</v>
          </cell>
          <cell r="D1537" t="str">
            <v>GP19</v>
          </cell>
        </row>
        <row r="1538">
          <cell r="B1538">
            <v>40008133</v>
          </cell>
          <cell r="C1538" t="str">
            <v>153764-6</v>
          </cell>
          <cell r="D1538" t="str">
            <v>GP2</v>
          </cell>
        </row>
        <row r="1539">
          <cell r="B1539">
            <v>40007412</v>
          </cell>
          <cell r="C1539" t="str">
            <v>343692-5</v>
          </cell>
          <cell r="D1539" t="str">
            <v>GP2</v>
          </cell>
        </row>
        <row r="1540">
          <cell r="B1540">
            <v>40006954</v>
          </cell>
          <cell r="C1540" t="str">
            <v>318941-9</v>
          </cell>
          <cell r="D1540" t="str">
            <v>GP20</v>
          </cell>
        </row>
        <row r="1541">
          <cell r="B1541">
            <v>40007804</v>
          </cell>
          <cell r="C1541" t="str">
            <v>225001-9</v>
          </cell>
          <cell r="D1541" t="str">
            <v>GP21</v>
          </cell>
        </row>
        <row r="1542">
          <cell r="B1542">
            <v>40005812</v>
          </cell>
          <cell r="C1542" t="str">
            <v>418084-8</v>
          </cell>
          <cell r="D1542" t="str">
            <v>GP22</v>
          </cell>
        </row>
        <row r="1543">
          <cell r="B1543">
            <v>40005884</v>
          </cell>
          <cell r="C1543" t="str">
            <v>221476-0</v>
          </cell>
          <cell r="D1543" t="str">
            <v>GP23</v>
          </cell>
        </row>
        <row r="1544">
          <cell r="B1544">
            <v>40006201</v>
          </cell>
          <cell r="C1544" t="str">
            <v>143332-3</v>
          </cell>
          <cell r="D1544" t="str">
            <v>GP24</v>
          </cell>
        </row>
        <row r="1545">
          <cell r="B1545">
            <v>40006330</v>
          </cell>
          <cell r="C1545" t="str">
            <v>911143-2</v>
          </cell>
          <cell r="D1545" t="str">
            <v>GP25</v>
          </cell>
        </row>
        <row r="1546">
          <cell r="B1546">
            <v>40005173</v>
          </cell>
          <cell r="C1546" t="str">
            <v>651572-4</v>
          </cell>
          <cell r="D1546" t="str">
            <v>GP25</v>
          </cell>
        </row>
        <row r="1547">
          <cell r="B1547">
            <v>40010287</v>
          </cell>
          <cell r="C1547" t="str">
            <v>241910-4</v>
          </cell>
          <cell r="D1547" t="str">
            <v>GP26</v>
          </cell>
        </row>
        <row r="1548">
          <cell r="B1548">
            <v>40006028</v>
          </cell>
          <cell r="C1548" t="str">
            <v>JM23100176</v>
          </cell>
          <cell r="D1548" t="str">
            <v>GP26</v>
          </cell>
        </row>
        <row r="1549">
          <cell r="B1549">
            <v>40005316</v>
          </cell>
          <cell r="C1549" t="str">
            <v>455158-4</v>
          </cell>
          <cell r="D1549" t="str">
            <v>GP26</v>
          </cell>
        </row>
        <row r="1550">
          <cell r="B1550">
            <v>40005310</v>
          </cell>
          <cell r="C1550" t="str">
            <v>318056-2</v>
          </cell>
          <cell r="D1550" t="str">
            <v>GP27</v>
          </cell>
        </row>
        <row r="1551">
          <cell r="B1551">
            <v>40008064</v>
          </cell>
          <cell r="C1551" t="str">
            <v>154643-1</v>
          </cell>
          <cell r="D1551" t="str">
            <v>GP27</v>
          </cell>
        </row>
        <row r="1552">
          <cell r="B1552">
            <v>40006150</v>
          </cell>
          <cell r="C1552" t="str">
            <v>620040-8</v>
          </cell>
          <cell r="D1552" t="str">
            <v>GP28</v>
          </cell>
        </row>
        <row r="1553">
          <cell r="B1553">
            <v>40005167</v>
          </cell>
          <cell r="C1553" t="str">
            <v>451227-9</v>
          </cell>
          <cell r="D1553" t="str">
            <v>GP28</v>
          </cell>
        </row>
        <row r="1554">
          <cell r="B1554">
            <v>40006001</v>
          </cell>
          <cell r="C1554" t="str">
            <v>267104-3</v>
          </cell>
          <cell r="D1554" t="str">
            <v>GP28</v>
          </cell>
        </row>
        <row r="1555">
          <cell r="B1555">
            <v>40011210</v>
          </cell>
          <cell r="C1555" t="str">
            <v>682549-8</v>
          </cell>
          <cell r="D1555" t="str">
            <v>GP29</v>
          </cell>
        </row>
        <row r="1556">
          <cell r="B1556">
            <v>40005320</v>
          </cell>
          <cell r="C1556" t="str">
            <v>158392-2</v>
          </cell>
          <cell r="D1556" t="str">
            <v>GP29</v>
          </cell>
        </row>
        <row r="1557">
          <cell r="B1557">
            <v>40005301</v>
          </cell>
          <cell r="C1557" t="str">
            <v>233360-7</v>
          </cell>
          <cell r="D1557" t="str">
            <v>GP29</v>
          </cell>
        </row>
        <row r="1558">
          <cell r="B1558">
            <v>40006268</v>
          </cell>
          <cell r="C1558" t="str">
            <v>638502-2</v>
          </cell>
          <cell r="D1558" t="str">
            <v>GP3</v>
          </cell>
        </row>
        <row r="1559">
          <cell r="B1559">
            <v>40007998</v>
          </cell>
          <cell r="C1559">
            <v>3320130</v>
          </cell>
          <cell r="D1559" t="str">
            <v>GP3</v>
          </cell>
        </row>
        <row r="1560">
          <cell r="B1560">
            <v>40005319</v>
          </cell>
          <cell r="C1560" t="str">
            <v>266948-8</v>
          </cell>
          <cell r="D1560" t="str">
            <v>GP30</v>
          </cell>
        </row>
        <row r="1561">
          <cell r="B1561">
            <v>40005300</v>
          </cell>
          <cell r="C1561" t="str">
            <v>347228-2</v>
          </cell>
          <cell r="D1561" t="str">
            <v>GP30</v>
          </cell>
        </row>
        <row r="1562">
          <cell r="B1562">
            <v>40005176</v>
          </cell>
          <cell r="C1562" t="str">
            <v>325785-0</v>
          </cell>
          <cell r="D1562" t="str">
            <v>GP31</v>
          </cell>
        </row>
        <row r="1563">
          <cell r="B1563">
            <v>40005188</v>
          </cell>
          <cell r="C1563" t="str">
            <v>424602-2</v>
          </cell>
          <cell r="D1563" t="str">
            <v>GP31</v>
          </cell>
        </row>
        <row r="1564">
          <cell r="B1564">
            <v>40005294</v>
          </cell>
          <cell r="C1564" t="str">
            <v>233989-9</v>
          </cell>
          <cell r="D1564" t="str">
            <v>GP32</v>
          </cell>
        </row>
        <row r="1565">
          <cell r="B1565">
            <v>40006410</v>
          </cell>
          <cell r="C1565" t="str">
            <v>221427-3</v>
          </cell>
          <cell r="D1565" t="str">
            <v>GP32</v>
          </cell>
        </row>
        <row r="1566">
          <cell r="B1566">
            <v>40005883</v>
          </cell>
          <cell r="C1566" t="str">
            <v>221475-2</v>
          </cell>
          <cell r="D1566" t="str">
            <v>GP33</v>
          </cell>
        </row>
        <row r="1567">
          <cell r="B1567">
            <v>40005212</v>
          </cell>
          <cell r="C1567" t="str">
            <v>253314-8</v>
          </cell>
          <cell r="D1567" t="str">
            <v>GP34</v>
          </cell>
        </row>
        <row r="1568">
          <cell r="B1568">
            <v>40005207</v>
          </cell>
          <cell r="C1568" t="str">
            <v>261155-8</v>
          </cell>
          <cell r="D1568" t="str">
            <v>GP34</v>
          </cell>
        </row>
        <row r="1569">
          <cell r="B1569">
            <v>40006604</v>
          </cell>
          <cell r="C1569" t="str">
            <v>216011-7</v>
          </cell>
          <cell r="D1569" t="str">
            <v>GP34</v>
          </cell>
        </row>
        <row r="1570">
          <cell r="B1570">
            <v>40008319</v>
          </cell>
          <cell r="C1570" t="str">
            <v>232207-2</v>
          </cell>
          <cell r="D1570" t="str">
            <v>GP34</v>
          </cell>
        </row>
        <row r="1571">
          <cell r="B1571">
            <v>40006520</v>
          </cell>
          <cell r="C1571" t="str">
            <v>267175-0</v>
          </cell>
          <cell r="D1571" t="str">
            <v>GP35</v>
          </cell>
        </row>
        <row r="1572">
          <cell r="B1572">
            <v>40005204</v>
          </cell>
          <cell r="C1572" t="str">
            <v>681668-7</v>
          </cell>
          <cell r="D1572" t="str">
            <v>GP35</v>
          </cell>
        </row>
        <row r="1573">
          <cell r="B1573">
            <v>40010262</v>
          </cell>
          <cell r="C1573" t="str">
            <v>416001-2</v>
          </cell>
          <cell r="D1573" t="str">
            <v>GP35</v>
          </cell>
        </row>
        <row r="1574">
          <cell r="B1574">
            <v>40005211</v>
          </cell>
          <cell r="C1574" t="str">
            <v>326710-4</v>
          </cell>
          <cell r="D1574" t="str">
            <v>GP36</v>
          </cell>
        </row>
        <row r="1575">
          <cell r="B1575">
            <v>40005213</v>
          </cell>
          <cell r="C1575" t="str">
            <v>227351-8</v>
          </cell>
          <cell r="D1575" t="str">
            <v>GP36</v>
          </cell>
        </row>
        <row r="1576">
          <cell r="B1576">
            <v>40005235</v>
          </cell>
          <cell r="C1576" t="str">
            <v>266167-6</v>
          </cell>
          <cell r="D1576" t="str">
            <v>GP36</v>
          </cell>
        </row>
        <row r="1577">
          <cell r="B1577">
            <v>40007267</v>
          </cell>
          <cell r="C1577" t="str">
            <v>416333-7</v>
          </cell>
          <cell r="D1577" t="str">
            <v>GP36</v>
          </cell>
        </row>
        <row r="1578">
          <cell r="B1578">
            <v>40007119</v>
          </cell>
          <cell r="C1578" t="str">
            <v>214043-8</v>
          </cell>
          <cell r="D1578" t="str">
            <v>GP37</v>
          </cell>
        </row>
        <row r="1579">
          <cell r="B1579">
            <v>40005215</v>
          </cell>
          <cell r="C1579" t="str">
            <v>316933-2</v>
          </cell>
          <cell r="D1579" t="str">
            <v>GP37</v>
          </cell>
        </row>
        <row r="1580">
          <cell r="B1580">
            <v>40011600</v>
          </cell>
          <cell r="C1580" t="str">
            <v>424737-9</v>
          </cell>
          <cell r="D1580" t="str">
            <v>GP38</v>
          </cell>
        </row>
        <row r="1581">
          <cell r="B1581">
            <v>40011605</v>
          </cell>
          <cell r="C1581" t="str">
            <v>454728-6</v>
          </cell>
          <cell r="D1581" t="str">
            <v>GP38</v>
          </cell>
        </row>
        <row r="1582">
          <cell r="B1582">
            <v>40005996</v>
          </cell>
          <cell r="C1582" t="str">
            <v>158388-3</v>
          </cell>
          <cell r="D1582" t="str">
            <v>GP39</v>
          </cell>
        </row>
        <row r="1583">
          <cell r="B1583">
            <v>40007662</v>
          </cell>
          <cell r="C1583">
            <v>119.578</v>
          </cell>
          <cell r="D1583" t="str">
            <v>GP4</v>
          </cell>
        </row>
        <row r="1584">
          <cell r="B1584">
            <v>40007874</v>
          </cell>
          <cell r="C1584">
            <v>119.256</v>
          </cell>
          <cell r="D1584" t="str">
            <v>GP4</v>
          </cell>
        </row>
        <row r="1585">
          <cell r="B1585">
            <v>40005236</v>
          </cell>
          <cell r="C1585" t="str">
            <v>226009-6</v>
          </cell>
          <cell r="D1585" t="str">
            <v>GP40</v>
          </cell>
        </row>
        <row r="1586">
          <cell r="B1586">
            <v>40005879</v>
          </cell>
          <cell r="C1586" t="str">
            <v>317534-9</v>
          </cell>
          <cell r="D1586" t="str">
            <v>GP41</v>
          </cell>
        </row>
        <row r="1587">
          <cell r="B1587">
            <v>40007833</v>
          </cell>
          <cell r="C1587" t="str">
            <v>650562-4</v>
          </cell>
          <cell r="D1587" t="str">
            <v>GP42</v>
          </cell>
        </row>
        <row r="1588">
          <cell r="B1588">
            <v>40007398</v>
          </cell>
          <cell r="C1588" t="str">
            <v>221647-9</v>
          </cell>
          <cell r="D1588" t="str">
            <v>GP43</v>
          </cell>
        </row>
        <row r="1589">
          <cell r="B1589">
            <v>40011586</v>
          </cell>
          <cell r="C1589" t="str">
            <v>650714-7</v>
          </cell>
          <cell r="D1589" t="str">
            <v>GP44</v>
          </cell>
        </row>
        <row r="1590">
          <cell r="B1590">
            <v>40005982</v>
          </cell>
          <cell r="C1590" t="str">
            <v>317988-0</v>
          </cell>
          <cell r="D1590" t="str">
            <v>GP5</v>
          </cell>
        </row>
        <row r="1591">
          <cell r="B1591">
            <v>40006065</v>
          </cell>
          <cell r="C1591" t="str">
            <v>638630-3</v>
          </cell>
          <cell r="D1591" t="str">
            <v>GP5</v>
          </cell>
        </row>
        <row r="1592">
          <cell r="B1592">
            <v>40005815</v>
          </cell>
          <cell r="C1592" t="str">
            <v>325735-5</v>
          </cell>
          <cell r="D1592" t="str">
            <v>GP6</v>
          </cell>
        </row>
        <row r="1593">
          <cell r="B1593">
            <v>40005807</v>
          </cell>
          <cell r="C1593" t="str">
            <v>414145-2</v>
          </cell>
          <cell r="D1593" t="str">
            <v>GP7</v>
          </cell>
        </row>
        <row r="1594">
          <cell r="B1594">
            <v>40007610</v>
          </cell>
          <cell r="C1594" t="str">
            <v>182597-2</v>
          </cell>
          <cell r="D1594" t="str">
            <v>GP7</v>
          </cell>
        </row>
        <row r="1595">
          <cell r="B1595">
            <v>40007870</v>
          </cell>
          <cell r="C1595">
            <v>130.43100000000001</v>
          </cell>
          <cell r="D1595" t="str">
            <v>GP8</v>
          </cell>
        </row>
        <row r="1596">
          <cell r="B1596">
            <v>40006070</v>
          </cell>
          <cell r="C1596" t="str">
            <v>158623-9</v>
          </cell>
          <cell r="D1596" t="str">
            <v>GP8</v>
          </cell>
        </row>
        <row r="1597">
          <cell r="B1597">
            <v>40006061</v>
          </cell>
          <cell r="C1597" t="str">
            <v>165368-2</v>
          </cell>
          <cell r="D1597" t="str">
            <v>GP9</v>
          </cell>
        </row>
        <row r="1598">
          <cell r="B1598">
            <v>40006911</v>
          </cell>
          <cell r="C1598" t="str">
            <v>165405-2</v>
          </cell>
          <cell r="D1598" t="str">
            <v>GP9</v>
          </cell>
        </row>
        <row r="1599">
          <cell r="B1599">
            <v>40007277</v>
          </cell>
          <cell r="C1599" t="str">
            <v>286263-4</v>
          </cell>
          <cell r="D1599" t="str">
            <v>HA01</v>
          </cell>
        </row>
        <row r="1600">
          <cell r="B1600">
            <v>40007194</v>
          </cell>
          <cell r="C1600" t="str">
            <v>310134-4</v>
          </cell>
          <cell r="D1600" t="str">
            <v>HA02</v>
          </cell>
        </row>
        <row r="1601">
          <cell r="B1601">
            <v>10018937</v>
          </cell>
          <cell r="C1601" t="str">
            <v>620487-6</v>
          </cell>
          <cell r="D1601" t="str">
            <v>HA03</v>
          </cell>
        </row>
        <row r="1602">
          <cell r="B1602">
            <v>40010368</v>
          </cell>
          <cell r="C1602" t="str">
            <v>317977-5</v>
          </cell>
          <cell r="D1602" t="str">
            <v>HA04</v>
          </cell>
        </row>
        <row r="1603">
          <cell r="B1603">
            <v>40006966</v>
          </cell>
          <cell r="C1603" t="str">
            <v>324320-1</v>
          </cell>
          <cell r="D1603" t="str">
            <v>HB01</v>
          </cell>
        </row>
        <row r="1604">
          <cell r="B1604">
            <v>40006403</v>
          </cell>
          <cell r="C1604" t="str">
            <v>266334-8</v>
          </cell>
          <cell r="D1604" t="str">
            <v>HB01</v>
          </cell>
        </row>
        <row r="1605">
          <cell r="B1605">
            <v>40006343</v>
          </cell>
          <cell r="C1605" t="str">
            <v>344539-6</v>
          </cell>
          <cell r="D1605" t="str">
            <v>HB02</v>
          </cell>
        </row>
        <row r="1606">
          <cell r="B1606">
            <v>40007184</v>
          </cell>
          <cell r="C1606" t="str">
            <v>317565-8</v>
          </cell>
          <cell r="D1606" t="str">
            <v>HB03</v>
          </cell>
        </row>
        <row r="1607">
          <cell r="B1607">
            <v>40006357</v>
          </cell>
          <cell r="C1607" t="str">
            <v>227626-5</v>
          </cell>
          <cell r="D1607" t="str">
            <v>HB03</v>
          </cell>
        </row>
        <row r="1608">
          <cell r="B1608">
            <v>40005628</v>
          </cell>
          <cell r="C1608">
            <v>3082130</v>
          </cell>
          <cell r="D1608" t="str">
            <v>HB04</v>
          </cell>
        </row>
        <row r="1609">
          <cell r="B1609">
            <v>40007954</v>
          </cell>
          <cell r="C1609" t="str">
            <v>226134-3</v>
          </cell>
          <cell r="D1609" t="str">
            <v>HC01</v>
          </cell>
        </row>
        <row r="1610">
          <cell r="B1610">
            <v>40005610</v>
          </cell>
          <cell r="C1610" t="str">
            <v>221526-1</v>
          </cell>
          <cell r="D1610" t="str">
            <v>HC02</v>
          </cell>
        </row>
        <row r="1611">
          <cell r="B1611">
            <v>40007343</v>
          </cell>
          <cell r="C1611" t="str">
            <v>226440-6</v>
          </cell>
          <cell r="D1611" t="str">
            <v>HC03</v>
          </cell>
        </row>
        <row r="1612">
          <cell r="B1612">
            <v>40006928</v>
          </cell>
          <cell r="C1612" t="str">
            <v>259033-4</v>
          </cell>
          <cell r="D1612" t="str">
            <v>HC04</v>
          </cell>
        </row>
        <row r="1613">
          <cell r="B1613">
            <v>40006978</v>
          </cell>
          <cell r="C1613" t="str">
            <v>345836-3</v>
          </cell>
          <cell r="D1613" t="str">
            <v>HD01</v>
          </cell>
        </row>
        <row r="1614">
          <cell r="B1614">
            <v>40011207</v>
          </cell>
          <cell r="C1614" t="str">
            <v>213283-5</v>
          </cell>
          <cell r="D1614" t="str">
            <v>HD01</v>
          </cell>
        </row>
        <row r="1615">
          <cell r="B1615">
            <v>40006398</v>
          </cell>
          <cell r="C1615" t="str">
            <v>419008-7</v>
          </cell>
          <cell r="D1615" t="str">
            <v>HD02</v>
          </cell>
        </row>
        <row r="1616">
          <cell r="B1616">
            <v>40005967</v>
          </cell>
          <cell r="C1616" t="str">
            <v>227592-6</v>
          </cell>
          <cell r="D1616" t="str">
            <v>HD03</v>
          </cell>
        </row>
        <row r="1617">
          <cell r="B1617">
            <v>40007260</v>
          </cell>
          <cell r="C1617" t="str">
            <v>417771-6</v>
          </cell>
          <cell r="D1617" t="str">
            <v>HD04</v>
          </cell>
        </row>
        <row r="1618">
          <cell r="B1618">
            <v>40011748</v>
          </cell>
          <cell r="C1618" t="str">
            <v>233933-6</v>
          </cell>
          <cell r="D1618" t="str">
            <v>HD04</v>
          </cell>
        </row>
        <row r="1619">
          <cell r="B1619">
            <v>40008124</v>
          </cell>
          <cell r="C1619" t="str">
            <v>417796-0</v>
          </cell>
          <cell r="D1619" t="str">
            <v>HE01</v>
          </cell>
        </row>
        <row r="1620">
          <cell r="B1620">
            <v>40006926</v>
          </cell>
          <cell r="C1620" t="str">
            <v>424173-9</v>
          </cell>
          <cell r="D1620" t="str">
            <v>HE02</v>
          </cell>
        </row>
        <row r="1621">
          <cell r="B1621">
            <v>40006820</v>
          </cell>
          <cell r="C1621" t="str">
            <v>226336-1</v>
          </cell>
          <cell r="D1621" t="str">
            <v>HE03</v>
          </cell>
        </row>
        <row r="1622">
          <cell r="B1622">
            <v>40005659</v>
          </cell>
          <cell r="C1622" t="str">
            <v>168426-3</v>
          </cell>
          <cell r="D1622" t="str">
            <v>HE04</v>
          </cell>
        </row>
        <row r="1623">
          <cell r="B1623">
            <v>40006002</v>
          </cell>
          <cell r="C1623" t="str">
            <v>324215-8</v>
          </cell>
          <cell r="D1623" t="str">
            <v>HF01</v>
          </cell>
        </row>
        <row r="1624">
          <cell r="B1624">
            <v>40008236</v>
          </cell>
          <cell r="C1624" t="str">
            <v>221525-3</v>
          </cell>
          <cell r="D1624" t="str">
            <v>HF02</v>
          </cell>
        </row>
        <row r="1625">
          <cell r="B1625">
            <v>40006578</v>
          </cell>
          <cell r="C1625" t="str">
            <v>227591-8</v>
          </cell>
          <cell r="D1625" t="str">
            <v>HF03</v>
          </cell>
        </row>
        <row r="1626">
          <cell r="B1626">
            <v>40006176</v>
          </cell>
          <cell r="C1626" t="str">
            <v>227524-3</v>
          </cell>
          <cell r="D1626" t="str">
            <v>HF04</v>
          </cell>
        </row>
        <row r="1627">
          <cell r="B1627">
            <v>40007850</v>
          </cell>
          <cell r="C1627" t="str">
            <v>419566-3</v>
          </cell>
          <cell r="D1627" t="str">
            <v>HG01</v>
          </cell>
        </row>
        <row r="1628">
          <cell r="B1628">
            <v>40008068</v>
          </cell>
          <cell r="C1628" t="str">
            <v>324733-6</v>
          </cell>
          <cell r="D1628" t="str">
            <v>HG02</v>
          </cell>
        </row>
        <row r="1629">
          <cell r="B1629">
            <v>40006943</v>
          </cell>
          <cell r="C1629" t="str">
            <v>421631-6</v>
          </cell>
          <cell r="D1629" t="str">
            <v>HG03</v>
          </cell>
        </row>
        <row r="1630">
          <cell r="B1630">
            <v>40005606</v>
          </cell>
          <cell r="C1630" t="str">
            <v>168321-7</v>
          </cell>
          <cell r="D1630" t="str">
            <v>HG04</v>
          </cell>
        </row>
        <row r="1631">
          <cell r="B1631">
            <v>40007706</v>
          </cell>
          <cell r="C1631" t="str">
            <v>421958-4</v>
          </cell>
          <cell r="D1631" t="str">
            <v>HH01</v>
          </cell>
        </row>
        <row r="1632">
          <cell r="B1632">
            <v>40007955</v>
          </cell>
          <cell r="C1632" t="str">
            <v>226518-5</v>
          </cell>
          <cell r="D1632" t="str">
            <v>HH02</v>
          </cell>
        </row>
        <row r="1633">
          <cell r="B1633">
            <v>40006947</v>
          </cell>
          <cell r="C1633" t="str">
            <v>416994-3</v>
          </cell>
          <cell r="D1633" t="str">
            <v>HH03</v>
          </cell>
        </row>
        <row r="1634">
          <cell r="B1634">
            <v>40008001</v>
          </cell>
          <cell r="C1634" t="str">
            <v>153587-2</v>
          </cell>
          <cell r="D1634" t="str">
            <v>HH03</v>
          </cell>
        </row>
        <row r="1635">
          <cell r="B1635">
            <v>40007374</v>
          </cell>
          <cell r="C1635">
            <v>21245040</v>
          </cell>
          <cell r="D1635" t="str">
            <v>HH04</v>
          </cell>
        </row>
        <row r="1636">
          <cell r="B1636">
            <v>40006135</v>
          </cell>
          <cell r="C1636" t="str">
            <v>266326-2</v>
          </cell>
          <cell r="D1636" t="str">
            <v>HH04</v>
          </cell>
        </row>
        <row r="1637">
          <cell r="B1637">
            <v>40006830</v>
          </cell>
          <cell r="C1637" t="str">
            <v>324896-8</v>
          </cell>
          <cell r="D1637" t="str">
            <v>HI01</v>
          </cell>
        </row>
        <row r="1638">
          <cell r="B1638">
            <v>40007536</v>
          </cell>
          <cell r="C1638" t="str">
            <v>411623-3</v>
          </cell>
          <cell r="D1638" t="str">
            <v>HI02</v>
          </cell>
        </row>
        <row r="1639">
          <cell r="B1639">
            <v>40007334</v>
          </cell>
          <cell r="C1639" t="str">
            <v>251609-3</v>
          </cell>
          <cell r="D1639" t="str">
            <v>HI03</v>
          </cell>
        </row>
        <row r="1640">
          <cell r="B1640">
            <v>40005567</v>
          </cell>
          <cell r="C1640" t="str">
            <v>226289-4</v>
          </cell>
          <cell r="D1640" t="str">
            <v>HI04</v>
          </cell>
        </row>
        <row r="1641">
          <cell r="B1641">
            <v>40006231</v>
          </cell>
          <cell r="C1641" t="str">
            <v>318410-0</v>
          </cell>
          <cell r="D1641" t="str">
            <v>HJ01</v>
          </cell>
        </row>
        <row r="1642">
          <cell r="B1642">
            <v>40006905</v>
          </cell>
          <cell r="C1642" t="str">
            <v>344614-8</v>
          </cell>
          <cell r="D1642" t="str">
            <v>HJ02</v>
          </cell>
        </row>
        <row r="1643">
          <cell r="B1643">
            <v>40005891</v>
          </cell>
          <cell r="C1643" t="str">
            <v>JM23300085</v>
          </cell>
          <cell r="D1643" t="str">
            <v>HJ03</v>
          </cell>
        </row>
        <row r="1644">
          <cell r="B1644">
            <v>40007534</v>
          </cell>
          <cell r="C1644" t="str">
            <v>140089-7</v>
          </cell>
          <cell r="D1644" t="str">
            <v>HJ04</v>
          </cell>
        </row>
        <row r="1645">
          <cell r="B1645">
            <v>40008271</v>
          </cell>
          <cell r="C1645" t="str">
            <v>251246-3</v>
          </cell>
          <cell r="D1645" t="str">
            <v>HK01</v>
          </cell>
        </row>
        <row r="1646">
          <cell r="B1646">
            <v>40011747</v>
          </cell>
          <cell r="C1646" t="str">
            <v>257260-7</v>
          </cell>
          <cell r="D1646" t="str">
            <v>HK01</v>
          </cell>
        </row>
        <row r="1647">
          <cell r="B1647">
            <v>40006940</v>
          </cell>
          <cell r="C1647" t="str">
            <v>911146-6</v>
          </cell>
          <cell r="D1647" t="str">
            <v>HK02</v>
          </cell>
        </row>
        <row r="1648">
          <cell r="B1648">
            <v>40011744</v>
          </cell>
          <cell r="C1648" t="str">
            <v>251644-1</v>
          </cell>
          <cell r="D1648" t="str">
            <v>HK02</v>
          </cell>
        </row>
        <row r="1649">
          <cell r="B1649">
            <v>40011745</v>
          </cell>
          <cell r="C1649" t="str">
            <v>344975-6</v>
          </cell>
          <cell r="D1649" t="str">
            <v>HK02</v>
          </cell>
        </row>
        <row r="1650">
          <cell r="B1650">
            <v>40007044</v>
          </cell>
          <cell r="C1650" t="str">
            <v>226012-7</v>
          </cell>
          <cell r="D1650" t="str">
            <v>HK03</v>
          </cell>
        </row>
        <row r="1651">
          <cell r="B1651">
            <v>40007081</v>
          </cell>
          <cell r="C1651">
            <v>225213050</v>
          </cell>
          <cell r="D1651" t="str">
            <v>HK04</v>
          </cell>
        </row>
        <row r="1652">
          <cell r="B1652">
            <v>40007595</v>
          </cell>
          <cell r="C1652" t="str">
            <v>341377-7</v>
          </cell>
          <cell r="D1652" t="str">
            <v>HL01</v>
          </cell>
        </row>
        <row r="1653">
          <cell r="B1653">
            <v>40007571</v>
          </cell>
          <cell r="C1653">
            <v>20224070</v>
          </cell>
          <cell r="D1653" t="str">
            <v>HL02</v>
          </cell>
        </row>
        <row r="1654">
          <cell r="B1654">
            <v>40006868</v>
          </cell>
          <cell r="C1654" t="str">
            <v>227215-6</v>
          </cell>
          <cell r="D1654" t="str">
            <v>HL03</v>
          </cell>
        </row>
        <row r="1655">
          <cell r="B1655">
            <v>40006969</v>
          </cell>
          <cell r="C1655" t="str">
            <v>227119-2</v>
          </cell>
          <cell r="D1655" t="str">
            <v>HL04</v>
          </cell>
        </row>
        <row r="1656">
          <cell r="B1656">
            <v>40006850</v>
          </cell>
          <cell r="C1656" t="str">
            <v>227737-6</v>
          </cell>
          <cell r="D1656" t="str">
            <v>HM01</v>
          </cell>
        </row>
        <row r="1657">
          <cell r="B1657">
            <v>40007957</v>
          </cell>
          <cell r="C1657" t="str">
            <v>224180-0</v>
          </cell>
          <cell r="D1657" t="str">
            <v>HM02</v>
          </cell>
        </row>
        <row r="1658">
          <cell r="B1658">
            <v>40005533</v>
          </cell>
          <cell r="C1658" t="str">
            <v>227627-3</v>
          </cell>
          <cell r="D1658" t="str">
            <v>HM03</v>
          </cell>
        </row>
        <row r="1659">
          <cell r="B1659">
            <v>40003875</v>
          </cell>
          <cell r="C1659" t="str">
            <v>221514-8</v>
          </cell>
          <cell r="D1659" t="str">
            <v>HM04</v>
          </cell>
        </row>
        <row r="1660">
          <cell r="B1660">
            <v>40008251</v>
          </cell>
          <cell r="C1660" t="str">
            <v>221636-4</v>
          </cell>
          <cell r="D1660" t="str">
            <v>HN01</v>
          </cell>
        </row>
        <row r="1661">
          <cell r="B1661">
            <v>40006773</v>
          </cell>
          <cell r="C1661" t="str">
            <v>TP00000164</v>
          </cell>
          <cell r="D1661" t="str">
            <v>HN02</v>
          </cell>
        </row>
        <row r="1662">
          <cell r="B1662">
            <v>40006918</v>
          </cell>
          <cell r="C1662" t="str">
            <v>212086-4</v>
          </cell>
          <cell r="D1662" t="str">
            <v>HN03</v>
          </cell>
        </row>
        <row r="1663">
          <cell r="B1663">
            <v>40007598</v>
          </cell>
          <cell r="C1663" t="str">
            <v>257060-5</v>
          </cell>
          <cell r="D1663" t="str">
            <v>HN04</v>
          </cell>
        </row>
        <row r="1664">
          <cell r="B1664">
            <v>40007163</v>
          </cell>
          <cell r="C1664" t="str">
            <v>227509-9</v>
          </cell>
          <cell r="D1664" t="str">
            <v>HO01</v>
          </cell>
        </row>
        <row r="1665">
          <cell r="B1665">
            <v>40005695</v>
          </cell>
          <cell r="C1665" t="str">
            <v>262502-6</v>
          </cell>
          <cell r="D1665" t="str">
            <v>HO02</v>
          </cell>
        </row>
        <row r="1666">
          <cell r="B1666">
            <v>40006956</v>
          </cell>
          <cell r="C1666" t="str">
            <v>158869-7</v>
          </cell>
          <cell r="D1666" t="str">
            <v>HO03</v>
          </cell>
        </row>
        <row r="1667">
          <cell r="B1667">
            <v>40007432</v>
          </cell>
          <cell r="C1667" t="str">
            <v>154530-4</v>
          </cell>
          <cell r="D1667" t="str">
            <v>HO04</v>
          </cell>
        </row>
        <row r="1668">
          <cell r="B1668">
            <v>40005881</v>
          </cell>
          <cell r="C1668" t="str">
            <v>319487-8</v>
          </cell>
          <cell r="D1668" t="str">
            <v>CA01</v>
          </cell>
        </row>
        <row r="1669">
          <cell r="B1669">
            <v>40007705</v>
          </cell>
          <cell r="C1669" t="str">
            <v>152541-3</v>
          </cell>
          <cell r="D1669" t="str">
            <v>CA02</v>
          </cell>
        </row>
        <row r="1670">
          <cell r="B1670">
            <v>40007708</v>
          </cell>
          <cell r="C1670" t="str">
            <v>162259-8</v>
          </cell>
          <cell r="D1670" t="str">
            <v>CA03</v>
          </cell>
        </row>
        <row r="1671">
          <cell r="B1671">
            <v>40005939</v>
          </cell>
          <cell r="C1671" t="str">
            <v>631873-6</v>
          </cell>
          <cell r="D1671" t="str">
            <v>CA04</v>
          </cell>
        </row>
        <row r="1672">
          <cell r="B1672">
            <v>40006659</v>
          </cell>
          <cell r="C1672" t="str">
            <v>410126-4</v>
          </cell>
          <cell r="D1672" t="str">
            <v>CA05</v>
          </cell>
        </row>
        <row r="1673">
          <cell r="B1673">
            <v>10019890</v>
          </cell>
          <cell r="C1673" t="str">
            <v>273495-2</v>
          </cell>
          <cell r="D1673" t="str">
            <v>CA06</v>
          </cell>
        </row>
        <row r="1674">
          <cell r="B1674">
            <v>40007104</v>
          </cell>
          <cell r="C1674" t="str">
            <v>152565-9</v>
          </cell>
          <cell r="D1674" t="str">
            <v>CA07</v>
          </cell>
        </row>
        <row r="1675">
          <cell r="B1675">
            <v>40007552</v>
          </cell>
          <cell r="C1675" t="str">
            <v>450619-9</v>
          </cell>
          <cell r="D1675" t="str">
            <v>CA08</v>
          </cell>
        </row>
        <row r="1676">
          <cell r="B1676">
            <v>40007642</v>
          </cell>
          <cell r="C1676" t="str">
            <v>153552-1</v>
          </cell>
          <cell r="D1676" t="str">
            <v>CA09</v>
          </cell>
        </row>
        <row r="1677">
          <cell r="B1677">
            <v>40006878</v>
          </cell>
          <cell r="C1677" t="str">
            <v>643941-3</v>
          </cell>
          <cell r="D1677" t="str">
            <v>CA10</v>
          </cell>
        </row>
        <row r="1678">
          <cell r="B1678">
            <v>40008232</v>
          </cell>
          <cell r="C1678" t="str">
            <v>226497-7</v>
          </cell>
          <cell r="D1678" t="str">
            <v>CA10</v>
          </cell>
        </row>
        <row r="1679">
          <cell r="B1679">
            <v>40007985</v>
          </cell>
          <cell r="C1679" t="str">
            <v>271601-3</v>
          </cell>
          <cell r="D1679" t="str">
            <v>CA10</v>
          </cell>
        </row>
        <row r="1680">
          <cell r="B1680">
            <v>40006896</v>
          </cell>
          <cell r="C1680" t="str">
            <v>158913-0</v>
          </cell>
          <cell r="D1680" t="str">
            <v>CA11</v>
          </cell>
        </row>
        <row r="1681">
          <cell r="B1681">
            <v>40005601</v>
          </cell>
          <cell r="C1681" t="str">
            <v>227153-2</v>
          </cell>
          <cell r="D1681" t="str">
            <v>CA11</v>
          </cell>
        </row>
        <row r="1682">
          <cell r="B1682">
            <v>40006378</v>
          </cell>
          <cell r="C1682" t="str">
            <v>156975-2</v>
          </cell>
          <cell r="D1682" t="str">
            <v>CA12</v>
          </cell>
        </row>
        <row r="1683">
          <cell r="B1683">
            <v>40010242</v>
          </cell>
          <cell r="C1683" t="str">
            <v>650775-7</v>
          </cell>
          <cell r="D1683" t="str">
            <v>CA12</v>
          </cell>
        </row>
        <row r="1684">
          <cell r="B1684">
            <v>40010285</v>
          </cell>
          <cell r="C1684" t="str">
            <v>150662-5</v>
          </cell>
          <cell r="D1684" t="str">
            <v>CA13</v>
          </cell>
        </row>
        <row r="1685">
          <cell r="B1685">
            <v>40010273</v>
          </cell>
          <cell r="C1685" t="str">
            <v>620522-0</v>
          </cell>
          <cell r="D1685" t="str">
            <v>CA13</v>
          </cell>
        </row>
        <row r="1686">
          <cell r="B1686">
            <v>40010282</v>
          </cell>
          <cell r="C1686" t="str">
            <v>158985-5</v>
          </cell>
          <cell r="D1686" t="str">
            <v>CA13</v>
          </cell>
        </row>
        <row r="1687">
          <cell r="B1687">
            <v>40010269</v>
          </cell>
          <cell r="C1687" t="str">
            <v>312998-2</v>
          </cell>
          <cell r="D1687" t="str">
            <v>CA14</v>
          </cell>
        </row>
        <row r="1688">
          <cell r="B1688">
            <v>40010312</v>
          </cell>
          <cell r="C1688" t="str">
            <v>451639-6</v>
          </cell>
          <cell r="D1688" t="str">
            <v>CA14</v>
          </cell>
        </row>
        <row r="1689">
          <cell r="B1689">
            <v>40010239</v>
          </cell>
          <cell r="C1689" t="str">
            <v>650659-9</v>
          </cell>
          <cell r="D1689" t="str">
            <v>CA15</v>
          </cell>
        </row>
        <row r="1690">
          <cell r="B1690">
            <v>40010319</v>
          </cell>
          <cell r="C1690" t="str">
            <v>123649-0</v>
          </cell>
          <cell r="D1690" t="str">
            <v>CA15</v>
          </cell>
        </row>
        <row r="1691">
          <cell r="B1691">
            <v>40010280</v>
          </cell>
          <cell r="C1691" t="str">
            <v>234107-2</v>
          </cell>
          <cell r="D1691" t="str">
            <v>CA16</v>
          </cell>
        </row>
        <row r="1692">
          <cell r="B1692">
            <v>40010238</v>
          </cell>
          <cell r="C1692" t="str">
            <v>651423-1</v>
          </cell>
          <cell r="D1692" t="str">
            <v>CA16</v>
          </cell>
        </row>
        <row r="1693">
          <cell r="B1693">
            <v>40010313</v>
          </cell>
          <cell r="C1693" t="str">
            <v>450098-1</v>
          </cell>
          <cell r="D1693" t="str">
            <v>CA17</v>
          </cell>
        </row>
        <row r="1694">
          <cell r="B1694">
            <v>40010256</v>
          </cell>
          <cell r="C1694" t="str">
            <v>318304-9</v>
          </cell>
          <cell r="D1694" t="str">
            <v>CA18</v>
          </cell>
        </row>
        <row r="1695">
          <cell r="B1695">
            <v>40010302</v>
          </cell>
          <cell r="C1695" t="str">
            <v>451432-8</v>
          </cell>
          <cell r="D1695" t="str">
            <v>CA18</v>
          </cell>
        </row>
        <row r="1696">
          <cell r="B1696">
            <v>40010299</v>
          </cell>
          <cell r="C1696" t="str">
            <v>143331-5</v>
          </cell>
          <cell r="D1696" t="str">
            <v>CA19</v>
          </cell>
        </row>
        <row r="1697">
          <cell r="B1697">
            <v>40010243</v>
          </cell>
          <cell r="C1697" t="str">
            <v>651434-6</v>
          </cell>
          <cell r="D1697" t="str">
            <v>CA19</v>
          </cell>
        </row>
        <row r="1698">
          <cell r="B1698">
            <v>40010315</v>
          </cell>
          <cell r="C1698" t="str">
            <v>631932-6</v>
          </cell>
          <cell r="D1698" t="str">
            <v>CA20</v>
          </cell>
        </row>
        <row r="1699">
          <cell r="B1699">
            <v>40010235</v>
          </cell>
          <cell r="C1699" t="str">
            <v>651986-7</v>
          </cell>
          <cell r="D1699" t="str">
            <v>CA20</v>
          </cell>
        </row>
        <row r="1700">
          <cell r="B1700">
            <v>40010411</v>
          </cell>
          <cell r="C1700" t="str">
            <v>322838-6</v>
          </cell>
          <cell r="D1700" t="str">
            <v>CAA01</v>
          </cell>
        </row>
        <row r="1701">
          <cell r="B1701">
            <v>40007633</v>
          </cell>
          <cell r="C1701" t="str">
            <v>643700-5</v>
          </cell>
          <cell r="D1701" t="str">
            <v>CAA01</v>
          </cell>
        </row>
        <row r="1702">
          <cell r="B1702">
            <v>40008157</v>
          </cell>
          <cell r="C1702" t="str">
            <v>231397-8</v>
          </cell>
          <cell r="D1702" t="str">
            <v>CAA01</v>
          </cell>
        </row>
        <row r="1703">
          <cell r="B1703">
            <v>40010413</v>
          </cell>
          <cell r="C1703" t="str">
            <v>416533-9</v>
          </cell>
          <cell r="D1703" t="str">
            <v>CAA01</v>
          </cell>
        </row>
        <row r="1704">
          <cell r="B1704">
            <v>40010407</v>
          </cell>
          <cell r="C1704" t="str">
            <v>152463-7</v>
          </cell>
          <cell r="D1704" t="str">
            <v>CAA02</v>
          </cell>
        </row>
        <row r="1705">
          <cell r="B1705">
            <v>40010410</v>
          </cell>
          <cell r="C1705" t="str">
            <v>347553-1</v>
          </cell>
          <cell r="D1705" t="str">
            <v>CAA02</v>
          </cell>
        </row>
        <row r="1706">
          <cell r="B1706">
            <v>40010279</v>
          </cell>
          <cell r="C1706" t="str">
            <v>451110-0</v>
          </cell>
          <cell r="D1706" t="str">
            <v>CAA03</v>
          </cell>
        </row>
        <row r="1707">
          <cell r="B1707">
            <v>40005323</v>
          </cell>
          <cell r="C1707" t="str">
            <v>442138-9</v>
          </cell>
          <cell r="D1707" t="str">
            <v>CAA03</v>
          </cell>
        </row>
        <row r="1708">
          <cell r="B1708">
            <v>40007059</v>
          </cell>
          <cell r="C1708" t="str">
            <v>226747-0</v>
          </cell>
          <cell r="D1708" t="str">
            <v>CAA04</v>
          </cell>
        </row>
        <row r="1709">
          <cell r="B1709">
            <v>40005324</v>
          </cell>
          <cell r="C1709" t="str">
            <v>JM23100174</v>
          </cell>
          <cell r="D1709" t="str">
            <v>CAA04</v>
          </cell>
        </row>
        <row r="1710">
          <cell r="B1710">
            <v>40010286</v>
          </cell>
          <cell r="C1710" t="str">
            <v>453125-3</v>
          </cell>
          <cell r="D1710" t="str">
            <v>CAA08</v>
          </cell>
        </row>
        <row r="1711">
          <cell r="B1711">
            <v>40010291</v>
          </cell>
          <cell r="C1711" t="str">
            <v>326891-4</v>
          </cell>
          <cell r="D1711" t="str">
            <v>CAA08</v>
          </cell>
        </row>
        <row r="1712">
          <cell r="B1712">
            <v>40010310</v>
          </cell>
          <cell r="C1712" t="str">
            <v>424245-0</v>
          </cell>
          <cell r="D1712" t="str">
            <v>CAA08</v>
          </cell>
        </row>
        <row r="1713">
          <cell r="B1713">
            <v>40010293</v>
          </cell>
          <cell r="C1713" t="str">
            <v>456129-4</v>
          </cell>
          <cell r="D1713" t="str">
            <v>CAA09</v>
          </cell>
        </row>
        <row r="1714">
          <cell r="B1714">
            <v>40010303</v>
          </cell>
          <cell r="C1714" t="str">
            <v>233430-2</v>
          </cell>
          <cell r="D1714" t="str">
            <v>CAA09</v>
          </cell>
        </row>
        <row r="1715">
          <cell r="B1715">
            <v>40010289</v>
          </cell>
          <cell r="C1715" t="str">
            <v>620616-1</v>
          </cell>
          <cell r="D1715" t="str">
            <v>CAA09</v>
          </cell>
        </row>
        <row r="1716">
          <cell r="B1716">
            <v>40006769</v>
          </cell>
          <cell r="C1716" t="str">
            <v>317821-6</v>
          </cell>
          <cell r="D1716" t="str">
            <v>CAA10</v>
          </cell>
        </row>
        <row r="1717">
          <cell r="B1717">
            <v>40010560</v>
          </cell>
          <cell r="C1717" t="str">
            <v>JM27100077</v>
          </cell>
          <cell r="D1717" t="str">
            <v>CAA11</v>
          </cell>
        </row>
        <row r="1718">
          <cell r="B1718">
            <v>10018958</v>
          </cell>
          <cell r="C1718" t="str">
            <v>234098-7</v>
          </cell>
          <cell r="D1718" t="str">
            <v>CAA11</v>
          </cell>
        </row>
        <row r="1719">
          <cell r="B1719">
            <v>40005311</v>
          </cell>
          <cell r="C1719" t="str">
            <v>285848-3</v>
          </cell>
          <cell r="D1719" t="str">
            <v>CAA12</v>
          </cell>
        </row>
        <row r="1720">
          <cell r="B1720">
            <v>40005430</v>
          </cell>
          <cell r="C1720" t="str">
            <v>JM27000158</v>
          </cell>
          <cell r="D1720" t="str">
            <v>CAA13</v>
          </cell>
        </row>
        <row r="1721">
          <cell r="B1721">
            <v>40006004</v>
          </cell>
          <cell r="C1721" t="str">
            <v>331992-5</v>
          </cell>
          <cell r="D1721" t="str">
            <v>CAA13</v>
          </cell>
        </row>
        <row r="1722">
          <cell r="B1722">
            <v>40007590</v>
          </cell>
          <cell r="C1722" t="str">
            <v>650591-7</v>
          </cell>
          <cell r="D1722" t="str">
            <v>CAA14</v>
          </cell>
        </row>
        <row r="1723">
          <cell r="B1723">
            <v>40010241</v>
          </cell>
          <cell r="C1723" t="str">
            <v>632J82-0</v>
          </cell>
          <cell r="D1723" t="str">
            <v>CAA15</v>
          </cell>
        </row>
        <row r="1724">
          <cell r="B1724">
            <v>40010408</v>
          </cell>
          <cell r="C1724" t="str">
            <v>183825-8</v>
          </cell>
          <cell r="D1724" t="str">
            <v>CAA15</v>
          </cell>
        </row>
        <row r="1725">
          <cell r="B1725">
            <v>40008063</v>
          </cell>
          <cell r="C1725" t="str">
            <v>331776-1</v>
          </cell>
          <cell r="D1725" t="str">
            <v>CAA16</v>
          </cell>
        </row>
        <row r="1726">
          <cell r="B1726">
            <v>40005314</v>
          </cell>
          <cell r="C1726" t="str">
            <v>631871-0</v>
          </cell>
          <cell r="D1726" t="str">
            <v>CAA16</v>
          </cell>
        </row>
        <row r="1727">
          <cell r="B1727">
            <v>40005296</v>
          </cell>
          <cell r="C1727" t="str">
            <v>141572-7</v>
          </cell>
          <cell r="D1727" t="str">
            <v>CAA17</v>
          </cell>
        </row>
        <row r="1728">
          <cell r="B1728">
            <v>40011734</v>
          </cell>
          <cell r="C1728" t="str">
            <v>644813-5</v>
          </cell>
          <cell r="D1728" t="str">
            <v>CAA18</v>
          </cell>
        </row>
        <row r="1729">
          <cell r="B1729">
            <v>40010588</v>
          </cell>
          <cell r="C1729" t="str">
            <v>144058-0</v>
          </cell>
          <cell r="D1729" t="str">
            <v>CAA18</v>
          </cell>
        </row>
        <row r="1730">
          <cell r="B1730">
            <v>40010589</v>
          </cell>
          <cell r="C1730" t="str">
            <v>213611-4</v>
          </cell>
          <cell r="D1730" t="str">
            <v>CAA18</v>
          </cell>
        </row>
        <row r="1731">
          <cell r="B1731">
            <v>40010782</v>
          </cell>
          <cell r="C1731" t="str">
            <v>324668-1</v>
          </cell>
          <cell r="D1731" t="str">
            <v>CAA19</v>
          </cell>
        </row>
        <row r="1732">
          <cell r="B1732">
            <v>40010789</v>
          </cell>
          <cell r="C1732" t="str">
            <v>620K14-5</v>
          </cell>
          <cell r="D1732" t="str">
            <v>CAA20</v>
          </cell>
        </row>
        <row r="1733">
          <cell r="B1733">
            <v>40010576</v>
          </cell>
          <cell r="C1733" t="str">
            <v>632K99-9</v>
          </cell>
          <cell r="D1733" t="str">
            <v>CAA21</v>
          </cell>
        </row>
        <row r="1734">
          <cell r="B1734">
            <v>40010963</v>
          </cell>
          <cell r="C1734" t="str">
            <v>213464-1</v>
          </cell>
          <cell r="D1734" t="str">
            <v>CAA22</v>
          </cell>
        </row>
        <row r="1735">
          <cell r="B1735">
            <v>40005177</v>
          </cell>
          <cell r="C1735" t="str">
            <v>219020-5</v>
          </cell>
          <cell r="D1735" t="str">
            <v>CAA22</v>
          </cell>
        </row>
        <row r="1736">
          <cell r="B1736">
            <v>40010964</v>
          </cell>
          <cell r="C1736" t="str">
            <v>922243-3</v>
          </cell>
          <cell r="D1736" t="str">
            <v>CAA22</v>
          </cell>
        </row>
        <row r="1737">
          <cell r="B1737">
            <v>10018682</v>
          </cell>
          <cell r="C1737" t="str">
            <v>251451-2</v>
          </cell>
          <cell r="D1737" t="str">
            <v>CAA22</v>
          </cell>
        </row>
        <row r="1738">
          <cell r="B1738">
            <v>40010961</v>
          </cell>
          <cell r="C1738" t="str">
            <v>213754-2</v>
          </cell>
          <cell r="D1738" t="str">
            <v>CAA22</v>
          </cell>
        </row>
        <row r="1739">
          <cell r="B1739">
            <v>40010965</v>
          </cell>
          <cell r="C1739" t="str">
            <v>254203-0</v>
          </cell>
          <cell r="D1739" t="str">
            <v>CAA23</v>
          </cell>
        </row>
        <row r="1740">
          <cell r="B1740">
            <v>40010960</v>
          </cell>
          <cell r="C1740" t="str">
            <v>266605-8</v>
          </cell>
          <cell r="D1740" t="str">
            <v>MA264</v>
          </cell>
        </row>
        <row r="1741">
          <cell r="B1741">
            <v>40010956</v>
          </cell>
          <cell r="C1741" t="str">
            <v>TP00000113</v>
          </cell>
          <cell r="D1741" t="str">
            <v>CAA23</v>
          </cell>
        </row>
        <row r="1742">
          <cell r="B1742">
            <v>40005708</v>
          </cell>
          <cell r="C1742" t="str">
            <v>240148-8</v>
          </cell>
          <cell r="D1742" t="str">
            <v>CAA24</v>
          </cell>
        </row>
        <row r="1743">
          <cell r="B1743">
            <v>40005172</v>
          </cell>
          <cell r="C1743" t="str">
            <v>143299-5</v>
          </cell>
          <cell r="D1743" t="str">
            <v>CAA25</v>
          </cell>
        </row>
        <row r="1744">
          <cell r="B1744">
            <v>40005992</v>
          </cell>
          <cell r="C1744" t="str">
            <v>284067-8</v>
          </cell>
          <cell r="D1744" t="str">
            <v>CAA26</v>
          </cell>
        </row>
        <row r="1745">
          <cell r="B1745">
            <v>40005917</v>
          </cell>
          <cell r="C1745" t="str">
            <v>JM27000168</v>
          </cell>
          <cell r="D1745" t="str">
            <v>CAA26</v>
          </cell>
        </row>
        <row r="1746">
          <cell r="B1746">
            <v>40011914</v>
          </cell>
          <cell r="C1746" t="str">
            <v>4130J0-5</v>
          </cell>
          <cell r="D1746" t="str">
            <v>CAA27</v>
          </cell>
        </row>
        <row r="1747">
          <cell r="B1747">
            <v>40005214</v>
          </cell>
          <cell r="C1747" t="str">
            <v>143976-9</v>
          </cell>
          <cell r="D1747" t="str">
            <v>CAA27</v>
          </cell>
        </row>
        <row r="1748">
          <cell r="B1748">
            <v>40005206</v>
          </cell>
          <cell r="C1748" t="str">
            <v>326576-2</v>
          </cell>
          <cell r="D1748" t="str">
            <v>CAA27</v>
          </cell>
        </row>
        <row r="1749">
          <cell r="B1749">
            <v>40005233</v>
          </cell>
          <cell r="C1749" t="str">
            <v>266276-1</v>
          </cell>
          <cell r="D1749" t="str">
            <v>CAA28</v>
          </cell>
        </row>
        <row r="1750">
          <cell r="B1750">
            <v>40010382</v>
          </cell>
          <cell r="C1750" t="str">
            <v>682502-4</v>
          </cell>
          <cell r="D1750" t="str">
            <v>CAA28</v>
          </cell>
        </row>
        <row r="1751">
          <cell r="B1751">
            <v>40010397</v>
          </cell>
          <cell r="C1751" t="str">
            <v>687001-1</v>
          </cell>
          <cell r="D1751" t="str">
            <v>CAA29</v>
          </cell>
        </row>
        <row r="1752">
          <cell r="B1752">
            <v>40010396</v>
          </cell>
          <cell r="C1752" t="str">
            <v>687124-5</v>
          </cell>
          <cell r="D1752" t="str">
            <v>CAA29</v>
          </cell>
        </row>
        <row r="1753">
          <cell r="B1753">
            <v>40010387</v>
          </cell>
          <cell r="C1753" t="str">
            <v>232286-0</v>
          </cell>
          <cell r="D1753" t="str">
            <v>CAA30</v>
          </cell>
        </row>
        <row r="1754">
          <cell r="B1754">
            <v>40005305</v>
          </cell>
          <cell r="C1754" t="str">
            <v>346036-8</v>
          </cell>
          <cell r="D1754" t="str">
            <v>CAA30</v>
          </cell>
        </row>
        <row r="1755">
          <cell r="B1755">
            <v>40010381</v>
          </cell>
          <cell r="C1755" t="str">
            <v>687123-7</v>
          </cell>
          <cell r="D1755" t="str">
            <v>CAA30</v>
          </cell>
        </row>
        <row r="1756">
          <cell r="B1756">
            <v>40010369</v>
          </cell>
          <cell r="C1756" t="str">
            <v>253428-3</v>
          </cell>
          <cell r="D1756" t="str">
            <v>CAA30</v>
          </cell>
        </row>
        <row r="1757">
          <cell r="B1757">
            <v>40010234</v>
          </cell>
          <cell r="C1757" t="str">
            <v>651204-3</v>
          </cell>
          <cell r="D1757" t="str">
            <v>CAA31</v>
          </cell>
        </row>
        <row r="1758">
          <cell r="B1758">
            <v>40007113</v>
          </cell>
          <cell r="C1758" t="str">
            <v>227449-1</v>
          </cell>
          <cell r="D1758" t="str">
            <v>CAA32</v>
          </cell>
        </row>
        <row r="1759">
          <cell r="B1759">
            <v>40010781</v>
          </cell>
          <cell r="C1759" t="str">
            <v>231866-9</v>
          </cell>
          <cell r="D1759" t="str">
            <v>CAA33</v>
          </cell>
        </row>
        <row r="1760">
          <cell r="B1760">
            <v>40010777</v>
          </cell>
          <cell r="C1760" t="str">
            <v>253171-4</v>
          </cell>
          <cell r="D1760" t="str">
            <v>CAA33</v>
          </cell>
        </row>
        <row r="1761">
          <cell r="B1761">
            <v>40010790</v>
          </cell>
          <cell r="C1761" t="str">
            <v>JM27100055</v>
          </cell>
          <cell r="D1761" t="str">
            <v>CAA33</v>
          </cell>
        </row>
        <row r="1762">
          <cell r="B1762">
            <v>40010783</v>
          </cell>
          <cell r="C1762" t="str">
            <v>325794-9</v>
          </cell>
          <cell r="D1762" t="str">
            <v>CAA33</v>
          </cell>
        </row>
        <row r="1763">
          <cell r="B1763">
            <v>40010785</v>
          </cell>
          <cell r="C1763" t="str">
            <v>331775-3</v>
          </cell>
          <cell r="D1763" t="str">
            <v>CAA33</v>
          </cell>
        </row>
        <row r="1764">
          <cell r="B1764">
            <v>40010780</v>
          </cell>
          <cell r="C1764" t="str">
            <v>643713-6</v>
          </cell>
          <cell r="D1764" t="str">
            <v>CAA34</v>
          </cell>
        </row>
        <row r="1765">
          <cell r="B1765">
            <v>40010786</v>
          </cell>
          <cell r="C1765" t="str">
            <v>424907-0</v>
          </cell>
          <cell r="D1765" t="str">
            <v>CAA34</v>
          </cell>
        </row>
        <row r="1766">
          <cell r="B1766">
            <v>40010787</v>
          </cell>
          <cell r="C1766" t="str">
            <v>457062-3</v>
          </cell>
          <cell r="D1766" t="str">
            <v>CAA34</v>
          </cell>
        </row>
        <row r="1767">
          <cell r="B1767">
            <v>40005440</v>
          </cell>
          <cell r="C1767" t="str">
            <v>620893-5</v>
          </cell>
          <cell r="D1767" t="str">
            <v>CAA35</v>
          </cell>
        </row>
        <row r="1768">
          <cell r="B1768">
            <v>40006470</v>
          </cell>
          <cell r="C1768" t="str">
            <v>158387-5</v>
          </cell>
          <cell r="D1768" t="str">
            <v>CAA5</v>
          </cell>
        </row>
        <row r="1769">
          <cell r="B1769">
            <v>40006189</v>
          </cell>
          <cell r="C1769" t="str">
            <v>324824-3</v>
          </cell>
          <cell r="D1769" t="str">
            <v>CAA6</v>
          </cell>
        </row>
        <row r="1770">
          <cell r="B1770">
            <v>40006468</v>
          </cell>
          <cell r="C1770" t="str">
            <v>140H65-9</v>
          </cell>
          <cell r="D1770" t="str">
            <v>CAA7</v>
          </cell>
        </row>
        <row r="1771">
          <cell r="B1771">
            <v>40007056</v>
          </cell>
          <cell r="C1771" t="str">
            <v>651298-8</v>
          </cell>
          <cell r="D1771" t="str">
            <v>CB01</v>
          </cell>
        </row>
        <row r="1772">
          <cell r="B1772">
            <v>40006892</v>
          </cell>
          <cell r="C1772" t="str">
            <v>638424-6</v>
          </cell>
          <cell r="D1772" t="str">
            <v>CB02</v>
          </cell>
        </row>
        <row r="1773">
          <cell r="B1773">
            <v>40005987</v>
          </cell>
          <cell r="C1773" t="str">
            <v>331518-3</v>
          </cell>
          <cell r="D1773" t="str">
            <v>CB03</v>
          </cell>
        </row>
        <row r="1774">
          <cell r="B1774">
            <v>40007531</v>
          </cell>
          <cell r="C1774" t="str">
            <v>226741-2</v>
          </cell>
          <cell r="D1774" t="str">
            <v>CB04</v>
          </cell>
        </row>
        <row r="1775">
          <cell r="B1775">
            <v>40007305</v>
          </cell>
          <cell r="C1775" t="str">
            <v>411019-8</v>
          </cell>
          <cell r="D1775" t="str">
            <v>CB05</v>
          </cell>
        </row>
        <row r="1776">
          <cell r="B1776">
            <v>40005575</v>
          </cell>
          <cell r="C1776" t="str">
            <v>156401-1</v>
          </cell>
          <cell r="D1776" t="str">
            <v>CB06</v>
          </cell>
        </row>
        <row r="1777">
          <cell r="B1777">
            <v>40007844</v>
          </cell>
          <cell r="C1777" t="str">
            <v>651128-3</v>
          </cell>
          <cell r="D1777" t="str">
            <v>CB06</v>
          </cell>
        </row>
        <row r="1778">
          <cell r="B1778">
            <v>40006435</v>
          </cell>
          <cell r="C1778" t="str">
            <v>650569-0</v>
          </cell>
          <cell r="D1778" t="str">
            <v>CB07</v>
          </cell>
        </row>
        <row r="1779">
          <cell r="B1779">
            <v>40006890</v>
          </cell>
          <cell r="C1779" t="str">
            <v>650568-2</v>
          </cell>
          <cell r="D1779" t="str">
            <v>CB08</v>
          </cell>
        </row>
        <row r="1780">
          <cell r="B1780">
            <v>40007281</v>
          </cell>
          <cell r="C1780" t="str">
            <v>233916-6</v>
          </cell>
          <cell r="D1780" t="str">
            <v>CB09</v>
          </cell>
        </row>
        <row r="1781">
          <cell r="B1781">
            <v>40006844</v>
          </cell>
          <cell r="C1781" t="str">
            <v>651891-8</v>
          </cell>
          <cell r="D1781" t="str">
            <v>CC01</v>
          </cell>
        </row>
        <row r="1782">
          <cell r="B1782">
            <v>40010316</v>
          </cell>
          <cell r="C1782" t="str">
            <v>419018-4</v>
          </cell>
          <cell r="D1782" t="str">
            <v>CC02</v>
          </cell>
        </row>
        <row r="1783">
          <cell r="B1783">
            <v>40010288</v>
          </cell>
          <cell r="C1783" t="str">
            <v>213958-6</v>
          </cell>
          <cell r="D1783" t="str">
            <v>CC02</v>
          </cell>
        </row>
        <row r="1784">
          <cell r="B1784">
            <v>40010309</v>
          </cell>
          <cell r="C1784" t="str">
            <v>262116-1</v>
          </cell>
          <cell r="D1784" t="str">
            <v>CC02</v>
          </cell>
        </row>
        <row r="1785">
          <cell r="B1785">
            <v>40010272</v>
          </cell>
          <cell r="C1785" t="str">
            <v>232220-0</v>
          </cell>
          <cell r="D1785" t="str">
            <v>CC02</v>
          </cell>
        </row>
        <row r="1786">
          <cell r="B1786">
            <v>40010283</v>
          </cell>
          <cell r="C1786" t="str">
            <v>213176-6</v>
          </cell>
          <cell r="D1786" t="str">
            <v>CC02</v>
          </cell>
        </row>
        <row r="1787">
          <cell r="B1787">
            <v>40006889</v>
          </cell>
          <cell r="C1787" t="str">
            <v>651609-7</v>
          </cell>
          <cell r="D1787" t="str">
            <v>CC03</v>
          </cell>
        </row>
        <row r="1788">
          <cell r="B1788">
            <v>40007087</v>
          </cell>
          <cell r="C1788" t="str">
            <v>156402-9</v>
          </cell>
          <cell r="D1788" t="str">
            <v>CC04</v>
          </cell>
        </row>
        <row r="1789">
          <cell r="B1789">
            <v>40010281</v>
          </cell>
          <cell r="C1789" t="str">
            <v>257297-4</v>
          </cell>
          <cell r="D1789" t="str">
            <v>CC05</v>
          </cell>
        </row>
        <row r="1790">
          <cell r="B1790">
            <v>40010314</v>
          </cell>
          <cell r="C1790" t="str">
            <v>158231-6</v>
          </cell>
          <cell r="D1790" t="str">
            <v>CC05</v>
          </cell>
        </row>
        <row r="1791">
          <cell r="B1791">
            <v>40006030</v>
          </cell>
          <cell r="C1791" t="str">
            <v>JM23100179</v>
          </cell>
          <cell r="D1791" t="str">
            <v>CC06</v>
          </cell>
        </row>
        <row r="1792">
          <cell r="B1792">
            <v>40006041</v>
          </cell>
          <cell r="C1792" t="str">
            <v>650579-7</v>
          </cell>
          <cell r="D1792" t="str">
            <v>CC07</v>
          </cell>
        </row>
        <row r="1793">
          <cell r="B1793">
            <v>40007971</v>
          </cell>
          <cell r="C1793" t="str">
            <v>650202-4</v>
          </cell>
          <cell r="D1793" t="str">
            <v>CC08</v>
          </cell>
        </row>
        <row r="1794">
          <cell r="B1794">
            <v>40006857</v>
          </cell>
          <cell r="C1794" t="str">
            <v>650233-3</v>
          </cell>
          <cell r="D1794" t="str">
            <v>CC09</v>
          </cell>
        </row>
        <row r="1795">
          <cell r="B1795">
            <v>40006955</v>
          </cell>
          <cell r="C1795">
            <v>38180012</v>
          </cell>
          <cell r="D1795" t="str">
            <v>CD01</v>
          </cell>
        </row>
        <row r="1796">
          <cell r="B1796">
            <v>40006042</v>
          </cell>
          <cell r="C1796" t="str">
            <v>322476-4</v>
          </cell>
          <cell r="D1796" t="str">
            <v>CD02</v>
          </cell>
        </row>
        <row r="1797">
          <cell r="B1797">
            <v>40007252</v>
          </cell>
          <cell r="C1797" t="str">
            <v>763629-0</v>
          </cell>
          <cell r="D1797" t="str">
            <v>CD03</v>
          </cell>
        </row>
        <row r="1798">
          <cell r="B1798">
            <v>40007852</v>
          </cell>
          <cell r="C1798" t="str">
            <v>418796-3</v>
          </cell>
          <cell r="D1798" t="str">
            <v>CD04</v>
          </cell>
        </row>
        <row r="1799">
          <cell r="B1799">
            <v>40006111</v>
          </cell>
          <cell r="C1799" t="str">
            <v>650246-4</v>
          </cell>
          <cell r="D1799" t="str">
            <v>CD05</v>
          </cell>
        </row>
        <row r="1800">
          <cell r="B1800">
            <v>40006129</v>
          </cell>
          <cell r="C1800" t="str">
            <v>450672-5</v>
          </cell>
          <cell r="D1800" t="str">
            <v>CD06</v>
          </cell>
        </row>
        <row r="1801">
          <cell r="B1801">
            <v>40006237</v>
          </cell>
          <cell r="C1801" t="str">
            <v>325649-8</v>
          </cell>
          <cell r="D1801" t="str">
            <v>CD06</v>
          </cell>
        </row>
        <row r="1802">
          <cell r="B1802">
            <v>40005720</v>
          </cell>
          <cell r="C1802" t="str">
            <v>233542-1</v>
          </cell>
          <cell r="D1802" t="str">
            <v>CD07</v>
          </cell>
        </row>
        <row r="1803">
          <cell r="B1803">
            <v>40007582</v>
          </cell>
          <cell r="C1803" t="str">
            <v>227411-6</v>
          </cell>
          <cell r="D1803" t="str">
            <v>CD07</v>
          </cell>
        </row>
        <row r="1804">
          <cell r="B1804">
            <v>40007861</v>
          </cell>
          <cell r="C1804" t="str">
            <v>650559-3</v>
          </cell>
          <cell r="D1804" t="str">
            <v>CD08</v>
          </cell>
        </row>
        <row r="1805">
          <cell r="B1805">
            <v>40008028</v>
          </cell>
          <cell r="C1805" t="str">
            <v>227546-3</v>
          </cell>
          <cell r="D1805" t="str">
            <v>CD09</v>
          </cell>
        </row>
        <row r="1806">
          <cell r="B1806">
            <v>40005774</v>
          </cell>
          <cell r="C1806" t="str">
            <v>651442-7</v>
          </cell>
          <cell r="D1806" t="str">
            <v>CE01</v>
          </cell>
        </row>
        <row r="1807">
          <cell r="B1807">
            <v>40011211</v>
          </cell>
          <cell r="C1807" t="str">
            <v>226423-6</v>
          </cell>
          <cell r="D1807" t="str">
            <v>CE01</v>
          </cell>
        </row>
        <row r="1808">
          <cell r="B1808">
            <v>40007256</v>
          </cell>
          <cell r="C1808" t="str">
            <v>423029-3</v>
          </cell>
          <cell r="D1808" t="str">
            <v>CE02</v>
          </cell>
        </row>
        <row r="1809">
          <cell r="B1809">
            <v>40005364</v>
          </cell>
          <cell r="C1809" t="str">
            <v>144650-2</v>
          </cell>
          <cell r="D1809" t="str">
            <v>CE02</v>
          </cell>
        </row>
        <row r="1810">
          <cell r="B1810">
            <v>40010582</v>
          </cell>
          <cell r="C1810" t="str">
            <v>151457-9</v>
          </cell>
          <cell r="D1810" t="str">
            <v>CE03</v>
          </cell>
        </row>
        <row r="1811">
          <cell r="B1811">
            <v>40005535</v>
          </cell>
          <cell r="C1811" t="str">
            <v>326373-6</v>
          </cell>
          <cell r="D1811" t="str">
            <v>CE03</v>
          </cell>
        </row>
        <row r="1812">
          <cell r="B1812">
            <v>40010296</v>
          </cell>
          <cell r="C1812" t="str">
            <v>620E45-8</v>
          </cell>
          <cell r="D1812" t="str">
            <v>CE04</v>
          </cell>
        </row>
        <row r="1813">
          <cell r="B1813">
            <v>40010290</v>
          </cell>
          <cell r="C1813" t="str">
            <v>632R82-8</v>
          </cell>
          <cell r="D1813" t="str">
            <v>CE04</v>
          </cell>
        </row>
        <row r="1814">
          <cell r="B1814">
            <v>40005920</v>
          </cell>
          <cell r="C1814" t="str">
            <v>240077-5</v>
          </cell>
          <cell r="D1814" t="str">
            <v>CE05</v>
          </cell>
        </row>
        <row r="1815">
          <cell r="B1815">
            <v>40007072</v>
          </cell>
          <cell r="C1815" t="str">
            <v>153622-6</v>
          </cell>
          <cell r="D1815" t="str">
            <v>CE06</v>
          </cell>
        </row>
        <row r="1816">
          <cell r="B1816">
            <v>40006987</v>
          </cell>
          <cell r="C1816" t="str">
            <v>227761-9</v>
          </cell>
          <cell r="D1816" t="str">
            <v>CE07</v>
          </cell>
        </row>
        <row r="1817">
          <cell r="B1817">
            <v>40007886</v>
          </cell>
          <cell r="C1817" t="str">
            <v>650618-3</v>
          </cell>
          <cell r="D1817" t="str">
            <v>CE08</v>
          </cell>
        </row>
        <row r="1818">
          <cell r="B1818">
            <v>40007893</v>
          </cell>
          <cell r="C1818" t="str">
            <v>643869-5</v>
          </cell>
          <cell r="D1818" t="str">
            <v>CE09</v>
          </cell>
        </row>
        <row r="1819">
          <cell r="B1819">
            <v>40006951</v>
          </cell>
          <cell r="C1819" t="str">
            <v>650620-6</v>
          </cell>
          <cell r="D1819" t="str">
            <v>CF01</v>
          </cell>
        </row>
        <row r="1820">
          <cell r="B1820">
            <v>40005835</v>
          </cell>
          <cell r="C1820" t="str">
            <v>347027-2</v>
          </cell>
          <cell r="D1820" t="str">
            <v>CF02</v>
          </cell>
        </row>
        <row r="1821">
          <cell r="B1821">
            <v>40008280</v>
          </cell>
          <cell r="C1821" t="str">
            <v>226415-5</v>
          </cell>
          <cell r="D1821" t="str">
            <v>CF03</v>
          </cell>
        </row>
        <row r="1822">
          <cell r="B1822">
            <v>40011139</v>
          </cell>
          <cell r="C1822" t="str">
            <v>158393-0</v>
          </cell>
          <cell r="D1822" t="str">
            <v>CF04</v>
          </cell>
        </row>
        <row r="1823">
          <cell r="B1823">
            <v>40006964</v>
          </cell>
          <cell r="C1823" t="str">
            <v>318132-2</v>
          </cell>
          <cell r="D1823" t="str">
            <v>CF04</v>
          </cell>
        </row>
        <row r="1824">
          <cell r="B1824">
            <v>40007834</v>
          </cell>
          <cell r="C1824" t="str">
            <v>650212-1</v>
          </cell>
          <cell r="D1824" t="str">
            <v>CF05</v>
          </cell>
        </row>
        <row r="1825">
          <cell r="B1825">
            <v>40008306</v>
          </cell>
          <cell r="C1825" t="str">
            <v>451907-7</v>
          </cell>
          <cell r="D1825" t="str">
            <v>CF06</v>
          </cell>
        </row>
        <row r="1826">
          <cell r="B1826">
            <v>40011822</v>
          </cell>
          <cell r="C1826" t="str">
            <v>272252-5</v>
          </cell>
          <cell r="D1826" t="str">
            <v>CF06</v>
          </cell>
        </row>
        <row r="1827">
          <cell r="B1827">
            <v>40006088</v>
          </cell>
          <cell r="C1827" t="str">
            <v>453394-6</v>
          </cell>
          <cell r="D1827" t="str">
            <v>CF07</v>
          </cell>
        </row>
        <row r="1828">
          <cell r="B1828">
            <v>40007926</v>
          </cell>
          <cell r="C1828" t="str">
            <v>451533-2</v>
          </cell>
          <cell r="D1828" t="str">
            <v>CF08</v>
          </cell>
        </row>
        <row r="1829">
          <cell r="B1829">
            <v>40007526</v>
          </cell>
          <cell r="C1829">
            <v>226221020</v>
          </cell>
          <cell r="D1829" t="str">
            <v>CF09</v>
          </cell>
        </row>
        <row r="1830">
          <cell r="B1830">
            <v>40007996</v>
          </cell>
          <cell r="C1830" t="str">
            <v>638470-9</v>
          </cell>
          <cell r="D1830" t="str">
            <v>CG01</v>
          </cell>
        </row>
        <row r="1831">
          <cell r="B1831">
            <v>40006991</v>
          </cell>
          <cell r="C1831" t="str">
            <v>141899-5</v>
          </cell>
          <cell r="D1831" t="str">
            <v>CG02</v>
          </cell>
        </row>
        <row r="1832">
          <cell r="B1832">
            <v>40006110</v>
          </cell>
          <cell r="C1832" t="str">
            <v>651159-2</v>
          </cell>
          <cell r="D1832" t="str">
            <v>CG03</v>
          </cell>
        </row>
        <row r="1833">
          <cell r="B1833">
            <v>40007981</v>
          </cell>
          <cell r="C1833" t="str">
            <v>650583-6</v>
          </cell>
          <cell r="D1833" t="str">
            <v>CG04</v>
          </cell>
        </row>
        <row r="1834">
          <cell r="B1834">
            <v>40006347</v>
          </cell>
          <cell r="C1834" t="str">
            <v>650747-2</v>
          </cell>
          <cell r="D1834" t="str">
            <v>CG05</v>
          </cell>
        </row>
        <row r="1835">
          <cell r="B1835">
            <v>40007835</v>
          </cell>
          <cell r="C1835" t="str">
            <v>651233-6</v>
          </cell>
          <cell r="D1835" t="str">
            <v>CG06</v>
          </cell>
        </row>
        <row r="1836">
          <cell r="B1836">
            <v>40011142</v>
          </cell>
          <cell r="C1836" t="str">
            <v>419135-0</v>
          </cell>
          <cell r="D1836" t="str">
            <v>CG07</v>
          </cell>
        </row>
        <row r="1837">
          <cell r="B1837">
            <v>40011143</v>
          </cell>
          <cell r="C1837" t="str">
            <v>682559-5</v>
          </cell>
          <cell r="D1837" t="str">
            <v>CG07</v>
          </cell>
        </row>
        <row r="1838">
          <cell r="B1838">
            <v>40011149</v>
          </cell>
          <cell r="C1838" t="str">
            <v>327516-3</v>
          </cell>
          <cell r="D1838" t="str">
            <v>CG07</v>
          </cell>
        </row>
        <row r="1839">
          <cell r="B1839">
            <v>40007923</v>
          </cell>
          <cell r="C1839" t="str">
            <v>K0300-0861</v>
          </cell>
          <cell r="D1839" t="str">
            <v>CG08</v>
          </cell>
        </row>
        <row r="1840">
          <cell r="B1840">
            <v>40011206</v>
          </cell>
          <cell r="C1840" t="str">
            <v>413405-9</v>
          </cell>
          <cell r="D1840" t="str">
            <v>CG09</v>
          </cell>
        </row>
        <row r="1841">
          <cell r="B1841">
            <v>40011157</v>
          </cell>
          <cell r="C1841" t="str">
            <v>638237-5</v>
          </cell>
          <cell r="D1841" t="str">
            <v>CG09</v>
          </cell>
        </row>
        <row r="1842">
          <cell r="B1842">
            <v>40006351</v>
          </cell>
          <cell r="C1842" t="str">
            <v>227806-3</v>
          </cell>
          <cell r="D1842" t="str">
            <v>CH01</v>
          </cell>
        </row>
        <row r="1843">
          <cell r="B1843">
            <v>40007922</v>
          </cell>
          <cell r="C1843" t="str">
            <v>651281-5</v>
          </cell>
          <cell r="D1843" t="str">
            <v>CH02</v>
          </cell>
        </row>
        <row r="1844">
          <cell r="B1844">
            <v>40006250</v>
          </cell>
          <cell r="C1844" t="str">
            <v>346048-1</v>
          </cell>
          <cell r="D1844" t="str">
            <v>CH03</v>
          </cell>
        </row>
        <row r="1845">
          <cell r="B1845">
            <v>40008167</v>
          </cell>
          <cell r="C1845" t="str">
            <v>324897-6</v>
          </cell>
          <cell r="D1845" t="str">
            <v>CH04</v>
          </cell>
        </row>
        <row r="1846">
          <cell r="B1846">
            <v>40005715</v>
          </cell>
          <cell r="C1846" t="str">
            <v>650724-4</v>
          </cell>
          <cell r="D1846" t="str">
            <v>CH05</v>
          </cell>
        </row>
        <row r="1847">
          <cell r="B1847">
            <v>40008305</v>
          </cell>
          <cell r="C1847" t="str">
            <v>140426-5</v>
          </cell>
          <cell r="D1847" t="str">
            <v>CH06</v>
          </cell>
        </row>
        <row r="1848">
          <cell r="B1848">
            <v>40006472</v>
          </cell>
          <cell r="C1848" t="str">
            <v>226399-7</v>
          </cell>
          <cell r="D1848" t="str">
            <v>CH07</v>
          </cell>
        </row>
        <row r="1849">
          <cell r="B1849">
            <v>40007370</v>
          </cell>
          <cell r="C1849" t="str">
            <v>231240-1</v>
          </cell>
          <cell r="D1849" t="str">
            <v>CH07</v>
          </cell>
        </row>
        <row r="1850">
          <cell r="B1850">
            <v>40010257</v>
          </cell>
          <cell r="C1850" t="str">
            <v>233343-7</v>
          </cell>
          <cell r="D1850" t="str">
            <v>CH07</v>
          </cell>
        </row>
        <row r="1851">
          <cell r="B1851">
            <v>40006865</v>
          </cell>
          <cell r="C1851" t="str">
            <v>267380-9</v>
          </cell>
          <cell r="D1851" t="str">
            <v>CH07</v>
          </cell>
        </row>
        <row r="1852">
          <cell r="B1852">
            <v>40008200</v>
          </cell>
          <cell r="C1852" t="str">
            <v>323819-3</v>
          </cell>
          <cell r="D1852" t="str">
            <v>CH07</v>
          </cell>
        </row>
        <row r="1853">
          <cell r="B1853">
            <v>40008202</v>
          </cell>
          <cell r="C1853" t="str">
            <v>231979-6</v>
          </cell>
          <cell r="D1853" t="str">
            <v>CH07</v>
          </cell>
        </row>
        <row r="1854">
          <cell r="B1854">
            <v>40007173</v>
          </cell>
          <cell r="C1854" t="str">
            <v>226044-4</v>
          </cell>
          <cell r="D1854" t="str">
            <v>CH08</v>
          </cell>
        </row>
        <row r="1855">
          <cell r="B1855">
            <v>40011830</v>
          </cell>
          <cell r="C1855" t="str">
            <v>457122-1</v>
          </cell>
          <cell r="D1855" t="str">
            <v>CH08</v>
          </cell>
        </row>
        <row r="1856">
          <cell r="B1856">
            <v>40006377</v>
          </cell>
          <cell r="C1856" t="str">
            <v>156971-0</v>
          </cell>
          <cell r="D1856" t="str">
            <v>CH09</v>
          </cell>
        </row>
        <row r="1857">
          <cell r="B1857">
            <v>40006439</v>
          </cell>
          <cell r="C1857" t="str">
            <v>123857-3</v>
          </cell>
          <cell r="D1857" t="str">
            <v>CI01</v>
          </cell>
        </row>
        <row r="1858">
          <cell r="B1858">
            <v>40010346</v>
          </cell>
          <cell r="C1858" t="str">
            <v>650555-1</v>
          </cell>
          <cell r="D1858" t="str">
            <v>CI01</v>
          </cell>
        </row>
        <row r="1859">
          <cell r="B1859">
            <v>40011754</v>
          </cell>
          <cell r="C1859" t="str">
            <v>224490-5</v>
          </cell>
          <cell r="D1859" t="str">
            <v>CI01</v>
          </cell>
        </row>
        <row r="1860">
          <cell r="B1860">
            <v>40010559</v>
          </cell>
          <cell r="C1860" t="str">
            <v>JM23200020</v>
          </cell>
          <cell r="D1860" t="str">
            <v>CI02</v>
          </cell>
        </row>
        <row r="1861">
          <cell r="B1861">
            <v>40005645</v>
          </cell>
          <cell r="C1861" t="str">
            <v>227811-0</v>
          </cell>
          <cell r="D1861" t="str">
            <v>CI02</v>
          </cell>
        </row>
        <row r="1862">
          <cell r="B1862">
            <v>40008225</v>
          </cell>
          <cell r="C1862" t="str">
            <v>226428-6</v>
          </cell>
          <cell r="D1862" t="str">
            <v>CI02</v>
          </cell>
        </row>
        <row r="1863">
          <cell r="B1863">
            <v>10019529</v>
          </cell>
          <cell r="C1863" t="str">
            <v>162279-2</v>
          </cell>
          <cell r="D1863" t="str">
            <v>CI03</v>
          </cell>
        </row>
        <row r="1864">
          <cell r="B1864">
            <v>40005243</v>
          </cell>
          <cell r="C1864" t="str">
            <v>631751-0</v>
          </cell>
          <cell r="D1864" t="str">
            <v>CI03</v>
          </cell>
        </row>
        <row r="1865">
          <cell r="B1865">
            <v>40007223</v>
          </cell>
          <cell r="C1865" t="str">
            <v>650645-0</v>
          </cell>
          <cell r="D1865" t="str">
            <v>CI04</v>
          </cell>
        </row>
        <row r="1866">
          <cell r="B1866">
            <v>40007858</v>
          </cell>
          <cell r="C1866" t="str">
            <v>651280-7</v>
          </cell>
          <cell r="D1866" t="str">
            <v>CI05</v>
          </cell>
        </row>
        <row r="1867">
          <cell r="B1867">
            <v>40005493</v>
          </cell>
          <cell r="C1867" t="str">
            <v>422594-9</v>
          </cell>
          <cell r="D1867" t="str">
            <v>CI06</v>
          </cell>
        </row>
        <row r="1868">
          <cell r="B1868">
            <v>40008127</v>
          </cell>
          <cell r="C1868" t="str">
            <v>227109-5</v>
          </cell>
          <cell r="D1868" t="str">
            <v>CI06</v>
          </cell>
        </row>
        <row r="1869">
          <cell r="B1869">
            <v>40005892</v>
          </cell>
          <cell r="C1869" t="str">
            <v>620848-0</v>
          </cell>
          <cell r="D1869" t="str">
            <v>CI07</v>
          </cell>
        </row>
        <row r="1870">
          <cell r="B1870">
            <v>40007132</v>
          </cell>
          <cell r="C1870" t="str">
            <v>638413-1</v>
          </cell>
          <cell r="D1870" t="str">
            <v>CI08</v>
          </cell>
        </row>
        <row r="1871">
          <cell r="B1871">
            <v>40007839</v>
          </cell>
          <cell r="C1871" t="str">
            <v>651260-3</v>
          </cell>
          <cell r="D1871" t="str">
            <v>CI09</v>
          </cell>
        </row>
        <row r="1872">
          <cell r="B1872">
            <v>10019768</v>
          </cell>
          <cell r="C1872">
            <v>3641000</v>
          </cell>
          <cell r="D1872" t="str">
            <v>CJ01</v>
          </cell>
        </row>
        <row r="1873">
          <cell r="B1873">
            <v>40005911</v>
          </cell>
          <cell r="C1873" t="str">
            <v>650673-5</v>
          </cell>
          <cell r="D1873" t="str">
            <v>CJ02</v>
          </cell>
        </row>
        <row r="1874">
          <cell r="B1874">
            <v>40003873</v>
          </cell>
          <cell r="C1874" t="str">
            <v>651256-4</v>
          </cell>
          <cell r="D1874" t="str">
            <v>CJ03</v>
          </cell>
        </row>
        <row r="1875">
          <cell r="B1875">
            <v>40008017</v>
          </cell>
          <cell r="C1875" t="str">
            <v>324247-5</v>
          </cell>
          <cell r="D1875" t="str">
            <v>CJ04</v>
          </cell>
        </row>
        <row r="1876">
          <cell r="B1876">
            <v>40007356</v>
          </cell>
          <cell r="C1876" t="str">
            <v>411426-5</v>
          </cell>
          <cell r="D1876" t="str">
            <v>CJ05</v>
          </cell>
        </row>
        <row r="1877">
          <cell r="B1877">
            <v>40007063</v>
          </cell>
          <cell r="C1877" t="str">
            <v>226589-2</v>
          </cell>
          <cell r="D1877" t="str">
            <v>CJ05</v>
          </cell>
        </row>
        <row r="1878">
          <cell r="B1878">
            <v>40006090</v>
          </cell>
          <cell r="C1878" t="str">
            <v>650710-5</v>
          </cell>
          <cell r="D1878" t="str">
            <v>CJ06</v>
          </cell>
        </row>
        <row r="1879">
          <cell r="B1879">
            <v>40007041</v>
          </cell>
          <cell r="C1879" t="str">
            <v>226467-6</v>
          </cell>
          <cell r="D1879" t="str">
            <v>CJ07</v>
          </cell>
        </row>
        <row r="1880">
          <cell r="B1880">
            <v>40005234</v>
          </cell>
          <cell r="C1880" t="str">
            <v>331792-3</v>
          </cell>
          <cell r="D1880" t="str">
            <v>CJ08</v>
          </cell>
        </row>
        <row r="1881">
          <cell r="B1881">
            <v>40008205</v>
          </cell>
          <cell r="C1881" t="str">
            <v>323820-8</v>
          </cell>
          <cell r="D1881" t="str">
            <v>CJ09</v>
          </cell>
        </row>
        <row r="1882">
          <cell r="B1882">
            <v>40008198</v>
          </cell>
          <cell r="C1882" t="str">
            <v>416410-5</v>
          </cell>
          <cell r="D1882" t="str">
            <v>CJ09</v>
          </cell>
        </row>
        <row r="1883">
          <cell r="B1883">
            <v>40006481</v>
          </cell>
          <cell r="C1883" t="str">
            <v>322702-1</v>
          </cell>
          <cell r="D1883" t="str">
            <v>CJ09</v>
          </cell>
        </row>
        <row r="1884">
          <cell r="B1884">
            <v>40007080</v>
          </cell>
          <cell r="C1884" t="str">
            <v>343641-2</v>
          </cell>
          <cell r="D1884" t="str">
            <v>CJ09</v>
          </cell>
        </row>
        <row r="1885">
          <cell r="B1885">
            <v>40005249</v>
          </cell>
          <cell r="C1885" t="str">
            <v>344341-7</v>
          </cell>
          <cell r="D1885" t="str">
            <v>CJ8</v>
          </cell>
        </row>
        <row r="1886">
          <cell r="B1886">
            <v>40005209</v>
          </cell>
          <cell r="C1886" t="str">
            <v>327155-9</v>
          </cell>
          <cell r="D1886" t="str">
            <v>CJ8</v>
          </cell>
        </row>
        <row r="1887">
          <cell r="B1887">
            <v>40007050</v>
          </cell>
          <cell r="C1887" t="str">
            <v>650518-7</v>
          </cell>
          <cell r="D1887" t="str">
            <v>CK01</v>
          </cell>
        </row>
        <row r="1888">
          <cell r="B1888">
            <v>40007685</v>
          </cell>
          <cell r="C1888" t="str">
            <v>221261-1</v>
          </cell>
          <cell r="D1888" t="str">
            <v>CK02</v>
          </cell>
        </row>
        <row r="1889">
          <cell r="B1889">
            <v>40007052</v>
          </cell>
          <cell r="C1889" t="str">
            <v>226586-8</v>
          </cell>
          <cell r="D1889" t="str">
            <v>CK03</v>
          </cell>
        </row>
        <row r="1890">
          <cell r="B1890">
            <v>40007636</v>
          </cell>
          <cell r="C1890" t="str">
            <v>227030-8</v>
          </cell>
          <cell r="D1890" t="str">
            <v>CK04</v>
          </cell>
        </row>
        <row r="1891">
          <cell r="B1891">
            <v>40007951</v>
          </cell>
          <cell r="C1891" t="str">
            <v>631427-9</v>
          </cell>
          <cell r="D1891" t="str">
            <v>CK05</v>
          </cell>
        </row>
        <row r="1892">
          <cell r="B1892">
            <v>40007358</v>
          </cell>
          <cell r="C1892" t="str">
            <v>226742-0</v>
          </cell>
          <cell r="D1892" t="str">
            <v>CK06</v>
          </cell>
        </row>
        <row r="1893">
          <cell r="B1893">
            <v>40007039</v>
          </cell>
          <cell r="C1893" t="str">
            <v>651424-9</v>
          </cell>
          <cell r="D1893" t="str">
            <v>CK06</v>
          </cell>
        </row>
        <row r="1894">
          <cell r="B1894">
            <v>40005539</v>
          </cell>
          <cell r="C1894" t="str">
            <v>455011-4</v>
          </cell>
          <cell r="D1894" t="str">
            <v>CK07</v>
          </cell>
        </row>
        <row r="1895">
          <cell r="B1895">
            <v>40008096</v>
          </cell>
          <cell r="C1895" t="str">
            <v>650621-4</v>
          </cell>
          <cell r="D1895" t="str">
            <v>CK07</v>
          </cell>
        </row>
        <row r="1896">
          <cell r="B1896">
            <v>40010398</v>
          </cell>
          <cell r="C1896" t="str">
            <v>651284-9</v>
          </cell>
          <cell r="D1896" t="str">
            <v>CK08</v>
          </cell>
        </row>
        <row r="1897">
          <cell r="B1897">
            <v>40005377</v>
          </cell>
          <cell r="C1897" t="str">
            <v>233633-8</v>
          </cell>
          <cell r="D1897" t="str">
            <v>CK09</v>
          </cell>
        </row>
        <row r="1898">
          <cell r="B1898">
            <v>40010979</v>
          </cell>
          <cell r="C1898" t="str">
            <v>451380-1</v>
          </cell>
          <cell r="D1898" t="str">
            <v>CK09</v>
          </cell>
        </row>
        <row r="1899">
          <cell r="B1899">
            <v>40007645</v>
          </cell>
          <cell r="C1899" t="str">
            <v>418728-0</v>
          </cell>
          <cell r="D1899" t="str">
            <v>CL01</v>
          </cell>
        </row>
        <row r="1900">
          <cell r="B1900">
            <v>40005864</v>
          </cell>
          <cell r="C1900" t="str">
            <v>325784-2</v>
          </cell>
          <cell r="D1900" t="str">
            <v>CL01</v>
          </cell>
        </row>
        <row r="1901">
          <cell r="B1901">
            <v>40011240</v>
          </cell>
          <cell r="C1901" t="str">
            <v>136012-8</v>
          </cell>
          <cell r="D1901" t="str">
            <v>CL02</v>
          </cell>
        </row>
        <row r="1902">
          <cell r="B1902">
            <v>40011239</v>
          </cell>
          <cell r="C1902" t="str">
            <v>211375-4</v>
          </cell>
          <cell r="D1902" t="str">
            <v>CL02</v>
          </cell>
        </row>
        <row r="1903">
          <cell r="B1903">
            <v>40006036</v>
          </cell>
          <cell r="C1903" t="str">
            <v>620226-4</v>
          </cell>
          <cell r="D1903" t="str">
            <v>CL03</v>
          </cell>
        </row>
        <row r="1904">
          <cell r="B1904">
            <v>40007030</v>
          </cell>
          <cell r="C1904" t="str">
            <v>227424-7</v>
          </cell>
          <cell r="D1904" t="str">
            <v>CL04</v>
          </cell>
        </row>
        <row r="1905">
          <cell r="B1905">
            <v>40007838</v>
          </cell>
          <cell r="C1905" t="str">
            <v>651016-4</v>
          </cell>
          <cell r="D1905" t="str">
            <v>CL05</v>
          </cell>
        </row>
        <row r="1906">
          <cell r="B1906">
            <v>40007890</v>
          </cell>
          <cell r="C1906" t="str">
            <v>631227-7</v>
          </cell>
          <cell r="D1906" t="str">
            <v>CL06</v>
          </cell>
        </row>
        <row r="1907">
          <cell r="B1907">
            <v>10017894</v>
          </cell>
          <cell r="C1907" t="str">
            <v>144787-5</v>
          </cell>
          <cell r="D1907" t="str">
            <v>CL06</v>
          </cell>
        </row>
        <row r="1908">
          <cell r="B1908">
            <v>40007997</v>
          </cell>
          <cell r="C1908" t="str">
            <v>638605-2</v>
          </cell>
          <cell r="D1908" t="str">
            <v>CL07</v>
          </cell>
        </row>
        <row r="1909">
          <cell r="B1909">
            <v>40008033</v>
          </cell>
          <cell r="C1909" t="str">
            <v>631657-2</v>
          </cell>
          <cell r="D1909" t="str">
            <v>CL08</v>
          </cell>
        </row>
        <row r="1910">
          <cell r="B1910">
            <v>40005185</v>
          </cell>
          <cell r="C1910" t="str">
            <v>153264-6</v>
          </cell>
          <cell r="D1910" t="str">
            <v>CL09</v>
          </cell>
        </row>
        <row r="1911">
          <cell r="B1911">
            <v>40005175</v>
          </cell>
          <cell r="C1911" t="str">
            <v>331815-7</v>
          </cell>
          <cell r="D1911" t="str">
            <v>CL09</v>
          </cell>
        </row>
        <row r="1912">
          <cell r="B1912">
            <v>40007935</v>
          </cell>
          <cell r="C1912" t="str">
            <v>651023-7</v>
          </cell>
          <cell r="D1912" t="str">
            <v>CM01</v>
          </cell>
        </row>
        <row r="1913">
          <cell r="B1913">
            <v>40007396</v>
          </cell>
          <cell r="C1913" t="str">
            <v>262536-9</v>
          </cell>
          <cell r="D1913" t="str">
            <v>CM02</v>
          </cell>
        </row>
        <row r="1914">
          <cell r="B1914">
            <v>40005701</v>
          </cell>
          <cell r="C1914" t="str">
            <v>650597-5</v>
          </cell>
          <cell r="D1914" t="str">
            <v>CM03</v>
          </cell>
        </row>
        <row r="1915">
          <cell r="B1915">
            <v>40008098</v>
          </cell>
          <cell r="C1915" t="str">
            <v>638387-6</v>
          </cell>
          <cell r="D1915" t="str">
            <v>CM04</v>
          </cell>
        </row>
        <row r="1916">
          <cell r="B1916">
            <v>40007613</v>
          </cell>
          <cell r="C1916" t="str">
            <v>222062-0</v>
          </cell>
          <cell r="D1916" t="str">
            <v>CM05</v>
          </cell>
        </row>
        <row r="1917">
          <cell r="B1917">
            <v>40007046</v>
          </cell>
          <cell r="C1917">
            <v>21160001</v>
          </cell>
          <cell r="D1917" t="str">
            <v>CM06</v>
          </cell>
        </row>
        <row r="1918">
          <cell r="B1918">
            <v>40007978</v>
          </cell>
          <cell r="C1918" t="str">
            <v>643830-2</v>
          </cell>
          <cell r="D1918" t="str">
            <v>CM07</v>
          </cell>
        </row>
        <row r="1919">
          <cell r="B1919">
            <v>40006675</v>
          </cell>
          <cell r="C1919" t="str">
            <v>324781-5</v>
          </cell>
          <cell r="D1919" t="str">
            <v>CM08</v>
          </cell>
        </row>
        <row r="1920">
          <cell r="B1920">
            <v>40007038</v>
          </cell>
          <cell r="C1920" t="str">
            <v>650691-3</v>
          </cell>
          <cell r="D1920" t="str">
            <v>CM09</v>
          </cell>
        </row>
        <row r="1921">
          <cell r="B1921">
            <v>40008141</v>
          </cell>
          <cell r="C1921" t="str">
            <v>643844-1</v>
          </cell>
          <cell r="D1921" t="str">
            <v>CN01</v>
          </cell>
        </row>
        <row r="1922">
          <cell r="B1922">
            <v>40007407</v>
          </cell>
          <cell r="C1922" t="str">
            <v>221730-2</v>
          </cell>
          <cell r="D1922" t="str">
            <v>CN02</v>
          </cell>
        </row>
        <row r="1923">
          <cell r="B1923">
            <v>40006942</v>
          </cell>
          <cell r="C1923" t="str">
            <v>164496-0</v>
          </cell>
          <cell r="D1923" t="str">
            <v>CN03</v>
          </cell>
        </row>
        <row r="1924">
          <cell r="B1924">
            <v>40008237</v>
          </cell>
          <cell r="C1924" t="str">
            <v>272221-6</v>
          </cell>
          <cell r="D1924" t="str">
            <v>CN04</v>
          </cell>
        </row>
        <row r="1925">
          <cell r="B1925">
            <v>40007326</v>
          </cell>
          <cell r="C1925" t="str">
            <v>631598-2</v>
          </cell>
          <cell r="D1925" t="str">
            <v>CN05</v>
          </cell>
        </row>
        <row r="1926">
          <cell r="B1926">
            <v>40007149</v>
          </cell>
          <cell r="C1926" t="str">
            <v>631865-5</v>
          </cell>
          <cell r="D1926" t="str">
            <v>CN06</v>
          </cell>
        </row>
        <row r="1927">
          <cell r="B1927">
            <v>40006113</v>
          </cell>
          <cell r="C1927" t="str">
            <v>272230-5</v>
          </cell>
          <cell r="D1927" t="str">
            <v>CN07</v>
          </cell>
        </row>
        <row r="1928">
          <cell r="B1928">
            <v>40008317</v>
          </cell>
          <cell r="C1928" t="str">
            <v>651193-2</v>
          </cell>
          <cell r="D1928" t="str">
            <v>CN08</v>
          </cell>
        </row>
        <row r="1929">
          <cell r="B1929">
            <v>40008307</v>
          </cell>
          <cell r="C1929" t="str">
            <v>631784-5</v>
          </cell>
          <cell r="D1929" t="str">
            <v>CN08</v>
          </cell>
        </row>
        <row r="1930">
          <cell r="B1930">
            <v>40006197</v>
          </cell>
          <cell r="C1930" t="str">
            <v>632k62-2</v>
          </cell>
          <cell r="D1930" t="str">
            <v>CN09</v>
          </cell>
        </row>
        <row r="1931">
          <cell r="B1931">
            <v>40007054</v>
          </cell>
          <cell r="C1931" t="str">
            <v>650508-0</v>
          </cell>
          <cell r="D1931" t="str">
            <v>CO01</v>
          </cell>
        </row>
        <row r="1932">
          <cell r="B1932">
            <v>40007187</v>
          </cell>
          <cell r="C1932" t="str">
            <v>323685-8</v>
          </cell>
          <cell r="D1932" t="str">
            <v>CO02</v>
          </cell>
        </row>
        <row r="1933">
          <cell r="B1933">
            <v>40006432</v>
          </cell>
          <cell r="C1933" t="str">
            <v>424058-9</v>
          </cell>
          <cell r="D1933" t="str">
            <v>CO03</v>
          </cell>
        </row>
        <row r="1934">
          <cell r="B1934">
            <v>40011144</v>
          </cell>
          <cell r="C1934" t="str">
            <v>682566-8</v>
          </cell>
          <cell r="D1934" t="str">
            <v>CO03</v>
          </cell>
        </row>
        <row r="1935">
          <cell r="B1935">
            <v>40008311</v>
          </cell>
          <cell r="C1935" t="str">
            <v>650672-7</v>
          </cell>
          <cell r="D1935" t="str">
            <v>CO04</v>
          </cell>
        </row>
        <row r="1936">
          <cell r="B1936">
            <v>40008031</v>
          </cell>
          <cell r="C1936" t="str">
            <v>651189-3</v>
          </cell>
          <cell r="D1936" t="str">
            <v>CO05</v>
          </cell>
        </row>
        <row r="1937">
          <cell r="B1937">
            <v>40007036</v>
          </cell>
          <cell r="C1937" t="str">
            <v>650616-7</v>
          </cell>
          <cell r="D1937" t="str">
            <v>CO06</v>
          </cell>
        </row>
        <row r="1938">
          <cell r="B1938">
            <v>40007037</v>
          </cell>
          <cell r="C1938" t="str">
            <v>153449-4</v>
          </cell>
          <cell r="D1938" t="str">
            <v>CO07</v>
          </cell>
        </row>
        <row r="1939">
          <cell r="B1939">
            <v>40007984</v>
          </cell>
          <cell r="C1939" t="str">
            <v>651941-9</v>
          </cell>
          <cell r="D1939" t="str">
            <v>CO08</v>
          </cell>
        </row>
        <row r="1940">
          <cell r="B1940">
            <v>40006161</v>
          </cell>
          <cell r="C1940" t="str">
            <v>324821-9</v>
          </cell>
          <cell r="D1940" t="str">
            <v>CO09</v>
          </cell>
        </row>
        <row r="1941">
          <cell r="B1941">
            <v>40005369</v>
          </cell>
          <cell r="C1941" t="str">
            <v>620586-4</v>
          </cell>
          <cell r="D1941" t="str">
            <v>CP1</v>
          </cell>
        </row>
        <row r="1942">
          <cell r="B1942">
            <v>40007929</v>
          </cell>
          <cell r="C1942" t="str">
            <v>345342-8</v>
          </cell>
          <cell r="D1942" t="str">
            <v>CP10</v>
          </cell>
        </row>
        <row r="1943">
          <cell r="B1943">
            <v>40005370</v>
          </cell>
          <cell r="C1943" t="str">
            <v>JM21000135</v>
          </cell>
          <cell r="D1943" t="str">
            <v>CP11</v>
          </cell>
        </row>
        <row r="1944">
          <cell r="B1944">
            <v>40006914</v>
          </cell>
          <cell r="C1944" t="str">
            <v>452018-1</v>
          </cell>
          <cell r="D1944" t="str">
            <v>CP12</v>
          </cell>
        </row>
        <row r="1945">
          <cell r="B1945">
            <v>40006173</v>
          </cell>
          <cell r="C1945" t="str">
            <v>227359-2</v>
          </cell>
          <cell r="D1945" t="str">
            <v>CP13</v>
          </cell>
        </row>
        <row r="1946">
          <cell r="B1946">
            <v>40005859</v>
          </cell>
          <cell r="C1946" t="str">
            <v>310345-1</v>
          </cell>
          <cell r="D1946" t="str">
            <v>CP14</v>
          </cell>
        </row>
        <row r="1947">
          <cell r="B1947">
            <v>40006920</v>
          </cell>
          <cell r="C1947" t="str">
            <v>422068-0</v>
          </cell>
          <cell r="D1947" t="str">
            <v>CP15</v>
          </cell>
        </row>
        <row r="1948">
          <cell r="B1948">
            <v>40005422</v>
          </cell>
          <cell r="C1948">
            <v>3640990</v>
          </cell>
          <cell r="D1948" t="str">
            <v>CP17</v>
          </cell>
        </row>
        <row r="1949">
          <cell r="B1949">
            <v>40006974</v>
          </cell>
          <cell r="C1949" t="str">
            <v>316849-1</v>
          </cell>
          <cell r="D1949" t="str">
            <v>CP2</v>
          </cell>
        </row>
        <row r="1950">
          <cell r="B1950">
            <v>40005829</v>
          </cell>
          <cell r="C1950" t="str">
            <v>451930-2</v>
          </cell>
          <cell r="D1950" t="str">
            <v>CP3</v>
          </cell>
        </row>
        <row r="1951">
          <cell r="B1951">
            <v>40011741</v>
          </cell>
          <cell r="C1951" t="str">
            <v>651409-5</v>
          </cell>
          <cell r="D1951" t="str">
            <v>CP4</v>
          </cell>
        </row>
        <row r="1952">
          <cell r="B1952">
            <v>40007099</v>
          </cell>
          <cell r="C1952" t="str">
            <v>345160-4</v>
          </cell>
          <cell r="D1952" t="str">
            <v>CP5</v>
          </cell>
        </row>
        <row r="1953">
          <cell r="B1953">
            <v>40005845</v>
          </cell>
          <cell r="C1953" t="str">
            <v>AL00000168</v>
          </cell>
          <cell r="D1953" t="str">
            <v>CP6</v>
          </cell>
        </row>
        <row r="1954">
          <cell r="B1954">
            <v>40005633</v>
          </cell>
          <cell r="C1954">
            <v>3640720</v>
          </cell>
          <cell r="D1954" t="str">
            <v>CP7</v>
          </cell>
        </row>
        <row r="1955">
          <cell r="B1955">
            <v>40005634</v>
          </cell>
          <cell r="C1955">
            <v>3640850</v>
          </cell>
          <cell r="D1955" t="str">
            <v>CP8</v>
          </cell>
        </row>
        <row r="1956">
          <cell r="B1956">
            <v>40005886</v>
          </cell>
          <cell r="C1956" t="str">
            <v>643760-7</v>
          </cell>
          <cell r="D1956" t="str">
            <v>CP9</v>
          </cell>
        </row>
        <row r="1957">
          <cell r="B1957">
            <v>40007376</v>
          </cell>
          <cell r="C1957">
            <v>965603018</v>
          </cell>
          <cell r="D1957" t="str">
            <v>WA01</v>
          </cell>
        </row>
        <row r="1958">
          <cell r="B1958">
            <v>40011243</v>
          </cell>
          <cell r="C1958" t="str">
            <v>265367-5</v>
          </cell>
          <cell r="D1958" t="str">
            <v>WA02</v>
          </cell>
        </row>
        <row r="1959">
          <cell r="B1959">
            <v>40010776</v>
          </cell>
          <cell r="C1959" t="str">
            <v>650551-9</v>
          </cell>
          <cell r="D1959" t="str">
            <v>WA02</v>
          </cell>
        </row>
        <row r="1960">
          <cell r="B1960">
            <v>40005719</v>
          </cell>
          <cell r="C1960">
            <v>957223092</v>
          </cell>
          <cell r="D1960" t="str">
            <v>WA03</v>
          </cell>
        </row>
        <row r="1961">
          <cell r="B1961">
            <v>40006355</v>
          </cell>
          <cell r="C1961" t="str">
            <v>126460-9</v>
          </cell>
          <cell r="D1961" t="str">
            <v>WA04</v>
          </cell>
        </row>
        <row r="1962">
          <cell r="B1962">
            <v>40008298</v>
          </cell>
          <cell r="C1962" t="str">
            <v>123191-1</v>
          </cell>
          <cell r="D1962" t="str">
            <v>WA05</v>
          </cell>
        </row>
        <row r="1963">
          <cell r="B1963">
            <v>40007024</v>
          </cell>
          <cell r="C1963" t="str">
            <v>317285-4</v>
          </cell>
          <cell r="D1963" t="str">
            <v>WA06</v>
          </cell>
        </row>
        <row r="1964">
          <cell r="B1964">
            <v>40006138</v>
          </cell>
          <cell r="C1964" t="str">
            <v>638886-8</v>
          </cell>
          <cell r="D1964" t="str">
            <v>WA07</v>
          </cell>
        </row>
        <row r="1965">
          <cell r="B1965">
            <v>40011602</v>
          </cell>
          <cell r="C1965" t="str">
            <v>416523-2</v>
          </cell>
          <cell r="D1965" t="str">
            <v>WA08</v>
          </cell>
        </row>
        <row r="1966">
          <cell r="B1966">
            <v>40011601</v>
          </cell>
          <cell r="C1966" t="str">
            <v>325226-6</v>
          </cell>
          <cell r="D1966" t="str">
            <v>WA08</v>
          </cell>
        </row>
        <row r="1967">
          <cell r="B1967">
            <v>40011237</v>
          </cell>
          <cell r="C1967" t="str">
            <v>453847-5</v>
          </cell>
          <cell r="D1967" t="str">
            <v>WA09</v>
          </cell>
        </row>
        <row r="1968">
          <cell r="B1968">
            <v>40011245</v>
          </cell>
          <cell r="C1968" t="str">
            <v>265903-7</v>
          </cell>
          <cell r="D1968" t="str">
            <v>WA09</v>
          </cell>
        </row>
        <row r="1969">
          <cell r="B1969">
            <v>40007015</v>
          </cell>
          <cell r="C1969" t="str">
            <v>317553-5</v>
          </cell>
          <cell r="D1969" t="str">
            <v>WA10</v>
          </cell>
        </row>
        <row r="1970">
          <cell r="B1970">
            <v>40007556</v>
          </cell>
          <cell r="C1970" t="str">
            <v>JM23100186</v>
          </cell>
          <cell r="D1970" t="str">
            <v>WA11</v>
          </cell>
        </row>
        <row r="1971">
          <cell r="B1971">
            <v>40007622</v>
          </cell>
          <cell r="C1971" t="str">
            <v>225071-8</v>
          </cell>
          <cell r="D1971" t="str">
            <v>WA12</v>
          </cell>
        </row>
        <row r="1972">
          <cell r="B1972">
            <v>40008049</v>
          </cell>
          <cell r="C1972" t="str">
            <v>324942-7</v>
          </cell>
          <cell r="D1972" t="str">
            <v>WA13</v>
          </cell>
        </row>
        <row r="1973">
          <cell r="B1973">
            <v>40011596</v>
          </cell>
          <cell r="C1973" t="str">
            <v>424053-9</v>
          </cell>
          <cell r="D1973" t="str">
            <v>WA14</v>
          </cell>
        </row>
        <row r="1974">
          <cell r="B1974">
            <v>40011594</v>
          </cell>
          <cell r="C1974" t="str">
            <v>345237-5</v>
          </cell>
          <cell r="D1974" t="str">
            <v>WA14</v>
          </cell>
        </row>
        <row r="1975">
          <cell r="B1975">
            <v>40011587</v>
          </cell>
          <cell r="C1975" t="str">
            <v>347944-6</v>
          </cell>
          <cell r="D1975" t="str">
            <v>WA14</v>
          </cell>
        </row>
        <row r="1976">
          <cell r="B1976">
            <v>40005402</v>
          </cell>
          <cell r="C1976" t="str">
            <v>231638-2</v>
          </cell>
          <cell r="D1976" t="str">
            <v>WA15</v>
          </cell>
        </row>
        <row r="1977">
          <cell r="B1977">
            <v>40005400</v>
          </cell>
          <cell r="C1977" t="str">
            <v>257390-4</v>
          </cell>
          <cell r="D1977" t="str">
            <v>WA15</v>
          </cell>
        </row>
        <row r="1978">
          <cell r="B1978">
            <v>40007114</v>
          </cell>
          <cell r="C1978" t="str">
            <v>650543-8</v>
          </cell>
          <cell r="D1978" t="str">
            <v>WA16</v>
          </cell>
        </row>
        <row r="1979">
          <cell r="B1979">
            <v>40005385</v>
          </cell>
          <cell r="C1979" t="str">
            <v>140736-0</v>
          </cell>
          <cell r="D1979" t="str">
            <v>WA17</v>
          </cell>
        </row>
        <row r="1980">
          <cell r="B1980">
            <v>40006058</v>
          </cell>
          <cell r="C1980" t="str">
            <v>418326-0</v>
          </cell>
          <cell r="D1980" t="str">
            <v>WA17</v>
          </cell>
        </row>
        <row r="1981">
          <cell r="B1981">
            <v>40008004</v>
          </cell>
          <cell r="C1981" t="str">
            <v>158574-6</v>
          </cell>
          <cell r="D1981" t="str">
            <v>WA18</v>
          </cell>
        </row>
        <row r="1982">
          <cell r="B1982">
            <v>40011829</v>
          </cell>
          <cell r="C1982" t="str">
            <v>651065-1</v>
          </cell>
          <cell r="D1982" t="str">
            <v>WA19</v>
          </cell>
        </row>
        <row r="1983">
          <cell r="B1983">
            <v>40005961</v>
          </cell>
          <cell r="C1983" t="str">
            <v>453368-7</v>
          </cell>
          <cell r="D1983" t="str">
            <v>WA19</v>
          </cell>
        </row>
        <row r="1984">
          <cell r="B1984">
            <v>40005837</v>
          </cell>
          <cell r="C1984" t="str">
            <v>S-593260</v>
          </cell>
          <cell r="D1984" t="str">
            <v>WA20</v>
          </cell>
        </row>
        <row r="1985">
          <cell r="B1985">
            <v>40007257</v>
          </cell>
          <cell r="C1985" t="str">
            <v>631239-0</v>
          </cell>
          <cell r="D1985" t="str">
            <v>WA22</v>
          </cell>
        </row>
        <row r="1986">
          <cell r="B1986">
            <v>40007153</v>
          </cell>
          <cell r="C1986" t="str">
            <v>164744-7</v>
          </cell>
          <cell r="D1986" t="str">
            <v>WA23</v>
          </cell>
        </row>
        <row r="1987">
          <cell r="B1987">
            <v>40005371</v>
          </cell>
          <cell r="C1987" t="str">
            <v>123100-0</v>
          </cell>
          <cell r="D1987" t="str">
            <v>WA23</v>
          </cell>
        </row>
        <row r="1988">
          <cell r="B1988">
            <v>40005537</v>
          </cell>
          <cell r="C1988" t="str">
            <v>644808-8</v>
          </cell>
          <cell r="D1988" t="str">
            <v>WA24</v>
          </cell>
        </row>
        <row r="1989">
          <cell r="B1989">
            <v>40006622</v>
          </cell>
          <cell r="C1989" t="str">
            <v>232411-3</v>
          </cell>
          <cell r="D1989" t="str">
            <v>WA24</v>
          </cell>
        </row>
        <row r="1990">
          <cell r="B1990">
            <v>40006590</v>
          </cell>
          <cell r="C1990" t="str">
            <v>140R54-4</v>
          </cell>
          <cell r="D1990" t="str">
            <v>WA24</v>
          </cell>
        </row>
        <row r="1991">
          <cell r="B1991">
            <v>40006631</v>
          </cell>
          <cell r="C1991" t="str">
            <v>232623-8</v>
          </cell>
          <cell r="D1991" t="str">
            <v>WA24</v>
          </cell>
        </row>
        <row r="1992">
          <cell r="B1992">
            <v>40006638</v>
          </cell>
          <cell r="C1992" t="str">
            <v>234288-2</v>
          </cell>
          <cell r="D1992" t="str">
            <v>WA24</v>
          </cell>
        </row>
        <row r="1993">
          <cell r="B1993">
            <v>40006681</v>
          </cell>
          <cell r="C1993" t="str">
            <v>271460-5</v>
          </cell>
          <cell r="D1993" t="str">
            <v>WA24</v>
          </cell>
        </row>
        <row r="1994">
          <cell r="B1994">
            <v>40005467</v>
          </cell>
          <cell r="C1994" t="str">
            <v>412480-2</v>
          </cell>
          <cell r="D1994" t="str">
            <v>WA24</v>
          </cell>
        </row>
        <row r="1995">
          <cell r="B1995">
            <v>40008107</v>
          </cell>
          <cell r="C1995" t="str">
            <v>417993-8</v>
          </cell>
          <cell r="D1995" t="str">
            <v>WA24</v>
          </cell>
        </row>
        <row r="1996">
          <cell r="B1996">
            <v>40007845</v>
          </cell>
          <cell r="C1996" t="str">
            <v>410127-2</v>
          </cell>
          <cell r="D1996" t="str">
            <v>WA25</v>
          </cell>
        </row>
        <row r="1997">
          <cell r="B1997">
            <v>40005826</v>
          </cell>
          <cell r="C1997" t="str">
            <v>142074-6</v>
          </cell>
          <cell r="D1997" t="str">
            <v>WA26</v>
          </cell>
        </row>
        <row r="1998">
          <cell r="B1998">
            <v>40005466</v>
          </cell>
          <cell r="C1998" t="str">
            <v>140L37-8</v>
          </cell>
          <cell r="D1998" t="str">
            <v>WA27</v>
          </cell>
        </row>
        <row r="1999">
          <cell r="B1999">
            <v>40005454</v>
          </cell>
          <cell r="C1999" t="str">
            <v>141D19-5</v>
          </cell>
          <cell r="D1999" t="str">
            <v>WA27</v>
          </cell>
        </row>
        <row r="2000">
          <cell r="B2000">
            <v>10041633</v>
          </cell>
          <cell r="C2000" t="str">
            <v>166078-4</v>
          </cell>
          <cell r="D2000" t="str">
            <v>WA27</v>
          </cell>
        </row>
        <row r="2001">
          <cell r="B2001">
            <v>40008318</v>
          </cell>
          <cell r="C2001" t="str">
            <v>226656-3</v>
          </cell>
          <cell r="D2001" t="str">
            <v>WA28</v>
          </cell>
        </row>
        <row r="2002">
          <cell r="B2002">
            <v>40007930</v>
          </cell>
          <cell r="C2002" t="str">
            <v>650626-4</v>
          </cell>
          <cell r="D2002" t="str">
            <v>WA28</v>
          </cell>
        </row>
        <row r="2003">
          <cell r="B2003">
            <v>40007276</v>
          </cell>
          <cell r="C2003" t="str">
            <v>651568-5</v>
          </cell>
          <cell r="D2003" t="str">
            <v>WA28</v>
          </cell>
        </row>
        <row r="2004">
          <cell r="B2004">
            <v>40007940</v>
          </cell>
          <cell r="C2004" t="str">
            <v>JM27000142</v>
          </cell>
          <cell r="D2004" t="str">
            <v>WA28</v>
          </cell>
        </row>
        <row r="2005">
          <cell r="B2005">
            <v>40008038</v>
          </cell>
          <cell r="C2005" t="str">
            <v>451267-7</v>
          </cell>
          <cell r="D2005" t="str">
            <v>WA29</v>
          </cell>
        </row>
        <row r="2006">
          <cell r="B2006">
            <v>40011407</v>
          </cell>
          <cell r="C2006" t="str">
            <v>241851-4</v>
          </cell>
          <cell r="D2006" t="str">
            <v>WA29</v>
          </cell>
        </row>
        <row r="2007">
          <cell r="B2007">
            <v>40011404</v>
          </cell>
          <cell r="C2007" t="str">
            <v>346924-9</v>
          </cell>
          <cell r="D2007" t="str">
            <v>WA29</v>
          </cell>
        </row>
        <row r="2008">
          <cell r="B2008">
            <v>40006708</v>
          </cell>
          <cell r="C2008" t="str">
            <v>140433-8</v>
          </cell>
          <cell r="D2008" t="str">
            <v>WA30</v>
          </cell>
        </row>
        <row r="2009">
          <cell r="B2009">
            <v>40005322</v>
          </cell>
          <cell r="C2009" t="str">
            <v>127397-3</v>
          </cell>
          <cell r="D2009" t="str">
            <v>WA31</v>
          </cell>
        </row>
        <row r="2010">
          <cell r="B2010">
            <v>40007514</v>
          </cell>
          <cell r="C2010">
            <v>20173202</v>
          </cell>
          <cell r="D2010" t="str">
            <v>WA31</v>
          </cell>
        </row>
        <row r="2011">
          <cell r="B2011">
            <v>40005838</v>
          </cell>
          <cell r="C2011" t="str">
            <v>140L18-2</v>
          </cell>
          <cell r="D2011" t="str">
            <v>WA32</v>
          </cell>
        </row>
        <row r="2012">
          <cell r="B2012">
            <v>40005842</v>
          </cell>
          <cell r="C2012" t="str">
            <v>620J73-3</v>
          </cell>
          <cell r="D2012" t="str">
            <v>WA33</v>
          </cell>
        </row>
        <row r="2013">
          <cell r="B2013">
            <v>40011334</v>
          </cell>
          <cell r="C2013" t="str">
            <v>JM27000321</v>
          </cell>
          <cell r="D2013" t="str">
            <v>WA34</v>
          </cell>
        </row>
        <row r="2014">
          <cell r="B2014">
            <v>40005833</v>
          </cell>
          <cell r="C2014" t="str">
            <v>620564-4</v>
          </cell>
          <cell r="D2014" t="str">
            <v>WA34</v>
          </cell>
        </row>
        <row r="2015">
          <cell r="B2015">
            <v>40005788</v>
          </cell>
          <cell r="C2015" t="str">
            <v>620578-3</v>
          </cell>
          <cell r="D2015" t="str">
            <v>WA35</v>
          </cell>
        </row>
        <row r="2016">
          <cell r="B2016">
            <v>40011919</v>
          </cell>
          <cell r="C2016" t="str">
            <v>632V64-4</v>
          </cell>
          <cell r="D2016" t="str">
            <v>WA35</v>
          </cell>
        </row>
        <row r="2017">
          <cell r="B2017">
            <v>40005325</v>
          </cell>
          <cell r="C2017" t="str">
            <v>123847-6</v>
          </cell>
          <cell r="D2017" t="str">
            <v>WA36</v>
          </cell>
        </row>
        <row r="2018">
          <cell r="B2018">
            <v>40007340</v>
          </cell>
          <cell r="C2018" t="str">
            <v>157407-2</v>
          </cell>
          <cell r="D2018" t="str">
            <v>WA36</v>
          </cell>
        </row>
        <row r="2019">
          <cell r="B2019">
            <v>40006661</v>
          </cell>
          <cell r="C2019" t="str">
            <v>924216-2</v>
          </cell>
          <cell r="D2019" t="str">
            <v>WA37</v>
          </cell>
        </row>
        <row r="2020">
          <cell r="B2020">
            <v>40005494</v>
          </cell>
          <cell r="C2020" t="str">
            <v>422610-7</v>
          </cell>
          <cell r="D2020" t="str">
            <v>WA37</v>
          </cell>
        </row>
        <row r="2021">
          <cell r="B2021">
            <v>40006809</v>
          </cell>
          <cell r="C2021" t="str">
            <v>125311-3</v>
          </cell>
          <cell r="D2021" t="str">
            <v>WA37</v>
          </cell>
        </row>
        <row r="2022">
          <cell r="B2022">
            <v>40007127</v>
          </cell>
          <cell r="C2022" t="str">
            <v>JM27000162</v>
          </cell>
          <cell r="D2022" t="str">
            <v>WA37</v>
          </cell>
        </row>
        <row r="2023">
          <cell r="B2023">
            <v>40005871</v>
          </cell>
          <cell r="C2023" t="str">
            <v>S-797434</v>
          </cell>
          <cell r="D2023" t="str">
            <v>WA37</v>
          </cell>
        </row>
        <row r="2024">
          <cell r="B2024">
            <v>40005550</v>
          </cell>
          <cell r="C2024" t="str">
            <v>620B96-3</v>
          </cell>
          <cell r="D2024" t="str">
            <v>WA37</v>
          </cell>
        </row>
        <row r="2025">
          <cell r="B2025">
            <v>40008217</v>
          </cell>
          <cell r="C2025" t="str">
            <v>153389-6</v>
          </cell>
          <cell r="D2025" t="str">
            <v>WA38</v>
          </cell>
        </row>
        <row r="2026">
          <cell r="B2026">
            <v>40008050</v>
          </cell>
          <cell r="C2026" t="str">
            <v>183464-4</v>
          </cell>
          <cell r="D2026" t="str">
            <v>WA38</v>
          </cell>
        </row>
        <row r="2027">
          <cell r="B2027">
            <v>40010380</v>
          </cell>
          <cell r="C2027" t="str">
            <v>620033-5</v>
          </cell>
          <cell r="D2027" t="str">
            <v>WA39</v>
          </cell>
        </row>
        <row r="2028">
          <cell r="B2028">
            <v>40008249</v>
          </cell>
          <cell r="C2028" t="str">
            <v>225008-5</v>
          </cell>
          <cell r="D2028" t="str">
            <v>WA39</v>
          </cell>
        </row>
        <row r="2029">
          <cell r="B2029">
            <v>40007199</v>
          </cell>
          <cell r="C2029" t="str">
            <v>419407-3</v>
          </cell>
          <cell r="D2029" t="str">
            <v>WA40</v>
          </cell>
        </row>
        <row r="2030">
          <cell r="B2030">
            <v>40006699</v>
          </cell>
          <cell r="C2030" t="str">
            <v>225520-5</v>
          </cell>
          <cell r="D2030" t="str">
            <v>WA40</v>
          </cell>
        </row>
        <row r="2031">
          <cell r="B2031">
            <v>40008214</v>
          </cell>
          <cell r="C2031" t="str">
            <v>416003-8</v>
          </cell>
          <cell r="D2031" t="str">
            <v>WA40</v>
          </cell>
        </row>
        <row r="2032">
          <cell r="B2032">
            <v>40011599</v>
          </cell>
          <cell r="C2032" t="str">
            <v>620149-6</v>
          </cell>
          <cell r="D2032" t="str">
            <v>WA41</v>
          </cell>
        </row>
        <row r="2033">
          <cell r="B2033">
            <v>40011585</v>
          </cell>
          <cell r="C2033" t="str">
            <v>TP00000209</v>
          </cell>
          <cell r="D2033" t="str">
            <v>WA41</v>
          </cell>
        </row>
        <row r="2034">
          <cell r="B2034">
            <v>40007186</v>
          </cell>
          <cell r="C2034" t="str">
            <v>273666-1</v>
          </cell>
          <cell r="D2034" t="str">
            <v>WA41</v>
          </cell>
        </row>
        <row r="2035">
          <cell r="B2035">
            <v>40005350</v>
          </cell>
          <cell r="C2035" t="str">
            <v>241673-2</v>
          </cell>
          <cell r="D2035" t="str">
            <v>WA42</v>
          </cell>
        </row>
        <row r="2036">
          <cell r="B2036">
            <v>40007737</v>
          </cell>
          <cell r="C2036" t="str">
            <v>165071-5</v>
          </cell>
          <cell r="D2036" t="str">
            <v>WA42</v>
          </cell>
        </row>
        <row r="2037">
          <cell r="B2037">
            <v>40005814</v>
          </cell>
          <cell r="C2037" t="str">
            <v>187163-0</v>
          </cell>
          <cell r="D2037" t="str">
            <v>WA42</v>
          </cell>
        </row>
        <row r="2038">
          <cell r="B2038">
            <v>40006091</v>
          </cell>
          <cell r="C2038" t="str">
            <v>219014-0</v>
          </cell>
          <cell r="D2038" t="str">
            <v>WA43</v>
          </cell>
        </row>
        <row r="2039">
          <cell r="B2039">
            <v>10029917</v>
          </cell>
          <cell r="C2039" t="str">
            <v>HY00000911</v>
          </cell>
          <cell r="D2039" t="str">
            <v>WA43</v>
          </cell>
        </row>
        <row r="2040">
          <cell r="B2040">
            <v>40006542</v>
          </cell>
          <cell r="C2040" t="str">
            <v>126290-8</v>
          </cell>
          <cell r="D2040" t="str">
            <v>WA43</v>
          </cell>
        </row>
        <row r="2041">
          <cell r="B2041">
            <v>40011162</v>
          </cell>
          <cell r="C2041" t="str">
            <v>325659-5</v>
          </cell>
          <cell r="D2041" t="str">
            <v>WA44</v>
          </cell>
        </row>
        <row r="2042">
          <cell r="B2042">
            <v>40007310</v>
          </cell>
          <cell r="C2042" t="str">
            <v>418725-6</v>
          </cell>
          <cell r="D2042" t="str">
            <v>WA44</v>
          </cell>
        </row>
        <row r="2043">
          <cell r="B2043">
            <v>40007314</v>
          </cell>
          <cell r="C2043">
            <v>26160640</v>
          </cell>
          <cell r="D2043" t="str">
            <v>WA44</v>
          </cell>
        </row>
        <row r="2044">
          <cell r="B2044">
            <v>40005827</v>
          </cell>
          <cell r="C2044" t="str">
            <v>227764-3</v>
          </cell>
          <cell r="D2044" t="str">
            <v>WA44</v>
          </cell>
        </row>
        <row r="2045">
          <cell r="B2045">
            <v>40007683</v>
          </cell>
          <cell r="C2045" t="str">
            <v>221623-3</v>
          </cell>
          <cell r="D2045" t="str">
            <v>WA45</v>
          </cell>
        </row>
        <row r="2046">
          <cell r="B2046">
            <v>40006976</v>
          </cell>
          <cell r="C2046" t="str">
            <v>140480-9</v>
          </cell>
          <cell r="D2046" t="str">
            <v>WA45</v>
          </cell>
        </row>
        <row r="2047">
          <cell r="B2047">
            <v>40007885</v>
          </cell>
          <cell r="C2047" t="str">
            <v>226653-9</v>
          </cell>
          <cell r="D2047" t="str">
            <v>WA45</v>
          </cell>
        </row>
        <row r="2048">
          <cell r="B2048">
            <v>40007805</v>
          </cell>
          <cell r="C2048" t="str">
            <v>225043-3</v>
          </cell>
          <cell r="D2048" t="str">
            <v>WA45</v>
          </cell>
        </row>
        <row r="2049">
          <cell r="B2049">
            <v>40006017</v>
          </cell>
          <cell r="C2049" t="str">
            <v>JM23200016</v>
          </cell>
          <cell r="D2049" t="str">
            <v>WA45</v>
          </cell>
        </row>
        <row r="2050">
          <cell r="B2050">
            <v>40005351</v>
          </cell>
          <cell r="C2050" t="str">
            <v>140P57-6</v>
          </cell>
          <cell r="D2050" t="str">
            <v>WA45</v>
          </cell>
        </row>
        <row r="2051">
          <cell r="B2051">
            <v>40005345</v>
          </cell>
          <cell r="C2051" t="str">
            <v>140S89-1</v>
          </cell>
          <cell r="D2051" t="str">
            <v>WA45</v>
          </cell>
        </row>
        <row r="2052">
          <cell r="B2052">
            <v>40008080</v>
          </cell>
          <cell r="C2052" t="str">
            <v>227448-3</v>
          </cell>
          <cell r="D2052" t="str">
            <v>WA46</v>
          </cell>
        </row>
        <row r="2053">
          <cell r="B2053">
            <v>40006686</v>
          </cell>
          <cell r="C2053" t="str">
            <v>227768-5</v>
          </cell>
          <cell r="D2053" t="str">
            <v>WA46</v>
          </cell>
        </row>
        <row r="2054">
          <cell r="B2054">
            <v>40008051</v>
          </cell>
          <cell r="C2054" t="str">
            <v>450795-9</v>
          </cell>
          <cell r="D2054" t="str">
            <v>WA46</v>
          </cell>
        </row>
        <row r="2055">
          <cell r="B2055">
            <v>40005482</v>
          </cell>
          <cell r="C2055" t="str">
            <v>413C47-7</v>
          </cell>
          <cell r="D2055" t="str">
            <v>WA47</v>
          </cell>
        </row>
        <row r="2056">
          <cell r="B2056">
            <v>40006679</v>
          </cell>
          <cell r="C2056" t="str">
            <v>268311-1</v>
          </cell>
          <cell r="D2056" t="str">
            <v>WA47</v>
          </cell>
        </row>
        <row r="2057">
          <cell r="B2057">
            <v>10018200</v>
          </cell>
          <cell r="C2057" t="str">
            <v>191X17-9</v>
          </cell>
          <cell r="D2057" t="str">
            <v>WA47</v>
          </cell>
        </row>
        <row r="2058">
          <cell r="B2058">
            <v>40006504</v>
          </cell>
          <cell r="C2058" t="str">
            <v>251370-2</v>
          </cell>
          <cell r="D2058" t="str">
            <v>WA47</v>
          </cell>
        </row>
        <row r="2059">
          <cell r="B2059">
            <v>40006647</v>
          </cell>
          <cell r="C2059" t="str">
            <v>256945-2</v>
          </cell>
          <cell r="D2059" t="str">
            <v>WA47</v>
          </cell>
        </row>
        <row r="2060">
          <cell r="B2060">
            <v>40005480</v>
          </cell>
          <cell r="C2060" t="str">
            <v>413251-0</v>
          </cell>
          <cell r="D2060" t="str">
            <v>WA47</v>
          </cell>
        </row>
        <row r="2061">
          <cell r="B2061">
            <v>40006536</v>
          </cell>
          <cell r="C2061" t="str">
            <v>314062-5</v>
          </cell>
          <cell r="D2061" t="str">
            <v>WA47</v>
          </cell>
        </row>
        <row r="2062">
          <cell r="B2062">
            <v>40006687</v>
          </cell>
          <cell r="C2062" t="str">
            <v>310912-2</v>
          </cell>
          <cell r="D2062" t="str">
            <v>WA47</v>
          </cell>
        </row>
        <row r="2063">
          <cell r="B2063">
            <v>40005471</v>
          </cell>
          <cell r="C2063" t="str">
            <v>412821-2</v>
          </cell>
          <cell r="D2063" t="str">
            <v>WA47</v>
          </cell>
        </row>
        <row r="2064">
          <cell r="B2064">
            <v>40006674</v>
          </cell>
          <cell r="C2064" t="str">
            <v>268094-3</v>
          </cell>
          <cell r="D2064" t="str">
            <v>WA47</v>
          </cell>
        </row>
        <row r="2065">
          <cell r="B2065">
            <v>40005463</v>
          </cell>
          <cell r="C2065" t="str">
            <v>412361-0</v>
          </cell>
          <cell r="D2065" t="str">
            <v>WA47</v>
          </cell>
        </row>
        <row r="2066">
          <cell r="B2066">
            <v>40005437</v>
          </cell>
          <cell r="C2066" t="str">
            <v>347107-4</v>
          </cell>
          <cell r="D2066" t="str">
            <v>WA47</v>
          </cell>
        </row>
        <row r="2067">
          <cell r="B2067">
            <v>40006433</v>
          </cell>
          <cell r="C2067" t="str">
            <v>911243-8</v>
          </cell>
          <cell r="D2067" t="str">
            <v>WA47</v>
          </cell>
        </row>
        <row r="2068">
          <cell r="B2068">
            <v>40005572</v>
          </cell>
          <cell r="C2068" t="str">
            <v>911233-1</v>
          </cell>
          <cell r="D2068" t="str">
            <v>WA47</v>
          </cell>
        </row>
        <row r="2069">
          <cell r="B2069">
            <v>40006525</v>
          </cell>
          <cell r="C2069" t="str">
            <v>911138-5</v>
          </cell>
          <cell r="D2069" t="str">
            <v>WA47</v>
          </cell>
        </row>
        <row r="2070">
          <cell r="B2070">
            <v>40007347</v>
          </cell>
          <cell r="C2070" t="str">
            <v>241888-1</v>
          </cell>
          <cell r="D2070" t="str">
            <v>WA48</v>
          </cell>
        </row>
        <row r="2071">
          <cell r="B2071">
            <v>40007659</v>
          </cell>
          <cell r="C2071" t="str">
            <v>450067-2</v>
          </cell>
          <cell r="D2071" t="str">
            <v>WA48</v>
          </cell>
        </row>
        <row r="2072">
          <cell r="B2072">
            <v>40006524</v>
          </cell>
          <cell r="C2072" t="str">
            <v>267721-9</v>
          </cell>
          <cell r="D2072" t="str">
            <v>WA49</v>
          </cell>
        </row>
        <row r="2073">
          <cell r="B2073">
            <v>40006216</v>
          </cell>
          <cell r="C2073" t="str">
            <v>317517-9</v>
          </cell>
          <cell r="D2073" t="str">
            <v>WA49</v>
          </cell>
        </row>
        <row r="2074">
          <cell r="B2074">
            <v>40007268</v>
          </cell>
          <cell r="C2074" t="str">
            <v>271070-8</v>
          </cell>
          <cell r="D2074" t="str">
            <v>WA49</v>
          </cell>
        </row>
        <row r="2075">
          <cell r="B2075">
            <v>10019888</v>
          </cell>
          <cell r="C2075" t="str">
            <v>273444-9</v>
          </cell>
          <cell r="D2075" t="str">
            <v>WA49</v>
          </cell>
        </row>
        <row r="2076">
          <cell r="B2076">
            <v>40008013</v>
          </cell>
          <cell r="C2076" t="str">
            <v>266511-7</v>
          </cell>
          <cell r="D2076" t="str">
            <v>WA49</v>
          </cell>
        </row>
        <row r="2077">
          <cell r="B2077">
            <v>40006705</v>
          </cell>
          <cell r="C2077" t="str">
            <v>213494-2</v>
          </cell>
          <cell r="D2077" t="str">
            <v>WA49</v>
          </cell>
        </row>
        <row r="2078">
          <cell r="B2078">
            <v>40007605</v>
          </cell>
          <cell r="C2078" t="str">
            <v>265405-3</v>
          </cell>
          <cell r="D2078" t="str">
            <v>WA49</v>
          </cell>
        </row>
        <row r="2079">
          <cell r="B2079">
            <v>40006344</v>
          </cell>
          <cell r="C2079" t="str">
            <v>273515-2</v>
          </cell>
          <cell r="D2079" t="str">
            <v>WA49</v>
          </cell>
        </row>
        <row r="2080">
          <cell r="B2080">
            <v>40006312</v>
          </cell>
          <cell r="C2080" t="str">
            <v>266308-4</v>
          </cell>
          <cell r="D2080" t="str">
            <v>WA49</v>
          </cell>
        </row>
        <row r="2081">
          <cell r="B2081">
            <v>40007121</v>
          </cell>
          <cell r="C2081" t="str">
            <v>273603-5</v>
          </cell>
          <cell r="D2081" t="str">
            <v>WA50</v>
          </cell>
        </row>
        <row r="2082">
          <cell r="B2082">
            <v>40007339</v>
          </cell>
          <cell r="C2082" t="str">
            <v>265226-3</v>
          </cell>
          <cell r="D2082" t="str">
            <v>WA50</v>
          </cell>
        </row>
        <row r="2083">
          <cell r="B2083">
            <v>40005965</v>
          </cell>
          <cell r="C2083" t="str">
            <v>253180-3</v>
          </cell>
          <cell r="D2083" t="str">
            <v>WA50</v>
          </cell>
        </row>
        <row r="2084">
          <cell r="B2084">
            <v>40006003</v>
          </cell>
          <cell r="C2084" t="str">
            <v>213727-5</v>
          </cell>
          <cell r="D2084" t="str">
            <v>WA50</v>
          </cell>
        </row>
        <row r="2085">
          <cell r="B2085">
            <v>40007627</v>
          </cell>
          <cell r="C2085" t="str">
            <v>344472-2</v>
          </cell>
          <cell r="D2085" t="str">
            <v>WA50</v>
          </cell>
        </row>
        <row r="2086">
          <cell r="B2086">
            <v>40006193</v>
          </cell>
          <cell r="C2086" t="str">
            <v>620552-1</v>
          </cell>
          <cell r="D2086" t="str">
            <v>WA51</v>
          </cell>
        </row>
        <row r="2087">
          <cell r="B2087">
            <v>40007600</v>
          </cell>
          <cell r="C2087" t="str">
            <v>322909-9</v>
          </cell>
          <cell r="D2087" t="str">
            <v>WA51</v>
          </cell>
        </row>
        <row r="2088">
          <cell r="B2088">
            <v>40007551</v>
          </cell>
          <cell r="C2088" t="str">
            <v>631719-6</v>
          </cell>
          <cell r="D2088" t="str">
            <v>WA52</v>
          </cell>
        </row>
        <row r="2089">
          <cell r="B2089">
            <v>40005844</v>
          </cell>
          <cell r="C2089" t="str">
            <v>632H48-8</v>
          </cell>
          <cell r="D2089" t="str">
            <v>WA52</v>
          </cell>
        </row>
        <row r="2090">
          <cell r="B2090">
            <v>40005352</v>
          </cell>
          <cell r="C2090" t="str">
            <v>620555-5</v>
          </cell>
          <cell r="D2090" t="str">
            <v>WA52</v>
          </cell>
        </row>
        <row r="2091">
          <cell r="B2091">
            <v>40005834</v>
          </cell>
          <cell r="C2091" t="str">
            <v>632F25-8</v>
          </cell>
          <cell r="D2091" t="str">
            <v>WA53</v>
          </cell>
        </row>
        <row r="2092">
          <cell r="B2092">
            <v>40005836</v>
          </cell>
          <cell r="C2092" t="str">
            <v>632H63-2</v>
          </cell>
          <cell r="D2092" t="str">
            <v>WA53</v>
          </cell>
        </row>
        <row r="2093">
          <cell r="B2093">
            <v>40005805</v>
          </cell>
          <cell r="C2093" t="str">
            <v>687116-4</v>
          </cell>
          <cell r="D2093" t="str">
            <v>WA54</v>
          </cell>
        </row>
        <row r="2094">
          <cell r="B2094">
            <v>40008111</v>
          </cell>
          <cell r="C2094" t="str">
            <v>318335-8</v>
          </cell>
          <cell r="D2094" t="str">
            <v>WA54</v>
          </cell>
        </row>
        <row r="2095">
          <cell r="B2095">
            <v>40007637</v>
          </cell>
          <cell r="C2095" t="str">
            <v>165367-4</v>
          </cell>
          <cell r="D2095" t="str">
            <v>WA54</v>
          </cell>
        </row>
        <row r="2096">
          <cell r="B2096">
            <v>40007345</v>
          </cell>
          <cell r="C2096" t="str">
            <v>155174-3</v>
          </cell>
          <cell r="D2096" t="str">
            <v>WA54</v>
          </cell>
        </row>
        <row r="2097">
          <cell r="B2097">
            <v>40007711</v>
          </cell>
          <cell r="C2097" t="str">
            <v>154952-8</v>
          </cell>
          <cell r="D2097" t="str">
            <v>WA55</v>
          </cell>
        </row>
        <row r="2098">
          <cell r="B2098">
            <v>40008312</v>
          </cell>
          <cell r="C2098">
            <v>965452660</v>
          </cell>
          <cell r="D2098" t="str">
            <v>WA55</v>
          </cell>
        </row>
        <row r="2099">
          <cell r="B2099">
            <v>40006064</v>
          </cell>
          <cell r="C2099" t="str">
            <v>140484-1</v>
          </cell>
          <cell r="D2099" t="str">
            <v>WA55</v>
          </cell>
        </row>
        <row r="2100">
          <cell r="B2100">
            <v>40010375</v>
          </cell>
          <cell r="C2100" t="str">
            <v>346832-4</v>
          </cell>
          <cell r="D2100" t="str">
            <v>WA56</v>
          </cell>
        </row>
        <row r="2101">
          <cell r="B2101">
            <v>40007405</v>
          </cell>
          <cell r="C2101" t="str">
            <v>632673-7</v>
          </cell>
          <cell r="D2101" t="str">
            <v>WA56</v>
          </cell>
        </row>
        <row r="2102">
          <cell r="B2102">
            <v>40006673</v>
          </cell>
          <cell r="C2102" t="str">
            <v>225092-0</v>
          </cell>
          <cell r="D2102" t="str">
            <v>WA56</v>
          </cell>
        </row>
        <row r="2103">
          <cell r="B2103">
            <v>10019608</v>
          </cell>
          <cell r="C2103">
            <v>957180030</v>
          </cell>
          <cell r="D2103" t="str">
            <v>WA57</v>
          </cell>
        </row>
        <row r="2104">
          <cell r="B2104">
            <v>40007076</v>
          </cell>
          <cell r="C2104" t="str">
            <v>312951-8</v>
          </cell>
          <cell r="D2104" t="str">
            <v>WA57</v>
          </cell>
        </row>
        <row r="2105">
          <cell r="B2105">
            <v>40005914</v>
          </cell>
          <cell r="C2105" t="str">
            <v>458785-6</v>
          </cell>
          <cell r="D2105" t="str">
            <v>WA58</v>
          </cell>
        </row>
        <row r="2106">
          <cell r="B2106">
            <v>40007522</v>
          </cell>
          <cell r="C2106" t="str">
            <v>415873-2</v>
          </cell>
          <cell r="D2106" t="str">
            <v>WA58</v>
          </cell>
        </row>
        <row r="2107">
          <cell r="B2107">
            <v>40006005</v>
          </cell>
          <cell r="C2107" t="str">
            <v>419716-0</v>
          </cell>
          <cell r="D2107" t="str">
            <v>WA58</v>
          </cell>
        </row>
        <row r="2108">
          <cell r="B2108">
            <v>40007096</v>
          </cell>
          <cell r="C2108" t="str">
            <v>331491-7</v>
          </cell>
          <cell r="D2108" t="str">
            <v>WA58</v>
          </cell>
        </row>
        <row r="2109">
          <cell r="B2109">
            <v>40010263</v>
          </cell>
          <cell r="C2109" t="str">
            <v>413024-1</v>
          </cell>
          <cell r="D2109" t="str">
            <v>WA58</v>
          </cell>
        </row>
        <row r="2110">
          <cell r="B2110">
            <v>40005828</v>
          </cell>
          <cell r="C2110" t="str">
            <v>346290-4</v>
          </cell>
          <cell r="D2110" t="str">
            <v>WA58</v>
          </cell>
        </row>
        <row r="2111">
          <cell r="B2111">
            <v>40005696</v>
          </cell>
          <cell r="C2111" t="str">
            <v>344317-4</v>
          </cell>
          <cell r="D2111" t="str">
            <v>WA58</v>
          </cell>
        </row>
        <row r="2112">
          <cell r="B2112">
            <v>40006704</v>
          </cell>
          <cell r="C2112" t="str">
            <v>318193-2</v>
          </cell>
          <cell r="D2112" t="str">
            <v>WA59</v>
          </cell>
        </row>
        <row r="2113">
          <cell r="B2113">
            <v>40007122</v>
          </cell>
          <cell r="C2113" t="str">
            <v>310136-0</v>
          </cell>
          <cell r="D2113" t="str">
            <v>WA59</v>
          </cell>
        </row>
        <row r="2114">
          <cell r="B2114">
            <v>40007635</v>
          </cell>
          <cell r="C2114" t="str">
            <v>317666-2</v>
          </cell>
          <cell r="D2114" t="str">
            <v>WA59</v>
          </cell>
        </row>
        <row r="2115">
          <cell r="B2115">
            <v>40006827</v>
          </cell>
          <cell r="C2115">
            <v>38153511</v>
          </cell>
          <cell r="D2115" t="str">
            <v>WA59</v>
          </cell>
        </row>
        <row r="2116">
          <cell r="B2116">
            <v>40005187</v>
          </cell>
          <cell r="C2116" t="str">
            <v>327015-5</v>
          </cell>
          <cell r="D2116" t="str">
            <v>WA59</v>
          </cell>
        </row>
        <row r="2117">
          <cell r="B2117">
            <v>40006783</v>
          </cell>
          <cell r="C2117" t="str">
            <v>227701-7</v>
          </cell>
          <cell r="D2117" t="str">
            <v>WA60</v>
          </cell>
        </row>
        <row r="2118">
          <cell r="B2118">
            <v>40006743</v>
          </cell>
          <cell r="C2118" t="str">
            <v>158957-0</v>
          </cell>
          <cell r="D2118" t="str">
            <v>WA60</v>
          </cell>
        </row>
        <row r="2119">
          <cell r="B2119">
            <v>40008039</v>
          </cell>
          <cell r="C2119" t="str">
            <v>240117-9</v>
          </cell>
          <cell r="D2119" t="str">
            <v>WA60</v>
          </cell>
        </row>
        <row r="2120">
          <cell r="B2120">
            <v>40010570</v>
          </cell>
          <cell r="C2120" t="str">
            <v>JM23100168</v>
          </cell>
          <cell r="D2120" t="str">
            <v>WA61</v>
          </cell>
        </row>
        <row r="2121">
          <cell r="B2121">
            <v>40007391</v>
          </cell>
          <cell r="C2121" t="str">
            <v>345007-2</v>
          </cell>
          <cell r="D2121" t="str">
            <v>WA61</v>
          </cell>
        </row>
        <row r="2122">
          <cell r="B2122">
            <v>40010399</v>
          </cell>
          <cell r="C2122" t="str">
            <v>632A24-0</v>
          </cell>
          <cell r="D2122" t="str">
            <v>WA62</v>
          </cell>
        </row>
        <row r="2123">
          <cell r="B2123">
            <v>40005979</v>
          </cell>
          <cell r="C2123" t="str">
            <v>650101-0</v>
          </cell>
          <cell r="D2123" t="str">
            <v>WA62</v>
          </cell>
        </row>
        <row r="2124">
          <cell r="B2124">
            <v>40007972</v>
          </cell>
          <cell r="C2124" t="str">
            <v>153335-9</v>
          </cell>
          <cell r="D2124" t="str">
            <v>WA62</v>
          </cell>
        </row>
        <row r="2125">
          <cell r="B2125">
            <v>40007802</v>
          </cell>
          <cell r="C2125" t="str">
            <v>225042-5</v>
          </cell>
          <cell r="D2125" t="str">
            <v>WA63</v>
          </cell>
        </row>
        <row r="2126">
          <cell r="B2126">
            <v>40005410</v>
          </cell>
          <cell r="C2126" t="str">
            <v>620G71-9</v>
          </cell>
          <cell r="D2126" t="str">
            <v>WA63</v>
          </cell>
        </row>
        <row r="2127">
          <cell r="B2127">
            <v>40006440</v>
          </cell>
          <cell r="C2127" t="str">
            <v>632J70-7</v>
          </cell>
          <cell r="D2127" t="str">
            <v>WA64</v>
          </cell>
        </row>
        <row r="2128">
          <cell r="B2128">
            <v>40008261</v>
          </cell>
          <cell r="C2128" t="str">
            <v>227550-2</v>
          </cell>
          <cell r="D2128" t="str">
            <v>WA64</v>
          </cell>
        </row>
        <row r="2129">
          <cell r="B2129">
            <v>40007722</v>
          </cell>
          <cell r="C2129" t="str">
            <v>322938-2</v>
          </cell>
          <cell r="D2129" t="str">
            <v>WA64</v>
          </cell>
        </row>
        <row r="2130">
          <cell r="B2130">
            <v>40007831</v>
          </cell>
          <cell r="C2130" t="str">
            <v>JM23000112</v>
          </cell>
          <cell r="D2130" t="str">
            <v>WA65</v>
          </cell>
        </row>
        <row r="2131">
          <cell r="B2131">
            <v>40007513</v>
          </cell>
          <cell r="C2131" t="str">
            <v>187676-1</v>
          </cell>
          <cell r="D2131" t="str">
            <v>WA66</v>
          </cell>
        </row>
        <row r="2132">
          <cell r="B2132">
            <v>40007082</v>
          </cell>
          <cell r="C2132" t="str">
            <v>225083-1</v>
          </cell>
          <cell r="D2132" t="str">
            <v>WA66</v>
          </cell>
        </row>
        <row r="2133">
          <cell r="B2133">
            <v>40011753</v>
          </cell>
          <cell r="C2133" t="str">
            <v>127443-2</v>
          </cell>
          <cell r="D2133" t="str">
            <v>WA67</v>
          </cell>
        </row>
        <row r="2134">
          <cell r="B2134">
            <v>40005258</v>
          </cell>
          <cell r="C2134" t="str">
            <v>650240-6</v>
          </cell>
          <cell r="D2134" t="str">
            <v>WA67</v>
          </cell>
        </row>
        <row r="2135">
          <cell r="B2135">
            <v>40007588</v>
          </cell>
          <cell r="C2135" t="str">
            <v>140800-7</v>
          </cell>
          <cell r="D2135" t="str">
            <v>WA68</v>
          </cell>
        </row>
        <row r="2136">
          <cell r="B2136">
            <v>40006099</v>
          </cell>
          <cell r="C2136" t="str">
            <v>122885-5</v>
          </cell>
          <cell r="D2136" t="str">
            <v>WA68</v>
          </cell>
        </row>
        <row r="2137">
          <cell r="B2137">
            <v>40007860</v>
          </cell>
          <cell r="C2137" t="str">
            <v>126148-1</v>
          </cell>
          <cell r="D2137" t="str">
            <v>WA69</v>
          </cell>
        </row>
        <row r="2138">
          <cell r="B2138">
            <v>40007338</v>
          </cell>
          <cell r="C2138" t="str">
            <v>161119-1</v>
          </cell>
          <cell r="D2138" t="str">
            <v>WA69</v>
          </cell>
        </row>
        <row r="2139">
          <cell r="B2139">
            <v>40006353</v>
          </cell>
          <cell r="C2139" t="str">
            <v>126448-9</v>
          </cell>
          <cell r="D2139" t="str">
            <v>WA70</v>
          </cell>
        </row>
        <row r="2140">
          <cell r="B2140">
            <v>40011962</v>
          </cell>
          <cell r="C2140" t="str">
            <v>168297-8</v>
          </cell>
          <cell r="D2140" t="str">
            <v>WA70</v>
          </cell>
        </row>
        <row r="2141">
          <cell r="B2141">
            <v>40008262</v>
          </cell>
          <cell r="C2141" t="str">
            <v>324662-3</v>
          </cell>
          <cell r="D2141" t="str">
            <v>WE1</v>
          </cell>
        </row>
        <row r="2142">
          <cell r="B2142">
            <v>40007102</v>
          </cell>
          <cell r="C2142" t="str">
            <v>411425-7</v>
          </cell>
          <cell r="D2142" t="str">
            <v>WE2</v>
          </cell>
        </row>
        <row r="2143">
          <cell r="B2143">
            <v>40007620</v>
          </cell>
          <cell r="C2143" t="str">
            <v>152362-3</v>
          </cell>
          <cell r="D2143" t="str">
            <v>WE3</v>
          </cell>
        </row>
        <row r="2144">
          <cell r="B2144">
            <v>40007999</v>
          </cell>
          <cell r="C2144" t="str">
            <v>650215-5</v>
          </cell>
          <cell r="D2144" t="str">
            <v>WE5</v>
          </cell>
        </row>
        <row r="2145">
          <cell r="B2145">
            <v>40007146</v>
          </cell>
          <cell r="C2145" t="str">
            <v>419241-1</v>
          </cell>
          <cell r="D2145" t="str">
            <v>WE6</v>
          </cell>
        </row>
        <row r="2146">
          <cell r="B2146">
            <v>40008128</v>
          </cell>
          <cell r="C2146" t="str">
            <v>227179-4</v>
          </cell>
          <cell r="D2146" t="str">
            <v>WF1</v>
          </cell>
        </row>
        <row r="2147">
          <cell r="B2147">
            <v>40007948</v>
          </cell>
          <cell r="C2147" t="str">
            <v>187679-5</v>
          </cell>
          <cell r="D2147" t="str">
            <v>WF2</v>
          </cell>
        </row>
        <row r="2148">
          <cell r="B2148">
            <v>40007026</v>
          </cell>
          <cell r="C2148" t="str">
            <v>324031-8</v>
          </cell>
          <cell r="D2148" t="str">
            <v>WF3</v>
          </cell>
        </row>
        <row r="2149">
          <cell r="B2149">
            <v>40007594</v>
          </cell>
          <cell r="C2149" t="str">
            <v>271071-6</v>
          </cell>
          <cell r="D2149" t="str">
            <v>WF4</v>
          </cell>
        </row>
        <row r="2150">
          <cell r="B2150">
            <v>40007899</v>
          </cell>
          <cell r="C2150" t="str">
            <v>271408-7</v>
          </cell>
          <cell r="D2150" t="str">
            <v>WF4</v>
          </cell>
        </row>
        <row r="2151">
          <cell r="B2151">
            <v>40005865</v>
          </cell>
          <cell r="C2151" t="str">
            <v>416331-1</v>
          </cell>
          <cell r="D2151" t="str">
            <v>WF5</v>
          </cell>
        </row>
        <row r="2152">
          <cell r="B2152">
            <v>40010584</v>
          </cell>
          <cell r="C2152" t="str">
            <v>225006-9</v>
          </cell>
          <cell r="D2152" t="str">
            <v>WF6</v>
          </cell>
        </row>
        <row r="2153">
          <cell r="B2153">
            <v>40008181</v>
          </cell>
          <cell r="C2153" t="str">
            <v>650589-4</v>
          </cell>
          <cell r="D2153" t="str">
            <v>WG2</v>
          </cell>
        </row>
        <row r="2154">
          <cell r="B2154">
            <v>40008239</v>
          </cell>
          <cell r="C2154" t="str">
            <v>343682-8</v>
          </cell>
          <cell r="D2154" t="str">
            <v>WG3</v>
          </cell>
        </row>
        <row r="2155">
          <cell r="B2155">
            <v>40007529</v>
          </cell>
          <cell r="C2155" t="str">
            <v>226499-3</v>
          </cell>
          <cell r="D2155" t="str">
            <v>WG6</v>
          </cell>
        </row>
        <row r="2156">
          <cell r="B2156">
            <v>40006967</v>
          </cell>
          <cell r="C2156" t="str">
            <v>961003-8</v>
          </cell>
          <cell r="D2156" t="str">
            <v>ZA01</v>
          </cell>
        </row>
        <row r="2157">
          <cell r="B2157">
            <v>40007508</v>
          </cell>
          <cell r="C2157" t="str">
            <v>318660-7</v>
          </cell>
          <cell r="D2157" t="str">
            <v>ZA02</v>
          </cell>
        </row>
        <row r="2158">
          <cell r="B2158">
            <v>40007016</v>
          </cell>
          <cell r="C2158" t="str">
            <v>285637-6</v>
          </cell>
          <cell r="D2158" t="str">
            <v>ZA02</v>
          </cell>
        </row>
        <row r="2159">
          <cell r="B2159">
            <v>40007740</v>
          </cell>
          <cell r="C2159" t="str">
            <v>285840-9</v>
          </cell>
          <cell r="D2159" t="str">
            <v>ZA03</v>
          </cell>
        </row>
        <row r="2160">
          <cell r="B2160">
            <v>40008228</v>
          </cell>
          <cell r="C2160" t="str">
            <v>961004-6</v>
          </cell>
          <cell r="D2160" t="str">
            <v>ZA03</v>
          </cell>
        </row>
        <row r="2161">
          <cell r="B2161">
            <v>40008256</v>
          </cell>
          <cell r="C2161" t="str">
            <v>253922-5</v>
          </cell>
          <cell r="D2161" t="str">
            <v>ZA04</v>
          </cell>
        </row>
        <row r="2162">
          <cell r="B2162">
            <v>40007572</v>
          </cell>
          <cell r="C2162" t="str">
            <v>224301-4</v>
          </cell>
          <cell r="D2162" t="str">
            <v>ZA04</v>
          </cell>
        </row>
        <row r="2163">
          <cell r="B2163">
            <v>40008223</v>
          </cell>
          <cell r="C2163" t="str">
            <v>253792-2</v>
          </cell>
          <cell r="D2163" t="str">
            <v>ZA05</v>
          </cell>
        </row>
        <row r="2164">
          <cell r="B2164">
            <v>40007269</v>
          </cell>
          <cell r="C2164" t="str">
            <v>316821-3</v>
          </cell>
          <cell r="D2164" t="str">
            <v>ZA05</v>
          </cell>
        </row>
        <row r="2165">
          <cell r="B2165">
            <v>40007299</v>
          </cell>
          <cell r="C2165" t="str">
            <v>317744-8</v>
          </cell>
          <cell r="D2165" t="str">
            <v>ZA06</v>
          </cell>
        </row>
        <row r="2166">
          <cell r="B2166">
            <v>40005694</v>
          </cell>
          <cell r="C2166" t="str">
            <v>285802-7</v>
          </cell>
          <cell r="D2166" t="str">
            <v>ZA06</v>
          </cell>
        </row>
        <row r="2167">
          <cell r="B2167">
            <v>40008226</v>
          </cell>
          <cell r="C2167" t="str">
            <v>253139-0</v>
          </cell>
          <cell r="D2167" t="str">
            <v>ZA07</v>
          </cell>
        </row>
        <row r="2168">
          <cell r="B2168">
            <v>40005583</v>
          </cell>
          <cell r="C2168" t="str">
            <v>318300-7</v>
          </cell>
          <cell r="D2168" t="str">
            <v>ZA07</v>
          </cell>
        </row>
        <row r="2169">
          <cell r="B2169">
            <v>40007361</v>
          </cell>
          <cell r="C2169" t="str">
            <v>322701-3</v>
          </cell>
          <cell r="D2169" t="str">
            <v>ZA08</v>
          </cell>
        </row>
        <row r="2170">
          <cell r="B2170">
            <v>40006382</v>
          </cell>
          <cell r="C2170" t="str">
            <v>285804-3</v>
          </cell>
          <cell r="D2170" t="str">
            <v>ZA08</v>
          </cell>
        </row>
        <row r="2171">
          <cell r="B2171">
            <v>40007261</v>
          </cell>
          <cell r="C2171" t="str">
            <v>233376-2</v>
          </cell>
          <cell r="D2171" t="str">
            <v>ZA09</v>
          </cell>
        </row>
        <row r="2172">
          <cell r="B2172">
            <v>40007878</v>
          </cell>
          <cell r="C2172" t="str">
            <v>266237-1</v>
          </cell>
          <cell r="D2172" t="str">
            <v>ZA09</v>
          </cell>
        </row>
        <row r="2173">
          <cell r="B2173">
            <v>40005253</v>
          </cell>
          <cell r="C2173" t="str">
            <v>313354-9</v>
          </cell>
          <cell r="D2173" t="str">
            <v>ZA10</v>
          </cell>
        </row>
        <row r="2174">
          <cell r="B2174">
            <v>40006994</v>
          </cell>
          <cell r="C2174" t="str">
            <v>450278-9</v>
          </cell>
          <cell r="D2174" t="str">
            <v>ZA10</v>
          </cell>
        </row>
        <row r="2175">
          <cell r="B2175">
            <v>40006797</v>
          </cell>
          <cell r="C2175" t="str">
            <v>265034-2</v>
          </cell>
          <cell r="D2175" t="str">
            <v>ZA11</v>
          </cell>
        </row>
        <row r="2176">
          <cell r="B2176">
            <v>40006130</v>
          </cell>
          <cell r="C2176" t="str">
            <v>911128-8</v>
          </cell>
          <cell r="D2176" t="str">
            <v>ZA11</v>
          </cell>
        </row>
        <row r="2177">
          <cell r="B2177">
            <v>40007109</v>
          </cell>
          <cell r="C2177" t="str">
            <v>265324-3</v>
          </cell>
          <cell r="D2177" t="str">
            <v>ZA12</v>
          </cell>
        </row>
        <row r="2178">
          <cell r="B2178">
            <v>40008148</v>
          </cell>
          <cell r="C2178" t="str">
            <v>325183-8</v>
          </cell>
          <cell r="D2178" t="str">
            <v>ZA12</v>
          </cell>
        </row>
        <row r="2179">
          <cell r="B2179">
            <v>40006057</v>
          </cell>
          <cell r="C2179" t="str">
            <v>JM23100051</v>
          </cell>
          <cell r="D2179" t="str">
            <v>ZA13</v>
          </cell>
        </row>
        <row r="2180">
          <cell r="B2180">
            <v>40006421</v>
          </cell>
          <cell r="C2180" t="str">
            <v>256548-2</v>
          </cell>
          <cell r="D2180" t="str">
            <v>ZA13</v>
          </cell>
        </row>
        <row r="2181">
          <cell r="B2181">
            <v>40006671</v>
          </cell>
          <cell r="C2181" t="str">
            <v>345378-7</v>
          </cell>
          <cell r="D2181" t="str">
            <v>ZA14</v>
          </cell>
        </row>
        <row r="2182">
          <cell r="B2182">
            <v>40005337</v>
          </cell>
          <cell r="C2182" t="str">
            <v>JM23100018</v>
          </cell>
          <cell r="D2182" t="str">
            <v>ZA14</v>
          </cell>
        </row>
        <row r="2183">
          <cell r="B2183">
            <v>40005577</v>
          </cell>
          <cell r="C2183" t="str">
            <v>257288-5</v>
          </cell>
          <cell r="D2183" t="str">
            <v>ZA15</v>
          </cell>
        </row>
        <row r="2184">
          <cell r="B2184">
            <v>40006020</v>
          </cell>
          <cell r="C2184" t="str">
            <v>JM23200018</v>
          </cell>
          <cell r="D2184" t="str">
            <v>ZA15</v>
          </cell>
        </row>
        <row r="2185">
          <cell r="B2185">
            <v>40007083</v>
          </cell>
          <cell r="C2185" t="str">
            <v>643929-3</v>
          </cell>
          <cell r="D2185" t="str">
            <v>ZA16</v>
          </cell>
        </row>
        <row r="2186">
          <cell r="B2186">
            <v>40007902</v>
          </cell>
          <cell r="C2186" t="str">
            <v>262557-1</v>
          </cell>
          <cell r="D2186" t="str">
            <v>ZA16</v>
          </cell>
        </row>
        <row r="2187">
          <cell r="B2187">
            <v>40011202</v>
          </cell>
          <cell r="C2187" t="str">
            <v>682503-2</v>
          </cell>
          <cell r="D2187" t="str">
            <v>ZAA01</v>
          </cell>
        </row>
        <row r="2188">
          <cell r="B2188">
            <v>40011214</v>
          </cell>
          <cell r="C2188" t="str">
            <v>125310-5</v>
          </cell>
          <cell r="D2188" t="str">
            <v>ZAA02</v>
          </cell>
        </row>
        <row r="2189">
          <cell r="B2189">
            <v>40011215</v>
          </cell>
          <cell r="C2189" t="str">
            <v>325747-8</v>
          </cell>
          <cell r="D2189" t="str">
            <v>ZAA02</v>
          </cell>
        </row>
        <row r="2190">
          <cell r="B2190">
            <v>40011197</v>
          </cell>
          <cell r="C2190" t="str">
            <v>911185-6</v>
          </cell>
          <cell r="D2190" t="str">
            <v>ZAA03</v>
          </cell>
        </row>
        <row r="2191">
          <cell r="B2191">
            <v>40010320</v>
          </cell>
          <cell r="C2191" t="str">
            <v>227243-1</v>
          </cell>
          <cell r="D2191" t="str">
            <v>ZAA03</v>
          </cell>
        </row>
        <row r="2192">
          <cell r="B2192">
            <v>40010404</v>
          </cell>
          <cell r="C2192" t="str">
            <v>318303-1</v>
          </cell>
          <cell r="D2192" t="str">
            <v>ZB01</v>
          </cell>
        </row>
        <row r="2193">
          <cell r="B2193">
            <v>40006315</v>
          </cell>
          <cell r="C2193" t="str">
            <v>262556-3</v>
          </cell>
          <cell r="D2193" t="str">
            <v>ZB01</v>
          </cell>
        </row>
        <row r="2194">
          <cell r="B2194">
            <v>40007724</v>
          </cell>
          <cell r="C2194">
            <v>21245100</v>
          </cell>
          <cell r="D2194" t="str">
            <v>ZB02</v>
          </cell>
        </row>
        <row r="2195">
          <cell r="B2195">
            <v>40006794</v>
          </cell>
          <cell r="C2195" t="str">
            <v>285847-5</v>
          </cell>
          <cell r="D2195" t="str">
            <v>ZB02</v>
          </cell>
        </row>
        <row r="2196">
          <cell r="B2196">
            <v>40007731</v>
          </cell>
          <cell r="C2196">
            <v>21132020</v>
          </cell>
          <cell r="D2196" t="str">
            <v>ZB03</v>
          </cell>
        </row>
        <row r="2197">
          <cell r="B2197">
            <v>40006779</v>
          </cell>
          <cell r="C2197" t="str">
            <v>651285-7</v>
          </cell>
          <cell r="D2197" t="str">
            <v>ZB03</v>
          </cell>
        </row>
        <row r="2198">
          <cell r="B2198">
            <v>40008175</v>
          </cell>
          <cell r="C2198" t="str">
            <v>322740-3</v>
          </cell>
          <cell r="D2198" t="str">
            <v>ZB04</v>
          </cell>
        </row>
        <row r="2199">
          <cell r="B2199">
            <v>40006855</v>
          </cell>
          <cell r="C2199" t="str">
            <v>226578-7</v>
          </cell>
          <cell r="D2199" t="str">
            <v>ZB04</v>
          </cell>
        </row>
        <row r="2200">
          <cell r="B2200">
            <v>40007612</v>
          </cell>
          <cell r="C2200" t="str">
            <v>214251-1</v>
          </cell>
          <cell r="D2200" t="str">
            <v>ZB05</v>
          </cell>
        </row>
        <row r="2201">
          <cell r="B2201">
            <v>40006461</v>
          </cell>
          <cell r="C2201" t="str">
            <v>162242-5</v>
          </cell>
          <cell r="D2201" t="str">
            <v>ZB05</v>
          </cell>
        </row>
        <row r="2202">
          <cell r="B2202">
            <v>40008083</v>
          </cell>
          <cell r="C2202" t="str">
            <v>233110-0</v>
          </cell>
          <cell r="D2202" t="str">
            <v>ZB06</v>
          </cell>
        </row>
        <row r="2203">
          <cell r="B2203">
            <v>40006242</v>
          </cell>
          <cell r="C2203" t="str">
            <v>961011-9</v>
          </cell>
          <cell r="D2203" t="str">
            <v>ZB06</v>
          </cell>
        </row>
        <row r="2204">
          <cell r="B2204">
            <v>40008180</v>
          </cell>
          <cell r="C2204">
            <v>170213730</v>
          </cell>
          <cell r="D2204" t="str">
            <v>ZB07</v>
          </cell>
        </row>
        <row r="2205">
          <cell r="B2205">
            <v>40006399</v>
          </cell>
          <cell r="C2205" t="str">
            <v>419760-7</v>
          </cell>
          <cell r="D2205" t="str">
            <v>ZB07</v>
          </cell>
        </row>
        <row r="2206">
          <cell r="B2206">
            <v>40006292</v>
          </cell>
          <cell r="C2206" t="str">
            <v>233554-4</v>
          </cell>
          <cell r="D2206" t="str">
            <v>ZB08</v>
          </cell>
        </row>
        <row r="2207">
          <cell r="B2207">
            <v>40006358</v>
          </cell>
          <cell r="C2207" t="str">
            <v>142156-4</v>
          </cell>
          <cell r="D2207" t="str">
            <v>ZB08</v>
          </cell>
        </row>
        <row r="2208">
          <cell r="B2208">
            <v>40007372</v>
          </cell>
          <cell r="C2208" t="str">
            <v>911111-5</v>
          </cell>
          <cell r="D2208" t="str">
            <v>ZB09</v>
          </cell>
        </row>
        <row r="2209">
          <cell r="B2209">
            <v>10018956</v>
          </cell>
          <cell r="C2209" t="str">
            <v>142002-1</v>
          </cell>
          <cell r="D2209" t="str">
            <v>ZB09</v>
          </cell>
        </row>
        <row r="2210">
          <cell r="B2210">
            <v>40005336</v>
          </cell>
          <cell r="C2210" t="str">
            <v>JM23100015</v>
          </cell>
          <cell r="D2210" t="str">
            <v>ZB10</v>
          </cell>
        </row>
        <row r="2211">
          <cell r="B2211">
            <v>40006060</v>
          </cell>
          <cell r="C2211" t="str">
            <v>251247-1</v>
          </cell>
          <cell r="D2211" t="str">
            <v>ZB10</v>
          </cell>
        </row>
        <row r="2212">
          <cell r="B2212">
            <v>40005682</v>
          </cell>
          <cell r="C2212" t="str">
            <v>257104-1</v>
          </cell>
          <cell r="D2212" t="str">
            <v>ZB11</v>
          </cell>
        </row>
        <row r="2213">
          <cell r="B2213">
            <v>40005989</v>
          </cell>
          <cell r="C2213" t="str">
            <v>961108-4</v>
          </cell>
          <cell r="D2213" t="str">
            <v>ZB11</v>
          </cell>
        </row>
        <row r="2214">
          <cell r="B2214">
            <v>40011141</v>
          </cell>
          <cell r="C2214" t="str">
            <v>256206-0</v>
          </cell>
          <cell r="D2214" t="str">
            <v>ZB12</v>
          </cell>
        </row>
        <row r="2215">
          <cell r="B2215">
            <v>40007004</v>
          </cell>
          <cell r="C2215" t="str">
            <v>265754-8</v>
          </cell>
          <cell r="D2215" t="str">
            <v>ZB12</v>
          </cell>
        </row>
        <row r="2216">
          <cell r="B2216">
            <v>40005613</v>
          </cell>
          <cell r="C2216" t="str">
            <v>265104-7</v>
          </cell>
          <cell r="D2216" t="str">
            <v>ZB12</v>
          </cell>
        </row>
        <row r="2217">
          <cell r="B2217">
            <v>40007278</v>
          </cell>
          <cell r="C2217" t="str">
            <v>233940-9</v>
          </cell>
          <cell r="D2217" t="str">
            <v>ZB13</v>
          </cell>
        </row>
        <row r="2218">
          <cell r="B2218">
            <v>40011652</v>
          </cell>
          <cell r="C2218" t="str">
            <v>267101-9</v>
          </cell>
          <cell r="D2218" t="str">
            <v>ZB13</v>
          </cell>
        </row>
        <row r="2219">
          <cell r="B2219">
            <v>40007103</v>
          </cell>
          <cell r="C2219" t="str">
            <v>418016-5</v>
          </cell>
          <cell r="D2219" t="str">
            <v>ZB13</v>
          </cell>
        </row>
        <row r="2220">
          <cell r="B2220">
            <v>40008178</v>
          </cell>
          <cell r="C2220" t="str">
            <v>232110-7</v>
          </cell>
          <cell r="D2220" t="str">
            <v>ZB14</v>
          </cell>
        </row>
        <row r="2221">
          <cell r="B2221">
            <v>40007212</v>
          </cell>
          <cell r="C2221" t="str">
            <v>313082-6</v>
          </cell>
          <cell r="D2221" t="str">
            <v>ZB14</v>
          </cell>
        </row>
        <row r="2222">
          <cell r="B2222">
            <v>40005733</v>
          </cell>
          <cell r="C2222" t="str">
            <v>JM23100021</v>
          </cell>
          <cell r="D2222" t="str">
            <v>ZB15</v>
          </cell>
        </row>
        <row r="2223">
          <cell r="B2223">
            <v>40005953</v>
          </cell>
          <cell r="C2223" t="str">
            <v>961057-5</v>
          </cell>
          <cell r="D2223" t="str">
            <v>ZB15</v>
          </cell>
        </row>
        <row r="2224">
          <cell r="B2224">
            <v>40007668</v>
          </cell>
          <cell r="C2224" t="str">
            <v>163107-4</v>
          </cell>
          <cell r="D2224" t="str">
            <v>ZB16</v>
          </cell>
        </row>
        <row r="2225">
          <cell r="B2225">
            <v>40008276</v>
          </cell>
          <cell r="C2225">
            <v>28166030</v>
          </cell>
          <cell r="D2225" t="str">
            <v>ZB16</v>
          </cell>
        </row>
        <row r="2226">
          <cell r="B2226">
            <v>40007666</v>
          </cell>
          <cell r="C2226" t="str">
            <v>331446-2</v>
          </cell>
          <cell r="D2226" t="str">
            <v>ZC01</v>
          </cell>
        </row>
        <row r="2227">
          <cell r="B2227">
            <v>40006000</v>
          </cell>
          <cell r="C2227" t="str">
            <v>285807-7</v>
          </cell>
          <cell r="D2227" t="str">
            <v>ZC01</v>
          </cell>
        </row>
        <row r="2228">
          <cell r="B2228">
            <v>40007366</v>
          </cell>
          <cell r="C2228" t="str">
            <v>412053-1</v>
          </cell>
          <cell r="D2228" t="str">
            <v>ZC02</v>
          </cell>
        </row>
        <row r="2229">
          <cell r="B2229">
            <v>40005313</v>
          </cell>
          <cell r="C2229" t="str">
            <v>231252-4</v>
          </cell>
          <cell r="D2229" t="str">
            <v>ZC02</v>
          </cell>
        </row>
        <row r="2230">
          <cell r="B2230">
            <v>40011137</v>
          </cell>
          <cell r="C2230" t="str">
            <v>265651-8</v>
          </cell>
          <cell r="D2230" t="str">
            <v>ZC03</v>
          </cell>
        </row>
        <row r="2231">
          <cell r="B2231">
            <v>40007005</v>
          </cell>
          <cell r="C2231" t="str">
            <v>231833-4</v>
          </cell>
          <cell r="D2231" t="str">
            <v>ZC03</v>
          </cell>
        </row>
        <row r="2232">
          <cell r="B2232">
            <v>40006117</v>
          </cell>
          <cell r="C2232" t="str">
            <v>323741-4</v>
          </cell>
          <cell r="D2232" t="str">
            <v>ZC03</v>
          </cell>
        </row>
        <row r="2233">
          <cell r="B2233">
            <v>40005174</v>
          </cell>
          <cell r="C2233" t="str">
            <v>424914-3</v>
          </cell>
          <cell r="D2233" t="str">
            <v>ZC04</v>
          </cell>
        </row>
        <row r="2234">
          <cell r="B2234">
            <v>40006866</v>
          </cell>
          <cell r="C2234" t="str">
            <v>267813-4</v>
          </cell>
          <cell r="D2234" t="str">
            <v>ZC04</v>
          </cell>
        </row>
        <row r="2235">
          <cell r="B2235">
            <v>10018792</v>
          </cell>
          <cell r="C2235" t="str">
            <v>224406-0</v>
          </cell>
          <cell r="D2235" t="str">
            <v>ZC05</v>
          </cell>
        </row>
        <row r="2236">
          <cell r="B2236">
            <v>40005531</v>
          </cell>
          <cell r="C2236" t="str">
            <v>142282-9</v>
          </cell>
          <cell r="D2236" t="str">
            <v>ZC05</v>
          </cell>
        </row>
        <row r="2237">
          <cell r="B2237">
            <v>40006932</v>
          </cell>
          <cell r="C2237" t="str">
            <v>JM27000294</v>
          </cell>
          <cell r="D2237" t="str">
            <v>ZC06</v>
          </cell>
        </row>
        <row r="2238">
          <cell r="B2238">
            <v>40006900</v>
          </cell>
          <cell r="C2238" t="str">
            <v>212014-9</v>
          </cell>
          <cell r="D2238" t="str">
            <v>ZC06</v>
          </cell>
        </row>
        <row r="2239">
          <cell r="B2239">
            <v>40006894</v>
          </cell>
          <cell r="C2239" t="str">
            <v>212960-6</v>
          </cell>
          <cell r="D2239" t="str">
            <v>ZC07</v>
          </cell>
        </row>
        <row r="2240">
          <cell r="B2240">
            <v>40010298</v>
          </cell>
          <cell r="C2240" t="str">
            <v>419057-4</v>
          </cell>
          <cell r="D2240" t="str">
            <v>ZC07</v>
          </cell>
        </row>
        <row r="2241">
          <cell r="B2241">
            <v>40006972</v>
          </cell>
          <cell r="C2241" t="str">
            <v>212004-2</v>
          </cell>
          <cell r="D2241" t="str">
            <v>ZC08</v>
          </cell>
        </row>
        <row r="2242">
          <cell r="B2242">
            <v>40006417</v>
          </cell>
          <cell r="C2242" t="str">
            <v>213695-2</v>
          </cell>
          <cell r="D2242" t="str">
            <v>ZC08</v>
          </cell>
        </row>
        <row r="2243">
          <cell r="B2243">
            <v>40008222</v>
          </cell>
          <cell r="C2243" t="str">
            <v>344134-2</v>
          </cell>
          <cell r="D2243" t="str">
            <v>ZC09</v>
          </cell>
        </row>
        <row r="2244">
          <cell r="B2244">
            <v>40006012</v>
          </cell>
          <cell r="C2244" t="str">
            <v>JM23100107</v>
          </cell>
          <cell r="D2244" t="str">
            <v>ZC09</v>
          </cell>
        </row>
        <row r="2245">
          <cell r="B2245">
            <v>40005734</v>
          </cell>
          <cell r="C2245" t="str">
            <v>JM23100191</v>
          </cell>
          <cell r="D2245" t="str">
            <v>ZC10</v>
          </cell>
        </row>
        <row r="2246">
          <cell r="B2246">
            <v>40006013</v>
          </cell>
          <cell r="C2246" t="str">
            <v>JM23100108</v>
          </cell>
          <cell r="D2246" t="str">
            <v>ZC10</v>
          </cell>
        </row>
        <row r="2247">
          <cell r="B2247">
            <v>40006341</v>
          </cell>
          <cell r="C2247" t="str">
            <v>265985-9</v>
          </cell>
          <cell r="D2247" t="str">
            <v>ZC11</v>
          </cell>
        </row>
        <row r="2248">
          <cell r="B2248">
            <v>40006381</v>
          </cell>
          <cell r="C2248" t="str">
            <v>324848-9</v>
          </cell>
          <cell r="D2248" t="str">
            <v>ZC11</v>
          </cell>
        </row>
        <row r="2249">
          <cell r="B2249">
            <v>40008045</v>
          </cell>
          <cell r="C2249" t="str">
            <v>222126-0</v>
          </cell>
          <cell r="D2249" t="str">
            <v>ZC12</v>
          </cell>
        </row>
        <row r="2250">
          <cell r="B2250">
            <v>40010378</v>
          </cell>
          <cell r="C2250" t="str">
            <v>233174-4</v>
          </cell>
          <cell r="D2250" t="str">
            <v>ZC12</v>
          </cell>
        </row>
        <row r="2251">
          <cell r="B2251">
            <v>40010957</v>
          </cell>
          <cell r="C2251" t="str">
            <v>285818-2</v>
          </cell>
          <cell r="D2251" t="str">
            <v>ZC13</v>
          </cell>
        </row>
        <row r="2252">
          <cell r="B2252">
            <v>40007707</v>
          </cell>
          <cell r="C2252" t="str">
            <v>JM23000067</v>
          </cell>
          <cell r="D2252" t="str">
            <v>ZC13</v>
          </cell>
        </row>
        <row r="2253">
          <cell r="B2253">
            <v>40006260</v>
          </cell>
          <cell r="C2253" t="str">
            <v>322962-5</v>
          </cell>
          <cell r="D2253" t="str">
            <v>ZC13</v>
          </cell>
        </row>
        <row r="2254">
          <cell r="B2254">
            <v>40005354</v>
          </cell>
          <cell r="C2254" t="str">
            <v>216040-0</v>
          </cell>
          <cell r="D2254" t="str">
            <v>ZC14</v>
          </cell>
        </row>
        <row r="2255">
          <cell r="B2255">
            <v>40008174</v>
          </cell>
          <cell r="C2255" t="str">
            <v>322899-6</v>
          </cell>
          <cell r="D2255" t="str">
            <v>ZC14</v>
          </cell>
        </row>
        <row r="2256">
          <cell r="B2256">
            <v>40008269</v>
          </cell>
          <cell r="C2256" t="str">
            <v>265894-2</v>
          </cell>
          <cell r="D2256" t="str">
            <v>ZC15</v>
          </cell>
        </row>
        <row r="2257">
          <cell r="B2257">
            <v>40006314</v>
          </cell>
          <cell r="C2257" t="str">
            <v>265117-8</v>
          </cell>
          <cell r="D2257" t="str">
            <v>ZC15</v>
          </cell>
        </row>
        <row r="2258">
          <cell r="B2258">
            <v>40007655</v>
          </cell>
          <cell r="C2258" t="str">
            <v>416292-5</v>
          </cell>
          <cell r="D2258" t="str">
            <v>ZC16</v>
          </cell>
        </row>
        <row r="2259">
          <cell r="B2259">
            <v>40007029</v>
          </cell>
          <cell r="C2259" t="str">
            <v>346470-2</v>
          </cell>
          <cell r="D2259" t="str">
            <v>ZC16</v>
          </cell>
        </row>
        <row r="2260">
          <cell r="B2260">
            <v>40007628</v>
          </cell>
          <cell r="C2260" t="str">
            <v>321495-7</v>
          </cell>
          <cell r="D2260" t="str">
            <v>ZD01</v>
          </cell>
        </row>
        <row r="2261">
          <cell r="B2261">
            <v>40006285</v>
          </cell>
          <cell r="C2261" t="str">
            <v>416122-0</v>
          </cell>
          <cell r="D2261" t="str">
            <v>ZD01</v>
          </cell>
        </row>
        <row r="2262">
          <cell r="B2262">
            <v>40006839</v>
          </cell>
          <cell r="C2262" t="str">
            <v>153299-7</v>
          </cell>
          <cell r="D2262" t="str">
            <v>ZD02</v>
          </cell>
        </row>
        <row r="2263">
          <cell r="B2263">
            <v>40005945</v>
          </cell>
          <cell r="C2263" t="str">
            <v>162244-1</v>
          </cell>
          <cell r="D2263" t="str">
            <v>ZD02</v>
          </cell>
        </row>
        <row r="2264">
          <cell r="B2264">
            <v>40006886</v>
          </cell>
          <cell r="C2264" t="str">
            <v>688174-3</v>
          </cell>
          <cell r="D2264" t="str">
            <v>ZD03</v>
          </cell>
        </row>
        <row r="2265">
          <cell r="B2265">
            <v>40006369</v>
          </cell>
          <cell r="C2265" t="str">
            <v>643852-2</v>
          </cell>
          <cell r="D2265" t="str">
            <v>ZD03</v>
          </cell>
        </row>
        <row r="2266">
          <cell r="B2266">
            <v>40007574</v>
          </cell>
          <cell r="C2266" t="str">
            <v>242054-3</v>
          </cell>
          <cell r="D2266" t="str">
            <v>ZD04</v>
          </cell>
        </row>
        <row r="2267">
          <cell r="B2267">
            <v>40006747</v>
          </cell>
          <cell r="C2267" t="str">
            <v>643601-7</v>
          </cell>
          <cell r="D2267" t="str">
            <v>ZD04</v>
          </cell>
        </row>
        <row r="2268">
          <cell r="B2268">
            <v>40007698</v>
          </cell>
          <cell r="C2268" t="str">
            <v>643750-0</v>
          </cell>
          <cell r="D2268" t="str">
            <v>ZD05</v>
          </cell>
        </row>
        <row r="2269">
          <cell r="B2269">
            <v>40006813</v>
          </cell>
          <cell r="C2269" t="str">
            <v>233033-2</v>
          </cell>
          <cell r="D2269" t="str">
            <v>ZD05</v>
          </cell>
        </row>
        <row r="2270">
          <cell r="B2270">
            <v>40011138</v>
          </cell>
          <cell r="C2270" t="str">
            <v>326803-7</v>
          </cell>
          <cell r="D2270" t="str">
            <v>ZD05</v>
          </cell>
        </row>
        <row r="2271">
          <cell r="B2271">
            <v>40008015</v>
          </cell>
          <cell r="C2271" t="str">
            <v>346102-1</v>
          </cell>
          <cell r="D2271" t="str">
            <v>ZD06</v>
          </cell>
        </row>
        <row r="2272">
          <cell r="B2272">
            <v>40005672</v>
          </cell>
          <cell r="C2272" t="str">
            <v>424190-9</v>
          </cell>
          <cell r="D2272" t="str">
            <v>ZD06</v>
          </cell>
        </row>
        <row r="2273">
          <cell r="B2273">
            <v>40007020</v>
          </cell>
          <cell r="C2273">
            <v>28142021</v>
          </cell>
          <cell r="D2273" t="str">
            <v>ZD07</v>
          </cell>
        </row>
        <row r="2274">
          <cell r="B2274">
            <v>40006977</v>
          </cell>
          <cell r="C2274" t="str">
            <v>168503-1</v>
          </cell>
          <cell r="D2274" t="str">
            <v>ZD07</v>
          </cell>
        </row>
        <row r="2275">
          <cell r="B2275">
            <v>40008227</v>
          </cell>
          <cell r="C2275" t="str">
            <v>253715-0</v>
          </cell>
          <cell r="D2275" t="str">
            <v>ZD08</v>
          </cell>
        </row>
        <row r="2276">
          <cell r="B2276">
            <v>40006073</v>
          </cell>
          <cell r="C2276" t="str">
            <v>252186-8</v>
          </cell>
          <cell r="D2276" t="str">
            <v>ZD08</v>
          </cell>
        </row>
        <row r="2277">
          <cell r="B2277">
            <v>40008260</v>
          </cell>
          <cell r="C2277" t="str">
            <v>316882-3</v>
          </cell>
          <cell r="D2277" t="str">
            <v>ZD09</v>
          </cell>
        </row>
        <row r="2278">
          <cell r="B2278">
            <v>40005617</v>
          </cell>
          <cell r="C2278" t="str">
            <v>266819-9</v>
          </cell>
          <cell r="D2278" t="str">
            <v>ZD09</v>
          </cell>
        </row>
        <row r="2279">
          <cell r="B2279">
            <v>40006908</v>
          </cell>
          <cell r="C2279" t="str">
            <v>343540-8</v>
          </cell>
          <cell r="D2279" t="str">
            <v>ZD10</v>
          </cell>
        </row>
        <row r="2280">
          <cell r="B2280">
            <v>40006119</v>
          </cell>
          <cell r="C2280" t="str">
            <v>911117-3</v>
          </cell>
          <cell r="D2280" t="str">
            <v>ZD10</v>
          </cell>
        </row>
        <row r="2281">
          <cell r="B2281">
            <v>40010339</v>
          </cell>
          <cell r="C2281" t="str">
            <v>411478-6</v>
          </cell>
          <cell r="D2281" t="str">
            <v>ZD11</v>
          </cell>
        </row>
        <row r="2282">
          <cell r="B2282">
            <v>40006163</v>
          </cell>
          <cell r="C2282" t="str">
            <v>262068-6</v>
          </cell>
          <cell r="D2282" t="str">
            <v>ZD11</v>
          </cell>
        </row>
        <row r="2283">
          <cell r="B2283">
            <v>40006156</v>
          </cell>
          <cell r="C2283" t="str">
            <v>417113-4</v>
          </cell>
          <cell r="D2283" t="str">
            <v>ZD11</v>
          </cell>
        </row>
        <row r="2284">
          <cell r="B2284">
            <v>40007014</v>
          </cell>
          <cell r="C2284" t="str">
            <v>345228-6</v>
          </cell>
          <cell r="D2284" t="str">
            <v>ZD12</v>
          </cell>
        </row>
        <row r="2285">
          <cell r="B2285">
            <v>40005663</v>
          </cell>
          <cell r="C2285" t="str">
            <v>212108-0</v>
          </cell>
          <cell r="D2285" t="str">
            <v>ZD12</v>
          </cell>
        </row>
        <row r="2286">
          <cell r="B2286">
            <v>40008219</v>
          </cell>
          <cell r="C2286" t="str">
            <v>344232-2</v>
          </cell>
          <cell r="D2286" t="str">
            <v>ZD13</v>
          </cell>
        </row>
        <row r="2287">
          <cell r="B2287">
            <v>40005291</v>
          </cell>
          <cell r="C2287" t="str">
            <v>267153-0</v>
          </cell>
          <cell r="D2287" t="str">
            <v>ZD13</v>
          </cell>
        </row>
        <row r="2288">
          <cell r="B2288">
            <v>40007848</v>
          </cell>
          <cell r="C2288" t="str">
            <v>651922-3</v>
          </cell>
          <cell r="D2288" t="str">
            <v>ZD14</v>
          </cell>
        </row>
        <row r="2289">
          <cell r="B2289">
            <v>40006971</v>
          </cell>
          <cell r="C2289" t="str">
            <v>257018-4</v>
          </cell>
          <cell r="D2289" t="str">
            <v>ZD14</v>
          </cell>
        </row>
        <row r="2290">
          <cell r="B2290">
            <v>40008203</v>
          </cell>
          <cell r="C2290" t="str">
            <v>232190-3</v>
          </cell>
          <cell r="D2290" t="str">
            <v>ZD15</v>
          </cell>
        </row>
        <row r="2291">
          <cell r="B2291">
            <v>40006120</v>
          </cell>
          <cell r="C2291" t="str">
            <v>126100-9</v>
          </cell>
          <cell r="D2291" t="str">
            <v>ZD15</v>
          </cell>
        </row>
        <row r="2292">
          <cell r="B2292">
            <v>40007611</v>
          </cell>
          <cell r="C2292" t="str">
            <v>266080-8</v>
          </cell>
          <cell r="D2292" t="str">
            <v>ZD16</v>
          </cell>
        </row>
        <row r="2293">
          <cell r="B2293">
            <v>40005595</v>
          </cell>
          <cell r="C2293" t="str">
            <v>266427-6</v>
          </cell>
          <cell r="D2293" t="str">
            <v>ZD16</v>
          </cell>
        </row>
        <row r="2294">
          <cell r="B2294">
            <v>40007094</v>
          </cell>
          <cell r="C2294" t="str">
            <v>257241-1</v>
          </cell>
          <cell r="D2294" t="str">
            <v>ZE01</v>
          </cell>
        </row>
        <row r="2295">
          <cell r="B2295">
            <v>40007312</v>
          </cell>
          <cell r="C2295" t="str">
            <v>654169-8</v>
          </cell>
          <cell r="D2295" t="str">
            <v>ZE01</v>
          </cell>
        </row>
        <row r="2296">
          <cell r="B2296">
            <v>40008170</v>
          </cell>
          <cell r="C2296" t="str">
            <v>331493-3</v>
          </cell>
          <cell r="D2296" t="str">
            <v>ZE02</v>
          </cell>
        </row>
        <row r="2297">
          <cell r="B2297">
            <v>40007258</v>
          </cell>
          <cell r="C2297">
            <v>963206018</v>
          </cell>
          <cell r="D2297" t="str">
            <v>ZE02</v>
          </cell>
        </row>
        <row r="2298">
          <cell r="B2298">
            <v>40007303</v>
          </cell>
          <cell r="C2298" t="str">
            <v>263002-9</v>
          </cell>
          <cell r="D2298" t="str">
            <v>ZE03</v>
          </cell>
        </row>
        <row r="2299">
          <cell r="B2299">
            <v>40006716</v>
          </cell>
          <cell r="C2299" t="str">
            <v>126411-2</v>
          </cell>
          <cell r="D2299" t="str">
            <v>ZE03</v>
          </cell>
        </row>
        <row r="2300">
          <cell r="B2300">
            <v>40007098</v>
          </cell>
          <cell r="C2300" t="str">
            <v>421563-7</v>
          </cell>
          <cell r="D2300" t="str">
            <v>ZE04</v>
          </cell>
        </row>
        <row r="2301">
          <cell r="B2301">
            <v>40007697</v>
          </cell>
          <cell r="C2301" t="str">
            <v>643605-9</v>
          </cell>
          <cell r="D2301" t="str">
            <v>ZE04</v>
          </cell>
        </row>
        <row r="2302">
          <cell r="B2302">
            <v>40007912</v>
          </cell>
          <cell r="C2302" t="str">
            <v>A0200-0231</v>
          </cell>
          <cell r="D2302" t="str">
            <v>ZE05</v>
          </cell>
        </row>
        <row r="2303">
          <cell r="B2303">
            <v>40005723</v>
          </cell>
          <cell r="C2303" t="str">
            <v>213755-0</v>
          </cell>
          <cell r="D2303" t="str">
            <v>ZE05</v>
          </cell>
        </row>
        <row r="2304">
          <cell r="B2304">
            <v>40006953</v>
          </cell>
          <cell r="C2304" t="str">
            <v>418729-8</v>
          </cell>
          <cell r="D2304" t="str">
            <v>ZE06</v>
          </cell>
        </row>
        <row r="2305">
          <cell r="B2305">
            <v>40006684</v>
          </cell>
          <cell r="C2305" t="str">
            <v>213180-5</v>
          </cell>
          <cell r="D2305" t="str">
            <v>ZE06</v>
          </cell>
        </row>
        <row r="2306">
          <cell r="B2306">
            <v>40011749</v>
          </cell>
          <cell r="C2306" t="str">
            <v>262552-1</v>
          </cell>
          <cell r="D2306" t="str">
            <v>ZE06</v>
          </cell>
        </row>
        <row r="2307">
          <cell r="B2307">
            <v>40005227</v>
          </cell>
          <cell r="C2307" t="str">
            <v>231647-1</v>
          </cell>
          <cell r="D2307" t="str">
            <v>ZE07</v>
          </cell>
        </row>
        <row r="2308">
          <cell r="B2308">
            <v>40007156</v>
          </cell>
          <cell r="C2308" t="str">
            <v>213026-5</v>
          </cell>
          <cell r="D2308" t="str">
            <v>ZE07</v>
          </cell>
        </row>
        <row r="2309">
          <cell r="B2309">
            <v>10019255</v>
          </cell>
          <cell r="C2309" t="str">
            <v>267001-3</v>
          </cell>
          <cell r="D2309" t="str">
            <v>ZE07</v>
          </cell>
        </row>
        <row r="2310">
          <cell r="B2310">
            <v>40006048</v>
          </cell>
          <cell r="C2310" t="str">
            <v>419679-0</v>
          </cell>
          <cell r="D2310" t="str">
            <v>ZE08</v>
          </cell>
        </row>
        <row r="2311">
          <cell r="B2311">
            <v>40006008</v>
          </cell>
          <cell r="C2311" t="str">
            <v>JM23100026</v>
          </cell>
          <cell r="D2311" t="str">
            <v>ZE08</v>
          </cell>
        </row>
        <row r="2312">
          <cell r="B2312">
            <v>40005746</v>
          </cell>
          <cell r="C2312" t="str">
            <v>233031-6</v>
          </cell>
          <cell r="D2312" t="str">
            <v>ZE09</v>
          </cell>
        </row>
        <row r="2313">
          <cell r="B2313">
            <v>40006415</v>
          </cell>
          <cell r="C2313" t="str">
            <v>313255-1</v>
          </cell>
          <cell r="D2313" t="str">
            <v>ZE09</v>
          </cell>
        </row>
        <row r="2314">
          <cell r="B2314">
            <v>40007418</v>
          </cell>
          <cell r="C2314" t="str">
            <v>224329-2</v>
          </cell>
          <cell r="D2314" t="str">
            <v>ZE10</v>
          </cell>
        </row>
        <row r="2315">
          <cell r="B2315">
            <v>40007427</v>
          </cell>
          <cell r="C2315" t="str">
            <v>257163-5</v>
          </cell>
          <cell r="D2315" t="str">
            <v>ZE10</v>
          </cell>
        </row>
        <row r="2316">
          <cell r="B2316">
            <v>40007422</v>
          </cell>
          <cell r="C2316" t="str">
            <v>231593-8</v>
          </cell>
          <cell r="D2316" t="str">
            <v>ZE11</v>
          </cell>
        </row>
        <row r="2317">
          <cell r="B2317">
            <v>40005653</v>
          </cell>
          <cell r="C2317" t="str">
            <v>252155-9</v>
          </cell>
          <cell r="D2317" t="str">
            <v>ZE11</v>
          </cell>
        </row>
        <row r="2318">
          <cell r="B2318">
            <v>40008190</v>
          </cell>
          <cell r="C2318" t="str">
            <v>267287-9</v>
          </cell>
          <cell r="D2318" t="str">
            <v>ZE12</v>
          </cell>
        </row>
        <row r="2319">
          <cell r="B2319">
            <v>40008041</v>
          </cell>
          <cell r="C2319" t="str">
            <v>324711-6</v>
          </cell>
          <cell r="D2319" t="str">
            <v>ZE12</v>
          </cell>
        </row>
        <row r="2320">
          <cell r="B2320">
            <v>40006770</v>
          </cell>
          <cell r="C2320" t="str">
            <v>421479-6</v>
          </cell>
          <cell r="D2320" t="str">
            <v>ZE13</v>
          </cell>
        </row>
        <row r="2321">
          <cell r="B2321">
            <v>40006393</v>
          </cell>
          <cell r="C2321" t="str">
            <v>416123-8</v>
          </cell>
          <cell r="D2321" t="str">
            <v>ZE13</v>
          </cell>
        </row>
        <row r="2322">
          <cell r="B2322">
            <v>40011815</v>
          </cell>
          <cell r="C2322" t="str">
            <v>911288-6</v>
          </cell>
          <cell r="D2322" t="str">
            <v>ZE14</v>
          </cell>
        </row>
        <row r="2323">
          <cell r="B2323">
            <v>40011883</v>
          </cell>
          <cell r="C2323" t="str">
            <v>418138-1</v>
          </cell>
          <cell r="D2323" t="str">
            <v>ZE14</v>
          </cell>
        </row>
        <row r="2324">
          <cell r="B2324">
            <v>40011888</v>
          </cell>
          <cell r="C2324" t="str">
            <v>136888-3</v>
          </cell>
          <cell r="D2324" t="str">
            <v>ZE14</v>
          </cell>
        </row>
        <row r="2325">
          <cell r="B2325">
            <v>40006375</v>
          </cell>
          <cell r="C2325" t="str">
            <v>325792-3</v>
          </cell>
          <cell r="D2325" t="str">
            <v>ZE14</v>
          </cell>
        </row>
        <row r="2326">
          <cell r="B2326">
            <v>40006707</v>
          </cell>
          <cell r="C2326" t="str">
            <v>126233-0</v>
          </cell>
          <cell r="D2326" t="str">
            <v>ZE15</v>
          </cell>
        </row>
        <row r="2327">
          <cell r="B2327">
            <v>40006718</v>
          </cell>
          <cell r="C2327" t="str">
            <v>126289-3</v>
          </cell>
          <cell r="D2327" t="str">
            <v>ZE15</v>
          </cell>
        </row>
        <row r="2328">
          <cell r="B2328">
            <v>40007023</v>
          </cell>
          <cell r="C2328" t="str">
            <v>265118-6</v>
          </cell>
          <cell r="D2328" t="str">
            <v>ZE16</v>
          </cell>
        </row>
        <row r="2329">
          <cell r="B2329">
            <v>40006006</v>
          </cell>
          <cell r="C2329" t="str">
            <v>JM23100022</v>
          </cell>
          <cell r="D2329" t="str">
            <v>ZE16</v>
          </cell>
        </row>
        <row r="2330">
          <cell r="B2330">
            <v>40006998</v>
          </cell>
          <cell r="C2330" t="str">
            <v>424023-8</v>
          </cell>
          <cell r="D2330" t="str">
            <v>ZF01</v>
          </cell>
        </row>
        <row r="2331">
          <cell r="B2331">
            <v>40005171</v>
          </cell>
          <cell r="C2331" t="str">
            <v>652066-2</v>
          </cell>
          <cell r="D2331" t="str">
            <v>ZF01</v>
          </cell>
        </row>
        <row r="2332">
          <cell r="B2332">
            <v>40007383</v>
          </cell>
          <cell r="C2332" t="str">
            <v>253811-4</v>
          </cell>
          <cell r="D2332" t="str">
            <v>ZF01</v>
          </cell>
        </row>
        <row r="2333">
          <cell r="B2333">
            <v>40007516</v>
          </cell>
          <cell r="C2333" t="str">
            <v>252094-3</v>
          </cell>
          <cell r="D2333" t="str">
            <v>ZF02</v>
          </cell>
        </row>
        <row r="2334">
          <cell r="B2334">
            <v>40007964</v>
          </cell>
          <cell r="C2334" t="str">
            <v>125278-5</v>
          </cell>
          <cell r="D2334" t="str">
            <v>ZF02</v>
          </cell>
        </row>
        <row r="2335">
          <cell r="B2335">
            <v>40007390</v>
          </cell>
          <cell r="C2335" t="str">
            <v>941201-0</v>
          </cell>
          <cell r="D2335" t="str">
            <v>ZF03</v>
          </cell>
        </row>
        <row r="2336">
          <cell r="B2336">
            <v>40006279</v>
          </cell>
          <cell r="C2336" t="str">
            <v>213304-3</v>
          </cell>
          <cell r="D2336" t="str">
            <v>ZF03</v>
          </cell>
        </row>
        <row r="2337">
          <cell r="B2337">
            <v>40007561</v>
          </cell>
          <cell r="C2337" t="str">
            <v>JM27000324</v>
          </cell>
          <cell r="D2337" t="str">
            <v>ZF04</v>
          </cell>
        </row>
        <row r="2338">
          <cell r="B2338">
            <v>40005584</v>
          </cell>
          <cell r="C2338" t="str">
            <v>285728-3</v>
          </cell>
          <cell r="D2338" t="str">
            <v>ZF04</v>
          </cell>
        </row>
        <row r="2339">
          <cell r="B2339">
            <v>40005718</v>
          </cell>
          <cell r="C2339" t="str">
            <v>213606-7</v>
          </cell>
          <cell r="D2339" t="str">
            <v>ZF05</v>
          </cell>
        </row>
        <row r="2340">
          <cell r="B2340">
            <v>40005603</v>
          </cell>
          <cell r="C2340" t="str">
            <v>421934-8</v>
          </cell>
          <cell r="D2340" t="str">
            <v>ZF05</v>
          </cell>
        </row>
        <row r="2341">
          <cell r="B2341">
            <v>40006958</v>
          </cell>
          <cell r="C2341" t="str">
            <v>213983-7</v>
          </cell>
          <cell r="D2341" t="str">
            <v>ZF06</v>
          </cell>
        </row>
        <row r="2342">
          <cell r="B2342">
            <v>40007288</v>
          </cell>
          <cell r="C2342" t="str">
            <v>941202-8</v>
          </cell>
          <cell r="D2342" t="str">
            <v>ZF06</v>
          </cell>
        </row>
        <row r="2343">
          <cell r="B2343">
            <v>40007735</v>
          </cell>
          <cell r="C2343" t="str">
            <v>213411-2</v>
          </cell>
          <cell r="D2343" t="str">
            <v>ZF07</v>
          </cell>
        </row>
        <row r="2344">
          <cell r="B2344">
            <v>40005574</v>
          </cell>
          <cell r="C2344" t="str">
            <v>312956-8</v>
          </cell>
          <cell r="D2344" t="str">
            <v>ZF07</v>
          </cell>
        </row>
        <row r="2345">
          <cell r="B2345">
            <v>40007291</v>
          </cell>
          <cell r="C2345" t="str">
            <v>253731-2</v>
          </cell>
          <cell r="D2345" t="str">
            <v>ZF08</v>
          </cell>
        </row>
        <row r="2346">
          <cell r="B2346">
            <v>40006793</v>
          </cell>
          <cell r="C2346" t="str">
            <v>931202-6</v>
          </cell>
          <cell r="D2346" t="str">
            <v>ZF08</v>
          </cell>
        </row>
        <row r="2347">
          <cell r="B2347">
            <v>40007100</v>
          </cell>
          <cell r="C2347" t="str">
            <v>251697-0</v>
          </cell>
          <cell r="D2347" t="str">
            <v>ZF09</v>
          </cell>
        </row>
        <row r="2348">
          <cell r="B2348">
            <v>40006778</v>
          </cell>
          <cell r="C2348" t="str">
            <v>214004-8</v>
          </cell>
          <cell r="D2348" t="str">
            <v>ZF09</v>
          </cell>
        </row>
        <row r="2349">
          <cell r="B2349">
            <v>10019880</v>
          </cell>
          <cell r="C2349" t="str">
            <v>224386-0</v>
          </cell>
          <cell r="D2349" t="str">
            <v>ZF10</v>
          </cell>
        </row>
        <row r="2350">
          <cell r="B2350">
            <v>40007625</v>
          </cell>
          <cell r="C2350" t="str">
            <v>911373-5</v>
          </cell>
          <cell r="D2350" t="str">
            <v>ZF10</v>
          </cell>
        </row>
        <row r="2351">
          <cell r="B2351">
            <v>40007618</v>
          </cell>
          <cell r="C2351" t="str">
            <v>214114-1</v>
          </cell>
          <cell r="D2351" t="str">
            <v>ZF11</v>
          </cell>
        </row>
        <row r="2352">
          <cell r="B2352">
            <v>40006137</v>
          </cell>
          <cell r="C2352" t="str">
            <v>265112-8</v>
          </cell>
          <cell r="D2352" t="str">
            <v>ZF11</v>
          </cell>
        </row>
        <row r="2353">
          <cell r="B2353">
            <v>40007234</v>
          </cell>
          <cell r="C2353" t="str">
            <v>224282-2</v>
          </cell>
          <cell r="D2353" t="str">
            <v>ZF12</v>
          </cell>
        </row>
        <row r="2354">
          <cell r="B2354">
            <v>40006934</v>
          </cell>
          <cell r="C2354" t="str">
            <v>213656-2</v>
          </cell>
          <cell r="D2354" t="str">
            <v>ZF12</v>
          </cell>
        </row>
        <row r="2355">
          <cell r="B2355">
            <v>40010246</v>
          </cell>
          <cell r="C2355" t="str">
            <v>265008-3</v>
          </cell>
          <cell r="D2355" t="str">
            <v>ZF13</v>
          </cell>
        </row>
        <row r="2356">
          <cell r="B2356">
            <v>40006422</v>
          </cell>
          <cell r="C2356">
            <v>195132020</v>
          </cell>
          <cell r="D2356" t="str">
            <v>ZF13</v>
          </cell>
        </row>
        <row r="2357">
          <cell r="B2357">
            <v>40006879</v>
          </cell>
          <cell r="C2357" t="str">
            <v>266783-4</v>
          </cell>
          <cell r="D2357" t="str">
            <v>ZF14</v>
          </cell>
        </row>
        <row r="2358">
          <cell r="B2358">
            <v>40005678</v>
          </cell>
          <cell r="C2358" t="str">
            <v>344178-2</v>
          </cell>
          <cell r="D2358" t="str">
            <v>ZF14</v>
          </cell>
        </row>
        <row r="2359">
          <cell r="B2359">
            <v>40006973</v>
          </cell>
          <cell r="C2359" t="str">
            <v>212012-3</v>
          </cell>
          <cell r="D2359" t="str">
            <v>ZF15</v>
          </cell>
        </row>
        <row r="2360">
          <cell r="B2360">
            <v>40011335</v>
          </cell>
          <cell r="C2360" t="str">
            <v>JM27000323</v>
          </cell>
          <cell r="D2360" t="str">
            <v>ZF15</v>
          </cell>
        </row>
        <row r="2361">
          <cell r="B2361">
            <v>40006037</v>
          </cell>
          <cell r="C2361" t="str">
            <v>233072-2</v>
          </cell>
          <cell r="D2361" t="str">
            <v>ZF15</v>
          </cell>
        </row>
        <row r="2362">
          <cell r="B2362">
            <v>40008136</v>
          </cell>
          <cell r="C2362" t="str">
            <v>253147-1</v>
          </cell>
          <cell r="D2362" t="str">
            <v>ZF16</v>
          </cell>
        </row>
        <row r="2363">
          <cell r="B2363">
            <v>40006145</v>
          </cell>
          <cell r="C2363" t="str">
            <v>A0200-1091</v>
          </cell>
          <cell r="D2363" t="str">
            <v>ZF16</v>
          </cell>
        </row>
        <row r="2364">
          <cell r="B2364">
            <v>40007994</v>
          </cell>
          <cell r="C2364" t="str">
            <v>651315-4</v>
          </cell>
          <cell r="D2364" t="str">
            <v>ZG01</v>
          </cell>
        </row>
        <row r="2365">
          <cell r="B2365">
            <v>40005726</v>
          </cell>
          <cell r="C2365" t="str">
            <v>253794-8</v>
          </cell>
          <cell r="D2365" t="str">
            <v>ZG01</v>
          </cell>
        </row>
        <row r="2366">
          <cell r="B2366">
            <v>40011196</v>
          </cell>
          <cell r="C2366" t="str">
            <v>265135-6</v>
          </cell>
          <cell r="D2366" t="str">
            <v>ZG02</v>
          </cell>
        </row>
        <row r="2367">
          <cell r="B2367">
            <v>40011200</v>
          </cell>
          <cell r="C2367" t="str">
            <v>266045-0</v>
          </cell>
          <cell r="D2367" t="str">
            <v>ZG02</v>
          </cell>
        </row>
        <row r="2368">
          <cell r="B2368">
            <v>40006281</v>
          </cell>
          <cell r="C2368" t="str">
            <v>213370-0</v>
          </cell>
          <cell r="D2368" t="str">
            <v>ZG02</v>
          </cell>
        </row>
        <row r="2369">
          <cell r="B2369">
            <v>40006424</v>
          </cell>
          <cell r="C2369" t="str">
            <v>252172-9</v>
          </cell>
          <cell r="D2369" t="str">
            <v>ZG02</v>
          </cell>
        </row>
        <row r="2370">
          <cell r="B2370">
            <v>40005326</v>
          </cell>
          <cell r="C2370" t="str">
            <v>643807-7</v>
          </cell>
          <cell r="D2370" t="str">
            <v>ZG03</v>
          </cell>
        </row>
        <row r="2371">
          <cell r="B2371">
            <v>40006115</v>
          </cell>
          <cell r="C2371" t="str">
            <v>252134-7</v>
          </cell>
          <cell r="D2371" t="str">
            <v>ZG03</v>
          </cell>
        </row>
        <row r="2372">
          <cell r="B2372">
            <v>40007715</v>
          </cell>
          <cell r="C2372" t="str">
            <v>931402-8</v>
          </cell>
          <cell r="D2372" t="str">
            <v>ZG04</v>
          </cell>
        </row>
        <row r="2373">
          <cell r="B2373">
            <v>40008047</v>
          </cell>
          <cell r="C2373" t="str">
            <v>222145-6</v>
          </cell>
          <cell r="D2373" t="str">
            <v>ZG04</v>
          </cell>
        </row>
        <row r="2374">
          <cell r="B2374">
            <v>40006067</v>
          </cell>
          <cell r="C2374" t="str">
            <v>253215-0</v>
          </cell>
          <cell r="D2374" t="str">
            <v>ZG05</v>
          </cell>
        </row>
        <row r="2375">
          <cell r="B2375">
            <v>40005727</v>
          </cell>
          <cell r="C2375" t="str">
            <v>213806-9</v>
          </cell>
          <cell r="D2375" t="str">
            <v>ZG05</v>
          </cell>
        </row>
        <row r="2376">
          <cell r="B2376">
            <v>40006860</v>
          </cell>
          <cell r="C2376" t="str">
            <v>213961-7</v>
          </cell>
          <cell r="D2376" t="str">
            <v>ZG06</v>
          </cell>
        </row>
        <row r="2377">
          <cell r="B2377">
            <v>40005580</v>
          </cell>
          <cell r="C2377" t="str">
            <v>264010-3</v>
          </cell>
          <cell r="D2377" t="str">
            <v>ZG06</v>
          </cell>
        </row>
        <row r="2378">
          <cell r="B2378">
            <v>40010266</v>
          </cell>
          <cell r="C2378" t="str">
            <v>252649-4</v>
          </cell>
          <cell r="D2378" t="str">
            <v>ZG07</v>
          </cell>
        </row>
        <row r="2379">
          <cell r="B2379">
            <v>40006817</v>
          </cell>
          <cell r="C2379" t="str">
            <v>951122-8</v>
          </cell>
          <cell r="D2379" t="str">
            <v>ZG07</v>
          </cell>
        </row>
        <row r="2380">
          <cell r="B2380">
            <v>40007509</v>
          </cell>
          <cell r="C2380" t="str">
            <v>325983-6</v>
          </cell>
          <cell r="D2380" t="str">
            <v>ZG08</v>
          </cell>
        </row>
        <row r="2381">
          <cell r="B2381">
            <v>40006316</v>
          </cell>
          <cell r="C2381" t="str">
            <v>267256-0</v>
          </cell>
          <cell r="D2381" t="str">
            <v>ZG08</v>
          </cell>
        </row>
        <row r="2382">
          <cell r="B2382">
            <v>40003871</v>
          </cell>
          <cell r="C2382" t="str">
            <v>212005-0</v>
          </cell>
          <cell r="D2382" t="str">
            <v>ZG09</v>
          </cell>
        </row>
        <row r="2383">
          <cell r="B2383">
            <v>40005968</v>
          </cell>
          <cell r="C2383" t="str">
            <v>313228-4</v>
          </cell>
          <cell r="D2383" t="str">
            <v>ZG09</v>
          </cell>
        </row>
        <row r="2384">
          <cell r="B2384">
            <v>40006318</v>
          </cell>
          <cell r="C2384" t="str">
            <v>266329-6</v>
          </cell>
          <cell r="D2384" t="str">
            <v>ZG10</v>
          </cell>
        </row>
        <row r="2385">
          <cell r="B2385">
            <v>40005547</v>
          </cell>
          <cell r="C2385" t="str">
            <v>961006-2</v>
          </cell>
          <cell r="D2385" t="str">
            <v>ZG10</v>
          </cell>
        </row>
        <row r="2386">
          <cell r="B2386">
            <v>40008160</v>
          </cell>
          <cell r="C2386">
            <v>915135100</v>
          </cell>
          <cell r="D2386" t="str">
            <v>ZG11</v>
          </cell>
        </row>
        <row r="2387">
          <cell r="B2387">
            <v>40006081</v>
          </cell>
          <cell r="C2387" t="str">
            <v>224370-5</v>
          </cell>
          <cell r="D2387" t="str">
            <v>ZG11</v>
          </cell>
        </row>
        <row r="2388">
          <cell r="B2388">
            <v>40006798</v>
          </cell>
          <cell r="C2388" t="str">
            <v>224431-1</v>
          </cell>
          <cell r="D2388" t="str">
            <v>ZG12</v>
          </cell>
        </row>
        <row r="2389">
          <cell r="B2389">
            <v>40006015</v>
          </cell>
          <cell r="C2389" t="str">
            <v>JM23100110</v>
          </cell>
          <cell r="D2389" t="str">
            <v>ZG12</v>
          </cell>
        </row>
        <row r="2390">
          <cell r="B2390">
            <v>40005684</v>
          </cell>
          <cell r="C2390" t="str">
            <v>925146-0</v>
          </cell>
          <cell r="D2390" t="str">
            <v>ZG13</v>
          </cell>
        </row>
        <row r="2391">
          <cell r="B2391">
            <v>40005692</v>
          </cell>
          <cell r="C2391" t="str">
            <v>251256-0</v>
          </cell>
          <cell r="D2391" t="str">
            <v>ZG13</v>
          </cell>
        </row>
        <row r="2392">
          <cell r="B2392">
            <v>40008176</v>
          </cell>
          <cell r="C2392" t="str">
            <v>233396-6</v>
          </cell>
          <cell r="D2392" t="str">
            <v>ZG14</v>
          </cell>
        </row>
        <row r="2393">
          <cell r="B2393">
            <v>40007271</v>
          </cell>
          <cell r="C2393" t="str">
            <v>251426-1</v>
          </cell>
          <cell r="D2393" t="str">
            <v>ZG14</v>
          </cell>
        </row>
        <row r="2394">
          <cell r="B2394">
            <v>40007426</v>
          </cell>
          <cell r="C2394" t="str">
            <v>212260-4</v>
          </cell>
          <cell r="D2394" t="str">
            <v>ZG15</v>
          </cell>
        </row>
        <row r="2395">
          <cell r="B2395">
            <v>40007837</v>
          </cell>
          <cell r="C2395" t="str">
            <v>443074-2</v>
          </cell>
          <cell r="D2395" t="str">
            <v>ZG15</v>
          </cell>
        </row>
        <row r="2396">
          <cell r="B2396">
            <v>40008224</v>
          </cell>
          <cell r="C2396" t="str">
            <v>212043-2</v>
          </cell>
          <cell r="D2396" t="str">
            <v>ZG16</v>
          </cell>
        </row>
        <row r="2397">
          <cell r="B2397">
            <v>40007286</v>
          </cell>
          <cell r="C2397" t="str">
            <v>252168-0</v>
          </cell>
          <cell r="D2397" t="str">
            <v>ZG16</v>
          </cell>
        </row>
        <row r="2398">
          <cell r="B2398">
            <v>40007877</v>
          </cell>
          <cell r="C2398" t="str">
            <v>252199-9</v>
          </cell>
          <cell r="D2398" t="str">
            <v>ZH01</v>
          </cell>
        </row>
        <row r="2399">
          <cell r="B2399">
            <v>40006867</v>
          </cell>
          <cell r="C2399" t="str">
            <v>268217-3</v>
          </cell>
          <cell r="D2399" t="str">
            <v>ZH01</v>
          </cell>
        </row>
        <row r="2400">
          <cell r="B2400">
            <v>40007615</v>
          </cell>
          <cell r="C2400" t="str">
            <v>222061-2</v>
          </cell>
          <cell r="D2400" t="str">
            <v>ZH02</v>
          </cell>
        </row>
        <row r="2401">
          <cell r="B2401">
            <v>40006864</v>
          </cell>
          <cell r="C2401" t="str">
            <v>261140-1</v>
          </cell>
          <cell r="D2401" t="str">
            <v>ZH02</v>
          </cell>
        </row>
        <row r="2402">
          <cell r="B2402">
            <v>40007242</v>
          </cell>
          <cell r="C2402">
            <v>38174030</v>
          </cell>
          <cell r="D2402" t="str">
            <v>ZH03</v>
          </cell>
        </row>
        <row r="2403">
          <cell r="B2403">
            <v>40007865</v>
          </cell>
          <cell r="C2403" t="str">
            <v>268228-8</v>
          </cell>
          <cell r="D2403" t="str">
            <v>ZH03</v>
          </cell>
        </row>
        <row r="2404">
          <cell r="B2404">
            <v>40005379</v>
          </cell>
          <cell r="C2404" t="str">
            <v>261114-2</v>
          </cell>
          <cell r="D2404" t="str">
            <v>ZH04</v>
          </cell>
        </row>
        <row r="2405">
          <cell r="B2405">
            <v>40006051</v>
          </cell>
          <cell r="C2405" t="str">
            <v>213604-1</v>
          </cell>
          <cell r="D2405" t="str">
            <v>ZH04</v>
          </cell>
        </row>
        <row r="2406">
          <cell r="B2406">
            <v>40007507</v>
          </cell>
          <cell r="C2406" t="str">
            <v>213435-8</v>
          </cell>
          <cell r="D2406" t="str">
            <v>ZH05</v>
          </cell>
        </row>
        <row r="2407">
          <cell r="B2407">
            <v>40007034</v>
          </cell>
          <cell r="C2407" t="str">
            <v>951222-4</v>
          </cell>
          <cell r="D2407" t="str">
            <v>ZH05</v>
          </cell>
        </row>
        <row r="2408">
          <cell r="B2408">
            <v>40007420</v>
          </cell>
          <cell r="C2408" t="str">
            <v>253951-8</v>
          </cell>
          <cell r="D2408" t="str">
            <v>ZH06</v>
          </cell>
        </row>
        <row r="2409">
          <cell r="B2409">
            <v>40008179</v>
          </cell>
          <cell r="C2409" t="str">
            <v>213314-0</v>
          </cell>
          <cell r="D2409" t="str">
            <v>ZH06</v>
          </cell>
        </row>
        <row r="2410">
          <cell r="B2410">
            <v>40007270</v>
          </cell>
          <cell r="C2410" t="str">
            <v>322865-3</v>
          </cell>
          <cell r="D2410" t="str">
            <v>ZH07</v>
          </cell>
        </row>
        <row r="2411">
          <cell r="B2411">
            <v>40006083</v>
          </cell>
          <cell r="C2411" t="str">
            <v>251897-2</v>
          </cell>
          <cell r="D2411" t="str">
            <v>ZH07</v>
          </cell>
        </row>
        <row r="2412">
          <cell r="B2412">
            <v>40007718</v>
          </cell>
          <cell r="C2412" t="str">
            <v>256196-7</v>
          </cell>
          <cell r="D2412" t="str">
            <v>ZH08</v>
          </cell>
        </row>
        <row r="2413">
          <cell r="B2413">
            <v>40005576</v>
          </cell>
          <cell r="C2413" t="str">
            <v>450275-5</v>
          </cell>
          <cell r="D2413" t="str">
            <v>ZH08</v>
          </cell>
        </row>
        <row r="2414">
          <cell r="B2414">
            <v>40005228</v>
          </cell>
          <cell r="C2414" t="str">
            <v>256739-5</v>
          </cell>
          <cell r="D2414" t="str">
            <v>ZH08</v>
          </cell>
        </row>
        <row r="2415">
          <cell r="B2415">
            <v>40006306</v>
          </cell>
          <cell r="C2415" t="str">
            <v>231131-6</v>
          </cell>
          <cell r="D2415" t="str">
            <v>ZH09</v>
          </cell>
        </row>
        <row r="2416">
          <cell r="B2416">
            <v>40006016</v>
          </cell>
          <cell r="C2416" t="str">
            <v>JM23100124</v>
          </cell>
          <cell r="D2416" t="str">
            <v>ZH09</v>
          </cell>
        </row>
        <row r="2417">
          <cell r="B2417">
            <v>40007584</v>
          </cell>
          <cell r="C2417" t="str">
            <v>345944-0</v>
          </cell>
          <cell r="D2417" t="str">
            <v>ZH10</v>
          </cell>
        </row>
        <row r="2418">
          <cell r="B2418">
            <v>40006018</v>
          </cell>
          <cell r="C2418" t="str">
            <v>JM23200017</v>
          </cell>
          <cell r="D2418" t="str">
            <v>ZH10</v>
          </cell>
        </row>
        <row r="2419">
          <cell r="B2419">
            <v>40006925</v>
          </cell>
          <cell r="C2419" t="str">
            <v>213279-6</v>
          </cell>
          <cell r="D2419" t="str">
            <v>ZH11</v>
          </cell>
        </row>
        <row r="2420">
          <cell r="B2420">
            <v>40005862</v>
          </cell>
          <cell r="C2420" t="str">
            <v>213258-4</v>
          </cell>
          <cell r="D2420" t="str">
            <v>ZH11</v>
          </cell>
        </row>
        <row r="2421">
          <cell r="B2421">
            <v>40011743</v>
          </cell>
          <cell r="C2421" t="str">
            <v>620K37-3</v>
          </cell>
          <cell r="D2421" t="str">
            <v>ZH12</v>
          </cell>
        </row>
        <row r="2422">
          <cell r="B2422">
            <v>40005589</v>
          </cell>
          <cell r="C2422" t="str">
            <v>265876-4</v>
          </cell>
          <cell r="D2422" t="str">
            <v>ZH12</v>
          </cell>
        </row>
        <row r="2423">
          <cell r="B2423">
            <v>40007684</v>
          </cell>
          <cell r="C2423" t="str">
            <v>226712-9</v>
          </cell>
          <cell r="D2423" t="str">
            <v>ZH13</v>
          </cell>
        </row>
        <row r="2424">
          <cell r="B2424">
            <v>40005608</v>
          </cell>
          <cell r="C2424" t="str">
            <v>231817-2</v>
          </cell>
          <cell r="D2424" t="str">
            <v>ZH13</v>
          </cell>
        </row>
        <row r="2425">
          <cell r="B2425">
            <v>40007694</v>
          </cell>
          <cell r="C2425" t="str">
            <v>164372-8</v>
          </cell>
          <cell r="D2425" t="str">
            <v>ZH14</v>
          </cell>
        </row>
        <row r="2426">
          <cell r="B2426">
            <v>40010982</v>
          </cell>
          <cell r="C2426" t="str">
            <v>419627-9</v>
          </cell>
          <cell r="D2426" t="str">
            <v>ZH14</v>
          </cell>
        </row>
        <row r="2427">
          <cell r="B2427">
            <v>40011333</v>
          </cell>
          <cell r="C2427" t="str">
            <v>313140-8</v>
          </cell>
          <cell r="D2427" t="str">
            <v>ZH14</v>
          </cell>
        </row>
        <row r="2428">
          <cell r="B2428">
            <v>40007532</v>
          </cell>
          <cell r="C2428" t="str">
            <v>417405-1</v>
          </cell>
          <cell r="D2428" t="str">
            <v>ZH14</v>
          </cell>
        </row>
        <row r="2429">
          <cell r="B2429">
            <v>40006489</v>
          </cell>
          <cell r="C2429" t="str">
            <v>452035-1</v>
          </cell>
          <cell r="D2429" t="str">
            <v>ZH15</v>
          </cell>
        </row>
        <row r="2430">
          <cell r="B2430">
            <v>40008088</v>
          </cell>
          <cell r="C2430" t="str">
            <v>267229-3</v>
          </cell>
          <cell r="D2430" t="str">
            <v>ZH15</v>
          </cell>
        </row>
        <row r="2431">
          <cell r="B2431">
            <v>40008218</v>
          </cell>
          <cell r="C2431" t="str">
            <v>265035-0</v>
          </cell>
          <cell r="D2431" t="str">
            <v>ZH16</v>
          </cell>
        </row>
        <row r="2432">
          <cell r="B2432">
            <v>40005588</v>
          </cell>
          <cell r="C2432" t="str">
            <v>265875-6</v>
          </cell>
          <cell r="D2432" t="str">
            <v>ZH16</v>
          </cell>
        </row>
        <row r="2433">
          <cell r="B2433">
            <v>40008150</v>
          </cell>
          <cell r="C2433" t="str">
            <v>531057-5</v>
          </cell>
          <cell r="D2433" t="str">
            <v>ZI01</v>
          </cell>
        </row>
        <row r="2434">
          <cell r="B2434">
            <v>40005683</v>
          </cell>
          <cell r="C2434" t="str">
            <v>421329-5</v>
          </cell>
          <cell r="D2434" t="str">
            <v>ZI01</v>
          </cell>
        </row>
        <row r="2435">
          <cell r="B2435">
            <v>40007191</v>
          </cell>
          <cell r="C2435" t="str">
            <v>256117-9</v>
          </cell>
          <cell r="D2435" t="str">
            <v>ZI02</v>
          </cell>
        </row>
        <row r="2436">
          <cell r="B2436">
            <v>40006852</v>
          </cell>
          <cell r="C2436" t="str">
            <v>227735-0</v>
          </cell>
          <cell r="D2436" t="str">
            <v>ZI02</v>
          </cell>
        </row>
        <row r="2437">
          <cell r="B2437">
            <v>40007139</v>
          </cell>
          <cell r="C2437">
            <v>38245061</v>
          </cell>
          <cell r="D2437" t="str">
            <v>ZI03</v>
          </cell>
        </row>
        <row r="2438">
          <cell r="B2438">
            <v>40005963</v>
          </cell>
          <cell r="C2438" t="str">
            <v>256535-1</v>
          </cell>
          <cell r="D2438" t="str">
            <v>ZI03</v>
          </cell>
        </row>
        <row r="2439">
          <cell r="B2439">
            <v>40007423</v>
          </cell>
          <cell r="C2439" t="str">
            <v>253977-0</v>
          </cell>
          <cell r="D2439" t="str">
            <v>ZI04</v>
          </cell>
        </row>
        <row r="2440">
          <cell r="B2440">
            <v>40007847</v>
          </cell>
          <cell r="C2440" t="str">
            <v>424086-4</v>
          </cell>
          <cell r="D2440" t="str">
            <v>ZI04</v>
          </cell>
        </row>
        <row r="2441">
          <cell r="B2441">
            <v>40011218</v>
          </cell>
          <cell r="C2441" t="str">
            <v>316795-8</v>
          </cell>
          <cell r="D2441" t="str">
            <v>ZI05</v>
          </cell>
        </row>
        <row r="2442">
          <cell r="B2442">
            <v>40011201</v>
          </cell>
          <cell r="C2442" t="str">
            <v>326850-8</v>
          </cell>
          <cell r="D2442" t="str">
            <v>ZI05</v>
          </cell>
        </row>
        <row r="2443">
          <cell r="B2443">
            <v>40006960</v>
          </cell>
          <cell r="C2443" t="str">
            <v>416178-3</v>
          </cell>
          <cell r="D2443" t="str">
            <v>ZI06</v>
          </cell>
        </row>
        <row r="2444">
          <cell r="B2444">
            <v>40006881</v>
          </cell>
          <cell r="C2444" t="str">
            <v>213479-8</v>
          </cell>
          <cell r="D2444" t="str">
            <v>ZI06</v>
          </cell>
        </row>
        <row r="2445">
          <cell r="B2445">
            <v>40006927</v>
          </cell>
          <cell r="C2445" t="str">
            <v>233092-6</v>
          </cell>
          <cell r="D2445" t="str">
            <v>ZI07</v>
          </cell>
        </row>
        <row r="2446">
          <cell r="B2446">
            <v>40010377</v>
          </cell>
          <cell r="C2446" t="str">
            <v>223170-0</v>
          </cell>
          <cell r="D2446" t="str">
            <v>ZI07</v>
          </cell>
        </row>
        <row r="2447">
          <cell r="B2447">
            <v>40008201</v>
          </cell>
          <cell r="C2447" t="str">
            <v>233234-2</v>
          </cell>
          <cell r="D2447" t="str">
            <v>ZI08</v>
          </cell>
        </row>
        <row r="2448">
          <cell r="B2448">
            <v>40005318</v>
          </cell>
          <cell r="C2448" t="str">
            <v>213380-7</v>
          </cell>
          <cell r="D2448" t="str">
            <v>ZI08</v>
          </cell>
        </row>
        <row r="2449">
          <cell r="B2449">
            <v>40006096</v>
          </cell>
          <cell r="C2449" t="str">
            <v>324956-6</v>
          </cell>
          <cell r="D2449" t="str">
            <v>ZI09</v>
          </cell>
        </row>
        <row r="2450">
          <cell r="B2450">
            <v>40006011</v>
          </cell>
          <cell r="C2450" t="str">
            <v>JM23100106</v>
          </cell>
          <cell r="D2450" t="str">
            <v>ZI09</v>
          </cell>
        </row>
        <row r="2451">
          <cell r="B2451">
            <v>40005971</v>
          </cell>
          <cell r="C2451" t="str">
            <v>325978-9</v>
          </cell>
          <cell r="D2451" t="str">
            <v>ZI10</v>
          </cell>
        </row>
        <row r="2452">
          <cell r="B2452">
            <v>40006434</v>
          </cell>
          <cell r="C2452" t="str">
            <v>911942-2</v>
          </cell>
          <cell r="D2452" t="str">
            <v>ZI10</v>
          </cell>
        </row>
        <row r="2453">
          <cell r="B2453">
            <v>40007646</v>
          </cell>
          <cell r="C2453" t="str">
            <v>323798-5</v>
          </cell>
          <cell r="D2453" t="str">
            <v>ZI11</v>
          </cell>
        </row>
        <row r="2454">
          <cell r="B2454">
            <v>40006288</v>
          </cell>
          <cell r="C2454" t="str">
            <v>233142-7</v>
          </cell>
          <cell r="D2454" t="str">
            <v>ZI11</v>
          </cell>
        </row>
        <row r="2455">
          <cell r="B2455">
            <v>40007661</v>
          </cell>
          <cell r="C2455" t="str">
            <v>417116-8</v>
          </cell>
          <cell r="D2455" t="str">
            <v>ZI12</v>
          </cell>
        </row>
        <row r="2456">
          <cell r="B2456">
            <v>40007233</v>
          </cell>
          <cell r="C2456" t="str">
            <v>915106-0</v>
          </cell>
          <cell r="D2456" t="str">
            <v>ZI12</v>
          </cell>
        </row>
        <row r="2457">
          <cell r="B2457">
            <v>40006899</v>
          </cell>
          <cell r="C2457" t="str">
            <v>424175-5</v>
          </cell>
          <cell r="D2457" t="str">
            <v>ZI13</v>
          </cell>
        </row>
        <row r="2458">
          <cell r="B2458">
            <v>40005744</v>
          </cell>
          <cell r="C2458" t="str">
            <v>265783-1</v>
          </cell>
          <cell r="D2458" t="str">
            <v>ZI13</v>
          </cell>
        </row>
        <row r="2459">
          <cell r="B2459">
            <v>40007182</v>
          </cell>
          <cell r="C2459" t="str">
            <v>419250-0</v>
          </cell>
          <cell r="D2459" t="str">
            <v>ZI14</v>
          </cell>
        </row>
        <row r="2460">
          <cell r="B2460">
            <v>40006319</v>
          </cell>
          <cell r="C2460" t="str">
            <v>345391-5</v>
          </cell>
          <cell r="D2460" t="str">
            <v>ZI14</v>
          </cell>
        </row>
        <row r="2461">
          <cell r="B2461">
            <v>40006678</v>
          </cell>
          <cell r="C2461" t="str">
            <v>233284-7</v>
          </cell>
          <cell r="D2461" t="str">
            <v>ZI15</v>
          </cell>
        </row>
        <row r="2462">
          <cell r="B2462">
            <v>40007045</v>
          </cell>
          <cell r="C2462" t="str">
            <v>651923-1</v>
          </cell>
          <cell r="D2462" t="str">
            <v>ZI15</v>
          </cell>
        </row>
        <row r="2463">
          <cell r="B2463">
            <v>40006808</v>
          </cell>
          <cell r="C2463" t="str">
            <v>231951-8</v>
          </cell>
          <cell r="D2463" t="str">
            <v>ZI16</v>
          </cell>
        </row>
        <row r="2464">
          <cell r="B2464">
            <v>40006144</v>
          </cell>
          <cell r="C2464" t="str">
            <v>B0500-0181</v>
          </cell>
          <cell r="D2464" t="str">
            <v>ZI16</v>
          </cell>
        </row>
        <row r="2465">
          <cell r="B2465">
            <v>40011198</v>
          </cell>
          <cell r="C2465" t="str">
            <v>911268-2</v>
          </cell>
          <cell r="D2465" t="str">
            <v>ZJ01</v>
          </cell>
        </row>
        <row r="2466">
          <cell r="B2466">
            <v>40006962</v>
          </cell>
          <cell r="C2466" t="str">
            <v>216002-8</v>
          </cell>
          <cell r="D2466" t="str">
            <v>ZJ01</v>
          </cell>
        </row>
        <row r="2467">
          <cell r="B2467">
            <v>40006043</v>
          </cell>
          <cell r="C2467" t="str">
            <v>213662-7</v>
          </cell>
          <cell r="D2467" t="str">
            <v>ZJ01</v>
          </cell>
        </row>
        <row r="2468">
          <cell r="B2468">
            <v>40007384</v>
          </cell>
          <cell r="C2468" t="str">
            <v>216001-0</v>
          </cell>
          <cell r="D2468" t="str">
            <v>ZJ02</v>
          </cell>
        </row>
        <row r="2469">
          <cell r="B2469">
            <v>40005995</v>
          </cell>
          <cell r="C2469" t="str">
            <v>424049-0</v>
          </cell>
          <cell r="D2469" t="str">
            <v>ZJ02</v>
          </cell>
        </row>
        <row r="2470">
          <cell r="B2470">
            <v>40007665</v>
          </cell>
          <cell r="C2470">
            <v>225243011</v>
          </cell>
          <cell r="D2470" t="str">
            <v>ZJ03</v>
          </cell>
        </row>
        <row r="2471">
          <cell r="B2471">
            <v>40007943</v>
          </cell>
          <cell r="C2471" t="str">
            <v>JM27000180</v>
          </cell>
          <cell r="D2471" t="str">
            <v>ZJ03</v>
          </cell>
        </row>
        <row r="2472">
          <cell r="B2472">
            <v>40008110</v>
          </cell>
          <cell r="C2472" t="str">
            <v>256510-7</v>
          </cell>
          <cell r="D2472" t="str">
            <v>ZJ04</v>
          </cell>
        </row>
        <row r="2473">
          <cell r="B2473">
            <v>40006283</v>
          </cell>
          <cell r="C2473" t="str">
            <v>256122-6</v>
          </cell>
          <cell r="D2473" t="str">
            <v>ZJ04</v>
          </cell>
        </row>
        <row r="2474">
          <cell r="B2474">
            <v>40007591</v>
          </cell>
          <cell r="C2474" t="str">
            <v>268031-7</v>
          </cell>
          <cell r="D2474" t="str">
            <v>ZJ05</v>
          </cell>
        </row>
        <row r="2475">
          <cell r="B2475">
            <v>40006142</v>
          </cell>
          <cell r="C2475" t="str">
            <v>266455-1</v>
          </cell>
          <cell r="D2475" t="str">
            <v>ZJ05</v>
          </cell>
        </row>
        <row r="2476">
          <cell r="B2476">
            <v>40007643</v>
          </cell>
          <cell r="C2476" t="str">
            <v>254002-0</v>
          </cell>
          <cell r="D2476" t="str">
            <v>ZJ06</v>
          </cell>
        </row>
        <row r="2477">
          <cell r="B2477">
            <v>40005366</v>
          </cell>
          <cell r="C2477" t="str">
            <v>455804-9</v>
          </cell>
          <cell r="D2477" t="str">
            <v>ZJ06</v>
          </cell>
        </row>
        <row r="2478">
          <cell r="B2478">
            <v>40007230</v>
          </cell>
          <cell r="C2478">
            <v>170213690</v>
          </cell>
          <cell r="D2478" t="str">
            <v>ZJ07</v>
          </cell>
        </row>
        <row r="2479">
          <cell r="B2479">
            <v>40005732</v>
          </cell>
          <cell r="C2479" t="str">
            <v>233401-9</v>
          </cell>
          <cell r="D2479" t="str">
            <v>ZJ07</v>
          </cell>
        </row>
        <row r="2480">
          <cell r="B2480">
            <v>40007733</v>
          </cell>
          <cell r="C2480" t="str">
            <v>345585-2</v>
          </cell>
          <cell r="D2480" t="str">
            <v>ZJ08</v>
          </cell>
        </row>
        <row r="2481">
          <cell r="B2481">
            <v>40007235</v>
          </cell>
          <cell r="C2481" t="str">
            <v>224397-5</v>
          </cell>
          <cell r="D2481" t="str">
            <v>ZJ08</v>
          </cell>
        </row>
        <row r="2482">
          <cell r="B2482">
            <v>40007990</v>
          </cell>
          <cell r="C2482" t="str">
            <v>266130-9</v>
          </cell>
          <cell r="D2482" t="str">
            <v>ZJ09</v>
          </cell>
        </row>
        <row r="2483">
          <cell r="B2483">
            <v>40005688</v>
          </cell>
          <cell r="C2483" t="str">
            <v>421490-8</v>
          </cell>
          <cell r="D2483" t="str">
            <v>ZJ09</v>
          </cell>
        </row>
        <row r="2484">
          <cell r="B2484">
            <v>40006478</v>
          </cell>
          <cell r="C2484" t="str">
            <v>256633-1</v>
          </cell>
          <cell r="D2484" t="str">
            <v>ZJ10</v>
          </cell>
        </row>
        <row r="2485">
          <cell r="B2485">
            <v>40006302</v>
          </cell>
          <cell r="C2485" t="str">
            <v>266385-6</v>
          </cell>
          <cell r="D2485" t="str">
            <v>ZJ10</v>
          </cell>
        </row>
        <row r="2486">
          <cell r="B2486">
            <v>40011742</v>
          </cell>
          <cell r="C2486" t="str">
            <v>265E16-4</v>
          </cell>
          <cell r="D2486" t="str">
            <v>ZJ11</v>
          </cell>
        </row>
        <row r="2487">
          <cell r="B2487">
            <v>40007692</v>
          </cell>
          <cell r="C2487">
            <v>905808305</v>
          </cell>
          <cell r="D2487" t="str">
            <v>ZJ11</v>
          </cell>
        </row>
        <row r="2488">
          <cell r="B2488">
            <v>40006095</v>
          </cell>
          <cell r="C2488" t="str">
            <v>233950-6</v>
          </cell>
          <cell r="D2488" t="str">
            <v>ZJ11</v>
          </cell>
        </row>
        <row r="2489">
          <cell r="B2489">
            <v>40005863</v>
          </cell>
          <cell r="C2489" t="str">
            <v>325782-6</v>
          </cell>
          <cell r="D2489" t="str">
            <v>ZJ12</v>
          </cell>
        </row>
        <row r="2490">
          <cell r="B2490">
            <v>40005866</v>
          </cell>
          <cell r="C2490" t="str">
            <v>424267-0</v>
          </cell>
          <cell r="D2490" t="str">
            <v>ZJ12</v>
          </cell>
        </row>
        <row r="2491">
          <cell r="B2491">
            <v>40005244</v>
          </cell>
          <cell r="C2491" t="str">
            <v>422768-2</v>
          </cell>
          <cell r="D2491" t="str">
            <v>ZJ13</v>
          </cell>
        </row>
        <row r="2492">
          <cell r="B2492">
            <v>40005615</v>
          </cell>
          <cell r="C2492" t="str">
            <v>266396-1</v>
          </cell>
          <cell r="D2492" t="str">
            <v>ZJ13</v>
          </cell>
        </row>
        <row r="2493">
          <cell r="B2493">
            <v>40005641</v>
          </cell>
          <cell r="C2493" t="str">
            <v>313165-2</v>
          </cell>
          <cell r="D2493" t="str">
            <v>ZJ14</v>
          </cell>
        </row>
        <row r="2494">
          <cell r="B2494">
            <v>40006404</v>
          </cell>
          <cell r="C2494" t="str">
            <v>344871-8</v>
          </cell>
          <cell r="D2494" t="str">
            <v>ZJ14</v>
          </cell>
        </row>
        <row r="2495">
          <cell r="B2495">
            <v>40006414</v>
          </cell>
          <cell r="C2495" t="str">
            <v>346671-2</v>
          </cell>
          <cell r="D2495" t="str">
            <v>ZJ15</v>
          </cell>
        </row>
        <row r="2496">
          <cell r="B2496">
            <v>10039720</v>
          </cell>
          <cell r="C2496" t="str">
            <v>266458-5</v>
          </cell>
          <cell r="D2496" t="str">
            <v>ZJ15</v>
          </cell>
        </row>
        <row r="2497">
          <cell r="B2497">
            <v>10039719</v>
          </cell>
          <cell r="C2497" t="str">
            <v>266240-2</v>
          </cell>
          <cell r="D2497" t="str">
            <v>ZJ15</v>
          </cell>
        </row>
        <row r="2498">
          <cell r="B2498">
            <v>40006259</v>
          </cell>
          <cell r="C2498" t="str">
            <v>251448-1</v>
          </cell>
          <cell r="D2498" t="str">
            <v>ZJ15</v>
          </cell>
        </row>
        <row r="2499">
          <cell r="B2499">
            <v>40006124</v>
          </cell>
          <cell r="C2499" t="str">
            <v>A0800-0311</v>
          </cell>
          <cell r="D2499" t="str">
            <v>ZJ16</v>
          </cell>
        </row>
        <row r="2500">
          <cell r="B2500">
            <v>40006034</v>
          </cell>
          <cell r="C2500" t="str">
            <v>JM23100033</v>
          </cell>
          <cell r="D2500" t="str">
            <v>ZJ16</v>
          </cell>
        </row>
        <row r="2501">
          <cell r="B2501">
            <v>40007736</v>
          </cell>
          <cell r="C2501" t="str">
            <v>213508-7</v>
          </cell>
          <cell r="D2501" t="str">
            <v>ZK01</v>
          </cell>
        </row>
        <row r="2502">
          <cell r="B2502">
            <v>40008197</v>
          </cell>
          <cell r="C2502" t="str">
            <v>286265-0</v>
          </cell>
          <cell r="D2502" t="str">
            <v>ZK01</v>
          </cell>
        </row>
        <row r="2503">
          <cell r="B2503">
            <v>40006788</v>
          </cell>
          <cell r="C2503" t="str">
            <v>961055-9</v>
          </cell>
          <cell r="D2503" t="str">
            <v>ZK02</v>
          </cell>
        </row>
        <row r="2504">
          <cell r="B2504">
            <v>40007898</v>
          </cell>
          <cell r="C2504" t="str">
            <v>213423-5</v>
          </cell>
          <cell r="D2504" t="str">
            <v>ZK02</v>
          </cell>
        </row>
        <row r="2505">
          <cell r="B2505">
            <v>40007907</v>
          </cell>
          <cell r="C2505" t="str">
            <v>213668-5</v>
          </cell>
          <cell r="D2505" t="str">
            <v>ZK03</v>
          </cell>
        </row>
        <row r="2506">
          <cell r="B2506">
            <v>40006363</v>
          </cell>
          <cell r="C2506" t="str">
            <v>213017-6</v>
          </cell>
          <cell r="D2506" t="str">
            <v>ZK03</v>
          </cell>
        </row>
        <row r="2507">
          <cell r="B2507">
            <v>40008099</v>
          </cell>
          <cell r="C2507" t="str">
            <v>763661-4</v>
          </cell>
          <cell r="D2507" t="str">
            <v>ZK04</v>
          </cell>
        </row>
        <row r="2508">
          <cell r="B2508">
            <v>40006304</v>
          </cell>
          <cell r="C2508" t="str">
            <v>961013-5</v>
          </cell>
          <cell r="D2508" t="str">
            <v>ZK04</v>
          </cell>
        </row>
        <row r="2509">
          <cell r="B2509">
            <v>40008082</v>
          </cell>
          <cell r="C2509" t="str">
            <v>253744-3</v>
          </cell>
          <cell r="D2509" t="str">
            <v>ZK05</v>
          </cell>
        </row>
        <row r="2510">
          <cell r="B2510">
            <v>40005605</v>
          </cell>
          <cell r="C2510" t="str">
            <v>233175-2</v>
          </cell>
          <cell r="D2510" t="str">
            <v>ZK05</v>
          </cell>
        </row>
        <row r="2511">
          <cell r="B2511">
            <v>40006085</v>
          </cell>
          <cell r="C2511" t="str">
            <v>941302-4</v>
          </cell>
          <cell r="D2511" t="str">
            <v>ZK06</v>
          </cell>
        </row>
        <row r="2512">
          <cell r="B2512">
            <v>40006280</v>
          </cell>
          <cell r="C2512" t="str">
            <v>213317-4</v>
          </cell>
          <cell r="D2512" t="str">
            <v>ZK06</v>
          </cell>
        </row>
        <row r="2513">
          <cell r="B2513">
            <v>40008046</v>
          </cell>
          <cell r="C2513" t="str">
            <v>222146-4</v>
          </cell>
          <cell r="D2513" t="str">
            <v>ZK07</v>
          </cell>
        </row>
        <row r="2514">
          <cell r="B2514">
            <v>40006688</v>
          </cell>
          <cell r="C2514" t="str">
            <v>233117-6</v>
          </cell>
          <cell r="D2514" t="str">
            <v>ZK07</v>
          </cell>
        </row>
        <row r="2515">
          <cell r="B2515">
            <v>40007164</v>
          </cell>
          <cell r="C2515" t="str">
            <v>231037-8</v>
          </cell>
          <cell r="D2515" t="str">
            <v>ZK08</v>
          </cell>
        </row>
        <row r="2516">
          <cell r="B2516">
            <v>40005986</v>
          </cell>
          <cell r="C2516" t="str">
            <v>233191-4</v>
          </cell>
          <cell r="D2516" t="str">
            <v>ZK08</v>
          </cell>
        </row>
        <row r="2517">
          <cell r="B2517">
            <v>40006746</v>
          </cell>
          <cell r="C2517" t="str">
            <v>266338-5</v>
          </cell>
          <cell r="D2517" t="str">
            <v>ZK09</v>
          </cell>
        </row>
        <row r="2518">
          <cell r="B2518">
            <v>40006112</v>
          </cell>
          <cell r="C2518" t="str">
            <v>911207-2</v>
          </cell>
          <cell r="D2518" t="str">
            <v>ZK09</v>
          </cell>
        </row>
        <row r="2519">
          <cell r="B2519">
            <v>40006492</v>
          </cell>
          <cell r="C2519">
            <v>962210092</v>
          </cell>
          <cell r="D2519" t="str">
            <v>ZK10</v>
          </cell>
        </row>
        <row r="2520">
          <cell r="B2520">
            <v>40007021</v>
          </cell>
          <cell r="C2520" t="str">
            <v>233375-4</v>
          </cell>
          <cell r="D2520" t="str">
            <v>ZK10</v>
          </cell>
        </row>
        <row r="2521">
          <cell r="B2521">
            <v>40006482</v>
          </cell>
          <cell r="C2521" t="str">
            <v>331993-3</v>
          </cell>
          <cell r="D2521" t="str">
            <v>ZK11</v>
          </cell>
        </row>
        <row r="2522">
          <cell r="B2522">
            <v>40007884</v>
          </cell>
          <cell r="C2522" t="str">
            <v>233951-4</v>
          </cell>
          <cell r="D2522" t="str">
            <v>ZK11</v>
          </cell>
        </row>
        <row r="2523">
          <cell r="B2523">
            <v>40007408</v>
          </cell>
          <cell r="C2523" t="str">
            <v>251612-4</v>
          </cell>
          <cell r="D2523" t="str">
            <v>ZK12</v>
          </cell>
        </row>
        <row r="2524">
          <cell r="B2524">
            <v>40006298</v>
          </cell>
          <cell r="C2524" t="str">
            <v>232183-0</v>
          </cell>
          <cell r="D2524" t="str">
            <v>ZK12</v>
          </cell>
        </row>
        <row r="2525">
          <cell r="B2525">
            <v>40008193</v>
          </cell>
          <cell r="C2525" t="str">
            <v>345589-4</v>
          </cell>
          <cell r="D2525" t="str">
            <v>ZK13</v>
          </cell>
        </row>
        <row r="2526">
          <cell r="B2526">
            <v>40006134</v>
          </cell>
          <cell r="C2526" t="str">
            <v>233071-4</v>
          </cell>
          <cell r="D2526" t="str">
            <v>ZK13</v>
          </cell>
        </row>
        <row r="2527">
          <cell r="B2527">
            <v>40008000</v>
          </cell>
          <cell r="C2527" t="str">
            <v>257185-5</v>
          </cell>
          <cell r="D2527" t="str">
            <v>ZK14</v>
          </cell>
        </row>
        <row r="2528">
          <cell r="B2528">
            <v>40005969</v>
          </cell>
          <cell r="C2528" t="str">
            <v>210302-8</v>
          </cell>
          <cell r="D2528" t="str">
            <v>ZK14</v>
          </cell>
        </row>
        <row r="2529">
          <cell r="B2529">
            <v>40007202</v>
          </cell>
          <cell r="C2529">
            <v>226213330</v>
          </cell>
          <cell r="D2529" t="str">
            <v>ZK15</v>
          </cell>
        </row>
        <row r="2530">
          <cell r="B2530">
            <v>40010270</v>
          </cell>
          <cell r="C2530" t="str">
            <v>326072-0</v>
          </cell>
          <cell r="D2530" t="str">
            <v>ZK15</v>
          </cell>
        </row>
        <row r="2531">
          <cell r="B2531">
            <v>40006413</v>
          </cell>
          <cell r="C2531" t="str">
            <v>346673-8</v>
          </cell>
          <cell r="D2531" t="str">
            <v>ZK16</v>
          </cell>
        </row>
        <row r="2532">
          <cell r="B2532">
            <v>40007385</v>
          </cell>
          <cell r="C2532" t="str">
            <v>213388-1</v>
          </cell>
          <cell r="D2532" t="str">
            <v>ZL01</v>
          </cell>
        </row>
        <row r="2533">
          <cell r="B2533">
            <v>40006035</v>
          </cell>
          <cell r="C2533" t="str">
            <v>213581-7</v>
          </cell>
          <cell r="D2533" t="str">
            <v>ZL01</v>
          </cell>
        </row>
        <row r="2534">
          <cell r="B2534">
            <v>40007211</v>
          </cell>
          <cell r="C2534" t="str">
            <v>213038-8</v>
          </cell>
          <cell r="D2534" t="str">
            <v>ZL02</v>
          </cell>
        </row>
        <row r="2535">
          <cell r="B2535">
            <v>40006407</v>
          </cell>
          <cell r="C2535" t="str">
            <v>213105-9</v>
          </cell>
          <cell r="D2535" t="str">
            <v>ZL02</v>
          </cell>
        </row>
        <row r="2536">
          <cell r="B2536">
            <v>40007381</v>
          </cell>
          <cell r="C2536" t="str">
            <v>213003-7</v>
          </cell>
          <cell r="D2536" t="str">
            <v>ZL03</v>
          </cell>
        </row>
        <row r="2537">
          <cell r="B2537">
            <v>40005193</v>
          </cell>
          <cell r="C2537" t="str">
            <v>313086-8</v>
          </cell>
          <cell r="D2537" t="str">
            <v>ZL03</v>
          </cell>
        </row>
        <row r="2538">
          <cell r="B2538">
            <v>40007272</v>
          </cell>
          <cell r="C2538" t="str">
            <v>A0200-0081</v>
          </cell>
          <cell r="D2538" t="str">
            <v>ZL04</v>
          </cell>
        </row>
        <row r="2539">
          <cell r="B2539">
            <v>40008297</v>
          </cell>
          <cell r="C2539" t="str">
            <v>213620-3</v>
          </cell>
          <cell r="D2539" t="str">
            <v>ZL04</v>
          </cell>
        </row>
        <row r="2540">
          <cell r="B2540">
            <v>40008156</v>
          </cell>
          <cell r="C2540" t="str">
            <v>231307-5</v>
          </cell>
          <cell r="D2540" t="str">
            <v>ZL05</v>
          </cell>
        </row>
        <row r="2541">
          <cell r="B2541">
            <v>40006118</v>
          </cell>
          <cell r="C2541" t="str">
            <v>256158-5</v>
          </cell>
          <cell r="D2541" t="str">
            <v>ZL05</v>
          </cell>
        </row>
        <row r="2542">
          <cell r="B2542">
            <v>40008042</v>
          </cell>
          <cell r="C2542" t="str">
            <v>233005-7</v>
          </cell>
          <cell r="D2542" t="str">
            <v>ZL06</v>
          </cell>
        </row>
        <row r="2543">
          <cell r="B2543">
            <v>40006282</v>
          </cell>
          <cell r="C2543" t="str">
            <v>213406-5</v>
          </cell>
          <cell r="D2543" t="str">
            <v>ZL06</v>
          </cell>
        </row>
        <row r="2544">
          <cell r="B2544">
            <v>40005602</v>
          </cell>
          <cell r="C2544" t="str">
            <v>135414-5</v>
          </cell>
          <cell r="D2544" t="str">
            <v>ZL07</v>
          </cell>
        </row>
        <row r="2545">
          <cell r="B2545">
            <v>40007135</v>
          </cell>
          <cell r="C2545">
            <v>225184012</v>
          </cell>
          <cell r="D2545" t="str">
            <v>ZL08</v>
          </cell>
        </row>
        <row r="2546">
          <cell r="B2546">
            <v>40006367</v>
          </cell>
          <cell r="C2546" t="str">
            <v>454825-8</v>
          </cell>
          <cell r="D2546" t="str">
            <v>ZL08</v>
          </cell>
        </row>
        <row r="2547">
          <cell r="B2547">
            <v>40007086</v>
          </cell>
          <cell r="C2547">
            <v>225213060</v>
          </cell>
          <cell r="D2547" t="str">
            <v>ZL09</v>
          </cell>
        </row>
        <row r="2548">
          <cell r="B2548">
            <v>40005662</v>
          </cell>
          <cell r="C2548" t="str">
            <v>227518-8</v>
          </cell>
          <cell r="D2548" t="str">
            <v>ZL09</v>
          </cell>
        </row>
        <row r="2549">
          <cell r="B2549">
            <v>40007106</v>
          </cell>
          <cell r="C2549" t="str">
            <v>257022-3</v>
          </cell>
          <cell r="D2549" t="str">
            <v>ZL10</v>
          </cell>
        </row>
        <row r="2550">
          <cell r="B2550">
            <v>40008092</v>
          </cell>
          <cell r="C2550" t="str">
            <v>324396-8</v>
          </cell>
          <cell r="D2550" t="str">
            <v>ZL10</v>
          </cell>
        </row>
        <row r="2551">
          <cell r="B2551">
            <v>40008108</v>
          </cell>
          <cell r="C2551" t="str">
            <v>631534-8</v>
          </cell>
          <cell r="D2551" t="str">
            <v>ZL11</v>
          </cell>
        </row>
        <row r="2552">
          <cell r="B2552">
            <v>40006027</v>
          </cell>
          <cell r="C2552" t="str">
            <v>JM23100172</v>
          </cell>
          <cell r="D2552" t="str">
            <v>ZL11</v>
          </cell>
        </row>
        <row r="2553">
          <cell r="B2553">
            <v>40007313</v>
          </cell>
          <cell r="C2553">
            <v>963601120</v>
          </cell>
          <cell r="D2553" t="str">
            <v>ZL12</v>
          </cell>
        </row>
        <row r="2554">
          <cell r="B2554">
            <v>40006406</v>
          </cell>
          <cell r="C2554" t="str">
            <v>214014-5</v>
          </cell>
          <cell r="D2554" t="str">
            <v>ZL12</v>
          </cell>
        </row>
        <row r="2555">
          <cell r="B2555">
            <v>40005639</v>
          </cell>
          <cell r="C2555" t="str">
            <v>252043-0</v>
          </cell>
          <cell r="D2555" t="str">
            <v>ZL13</v>
          </cell>
        </row>
        <row r="2556">
          <cell r="B2556">
            <v>40005604</v>
          </cell>
          <cell r="C2556" t="str">
            <v>158047-9</v>
          </cell>
          <cell r="D2556" t="str">
            <v>ZL13</v>
          </cell>
        </row>
        <row r="2557">
          <cell r="B2557">
            <v>40007670</v>
          </cell>
          <cell r="C2557" t="str">
            <v>341685-6</v>
          </cell>
          <cell r="D2557" t="str">
            <v>ZL14</v>
          </cell>
        </row>
        <row r="2558">
          <cell r="B2558">
            <v>40006392</v>
          </cell>
          <cell r="C2558" t="str">
            <v>256197-5</v>
          </cell>
          <cell r="D2558" t="str">
            <v>ZL14</v>
          </cell>
        </row>
        <row r="2559">
          <cell r="B2559">
            <v>40007918</v>
          </cell>
          <cell r="C2559" t="str">
            <v>A0711-0344</v>
          </cell>
          <cell r="D2559" t="str">
            <v>ZL15</v>
          </cell>
        </row>
        <row r="2560">
          <cell r="B2560">
            <v>40005670</v>
          </cell>
          <cell r="C2560" t="str">
            <v>451393-2</v>
          </cell>
          <cell r="D2560" t="str">
            <v>ZL15</v>
          </cell>
        </row>
        <row r="2561">
          <cell r="B2561">
            <v>40006299</v>
          </cell>
          <cell r="C2561" t="str">
            <v>346473-6</v>
          </cell>
          <cell r="D2561" t="str">
            <v>ZL16</v>
          </cell>
        </row>
        <row r="2562">
          <cell r="B2562">
            <v>40006182</v>
          </cell>
          <cell r="C2562" t="str">
            <v>345872-9</v>
          </cell>
          <cell r="D2562" t="str">
            <v>ZL16</v>
          </cell>
        </row>
        <row r="2563">
          <cell r="B2563">
            <v>40007088</v>
          </cell>
          <cell r="C2563" t="str">
            <v>922331-6</v>
          </cell>
          <cell r="D2563" t="str">
            <v>ZM01</v>
          </cell>
        </row>
        <row r="2564">
          <cell r="B2564">
            <v>40006389</v>
          </cell>
          <cell r="C2564" t="str">
            <v>911248-8</v>
          </cell>
          <cell r="D2564" t="str">
            <v>ZM01</v>
          </cell>
        </row>
        <row r="2565">
          <cell r="B2565">
            <v>40006394</v>
          </cell>
          <cell r="C2565" t="str">
            <v>233937-8</v>
          </cell>
          <cell r="D2565" t="str">
            <v>ZM02</v>
          </cell>
        </row>
        <row r="2566">
          <cell r="B2566">
            <v>40006420</v>
          </cell>
          <cell r="C2566" t="str">
            <v>454338-9</v>
          </cell>
          <cell r="D2566" t="str">
            <v>ZM02</v>
          </cell>
        </row>
        <row r="2567">
          <cell r="B2567">
            <v>40007593</v>
          </cell>
          <cell r="C2567" t="str">
            <v>341389-0</v>
          </cell>
          <cell r="D2567" t="str">
            <v>ZM03</v>
          </cell>
        </row>
        <row r="2568">
          <cell r="B2568">
            <v>40005571</v>
          </cell>
          <cell r="C2568" t="str">
            <v>266041-8</v>
          </cell>
          <cell r="D2568" t="str">
            <v>ZM03</v>
          </cell>
        </row>
        <row r="2569">
          <cell r="B2569">
            <v>40007243</v>
          </cell>
          <cell r="C2569">
            <v>908305405</v>
          </cell>
          <cell r="D2569" t="str">
            <v>ZM04</v>
          </cell>
        </row>
        <row r="2570">
          <cell r="B2570">
            <v>40007136</v>
          </cell>
          <cell r="C2570" t="str">
            <v>324183-5</v>
          </cell>
          <cell r="D2570" t="str">
            <v>ZM04</v>
          </cell>
        </row>
        <row r="2571">
          <cell r="B2571">
            <v>40005545</v>
          </cell>
          <cell r="C2571" t="str">
            <v>452205-2</v>
          </cell>
          <cell r="D2571" t="str">
            <v>ZM05</v>
          </cell>
        </row>
        <row r="2572">
          <cell r="B2572">
            <v>40011953</v>
          </cell>
          <cell r="C2572" t="str">
            <v>127127-2</v>
          </cell>
          <cell r="D2572" t="str">
            <v>ZM06</v>
          </cell>
        </row>
        <row r="2573">
          <cell r="B2573">
            <v>40011948</v>
          </cell>
          <cell r="C2573" t="str">
            <v>452667-4</v>
          </cell>
          <cell r="D2573" t="str">
            <v>ZM06</v>
          </cell>
        </row>
        <row r="2574">
          <cell r="B2574">
            <v>40006258</v>
          </cell>
          <cell r="C2574" t="str">
            <v>233180-9</v>
          </cell>
          <cell r="D2574" t="str">
            <v>ZM06</v>
          </cell>
        </row>
        <row r="2575">
          <cell r="B2575">
            <v>40007671</v>
          </cell>
          <cell r="C2575" t="str">
            <v>414546-4</v>
          </cell>
          <cell r="D2575" t="str">
            <v>ZM07</v>
          </cell>
        </row>
        <row r="2576">
          <cell r="B2576">
            <v>40006861</v>
          </cell>
          <cell r="C2576" t="str">
            <v>687085-9</v>
          </cell>
          <cell r="D2576" t="str">
            <v>ZM07</v>
          </cell>
        </row>
        <row r="2577">
          <cell r="B2577">
            <v>40007843</v>
          </cell>
          <cell r="C2577" t="str">
            <v>251228-5</v>
          </cell>
          <cell r="D2577" t="str">
            <v>ZM08</v>
          </cell>
        </row>
        <row r="2578">
          <cell r="B2578">
            <v>40010967</v>
          </cell>
          <cell r="C2578" t="str">
            <v>251468-5</v>
          </cell>
          <cell r="D2578" t="str">
            <v>ZM08</v>
          </cell>
        </row>
        <row r="2579">
          <cell r="B2579">
            <v>40007330</v>
          </cell>
          <cell r="C2579" t="str">
            <v>419192-8</v>
          </cell>
          <cell r="D2579" t="str">
            <v>ZM09</v>
          </cell>
        </row>
        <row r="2580">
          <cell r="B2580">
            <v>40006294</v>
          </cell>
          <cell r="C2580" t="str">
            <v>267460-1</v>
          </cell>
          <cell r="D2580" t="str">
            <v>ZM09</v>
          </cell>
        </row>
        <row r="2581">
          <cell r="B2581">
            <v>40006633</v>
          </cell>
          <cell r="C2581" t="str">
            <v>233314-4</v>
          </cell>
          <cell r="D2581" t="str">
            <v>ZM10</v>
          </cell>
        </row>
        <row r="2582">
          <cell r="B2582">
            <v>40005660</v>
          </cell>
          <cell r="C2582" t="str">
            <v>267195-4</v>
          </cell>
          <cell r="D2582" t="str">
            <v>ZM10</v>
          </cell>
        </row>
        <row r="2583">
          <cell r="B2583">
            <v>40007031</v>
          </cell>
          <cell r="C2583" t="str">
            <v>941151-9</v>
          </cell>
          <cell r="D2583" t="str">
            <v>ZM11</v>
          </cell>
        </row>
        <row r="2584">
          <cell r="B2584">
            <v>40006409</v>
          </cell>
          <cell r="C2584">
            <v>203245002</v>
          </cell>
          <cell r="D2584" t="str">
            <v>ZM11</v>
          </cell>
        </row>
        <row r="2585">
          <cell r="B2585">
            <v>40007417</v>
          </cell>
          <cell r="C2585">
            <v>923208004</v>
          </cell>
          <cell r="D2585" t="str">
            <v>ZM12</v>
          </cell>
        </row>
        <row r="2586">
          <cell r="B2586">
            <v>40006098</v>
          </cell>
          <cell r="C2586" t="str">
            <v>265180-1</v>
          </cell>
          <cell r="D2586" t="str">
            <v>ZM12</v>
          </cell>
        </row>
        <row r="2587">
          <cell r="B2587">
            <v>40006297</v>
          </cell>
          <cell r="C2587">
            <v>38174811</v>
          </cell>
          <cell r="D2587" t="str">
            <v>ZM13</v>
          </cell>
        </row>
        <row r="2588">
          <cell r="B2588">
            <v>40006195</v>
          </cell>
          <cell r="C2588" t="str">
            <v>162256-4</v>
          </cell>
          <cell r="D2588" t="str">
            <v>ZM13</v>
          </cell>
        </row>
        <row r="2589">
          <cell r="B2589">
            <v>40008006</v>
          </cell>
          <cell r="C2589">
            <v>181224081</v>
          </cell>
          <cell r="D2589" t="str">
            <v>ZM14</v>
          </cell>
        </row>
        <row r="2590">
          <cell r="B2590">
            <v>40006194</v>
          </cell>
          <cell r="C2590">
            <v>38174023</v>
          </cell>
          <cell r="D2590" t="str">
            <v>ZM14</v>
          </cell>
        </row>
        <row r="2591">
          <cell r="B2591">
            <v>40007991</v>
          </cell>
          <cell r="C2591" t="str">
            <v>222060-4</v>
          </cell>
          <cell r="D2591" t="str">
            <v>ZM15</v>
          </cell>
        </row>
        <row r="2592">
          <cell r="B2592">
            <v>40006388</v>
          </cell>
          <cell r="C2592" t="str">
            <v>285808-5</v>
          </cell>
          <cell r="D2592" t="str">
            <v>ZM15</v>
          </cell>
        </row>
        <row r="2593">
          <cell r="B2593">
            <v>40007653</v>
          </cell>
          <cell r="C2593" t="str">
            <v>257010-0</v>
          </cell>
          <cell r="D2593" t="str">
            <v>ZM16</v>
          </cell>
        </row>
        <row r="2594">
          <cell r="B2594">
            <v>40006266</v>
          </cell>
          <cell r="C2594" t="str">
            <v>331770-3</v>
          </cell>
          <cell r="D2594" t="str">
            <v>ZM16</v>
          </cell>
        </row>
        <row r="2595">
          <cell r="B2595">
            <v>40008109</v>
          </cell>
          <cell r="C2595" t="str">
            <v>234057-1</v>
          </cell>
          <cell r="D2595" t="str">
            <v>ZN01</v>
          </cell>
        </row>
        <row r="2596">
          <cell r="B2596">
            <v>40006198</v>
          </cell>
          <cell r="C2596" t="str">
            <v>265131-4</v>
          </cell>
          <cell r="D2596" t="str">
            <v>ZN01</v>
          </cell>
        </row>
        <row r="2597">
          <cell r="B2597">
            <v>40005898</v>
          </cell>
          <cell r="C2597" t="str">
            <v>324214-0</v>
          </cell>
          <cell r="D2597" t="str">
            <v>ZN02</v>
          </cell>
        </row>
        <row r="2598">
          <cell r="B2598">
            <v>40006309</v>
          </cell>
          <cell r="C2598" t="str">
            <v>267047-9</v>
          </cell>
          <cell r="D2598" t="str">
            <v>ZN02</v>
          </cell>
        </row>
        <row r="2599">
          <cell r="B2599">
            <v>40008177</v>
          </cell>
          <cell r="C2599" t="str">
            <v>911203-0</v>
          </cell>
          <cell r="D2599" t="str">
            <v>ZN03</v>
          </cell>
        </row>
        <row r="2600">
          <cell r="B2600">
            <v>10018941</v>
          </cell>
          <cell r="C2600" t="str">
            <v>JM27000163</v>
          </cell>
          <cell r="D2600" t="str">
            <v>ZN03</v>
          </cell>
        </row>
        <row r="2601">
          <cell r="B2601">
            <v>40007302</v>
          </cell>
          <cell r="C2601" t="str">
            <v>418083-0</v>
          </cell>
          <cell r="D2601" t="str">
            <v>ZN04</v>
          </cell>
        </row>
        <row r="2602">
          <cell r="B2602">
            <v>40005566</v>
          </cell>
          <cell r="C2602" t="str">
            <v>226818-3</v>
          </cell>
          <cell r="D2602" t="str">
            <v>ZN04</v>
          </cell>
        </row>
        <row r="2603">
          <cell r="B2603">
            <v>40007093</v>
          </cell>
          <cell r="C2603" t="str">
            <v>251267-5</v>
          </cell>
          <cell r="D2603" t="str">
            <v>ZN05</v>
          </cell>
        </row>
        <row r="2604">
          <cell r="B2604">
            <v>40008152</v>
          </cell>
          <cell r="C2604" t="str">
            <v>231934-8</v>
          </cell>
          <cell r="D2604" t="str">
            <v>ZN05</v>
          </cell>
        </row>
        <row r="2605">
          <cell r="B2605">
            <v>40007583</v>
          </cell>
          <cell r="C2605" t="str">
            <v>227412-4</v>
          </cell>
          <cell r="D2605" t="str">
            <v>ZN06</v>
          </cell>
        </row>
        <row r="2606">
          <cell r="B2606">
            <v>40006342</v>
          </cell>
          <cell r="C2606" t="str">
            <v>253932-2</v>
          </cell>
          <cell r="D2606" t="str">
            <v>ZN06</v>
          </cell>
        </row>
        <row r="2607">
          <cell r="B2607">
            <v>40007624</v>
          </cell>
          <cell r="C2607" t="str">
            <v>922111-0</v>
          </cell>
          <cell r="D2607" t="str">
            <v>ZN07</v>
          </cell>
        </row>
        <row r="2608">
          <cell r="B2608" t="e">
            <v>#N/A</v>
          </cell>
          <cell r="D2608" t="str">
            <v>ZN07</v>
          </cell>
        </row>
        <row r="2609">
          <cell r="B2609">
            <v>40008115</v>
          </cell>
          <cell r="C2609" t="str">
            <v>168514-6</v>
          </cell>
          <cell r="D2609" t="str">
            <v>ZN08</v>
          </cell>
        </row>
        <row r="2610">
          <cell r="B2610">
            <v>40006183</v>
          </cell>
          <cell r="C2610" t="str">
            <v>331797-3</v>
          </cell>
          <cell r="D2610" t="str">
            <v>ZN08</v>
          </cell>
        </row>
        <row r="2611">
          <cell r="B2611">
            <v>40007110</v>
          </cell>
          <cell r="C2611" t="str">
            <v>253024-7</v>
          </cell>
          <cell r="D2611" t="str">
            <v>ZN09</v>
          </cell>
        </row>
        <row r="2612">
          <cell r="B2612">
            <v>40007974</v>
          </cell>
          <cell r="C2612" t="str">
            <v>253055-6</v>
          </cell>
          <cell r="D2612" t="str">
            <v>ZN10</v>
          </cell>
        </row>
        <row r="2613">
          <cell r="B2613">
            <v>40006692</v>
          </cell>
          <cell r="C2613" t="str">
            <v>267255-2</v>
          </cell>
          <cell r="D2613" t="str">
            <v>ZN10</v>
          </cell>
        </row>
        <row r="2614">
          <cell r="B2614">
            <v>40003869</v>
          </cell>
          <cell r="C2614" t="str">
            <v>212049-0</v>
          </cell>
          <cell r="D2614" t="str">
            <v>ZN11</v>
          </cell>
        </row>
        <row r="2615">
          <cell r="B2615">
            <v>40007378</v>
          </cell>
          <cell r="C2615" t="str">
            <v>134564-3</v>
          </cell>
          <cell r="D2615" t="str">
            <v>ZN12</v>
          </cell>
        </row>
        <row r="2616">
          <cell r="B2616">
            <v>40007648</v>
          </cell>
          <cell r="C2616" t="str">
            <v>257162-7</v>
          </cell>
          <cell r="D2616" t="str">
            <v>ZN12</v>
          </cell>
        </row>
        <row r="2617">
          <cell r="B2617">
            <v>40007125</v>
          </cell>
          <cell r="C2617" t="str">
            <v>231457-6</v>
          </cell>
          <cell r="D2617" t="str">
            <v>ZN13</v>
          </cell>
        </row>
        <row r="2618">
          <cell r="B2618">
            <v>40007275</v>
          </cell>
          <cell r="C2618" t="str">
            <v>222072-7</v>
          </cell>
          <cell r="D2618" t="str">
            <v>ZN13</v>
          </cell>
        </row>
        <row r="2619">
          <cell r="B2619">
            <v>40007944</v>
          </cell>
          <cell r="C2619" t="str">
            <v>JM27000101</v>
          </cell>
          <cell r="D2619" t="str">
            <v>ZN14</v>
          </cell>
        </row>
        <row r="2620">
          <cell r="B2620">
            <v>40006359</v>
          </cell>
          <cell r="C2620" t="str">
            <v>142263-3</v>
          </cell>
          <cell r="D2620" t="str">
            <v>ZN14</v>
          </cell>
        </row>
        <row r="2621">
          <cell r="B2621">
            <v>40007515</v>
          </cell>
          <cell r="C2621" t="str">
            <v>221503-3</v>
          </cell>
          <cell r="D2621" t="str">
            <v>ZN15</v>
          </cell>
        </row>
        <row r="2622">
          <cell r="B2622">
            <v>40005997</v>
          </cell>
          <cell r="C2622" t="str">
            <v>242502-2</v>
          </cell>
          <cell r="D2622" t="str">
            <v>ZN15</v>
          </cell>
        </row>
        <row r="2623">
          <cell r="B2623">
            <v>40006235</v>
          </cell>
          <cell r="C2623" t="str">
            <v>266306-8</v>
          </cell>
          <cell r="D2623" t="str">
            <v>ZN16</v>
          </cell>
        </row>
        <row r="2624">
          <cell r="B2624">
            <v>40006293</v>
          </cell>
          <cell r="C2624" t="str">
            <v>222059-9</v>
          </cell>
          <cell r="D2624" t="str">
            <v>ZN16</v>
          </cell>
        </row>
        <row r="2625">
          <cell r="B2625">
            <v>40006815</v>
          </cell>
          <cell r="C2625" t="str">
            <v>216008-6</v>
          </cell>
          <cell r="D2625" t="str">
            <v>ZO01</v>
          </cell>
        </row>
        <row r="2626">
          <cell r="B2626">
            <v>40005625</v>
          </cell>
          <cell r="C2626" t="str">
            <v>126180-5</v>
          </cell>
          <cell r="D2626" t="str">
            <v>ZO01</v>
          </cell>
        </row>
        <row r="2627">
          <cell r="B2627">
            <v>40007421</v>
          </cell>
          <cell r="C2627" t="str">
            <v>212309-0</v>
          </cell>
          <cell r="D2627" t="str">
            <v>ZO02</v>
          </cell>
        </row>
        <row r="2628">
          <cell r="B2628">
            <v>40005199</v>
          </cell>
          <cell r="C2628" t="str">
            <v>213527-3</v>
          </cell>
          <cell r="D2628" t="str">
            <v>ZO02</v>
          </cell>
        </row>
        <row r="2629">
          <cell r="B2629">
            <v>40007419</v>
          </cell>
          <cell r="C2629" t="str">
            <v>266024-8</v>
          </cell>
          <cell r="D2629" t="str">
            <v>ZO03</v>
          </cell>
        </row>
        <row r="2630">
          <cell r="B2630">
            <v>40007726</v>
          </cell>
          <cell r="C2630" t="str">
            <v>344333-6</v>
          </cell>
          <cell r="D2630" t="str">
            <v>ZO03</v>
          </cell>
        </row>
        <row r="2631">
          <cell r="B2631">
            <v>40007413</v>
          </cell>
          <cell r="C2631" t="str">
            <v>911121-2</v>
          </cell>
          <cell r="D2631" t="str">
            <v>ZO04</v>
          </cell>
        </row>
        <row r="2632">
          <cell r="B2632">
            <v>40007589</v>
          </cell>
          <cell r="C2632" t="str">
            <v>911218-7</v>
          </cell>
          <cell r="D2632" t="str">
            <v>ZO04</v>
          </cell>
        </row>
        <row r="2633">
          <cell r="B2633">
            <v>40007244</v>
          </cell>
          <cell r="C2633">
            <v>908405205</v>
          </cell>
          <cell r="D2633" t="str">
            <v>ZO05</v>
          </cell>
        </row>
        <row r="2634">
          <cell r="B2634">
            <v>40007914</v>
          </cell>
          <cell r="C2634" t="str">
            <v>A0309-0011</v>
          </cell>
          <cell r="D2634" t="str">
            <v>ZO05</v>
          </cell>
        </row>
        <row r="2635">
          <cell r="B2635">
            <v>40008168</v>
          </cell>
          <cell r="C2635" t="str">
            <v>911228-4</v>
          </cell>
          <cell r="D2635" t="str">
            <v>ZO06</v>
          </cell>
        </row>
        <row r="2636">
          <cell r="B2636">
            <v>40007201</v>
          </cell>
          <cell r="C2636">
            <v>320266007</v>
          </cell>
          <cell r="D2636" t="str">
            <v>ZO06</v>
          </cell>
        </row>
        <row r="2637">
          <cell r="B2637">
            <v>40006782</v>
          </cell>
          <cell r="C2637" t="str">
            <v>451002-3</v>
          </cell>
          <cell r="D2637" t="str">
            <v>ZO07</v>
          </cell>
        </row>
        <row r="2638">
          <cell r="B2638">
            <v>40006082</v>
          </cell>
          <cell r="C2638" t="str">
            <v>261110-0</v>
          </cell>
          <cell r="D2638" t="str">
            <v>ZO07</v>
          </cell>
        </row>
        <row r="2639">
          <cell r="B2639">
            <v>40007218</v>
          </cell>
          <cell r="C2639" t="str">
            <v>911211-1</v>
          </cell>
          <cell r="D2639" t="str">
            <v>ZO08</v>
          </cell>
        </row>
        <row r="2640">
          <cell r="B2640">
            <v>40007000</v>
          </cell>
          <cell r="C2640" t="str">
            <v>252103-8</v>
          </cell>
          <cell r="D2640" t="str">
            <v>ZO08</v>
          </cell>
        </row>
        <row r="2641">
          <cell r="B2641">
            <v>40007401</v>
          </cell>
          <cell r="C2641" t="str">
            <v>942151-2</v>
          </cell>
          <cell r="D2641" t="str">
            <v>ZO09</v>
          </cell>
        </row>
        <row r="2642">
          <cell r="B2642">
            <v>40007911</v>
          </cell>
          <cell r="C2642" t="str">
            <v>A0100-0221</v>
          </cell>
          <cell r="D2642" t="str">
            <v>ZO09</v>
          </cell>
        </row>
        <row r="2643">
          <cell r="B2643">
            <v>40011160</v>
          </cell>
          <cell r="C2643" t="str">
            <v>213077-8</v>
          </cell>
          <cell r="D2643" t="str">
            <v>ZO10</v>
          </cell>
        </row>
        <row r="2644">
          <cell r="B2644">
            <v>40007227</v>
          </cell>
          <cell r="C2644" t="str">
            <v>257953-6</v>
          </cell>
          <cell r="D2644" t="str">
            <v>ZO10</v>
          </cell>
        </row>
        <row r="2645">
          <cell r="B2645">
            <v>40007853</v>
          </cell>
          <cell r="C2645" t="str">
            <v>272237-1</v>
          </cell>
          <cell r="D2645" t="str">
            <v>ZO10</v>
          </cell>
        </row>
        <row r="2646">
          <cell r="B2646">
            <v>40008044</v>
          </cell>
          <cell r="C2646" t="str">
            <v>231848-1</v>
          </cell>
          <cell r="D2646" t="str">
            <v>ZO11</v>
          </cell>
        </row>
        <row r="2647">
          <cell r="B2647">
            <v>40006907</v>
          </cell>
          <cell r="C2647" t="str">
            <v>257683-9</v>
          </cell>
          <cell r="D2647" t="str">
            <v>ZO11</v>
          </cell>
        </row>
        <row r="2648">
          <cell r="B2648">
            <v>40008011</v>
          </cell>
          <cell r="C2648" t="str">
            <v>911136-9</v>
          </cell>
          <cell r="D2648" t="str">
            <v>ZO12</v>
          </cell>
        </row>
        <row r="2649">
          <cell r="B2649">
            <v>40005656</v>
          </cell>
          <cell r="C2649" t="str">
            <v>JM23100058</v>
          </cell>
          <cell r="D2649" t="str">
            <v>ZO12</v>
          </cell>
        </row>
        <row r="2650">
          <cell r="B2650">
            <v>40007389</v>
          </cell>
          <cell r="C2650" t="str">
            <v>942201-3</v>
          </cell>
          <cell r="D2650" t="str">
            <v>ZO13</v>
          </cell>
        </row>
        <row r="2651">
          <cell r="B2651">
            <v>40008090</v>
          </cell>
          <cell r="C2651" t="str">
            <v>213073-6</v>
          </cell>
          <cell r="D2651" t="str">
            <v>ZO13</v>
          </cell>
        </row>
        <row r="2652">
          <cell r="B2652">
            <v>40008292</v>
          </cell>
          <cell r="C2652" t="str">
            <v>211016-2</v>
          </cell>
          <cell r="D2652" t="str">
            <v>ZO14</v>
          </cell>
        </row>
        <row r="2653">
          <cell r="B2653">
            <v>40005890</v>
          </cell>
          <cell r="C2653" t="str">
            <v>457130-2</v>
          </cell>
          <cell r="D2653" t="str">
            <v>ZO14</v>
          </cell>
        </row>
        <row r="2654">
          <cell r="B2654">
            <v>40007734</v>
          </cell>
          <cell r="C2654" t="str">
            <v>213428-5</v>
          </cell>
          <cell r="D2654" t="str">
            <v>ZO15</v>
          </cell>
        </row>
        <row r="2655">
          <cell r="B2655">
            <v>40008199</v>
          </cell>
          <cell r="C2655" t="str">
            <v>233203-3</v>
          </cell>
          <cell r="D2655" t="str">
            <v>ZO15</v>
          </cell>
        </row>
        <row r="2656">
          <cell r="B2656">
            <v>40007192</v>
          </cell>
          <cell r="C2656" t="str">
            <v>214031-5</v>
          </cell>
          <cell r="D2656" t="str">
            <v>ZO16</v>
          </cell>
        </row>
        <row r="2657">
          <cell r="B2657">
            <v>40010968</v>
          </cell>
          <cell r="C2657" t="str">
            <v>267080-1</v>
          </cell>
          <cell r="D2657" t="str">
            <v>ZO16</v>
          </cell>
        </row>
        <row r="2658">
          <cell r="B2658">
            <v>40005180</v>
          </cell>
          <cell r="C2658" t="str">
            <v>JM21000080</v>
          </cell>
          <cell r="D2658" t="str">
            <v>ZP01</v>
          </cell>
        </row>
        <row r="2659">
          <cell r="B2659">
            <v>40005680</v>
          </cell>
          <cell r="C2659" t="str">
            <v>281216-8</v>
          </cell>
          <cell r="D2659" t="str">
            <v>ZP01</v>
          </cell>
        </row>
        <row r="2660">
          <cell r="B2660">
            <v>40006077</v>
          </cell>
          <cell r="C2660" t="str">
            <v>267238-2</v>
          </cell>
          <cell r="D2660" t="str">
            <v>ZP02</v>
          </cell>
        </row>
        <row r="2661">
          <cell r="B2661">
            <v>40005285</v>
          </cell>
          <cell r="C2661" t="str">
            <v>322317-4</v>
          </cell>
          <cell r="D2661" t="str">
            <v>ZP02</v>
          </cell>
        </row>
        <row r="2662">
          <cell r="B2662">
            <v>40007290</v>
          </cell>
          <cell r="C2662" t="str">
            <v>231418-6</v>
          </cell>
          <cell r="D2662" t="str">
            <v>ZP03</v>
          </cell>
        </row>
        <row r="2663">
          <cell r="B2663">
            <v>40006023</v>
          </cell>
          <cell r="C2663" t="str">
            <v>JM23200022</v>
          </cell>
          <cell r="D2663" t="str">
            <v>ZP03</v>
          </cell>
        </row>
        <row r="2664">
          <cell r="B2664">
            <v>40007920</v>
          </cell>
          <cell r="C2664" t="str">
            <v>K0300-0671</v>
          </cell>
          <cell r="D2664" t="str">
            <v>ZP04</v>
          </cell>
        </row>
        <row r="2665">
          <cell r="B2665">
            <v>40006395</v>
          </cell>
          <cell r="C2665" t="str">
            <v>257268-1</v>
          </cell>
          <cell r="D2665" t="str">
            <v>ZP04</v>
          </cell>
        </row>
        <row r="2666">
          <cell r="B2666">
            <v>40007091</v>
          </cell>
          <cell r="C2666" t="str">
            <v>251918-0</v>
          </cell>
          <cell r="D2666" t="str">
            <v>ZP05</v>
          </cell>
        </row>
        <row r="2667">
          <cell r="B2667">
            <v>40007129</v>
          </cell>
          <cell r="C2667">
            <v>908205625</v>
          </cell>
          <cell r="D2667" t="str">
            <v>ZP05</v>
          </cell>
        </row>
        <row r="2668">
          <cell r="B2668">
            <v>40007373</v>
          </cell>
          <cell r="C2668">
            <v>930110120</v>
          </cell>
          <cell r="D2668" t="str">
            <v>ZP06</v>
          </cell>
        </row>
        <row r="2669">
          <cell r="B2669">
            <v>40006812</v>
          </cell>
          <cell r="C2669" t="str">
            <v>267085-1</v>
          </cell>
          <cell r="D2669" t="str">
            <v>ZP06</v>
          </cell>
        </row>
        <row r="2670">
          <cell r="B2670">
            <v>40008268</v>
          </cell>
          <cell r="C2670" t="str">
            <v>911223-4</v>
          </cell>
          <cell r="D2670" t="str">
            <v>ZP07</v>
          </cell>
        </row>
        <row r="2671">
          <cell r="B2671">
            <v>40005573</v>
          </cell>
          <cell r="C2671" t="str">
            <v>922123-3</v>
          </cell>
          <cell r="D2671" t="str">
            <v>ZP07</v>
          </cell>
        </row>
        <row r="2672">
          <cell r="B2672">
            <v>40006785</v>
          </cell>
          <cell r="C2672" t="str">
            <v>216024-8</v>
          </cell>
          <cell r="D2672" t="str">
            <v>ZP08</v>
          </cell>
        </row>
        <row r="2673">
          <cell r="B2673">
            <v>40006887</v>
          </cell>
          <cell r="C2673" t="str">
            <v>259039-2</v>
          </cell>
          <cell r="D2673" t="str">
            <v>ZP08</v>
          </cell>
        </row>
        <row r="2674">
          <cell r="B2674">
            <v>40006007</v>
          </cell>
          <cell r="C2674" t="str">
            <v>JM23100024</v>
          </cell>
          <cell r="D2674" t="str">
            <v>ZP09</v>
          </cell>
        </row>
        <row r="2675">
          <cell r="B2675">
            <v>40008210</v>
          </cell>
          <cell r="C2675" t="str">
            <v>227464-5</v>
          </cell>
          <cell r="D2675" t="str">
            <v>ZP09</v>
          </cell>
        </row>
        <row r="2676">
          <cell r="B2676">
            <v>40006833</v>
          </cell>
          <cell r="C2676" t="str">
            <v>253052-2</v>
          </cell>
          <cell r="D2676" t="str">
            <v>ZP10</v>
          </cell>
        </row>
        <row r="2677">
          <cell r="B2677">
            <v>40006181</v>
          </cell>
          <cell r="C2677" t="str">
            <v>450890-5</v>
          </cell>
          <cell r="D2677" t="str">
            <v>ZP10</v>
          </cell>
        </row>
        <row r="2678">
          <cell r="B2678">
            <v>40006818</v>
          </cell>
          <cell r="C2678" t="str">
            <v>261108-7</v>
          </cell>
          <cell r="D2678" t="str">
            <v>ZP11</v>
          </cell>
        </row>
        <row r="2679">
          <cell r="B2679">
            <v>40006033</v>
          </cell>
          <cell r="C2679" t="str">
            <v>JM23100016</v>
          </cell>
          <cell r="D2679" t="str">
            <v>ZP11</v>
          </cell>
        </row>
        <row r="2680">
          <cell r="B2680">
            <v>40008117</v>
          </cell>
          <cell r="C2680" t="str">
            <v>267212-0</v>
          </cell>
          <cell r="D2680" t="str">
            <v>ZP12</v>
          </cell>
        </row>
        <row r="2681">
          <cell r="B2681">
            <v>40006361</v>
          </cell>
          <cell r="C2681" t="str">
            <v>424476-1</v>
          </cell>
          <cell r="D2681" t="str">
            <v>ZP12</v>
          </cell>
        </row>
        <row r="2682">
          <cell r="B2682">
            <v>40007841</v>
          </cell>
          <cell r="C2682" t="str">
            <v>252625-8</v>
          </cell>
          <cell r="D2682" t="str">
            <v>ZP13</v>
          </cell>
        </row>
        <row r="2683">
          <cell r="B2683">
            <v>40006165</v>
          </cell>
          <cell r="C2683" t="str">
            <v>213701-3</v>
          </cell>
          <cell r="D2683" t="str">
            <v>ZP13</v>
          </cell>
        </row>
        <row r="2684">
          <cell r="B2684">
            <v>40010577</v>
          </cell>
          <cell r="C2684" t="str">
            <v>911158-9</v>
          </cell>
          <cell r="D2684" t="str">
            <v>ZP14</v>
          </cell>
        </row>
        <row r="2685">
          <cell r="B2685">
            <v>40005293</v>
          </cell>
          <cell r="C2685" t="str">
            <v>267114-0</v>
          </cell>
          <cell r="D2685" t="str">
            <v>ZP14</v>
          </cell>
        </row>
        <row r="2686">
          <cell r="B2686">
            <v>40006374</v>
          </cell>
          <cell r="C2686" t="str">
            <v>325789-2</v>
          </cell>
          <cell r="D2686" t="str">
            <v>ZP14</v>
          </cell>
        </row>
        <row r="2687">
          <cell r="B2687">
            <v>40007185</v>
          </cell>
          <cell r="C2687" t="str">
            <v>344381-5</v>
          </cell>
          <cell r="D2687" t="str">
            <v>ZP15</v>
          </cell>
        </row>
        <row r="2688">
          <cell r="B2688">
            <v>40008106</v>
          </cell>
          <cell r="C2688" t="str">
            <v>256505-0</v>
          </cell>
          <cell r="D2688" t="str">
            <v>ZP15</v>
          </cell>
        </row>
        <row r="2689">
          <cell r="B2689">
            <v>40007730</v>
          </cell>
          <cell r="C2689" t="str">
            <v>342489-9</v>
          </cell>
          <cell r="D2689" t="str">
            <v>ZP16</v>
          </cell>
        </row>
        <row r="2690">
          <cell r="B2690">
            <v>40006795</v>
          </cell>
          <cell r="C2690" t="str">
            <v>325644-8</v>
          </cell>
          <cell r="D2690" t="str">
            <v>ZP16</v>
          </cell>
        </row>
        <row r="2691">
          <cell r="B2691">
            <v>40005985</v>
          </cell>
          <cell r="C2691" t="str">
            <v>216004-4</v>
          </cell>
          <cell r="D2691" t="str">
            <v>ZQ01</v>
          </cell>
        </row>
        <row r="2692">
          <cell r="B2692">
            <v>40006431</v>
          </cell>
          <cell r="C2692" t="str">
            <v>231985-1</v>
          </cell>
          <cell r="D2692" t="str">
            <v>ZQ01</v>
          </cell>
        </row>
        <row r="2693">
          <cell r="B2693">
            <v>40008182</v>
          </cell>
          <cell r="C2693" t="str">
            <v>417115-0</v>
          </cell>
          <cell r="D2693" t="str">
            <v>ZQ02</v>
          </cell>
        </row>
        <row r="2694">
          <cell r="B2694">
            <v>40006376</v>
          </cell>
          <cell r="C2694" t="str">
            <v>233979-2</v>
          </cell>
          <cell r="D2694" t="str">
            <v>ZQ02</v>
          </cell>
        </row>
        <row r="2695">
          <cell r="B2695">
            <v>40005731</v>
          </cell>
          <cell r="C2695" t="str">
            <v>233929-7</v>
          </cell>
          <cell r="D2695" t="str">
            <v>ZQ03</v>
          </cell>
        </row>
        <row r="2696">
          <cell r="B2696">
            <v>40005582</v>
          </cell>
          <cell r="C2696" t="str">
            <v>227521-9</v>
          </cell>
          <cell r="D2696" t="str">
            <v>ZQ03</v>
          </cell>
        </row>
        <row r="2697">
          <cell r="B2697">
            <v>40007116</v>
          </cell>
          <cell r="C2697" t="str">
            <v>265984-1</v>
          </cell>
          <cell r="D2697" t="str">
            <v>ZQ04</v>
          </cell>
        </row>
        <row r="2698">
          <cell r="B2698">
            <v>40005988</v>
          </cell>
          <cell r="C2698" t="str">
            <v>257206-3</v>
          </cell>
          <cell r="D2698" t="str">
            <v>ZQ04</v>
          </cell>
        </row>
        <row r="2699">
          <cell r="B2699">
            <v>40007219</v>
          </cell>
          <cell r="C2699" t="str">
            <v>912107-9</v>
          </cell>
          <cell r="D2699" t="str">
            <v>ZQ05</v>
          </cell>
        </row>
        <row r="2700">
          <cell r="B2700">
            <v>40006296</v>
          </cell>
          <cell r="C2700" t="str">
            <v>632G49-0</v>
          </cell>
          <cell r="D2700" t="str">
            <v>ZQ05</v>
          </cell>
        </row>
        <row r="2701">
          <cell r="B2701">
            <v>40008091</v>
          </cell>
          <cell r="C2701" t="str">
            <v>233917-4</v>
          </cell>
          <cell r="D2701" t="str">
            <v>ZQ06</v>
          </cell>
        </row>
        <row r="2702">
          <cell r="B2702">
            <v>40005581</v>
          </cell>
          <cell r="C2702" t="str">
            <v>227520-1</v>
          </cell>
          <cell r="D2702" t="str">
            <v>ZQ06</v>
          </cell>
        </row>
        <row r="2703">
          <cell r="B2703">
            <v>40006303</v>
          </cell>
          <cell r="C2703" t="str">
            <v>266059-9</v>
          </cell>
          <cell r="D2703" t="str">
            <v>ZQ07</v>
          </cell>
        </row>
        <row r="2704">
          <cell r="B2704">
            <v>40005570</v>
          </cell>
          <cell r="C2704" t="str">
            <v>324839-0</v>
          </cell>
          <cell r="D2704" t="str">
            <v>ZQ07</v>
          </cell>
        </row>
        <row r="2705">
          <cell r="B2705">
            <v>40006286</v>
          </cell>
          <cell r="C2705" t="str">
            <v>322987-9</v>
          </cell>
          <cell r="D2705" t="str">
            <v>ZQ08</v>
          </cell>
        </row>
        <row r="2706">
          <cell r="B2706">
            <v>40006154</v>
          </cell>
          <cell r="C2706" t="str">
            <v>266505-2</v>
          </cell>
          <cell r="D2706" t="str">
            <v>ZQ08</v>
          </cell>
        </row>
        <row r="2707">
          <cell r="B2707">
            <v>10019253</v>
          </cell>
          <cell r="C2707" t="str">
            <v>267143-3</v>
          </cell>
          <cell r="D2707" t="str">
            <v>ZQ09</v>
          </cell>
        </row>
        <row r="2708">
          <cell r="B2708">
            <v>40010376</v>
          </cell>
          <cell r="C2708" t="str">
            <v>346833-2</v>
          </cell>
          <cell r="D2708" t="str">
            <v>ZQ09</v>
          </cell>
        </row>
        <row r="2709">
          <cell r="B2709">
            <v>40008192</v>
          </cell>
          <cell r="C2709" t="str">
            <v>941051-3</v>
          </cell>
          <cell r="D2709" t="str">
            <v>ZQ10</v>
          </cell>
        </row>
        <row r="2710">
          <cell r="B2710">
            <v>40006902</v>
          </cell>
          <cell r="C2710" t="str">
            <v>631678-4</v>
          </cell>
          <cell r="D2710" t="str">
            <v>ZQ10</v>
          </cell>
        </row>
        <row r="2711">
          <cell r="B2711">
            <v>40007154</v>
          </cell>
          <cell r="C2711" t="str">
            <v>418517-3</v>
          </cell>
          <cell r="D2711" t="str">
            <v>ZQ11</v>
          </cell>
        </row>
        <row r="2712">
          <cell r="B2712">
            <v>40006965</v>
          </cell>
          <cell r="C2712" t="str">
            <v>213977-2</v>
          </cell>
          <cell r="D2712" t="str">
            <v>ZQ12</v>
          </cell>
        </row>
        <row r="2713">
          <cell r="B2713">
            <v>40005722</v>
          </cell>
          <cell r="C2713" t="str">
            <v>345873-7</v>
          </cell>
          <cell r="D2713" t="str">
            <v>ZQ12</v>
          </cell>
        </row>
        <row r="2714">
          <cell r="B2714">
            <v>40007101</v>
          </cell>
          <cell r="C2714" t="str">
            <v>941101-4</v>
          </cell>
          <cell r="D2714" t="str">
            <v>ZQ13</v>
          </cell>
        </row>
        <row r="2715">
          <cell r="B2715">
            <v>40006271</v>
          </cell>
          <cell r="C2715" t="str">
            <v>213392-0</v>
          </cell>
          <cell r="D2715" t="str">
            <v>ZQ13</v>
          </cell>
        </row>
        <row r="2716">
          <cell r="B2716">
            <v>40007728</v>
          </cell>
          <cell r="C2716" t="str">
            <v>268090-1</v>
          </cell>
          <cell r="D2716" t="str">
            <v>ZQ14</v>
          </cell>
        </row>
        <row r="2717">
          <cell r="B2717">
            <v>40006162</v>
          </cell>
          <cell r="C2717" t="str">
            <v>267146-7</v>
          </cell>
          <cell r="D2717" t="str">
            <v>ZQ14</v>
          </cell>
        </row>
        <row r="2718">
          <cell r="B2718">
            <v>40007639</v>
          </cell>
          <cell r="C2718" t="str">
            <v>252003-2</v>
          </cell>
          <cell r="D2718" t="str">
            <v>ZQ15</v>
          </cell>
        </row>
        <row r="2719">
          <cell r="B2719">
            <v>40006188</v>
          </cell>
          <cell r="C2719" t="str">
            <v>223137-8</v>
          </cell>
          <cell r="D2719" t="str">
            <v>ZQ15</v>
          </cell>
        </row>
        <row r="2720">
          <cell r="B2720">
            <v>40006781</v>
          </cell>
          <cell r="C2720" t="str">
            <v>261104-5</v>
          </cell>
          <cell r="D2720" t="str">
            <v>ZQ16</v>
          </cell>
        </row>
        <row r="2721">
          <cell r="B2721">
            <v>40006179</v>
          </cell>
          <cell r="C2721" t="str">
            <v>324295-4</v>
          </cell>
          <cell r="D2721" t="str">
            <v>ZQ16</v>
          </cell>
        </row>
        <row r="2722">
          <cell r="B2722">
            <v>10019809</v>
          </cell>
          <cell r="C2722" t="str">
            <v>D-00066</v>
          </cell>
          <cell r="D2722">
            <v>49</v>
          </cell>
        </row>
        <row r="2723">
          <cell r="B2723">
            <v>10020069</v>
          </cell>
          <cell r="C2723" t="str">
            <v>D-00321</v>
          </cell>
          <cell r="D2723">
            <v>49</v>
          </cell>
        </row>
        <row r="2724">
          <cell r="B2724">
            <v>40007937</v>
          </cell>
          <cell r="C2724" t="str">
            <v>D-00175</v>
          </cell>
          <cell r="D2724">
            <v>49</v>
          </cell>
        </row>
        <row r="2725">
          <cell r="B2725">
            <v>10019483</v>
          </cell>
          <cell r="C2725" t="str">
            <v>D-00228</v>
          </cell>
          <cell r="D2725">
            <v>49</v>
          </cell>
        </row>
        <row r="2726">
          <cell r="B2726">
            <v>10019882</v>
          </cell>
          <cell r="C2726" t="str">
            <v>D-00103</v>
          </cell>
          <cell r="D2726">
            <v>49</v>
          </cell>
        </row>
        <row r="2727">
          <cell r="B2727">
            <v>10019466</v>
          </cell>
          <cell r="C2727" t="str">
            <v>B-00832</v>
          </cell>
          <cell r="D2727">
            <v>49</v>
          </cell>
        </row>
        <row r="2728">
          <cell r="B2728">
            <v>10019840</v>
          </cell>
          <cell r="C2728" t="str">
            <v>B-00826</v>
          </cell>
          <cell r="D2728">
            <v>49</v>
          </cell>
        </row>
        <row r="2729">
          <cell r="B2729">
            <v>10019959</v>
          </cell>
          <cell r="C2729" t="str">
            <v>D-00620</v>
          </cell>
          <cell r="D2729">
            <v>49</v>
          </cell>
        </row>
        <row r="2730">
          <cell r="B2730">
            <v>10019922</v>
          </cell>
          <cell r="C2730" t="str">
            <v>D-00125</v>
          </cell>
          <cell r="D2730">
            <v>49</v>
          </cell>
        </row>
        <row r="2731">
          <cell r="B2731">
            <v>10020068</v>
          </cell>
          <cell r="C2731" t="str">
            <v>D-00181</v>
          </cell>
          <cell r="D2731">
            <v>49</v>
          </cell>
        </row>
        <row r="2732">
          <cell r="B2732">
            <v>10019817</v>
          </cell>
          <cell r="C2732" t="str">
            <v>B-00804</v>
          </cell>
          <cell r="D2732">
            <v>49</v>
          </cell>
        </row>
        <row r="2733">
          <cell r="B2733">
            <v>10018034</v>
          </cell>
          <cell r="C2733" t="str">
            <v>D-00795</v>
          </cell>
          <cell r="D2733">
            <v>49</v>
          </cell>
        </row>
        <row r="2734">
          <cell r="B2734">
            <v>10044115</v>
          </cell>
          <cell r="C2734" t="str">
            <v>781011-1</v>
          </cell>
          <cell r="D2734">
            <v>50</v>
          </cell>
        </row>
        <row r="2735">
          <cell r="B2735">
            <v>10044116</v>
          </cell>
          <cell r="C2735" t="str">
            <v>781039-9</v>
          </cell>
          <cell r="D2735">
            <v>50</v>
          </cell>
        </row>
        <row r="2736">
          <cell r="B2736">
            <v>10018245</v>
          </cell>
          <cell r="C2736" t="str">
            <v>B-67505</v>
          </cell>
          <cell r="D2736">
            <v>50</v>
          </cell>
        </row>
        <row r="2737">
          <cell r="B2737">
            <v>10018842</v>
          </cell>
          <cell r="C2737" t="str">
            <v>D-77198</v>
          </cell>
          <cell r="D2737">
            <v>50</v>
          </cell>
        </row>
        <row r="2738">
          <cell r="B2738">
            <v>10018361</v>
          </cell>
          <cell r="C2738" t="str">
            <v>D-72229</v>
          </cell>
          <cell r="D2738">
            <v>50</v>
          </cell>
        </row>
        <row r="2739">
          <cell r="B2739">
            <v>10018480</v>
          </cell>
          <cell r="C2739" t="str">
            <v>D-72235</v>
          </cell>
          <cell r="D2739">
            <v>50</v>
          </cell>
        </row>
        <row r="2740">
          <cell r="B2740">
            <v>10018680</v>
          </cell>
          <cell r="C2740" t="str">
            <v>D-67583</v>
          </cell>
          <cell r="D2740">
            <v>50</v>
          </cell>
        </row>
        <row r="2741">
          <cell r="B2741">
            <v>10018855</v>
          </cell>
          <cell r="C2741" t="str">
            <v>199911-5</v>
          </cell>
          <cell r="D2741">
            <v>50</v>
          </cell>
        </row>
        <row r="2742">
          <cell r="B2742">
            <v>10018857</v>
          </cell>
          <cell r="C2742" t="str">
            <v>D-71962</v>
          </cell>
          <cell r="D2742">
            <v>50</v>
          </cell>
        </row>
        <row r="2743">
          <cell r="B2743">
            <v>10018314</v>
          </cell>
          <cell r="C2743" t="str">
            <v>D-07618</v>
          </cell>
          <cell r="D2743">
            <v>50</v>
          </cell>
        </row>
        <row r="2744">
          <cell r="B2744">
            <v>10018462</v>
          </cell>
          <cell r="C2744" t="str">
            <v>D-67599</v>
          </cell>
          <cell r="D2744">
            <v>50</v>
          </cell>
        </row>
        <row r="2745">
          <cell r="B2745">
            <v>10018244</v>
          </cell>
          <cell r="C2745" t="str">
            <v>B-67480</v>
          </cell>
          <cell r="D2745">
            <v>50</v>
          </cell>
        </row>
        <row r="2746">
          <cell r="B2746">
            <v>10018838</v>
          </cell>
          <cell r="C2746" t="str">
            <v>D-70758</v>
          </cell>
          <cell r="D2746">
            <v>50</v>
          </cell>
        </row>
        <row r="2747">
          <cell r="B2747">
            <v>40005372</v>
          </cell>
          <cell r="C2747" t="str">
            <v>782034-2</v>
          </cell>
          <cell r="D2747">
            <v>51</v>
          </cell>
        </row>
        <row r="2748">
          <cell r="B2748">
            <v>10019974</v>
          </cell>
          <cell r="C2748" t="str">
            <v>782401-1</v>
          </cell>
          <cell r="D2748">
            <v>51</v>
          </cell>
        </row>
        <row r="2749">
          <cell r="B2749">
            <v>10019659</v>
          </cell>
          <cell r="C2749" t="str">
            <v>782407-9</v>
          </cell>
          <cell r="D2749">
            <v>51</v>
          </cell>
        </row>
        <row r="2750">
          <cell r="B2750">
            <v>10019928</v>
          </cell>
          <cell r="C2750" t="str">
            <v>744003-1</v>
          </cell>
          <cell r="D2750">
            <v>51</v>
          </cell>
        </row>
        <row r="2751">
          <cell r="B2751">
            <v>10019933</v>
          </cell>
          <cell r="C2751">
            <v>953003090</v>
          </cell>
          <cell r="D2751">
            <v>51</v>
          </cell>
        </row>
        <row r="2752">
          <cell r="B2752">
            <v>10019926</v>
          </cell>
          <cell r="C2752">
            <v>953003040</v>
          </cell>
          <cell r="D2752">
            <v>51</v>
          </cell>
        </row>
        <row r="2753">
          <cell r="B2753">
            <v>10018324</v>
          </cell>
          <cell r="C2753" t="str">
            <v>D-07727</v>
          </cell>
          <cell r="D2753">
            <v>51</v>
          </cell>
        </row>
        <row r="2754">
          <cell r="B2754">
            <v>10018837</v>
          </cell>
          <cell r="C2754" t="str">
            <v>D-70742</v>
          </cell>
          <cell r="D2754">
            <v>52</v>
          </cell>
        </row>
        <row r="2755">
          <cell r="B2755">
            <v>10019940</v>
          </cell>
          <cell r="C2755" t="str">
            <v>D-07901</v>
          </cell>
          <cell r="D2755">
            <v>52</v>
          </cell>
        </row>
        <row r="2756">
          <cell r="B2756">
            <v>10019576</v>
          </cell>
          <cell r="C2756" t="str">
            <v>D-07026</v>
          </cell>
          <cell r="D2756">
            <v>52</v>
          </cell>
        </row>
        <row r="2757">
          <cell r="B2757">
            <v>10019578</v>
          </cell>
          <cell r="C2757" t="str">
            <v>D-07054</v>
          </cell>
          <cell r="D2757">
            <v>52</v>
          </cell>
        </row>
        <row r="2758">
          <cell r="B2758">
            <v>10018481</v>
          </cell>
          <cell r="C2758" t="str">
            <v>D-70823</v>
          </cell>
          <cell r="D2758">
            <v>52</v>
          </cell>
        </row>
        <row r="2759">
          <cell r="B2759">
            <v>10019577</v>
          </cell>
          <cell r="C2759" t="str">
            <v>D-07032</v>
          </cell>
          <cell r="D2759">
            <v>52</v>
          </cell>
        </row>
        <row r="2760">
          <cell r="B2760">
            <v>10019311</v>
          </cell>
          <cell r="C2760" t="str">
            <v>D-07244</v>
          </cell>
          <cell r="D2760">
            <v>52</v>
          </cell>
        </row>
        <row r="2761">
          <cell r="B2761">
            <v>10018616</v>
          </cell>
          <cell r="C2761" t="str">
            <v>D-07397</v>
          </cell>
          <cell r="D2761">
            <v>52</v>
          </cell>
        </row>
        <row r="2762">
          <cell r="B2762">
            <v>10019675</v>
          </cell>
          <cell r="C2762" t="str">
            <v>B-07331</v>
          </cell>
          <cell r="D2762">
            <v>52</v>
          </cell>
        </row>
        <row r="2763">
          <cell r="B2763">
            <v>10019441</v>
          </cell>
          <cell r="C2763" t="str">
            <v>D-07325</v>
          </cell>
          <cell r="D2763">
            <v>52</v>
          </cell>
        </row>
        <row r="2764">
          <cell r="B2764">
            <v>10019239</v>
          </cell>
          <cell r="C2764" t="str">
            <v>D-07107</v>
          </cell>
          <cell r="D2764">
            <v>52</v>
          </cell>
        </row>
        <row r="2765">
          <cell r="B2765">
            <v>10019405</v>
          </cell>
          <cell r="C2765" t="str">
            <v>793009-6</v>
          </cell>
          <cell r="D2765">
            <v>52</v>
          </cell>
        </row>
        <row r="2766">
          <cell r="B2766">
            <v>10018251</v>
          </cell>
          <cell r="C2766" t="str">
            <v>D-74790</v>
          </cell>
          <cell r="D2766">
            <v>52</v>
          </cell>
        </row>
        <row r="2767">
          <cell r="B2767">
            <v>10020046</v>
          </cell>
          <cell r="C2767" t="str">
            <v>793018-5</v>
          </cell>
          <cell r="D2767">
            <v>52</v>
          </cell>
        </row>
        <row r="2768">
          <cell r="B2768">
            <v>10018316</v>
          </cell>
          <cell r="C2768" t="str">
            <v>D-07331</v>
          </cell>
          <cell r="D2768">
            <v>52</v>
          </cell>
        </row>
        <row r="2769">
          <cell r="B2769">
            <v>10019325</v>
          </cell>
          <cell r="C2769" t="str">
            <v>D-07783</v>
          </cell>
          <cell r="D2769">
            <v>52</v>
          </cell>
        </row>
        <row r="2770">
          <cell r="B2770">
            <v>10018023</v>
          </cell>
          <cell r="C2770" t="str">
            <v>D-07814</v>
          </cell>
          <cell r="D2770">
            <v>52</v>
          </cell>
        </row>
        <row r="2771">
          <cell r="B2771">
            <v>10019310</v>
          </cell>
          <cell r="C2771" t="str">
            <v>D-07238</v>
          </cell>
          <cell r="D2771">
            <v>52</v>
          </cell>
        </row>
        <row r="2772">
          <cell r="B2772">
            <v>10018840</v>
          </cell>
          <cell r="C2772" t="str">
            <v>D-73215</v>
          </cell>
          <cell r="D2772">
            <v>52</v>
          </cell>
        </row>
        <row r="2773">
          <cell r="B2773">
            <v>10018839</v>
          </cell>
          <cell r="C2773" t="str">
            <v>D-73209</v>
          </cell>
          <cell r="D2773">
            <v>52</v>
          </cell>
        </row>
        <row r="2774">
          <cell r="B2774">
            <v>10018856</v>
          </cell>
          <cell r="C2774" t="str">
            <v>D-71227</v>
          </cell>
          <cell r="D2774">
            <v>53</v>
          </cell>
        </row>
        <row r="2775">
          <cell r="B2775">
            <v>10018930</v>
          </cell>
          <cell r="C2775" t="str">
            <v>D-70910</v>
          </cell>
          <cell r="D2775">
            <v>53</v>
          </cell>
        </row>
        <row r="2776">
          <cell r="B2776">
            <v>10019407</v>
          </cell>
          <cell r="C2776" t="str">
            <v>D-08822</v>
          </cell>
          <cell r="D2776">
            <v>53</v>
          </cell>
        </row>
        <row r="2777">
          <cell r="B2777">
            <v>10018962</v>
          </cell>
          <cell r="C2777" t="str">
            <v>D-63915</v>
          </cell>
          <cell r="D2777">
            <v>53</v>
          </cell>
        </row>
        <row r="2778">
          <cell r="B2778">
            <v>10018261</v>
          </cell>
          <cell r="C2778" t="str">
            <v>D-75758</v>
          </cell>
          <cell r="D2778">
            <v>53</v>
          </cell>
        </row>
        <row r="2779">
          <cell r="B2779">
            <v>10019403</v>
          </cell>
          <cell r="C2779" t="str">
            <v>D-07967</v>
          </cell>
          <cell r="D2779">
            <v>53</v>
          </cell>
        </row>
        <row r="2780">
          <cell r="B2780">
            <v>10018922</v>
          </cell>
          <cell r="C2780" t="str">
            <v>D-16346</v>
          </cell>
          <cell r="D2780">
            <v>53</v>
          </cell>
        </row>
        <row r="2781">
          <cell r="B2781">
            <v>10018954</v>
          </cell>
          <cell r="C2781" t="str">
            <v>D-71211</v>
          </cell>
          <cell r="D2781">
            <v>53</v>
          </cell>
        </row>
        <row r="2782">
          <cell r="B2782">
            <v>10018820</v>
          </cell>
          <cell r="C2782" t="str">
            <v>D-07347</v>
          </cell>
          <cell r="D2782">
            <v>54</v>
          </cell>
        </row>
        <row r="2783">
          <cell r="B2783">
            <v>10018299</v>
          </cell>
          <cell r="C2783" t="str">
            <v>D-07272</v>
          </cell>
          <cell r="D2783">
            <v>54</v>
          </cell>
        </row>
        <row r="2784">
          <cell r="B2784">
            <v>10019090</v>
          </cell>
          <cell r="C2784" t="str">
            <v>D-07294</v>
          </cell>
          <cell r="D2784">
            <v>54</v>
          </cell>
        </row>
        <row r="2785">
          <cell r="B2785">
            <v>10018634</v>
          </cell>
          <cell r="C2785" t="str">
            <v>D-07216</v>
          </cell>
          <cell r="D2785">
            <v>54</v>
          </cell>
        </row>
        <row r="2786">
          <cell r="B2786">
            <v>10018632</v>
          </cell>
          <cell r="C2786" t="str">
            <v>D-07191</v>
          </cell>
          <cell r="D2786">
            <v>54</v>
          </cell>
        </row>
        <row r="2787">
          <cell r="B2787">
            <v>10019579</v>
          </cell>
          <cell r="C2787" t="str">
            <v>D-07076</v>
          </cell>
          <cell r="D2787">
            <v>54</v>
          </cell>
        </row>
        <row r="2788">
          <cell r="B2788">
            <v>10018309</v>
          </cell>
          <cell r="C2788" t="str">
            <v>D-07303</v>
          </cell>
          <cell r="D2788">
            <v>54</v>
          </cell>
        </row>
        <row r="2789">
          <cell r="B2789">
            <v>10018303</v>
          </cell>
          <cell r="C2789" t="str">
            <v>D-07288</v>
          </cell>
          <cell r="D2789">
            <v>54</v>
          </cell>
        </row>
        <row r="2790">
          <cell r="B2790">
            <v>10018821</v>
          </cell>
          <cell r="C2790" t="str">
            <v>D-07565</v>
          </cell>
          <cell r="D2790">
            <v>54</v>
          </cell>
        </row>
        <row r="2791">
          <cell r="B2791">
            <v>10019326</v>
          </cell>
          <cell r="C2791" t="str">
            <v>D-07808</v>
          </cell>
          <cell r="D2791">
            <v>54</v>
          </cell>
        </row>
        <row r="2792">
          <cell r="B2792">
            <v>10019095</v>
          </cell>
          <cell r="C2792" t="str">
            <v>D-07222</v>
          </cell>
          <cell r="D2792">
            <v>54</v>
          </cell>
        </row>
        <row r="2793">
          <cell r="B2793">
            <v>10018633</v>
          </cell>
          <cell r="C2793" t="str">
            <v>D-07200</v>
          </cell>
          <cell r="D2793">
            <v>55</v>
          </cell>
        </row>
        <row r="2794">
          <cell r="B2794">
            <v>10018822</v>
          </cell>
          <cell r="C2794" t="str">
            <v>D-07630</v>
          </cell>
          <cell r="D2794">
            <v>55</v>
          </cell>
        </row>
        <row r="2795">
          <cell r="B2795">
            <v>10019272</v>
          </cell>
          <cell r="C2795" t="str">
            <v>D-07179</v>
          </cell>
          <cell r="D2795">
            <v>55</v>
          </cell>
        </row>
        <row r="2796">
          <cell r="B2796">
            <v>10019270</v>
          </cell>
          <cell r="C2796" t="str">
            <v>D-07163</v>
          </cell>
          <cell r="D2796">
            <v>56</v>
          </cell>
        </row>
        <row r="2797">
          <cell r="B2797">
            <v>10019274</v>
          </cell>
          <cell r="C2797" t="str">
            <v>D-07185</v>
          </cell>
          <cell r="D2797">
            <v>56</v>
          </cell>
        </row>
        <row r="2798">
          <cell r="B2798">
            <v>10018610</v>
          </cell>
          <cell r="C2798" t="str">
            <v>D-07381</v>
          </cell>
          <cell r="D2798">
            <v>56</v>
          </cell>
        </row>
        <row r="2799">
          <cell r="B2799">
            <v>10018243</v>
          </cell>
          <cell r="C2799" t="str">
            <v>B-64288</v>
          </cell>
          <cell r="D2799">
            <v>57</v>
          </cell>
        </row>
        <row r="2800">
          <cell r="B2800">
            <v>10018242</v>
          </cell>
          <cell r="C2800" t="str">
            <v>B-64272</v>
          </cell>
          <cell r="D2800">
            <v>57</v>
          </cell>
        </row>
        <row r="2801">
          <cell r="B2801">
            <v>10017975</v>
          </cell>
          <cell r="C2801" t="str">
            <v>B-64266</v>
          </cell>
          <cell r="D2801">
            <v>57</v>
          </cell>
        </row>
        <row r="2802">
          <cell r="B2802">
            <v>10017973</v>
          </cell>
          <cell r="C2802" t="str">
            <v>B-64238</v>
          </cell>
          <cell r="D2802">
            <v>57</v>
          </cell>
        </row>
        <row r="2803">
          <cell r="B2803">
            <v>10020064</v>
          </cell>
          <cell r="C2803" t="str">
            <v>A-02288</v>
          </cell>
          <cell r="D2803">
            <v>57</v>
          </cell>
        </row>
        <row r="2804">
          <cell r="B2804">
            <v>10019409</v>
          </cell>
          <cell r="C2804" t="str">
            <v>A-88054</v>
          </cell>
          <cell r="D2804">
            <v>57</v>
          </cell>
        </row>
        <row r="2805">
          <cell r="B2805">
            <v>10019861</v>
          </cell>
          <cell r="C2805" t="str">
            <v>A-91051</v>
          </cell>
          <cell r="D2805">
            <v>57</v>
          </cell>
        </row>
        <row r="2806">
          <cell r="B2806">
            <v>10019327</v>
          </cell>
          <cell r="C2806" t="str">
            <v>D-08757</v>
          </cell>
          <cell r="D2806">
            <v>57</v>
          </cell>
        </row>
        <row r="2807">
          <cell r="B2807">
            <v>10019645</v>
          </cell>
          <cell r="C2807" t="str">
            <v>A-87557</v>
          </cell>
          <cell r="D2807">
            <v>57</v>
          </cell>
        </row>
        <row r="2808">
          <cell r="B2808">
            <v>10018241</v>
          </cell>
          <cell r="C2808" t="str">
            <v>B-64250</v>
          </cell>
          <cell r="D2808">
            <v>57</v>
          </cell>
        </row>
        <row r="2809">
          <cell r="B2809">
            <v>10018768</v>
          </cell>
          <cell r="C2809" t="str">
            <v>A-85684</v>
          </cell>
          <cell r="D2809">
            <v>58</v>
          </cell>
        </row>
        <row r="2810">
          <cell r="B2810">
            <v>10020063</v>
          </cell>
          <cell r="C2810" t="str">
            <v>A-85818</v>
          </cell>
          <cell r="D2810">
            <v>58</v>
          </cell>
        </row>
        <row r="2811">
          <cell r="B2811">
            <v>10019867</v>
          </cell>
          <cell r="C2811" t="str">
            <v>A-85802</v>
          </cell>
          <cell r="D2811">
            <v>58</v>
          </cell>
        </row>
        <row r="2812">
          <cell r="B2812">
            <v>10019976</v>
          </cell>
          <cell r="C2812" t="str">
            <v>A-86577</v>
          </cell>
          <cell r="D2812">
            <v>58</v>
          </cell>
        </row>
        <row r="2813">
          <cell r="B2813">
            <v>10020062</v>
          </cell>
          <cell r="C2813" t="str">
            <v>A-86583</v>
          </cell>
          <cell r="D2813">
            <v>58</v>
          </cell>
        </row>
        <row r="2814">
          <cell r="B2814">
            <v>10019730</v>
          </cell>
          <cell r="C2814" t="str">
            <v>A-85868</v>
          </cell>
          <cell r="D2814">
            <v>58</v>
          </cell>
        </row>
        <row r="2815">
          <cell r="B2815">
            <v>10019977</v>
          </cell>
          <cell r="C2815" t="str">
            <v>A-85628</v>
          </cell>
          <cell r="D2815">
            <v>58</v>
          </cell>
        </row>
        <row r="2816">
          <cell r="B2816">
            <v>10019945</v>
          </cell>
          <cell r="C2816" t="str">
            <v>A-85852</v>
          </cell>
          <cell r="D2816">
            <v>58</v>
          </cell>
        </row>
        <row r="2817">
          <cell r="B2817">
            <v>10018527</v>
          </cell>
          <cell r="C2817" t="str">
            <v>A-85824</v>
          </cell>
          <cell r="D2817">
            <v>58</v>
          </cell>
        </row>
        <row r="2818">
          <cell r="B2818">
            <v>10018639</v>
          </cell>
          <cell r="C2818" t="str">
            <v>B-10469</v>
          </cell>
          <cell r="D2818">
            <v>58</v>
          </cell>
        </row>
        <row r="2819">
          <cell r="B2819">
            <v>10018582</v>
          </cell>
          <cell r="C2819" t="str">
            <v>A-85765</v>
          </cell>
          <cell r="D2819">
            <v>59</v>
          </cell>
        </row>
        <row r="2820">
          <cell r="B2820">
            <v>10019650</v>
          </cell>
          <cell r="C2820" t="str">
            <v>A-85771</v>
          </cell>
          <cell r="D2820">
            <v>59</v>
          </cell>
        </row>
        <row r="2821">
          <cell r="B2821">
            <v>10019397</v>
          </cell>
          <cell r="C2821" t="str">
            <v>A-86882</v>
          </cell>
          <cell r="D2821">
            <v>59</v>
          </cell>
        </row>
        <row r="2822">
          <cell r="B2822">
            <v>10018526</v>
          </cell>
          <cell r="C2822" t="str">
            <v>A-86561</v>
          </cell>
          <cell r="D2822">
            <v>59</v>
          </cell>
        </row>
        <row r="2823">
          <cell r="B2823">
            <v>10020061</v>
          </cell>
          <cell r="C2823" t="str">
            <v>A-85743</v>
          </cell>
          <cell r="D2823">
            <v>59</v>
          </cell>
        </row>
        <row r="2824">
          <cell r="B2824">
            <v>10019858</v>
          </cell>
          <cell r="C2824" t="str">
            <v>A-85737</v>
          </cell>
          <cell r="D2824">
            <v>59</v>
          </cell>
        </row>
        <row r="2825">
          <cell r="B2825">
            <v>10019905</v>
          </cell>
          <cell r="C2825" t="str">
            <v>D-31516</v>
          </cell>
          <cell r="D2825">
            <v>59</v>
          </cell>
        </row>
        <row r="2826">
          <cell r="B2826">
            <v>10019216</v>
          </cell>
          <cell r="C2826" t="str">
            <v>B-06909</v>
          </cell>
          <cell r="D2826">
            <v>60</v>
          </cell>
        </row>
        <row r="2827">
          <cell r="B2827">
            <v>10038198</v>
          </cell>
          <cell r="C2827" t="str">
            <v>B-65501</v>
          </cell>
          <cell r="D2827">
            <v>60</v>
          </cell>
        </row>
        <row r="2828">
          <cell r="B2828">
            <v>10019371</v>
          </cell>
          <cell r="C2828" t="str">
            <v>D-34833</v>
          </cell>
          <cell r="D2828">
            <v>60</v>
          </cell>
        </row>
        <row r="2829">
          <cell r="B2829">
            <v>10019352</v>
          </cell>
          <cell r="C2829" t="str">
            <v>D-33679</v>
          </cell>
          <cell r="D2829">
            <v>60</v>
          </cell>
        </row>
        <row r="2830">
          <cell r="B2830">
            <v>10019365</v>
          </cell>
          <cell r="C2830" t="str">
            <v>792296-4</v>
          </cell>
          <cell r="D2830">
            <v>60</v>
          </cell>
        </row>
        <row r="2831">
          <cell r="B2831">
            <v>10018429</v>
          </cell>
          <cell r="C2831" t="str">
            <v>B-90015</v>
          </cell>
          <cell r="D2831">
            <v>60</v>
          </cell>
        </row>
        <row r="2832">
          <cell r="B2832">
            <v>10018240</v>
          </cell>
          <cell r="C2832" t="str">
            <v>B-64244</v>
          </cell>
          <cell r="D2832">
            <v>60</v>
          </cell>
        </row>
        <row r="2833">
          <cell r="B2833">
            <v>10019402</v>
          </cell>
          <cell r="C2833" t="str">
            <v>794052-8</v>
          </cell>
          <cell r="D2833">
            <v>60</v>
          </cell>
        </row>
        <row r="2834">
          <cell r="B2834">
            <v>10019074</v>
          </cell>
          <cell r="C2834" t="str">
            <v>D-34827</v>
          </cell>
          <cell r="D2834">
            <v>60</v>
          </cell>
        </row>
        <row r="2835">
          <cell r="B2835">
            <v>10019899</v>
          </cell>
          <cell r="C2835" t="str">
            <v>792287-5</v>
          </cell>
          <cell r="D2835">
            <v>60</v>
          </cell>
        </row>
        <row r="2836">
          <cell r="B2836">
            <v>40007336</v>
          </cell>
          <cell r="C2836" t="str">
            <v>792292-2</v>
          </cell>
          <cell r="D2836">
            <v>60</v>
          </cell>
        </row>
        <row r="2837">
          <cell r="B2837">
            <v>10018948</v>
          </cell>
          <cell r="C2837" t="str">
            <v>B-64989</v>
          </cell>
          <cell r="D2837">
            <v>61</v>
          </cell>
        </row>
        <row r="2838">
          <cell r="B2838">
            <v>10019318</v>
          </cell>
          <cell r="C2838" t="str">
            <v>794608-7</v>
          </cell>
          <cell r="D2838">
            <v>61</v>
          </cell>
        </row>
        <row r="2839">
          <cell r="B2839">
            <v>10018040</v>
          </cell>
          <cell r="C2839" t="str">
            <v>794069-1</v>
          </cell>
          <cell r="D2839">
            <v>61</v>
          </cell>
        </row>
        <row r="2840">
          <cell r="B2840">
            <v>10019243</v>
          </cell>
          <cell r="C2840" t="str">
            <v>794609-5</v>
          </cell>
          <cell r="D2840">
            <v>61</v>
          </cell>
        </row>
        <row r="2841">
          <cell r="B2841">
            <v>40007213</v>
          </cell>
          <cell r="C2841" t="str">
            <v>743025-8</v>
          </cell>
          <cell r="D2841">
            <v>61</v>
          </cell>
        </row>
        <row r="2842">
          <cell r="B2842">
            <v>10018042</v>
          </cell>
          <cell r="C2842" t="str">
            <v>794227-9</v>
          </cell>
          <cell r="D2842">
            <v>61</v>
          </cell>
        </row>
        <row r="2843">
          <cell r="B2843">
            <v>10018411</v>
          </cell>
          <cell r="C2843" t="str">
            <v>792259-0</v>
          </cell>
          <cell r="D2843">
            <v>61</v>
          </cell>
        </row>
        <row r="2844">
          <cell r="B2844">
            <v>10019500</v>
          </cell>
          <cell r="C2844" t="str">
            <v>794221-1</v>
          </cell>
          <cell r="D2844">
            <v>62</v>
          </cell>
        </row>
        <row r="2845">
          <cell r="B2845">
            <v>10019245</v>
          </cell>
          <cell r="C2845" t="str">
            <v>794610-0</v>
          </cell>
          <cell r="D2845">
            <v>62</v>
          </cell>
        </row>
        <row r="2846">
          <cell r="B2846">
            <v>10019594</v>
          </cell>
          <cell r="C2846" t="str">
            <v>793346-8</v>
          </cell>
          <cell r="D2846">
            <v>62</v>
          </cell>
        </row>
        <row r="2847">
          <cell r="B2847">
            <v>40007388</v>
          </cell>
          <cell r="C2847" t="str">
            <v>743002-0</v>
          </cell>
          <cell r="D2847">
            <v>62</v>
          </cell>
        </row>
        <row r="2848">
          <cell r="B2848">
            <v>40008250</v>
          </cell>
          <cell r="C2848" t="str">
            <v>792728-1</v>
          </cell>
          <cell r="D2848">
            <v>62</v>
          </cell>
        </row>
        <row r="2849">
          <cell r="B2849">
            <v>10019250</v>
          </cell>
          <cell r="C2849" t="str">
            <v>794613-4</v>
          </cell>
          <cell r="D2849">
            <v>62</v>
          </cell>
        </row>
        <row r="2850">
          <cell r="B2850">
            <v>10019726</v>
          </cell>
          <cell r="C2850" t="str">
            <v>794094-2</v>
          </cell>
          <cell r="D2850">
            <v>62</v>
          </cell>
        </row>
        <row r="2851">
          <cell r="B2851">
            <v>10019247</v>
          </cell>
          <cell r="C2851" t="str">
            <v>794611-8</v>
          </cell>
          <cell r="D2851">
            <v>63</v>
          </cell>
        </row>
        <row r="2852">
          <cell r="B2852">
            <v>10019485</v>
          </cell>
          <cell r="C2852" t="str">
            <v>794092-6</v>
          </cell>
          <cell r="D2852">
            <v>63</v>
          </cell>
        </row>
        <row r="2853">
          <cell r="B2853">
            <v>10019481</v>
          </cell>
          <cell r="C2853" t="str">
            <v>794091-8</v>
          </cell>
          <cell r="D2853">
            <v>63</v>
          </cell>
        </row>
        <row r="2854">
          <cell r="B2854">
            <v>10019249</v>
          </cell>
          <cell r="C2854" t="str">
            <v>794612-6</v>
          </cell>
          <cell r="D2854">
            <v>63</v>
          </cell>
        </row>
        <row r="2855">
          <cell r="B2855">
            <v>10019488</v>
          </cell>
          <cell r="C2855" t="str">
            <v>794093-4</v>
          </cell>
          <cell r="D2855">
            <v>63</v>
          </cell>
        </row>
        <row r="2856">
          <cell r="B2856">
            <v>10019911</v>
          </cell>
          <cell r="C2856" t="str">
            <v>794060-9</v>
          </cell>
          <cell r="D2856">
            <v>63</v>
          </cell>
        </row>
        <row r="2857">
          <cell r="B2857">
            <v>40006606</v>
          </cell>
          <cell r="C2857" t="str">
            <v>224483-2</v>
          </cell>
          <cell r="D2857">
            <v>65</v>
          </cell>
        </row>
        <row r="2858">
          <cell r="B2858">
            <v>10036250</v>
          </cell>
          <cell r="C2858" t="str">
            <v>E-03442</v>
          </cell>
          <cell r="D2858">
            <v>65</v>
          </cell>
        </row>
        <row r="2859">
          <cell r="B2859">
            <v>10029921</v>
          </cell>
          <cell r="C2859" t="str">
            <v>D-25149</v>
          </cell>
          <cell r="D2859">
            <v>65</v>
          </cell>
        </row>
        <row r="2860">
          <cell r="B2860">
            <v>40005877</v>
          </cell>
          <cell r="C2860" t="str">
            <v>D-31011</v>
          </cell>
          <cell r="D2860">
            <v>65</v>
          </cell>
        </row>
        <row r="2861">
          <cell r="B2861">
            <v>10019115</v>
          </cell>
          <cell r="C2861" t="str">
            <v>A-31099</v>
          </cell>
          <cell r="D2861">
            <v>65</v>
          </cell>
        </row>
        <row r="2862">
          <cell r="B2862">
            <v>10018311</v>
          </cell>
          <cell r="C2862" t="str">
            <v>D-31398</v>
          </cell>
          <cell r="D2862">
            <v>65</v>
          </cell>
        </row>
        <row r="2863">
          <cell r="B2863">
            <v>10018315</v>
          </cell>
          <cell r="C2863" t="str">
            <v>D-31407</v>
          </cell>
          <cell r="D2863">
            <v>65</v>
          </cell>
        </row>
        <row r="2864">
          <cell r="B2864">
            <v>10019251</v>
          </cell>
          <cell r="C2864" t="str">
            <v>D-31114</v>
          </cell>
          <cell r="D2864">
            <v>65</v>
          </cell>
        </row>
        <row r="2865">
          <cell r="B2865">
            <v>10019560</v>
          </cell>
          <cell r="C2865" t="str">
            <v>D-31142</v>
          </cell>
          <cell r="D2865">
            <v>65</v>
          </cell>
        </row>
        <row r="2866">
          <cell r="B2866">
            <v>10019561</v>
          </cell>
          <cell r="C2866" t="str">
            <v>D-31170</v>
          </cell>
          <cell r="D2866">
            <v>65</v>
          </cell>
        </row>
        <row r="2867">
          <cell r="B2867">
            <v>10019978</v>
          </cell>
          <cell r="C2867" t="str">
            <v>D-31201</v>
          </cell>
          <cell r="D2867">
            <v>65</v>
          </cell>
        </row>
        <row r="2868">
          <cell r="B2868">
            <v>10019825</v>
          </cell>
          <cell r="C2868" t="str">
            <v>D-31217</v>
          </cell>
          <cell r="D2868">
            <v>65</v>
          </cell>
        </row>
        <row r="2869">
          <cell r="B2869">
            <v>10019563</v>
          </cell>
          <cell r="C2869" t="str">
            <v>D-31223</v>
          </cell>
          <cell r="D2869">
            <v>65</v>
          </cell>
        </row>
        <row r="2870">
          <cell r="B2870">
            <v>10019338</v>
          </cell>
          <cell r="C2870" t="str">
            <v>D-31245</v>
          </cell>
          <cell r="D2870">
            <v>65</v>
          </cell>
        </row>
        <row r="2871">
          <cell r="B2871">
            <v>10019746</v>
          </cell>
          <cell r="C2871" t="str">
            <v>D-31251</v>
          </cell>
          <cell r="D2871">
            <v>65</v>
          </cell>
        </row>
        <row r="2872">
          <cell r="B2872">
            <v>10018666</v>
          </cell>
          <cell r="C2872" t="str">
            <v>D-31354</v>
          </cell>
          <cell r="D2872">
            <v>65</v>
          </cell>
        </row>
        <row r="2873">
          <cell r="B2873">
            <v>10019907</v>
          </cell>
          <cell r="C2873" t="str">
            <v>D-31273</v>
          </cell>
          <cell r="D2873">
            <v>65</v>
          </cell>
        </row>
        <row r="2874">
          <cell r="B2874">
            <v>10019748</v>
          </cell>
          <cell r="C2874" t="str">
            <v>D-31289</v>
          </cell>
          <cell r="D2874">
            <v>65</v>
          </cell>
        </row>
        <row r="2875">
          <cell r="B2875">
            <v>10019750</v>
          </cell>
          <cell r="C2875" t="str">
            <v>D-31295</v>
          </cell>
          <cell r="D2875">
            <v>65</v>
          </cell>
        </row>
        <row r="2876">
          <cell r="B2876">
            <v>10019752</v>
          </cell>
          <cell r="C2876" t="str">
            <v>D-31304</v>
          </cell>
          <cell r="D2876">
            <v>65</v>
          </cell>
        </row>
        <row r="2877">
          <cell r="B2877">
            <v>10018162</v>
          </cell>
          <cell r="C2877" t="str">
            <v>D-31310</v>
          </cell>
          <cell r="D2877">
            <v>65</v>
          </cell>
        </row>
        <row r="2878">
          <cell r="B2878">
            <v>10019564</v>
          </cell>
          <cell r="C2878" t="str">
            <v>D-31413</v>
          </cell>
          <cell r="D2878">
            <v>65</v>
          </cell>
        </row>
        <row r="2879">
          <cell r="B2879">
            <v>10019565</v>
          </cell>
          <cell r="C2879" t="str">
            <v>D-31435</v>
          </cell>
          <cell r="D2879">
            <v>65</v>
          </cell>
        </row>
        <row r="2880">
          <cell r="B2880">
            <v>10019566</v>
          </cell>
          <cell r="C2880" t="str">
            <v>D-31441</v>
          </cell>
          <cell r="D2880">
            <v>65</v>
          </cell>
        </row>
        <row r="2881">
          <cell r="B2881">
            <v>10019567</v>
          </cell>
          <cell r="C2881" t="str">
            <v>D-31457</v>
          </cell>
          <cell r="D2881">
            <v>65</v>
          </cell>
        </row>
        <row r="2882">
          <cell r="B2882">
            <v>10019987</v>
          </cell>
          <cell r="C2882" t="str">
            <v>D-31479</v>
          </cell>
          <cell r="D2882">
            <v>65</v>
          </cell>
        </row>
        <row r="2883">
          <cell r="B2883">
            <v>10019723</v>
          </cell>
          <cell r="C2883" t="str">
            <v>D-31491</v>
          </cell>
          <cell r="D2883">
            <v>65</v>
          </cell>
        </row>
        <row r="2884">
          <cell r="B2884">
            <v>10019805</v>
          </cell>
          <cell r="C2884" t="str">
            <v>D-31500</v>
          </cell>
          <cell r="D2884">
            <v>65</v>
          </cell>
        </row>
        <row r="2885">
          <cell r="B2885">
            <v>10029924</v>
          </cell>
          <cell r="C2885" t="str">
            <v>D-30368</v>
          </cell>
          <cell r="D2885">
            <v>65</v>
          </cell>
        </row>
        <row r="2886">
          <cell r="B2886">
            <v>10019289</v>
          </cell>
          <cell r="C2886" t="str">
            <v>784614-0</v>
          </cell>
          <cell r="D2886">
            <v>65</v>
          </cell>
        </row>
        <row r="2887">
          <cell r="B2887">
            <v>40007309</v>
          </cell>
          <cell r="C2887" t="str">
            <v>783203-8</v>
          </cell>
          <cell r="D2887">
            <v>65</v>
          </cell>
        </row>
        <row r="2888">
          <cell r="B2888">
            <v>10019865</v>
          </cell>
          <cell r="C2888" t="str">
            <v>784204-9</v>
          </cell>
          <cell r="D2888">
            <v>65</v>
          </cell>
        </row>
        <row r="2889">
          <cell r="B2889">
            <v>10019838</v>
          </cell>
          <cell r="C2889" t="str">
            <v>784006-3</v>
          </cell>
          <cell r="D2889">
            <v>65</v>
          </cell>
        </row>
        <row r="2890">
          <cell r="B2890">
            <v>10019868</v>
          </cell>
          <cell r="C2890" t="str">
            <v>784001-3</v>
          </cell>
          <cell r="D2890">
            <v>65</v>
          </cell>
        </row>
        <row r="2891">
          <cell r="B2891">
            <v>10019934</v>
          </cell>
          <cell r="C2891" t="str">
            <v>784202-3</v>
          </cell>
          <cell r="D2891">
            <v>65</v>
          </cell>
        </row>
        <row r="2892">
          <cell r="B2892">
            <v>10019903</v>
          </cell>
          <cell r="C2892" t="str">
            <v>781029-2</v>
          </cell>
          <cell r="D2892">
            <v>65</v>
          </cell>
        </row>
        <row r="2893">
          <cell r="B2893">
            <v>10019935</v>
          </cell>
          <cell r="C2893" t="str">
            <v>784206-5</v>
          </cell>
          <cell r="D2893">
            <v>65</v>
          </cell>
        </row>
        <row r="2894">
          <cell r="B2894">
            <v>10019705</v>
          </cell>
          <cell r="C2894" t="str">
            <v>784210-4</v>
          </cell>
          <cell r="D2894">
            <v>65</v>
          </cell>
        </row>
        <row r="2895">
          <cell r="B2895">
            <v>10019816</v>
          </cell>
          <cell r="C2895" t="str">
            <v>784009-7</v>
          </cell>
          <cell r="D2895">
            <v>65</v>
          </cell>
        </row>
        <row r="2896">
          <cell r="B2896">
            <v>10019836</v>
          </cell>
          <cell r="C2896" t="str">
            <v>782209-3</v>
          </cell>
          <cell r="D2896">
            <v>65</v>
          </cell>
        </row>
        <row r="2897">
          <cell r="B2897">
            <v>10019902</v>
          </cell>
          <cell r="C2897" t="str">
            <v>784403-3</v>
          </cell>
          <cell r="D2897">
            <v>65</v>
          </cell>
        </row>
        <row r="2898">
          <cell r="B2898">
            <v>10019559</v>
          </cell>
          <cell r="C2898" t="str">
            <v>782420-7</v>
          </cell>
          <cell r="D2898">
            <v>65</v>
          </cell>
        </row>
        <row r="2899">
          <cell r="B2899">
            <v>10019276</v>
          </cell>
          <cell r="C2899" t="str">
            <v>784811-8</v>
          </cell>
          <cell r="D2899">
            <v>65</v>
          </cell>
        </row>
        <row r="2900">
          <cell r="B2900">
            <v>10019915</v>
          </cell>
          <cell r="C2900" t="str">
            <v>784203-1</v>
          </cell>
          <cell r="D2900">
            <v>65</v>
          </cell>
        </row>
        <row r="2901">
          <cell r="B2901">
            <v>10019568</v>
          </cell>
          <cell r="C2901" t="str">
            <v>784634-4</v>
          </cell>
          <cell r="D2901">
            <v>65</v>
          </cell>
        </row>
        <row r="2902">
          <cell r="B2902">
            <v>40007332</v>
          </cell>
          <cell r="C2902" t="str">
            <v>763622-4</v>
          </cell>
          <cell r="D2902" t="str">
            <v>65(2)</v>
          </cell>
        </row>
        <row r="2903">
          <cell r="B2903">
            <v>10019994</v>
          </cell>
          <cell r="C2903" t="str">
            <v>763414-1</v>
          </cell>
          <cell r="D2903" t="str">
            <v>65(2)</v>
          </cell>
        </row>
        <row r="2904">
          <cell r="B2904">
            <v>10019953</v>
          </cell>
          <cell r="C2904" t="str">
            <v>763444-2</v>
          </cell>
          <cell r="D2904" t="str">
            <v>65(2)</v>
          </cell>
        </row>
        <row r="2905">
          <cell r="B2905">
            <v>10019932</v>
          </cell>
          <cell r="C2905" t="str">
            <v>763418-3</v>
          </cell>
          <cell r="D2905" t="str">
            <v>65(2)</v>
          </cell>
        </row>
        <row r="2906">
          <cell r="B2906">
            <v>10019952</v>
          </cell>
          <cell r="C2906" t="str">
            <v>763441-8</v>
          </cell>
          <cell r="D2906" t="str">
            <v>65(2)</v>
          </cell>
        </row>
        <row r="2907">
          <cell r="B2907">
            <v>10019811</v>
          </cell>
          <cell r="C2907" t="str">
            <v>763608-8</v>
          </cell>
          <cell r="D2907" t="str">
            <v>65(2)</v>
          </cell>
        </row>
        <row r="2908">
          <cell r="B2908">
            <v>10019954</v>
          </cell>
          <cell r="C2908" t="str">
            <v>763442-6</v>
          </cell>
          <cell r="D2908" t="str">
            <v>65(2)</v>
          </cell>
        </row>
        <row r="2909">
          <cell r="B2909">
            <v>10019864</v>
          </cell>
          <cell r="C2909" t="str">
            <v>763805-6</v>
          </cell>
          <cell r="D2909" t="str">
            <v>65(2)</v>
          </cell>
        </row>
        <row r="2910">
          <cell r="B2910">
            <v>40007062</v>
          </cell>
          <cell r="C2910" t="str">
            <v>763812-9</v>
          </cell>
          <cell r="D2910" t="str">
            <v>65(2)</v>
          </cell>
        </row>
        <row r="2911">
          <cell r="B2911">
            <v>40003878</v>
          </cell>
          <cell r="C2911" t="str">
            <v>763806-4</v>
          </cell>
          <cell r="D2911" t="str">
            <v>65(2)</v>
          </cell>
        </row>
        <row r="2912">
          <cell r="B2912">
            <v>10019287</v>
          </cell>
          <cell r="C2912" t="str">
            <v>763607-0</v>
          </cell>
          <cell r="D2912" t="str">
            <v>65(2)</v>
          </cell>
        </row>
        <row r="2913">
          <cell r="B2913">
            <v>40003874</v>
          </cell>
          <cell r="C2913" t="str">
            <v>763628-2</v>
          </cell>
          <cell r="D2913" t="str">
            <v>65(2)</v>
          </cell>
        </row>
        <row r="2914">
          <cell r="B2914">
            <v>40011751</v>
          </cell>
          <cell r="C2914" t="str">
            <v>224491-3</v>
          </cell>
          <cell r="D2914" t="str">
            <v>65(3)</v>
          </cell>
        </row>
        <row r="2915">
          <cell r="B2915">
            <v>40011752</v>
          </cell>
          <cell r="C2915" t="str">
            <v>224610-1</v>
          </cell>
          <cell r="D2915" t="str">
            <v>65(3)</v>
          </cell>
        </row>
        <row r="2916">
          <cell r="B2916">
            <v>40007333</v>
          </cell>
          <cell r="C2916" t="str">
            <v>763619-3</v>
          </cell>
          <cell r="D2916" t="str">
            <v>65(3)</v>
          </cell>
        </row>
        <row r="2917">
          <cell r="B2917">
            <v>10019412</v>
          </cell>
          <cell r="C2917" t="str">
            <v>763810-3</v>
          </cell>
          <cell r="D2917" t="str">
            <v>65(3)</v>
          </cell>
        </row>
        <row r="2918">
          <cell r="B2918">
            <v>10018320</v>
          </cell>
          <cell r="C2918" t="str">
            <v>763632-1</v>
          </cell>
          <cell r="D2918" t="str">
            <v>65(3)</v>
          </cell>
        </row>
        <row r="2919">
          <cell r="B2919">
            <v>40003876</v>
          </cell>
          <cell r="C2919" t="str">
            <v>763811-1</v>
          </cell>
          <cell r="D2919" t="str">
            <v>65(3)</v>
          </cell>
        </row>
        <row r="2920">
          <cell r="B2920">
            <v>40010259</v>
          </cell>
          <cell r="C2920" t="str">
            <v>763637-1</v>
          </cell>
          <cell r="D2920" t="str">
            <v>65(3)</v>
          </cell>
        </row>
        <row r="2921">
          <cell r="B2921">
            <v>10019930</v>
          </cell>
          <cell r="C2921" t="str">
            <v>763432-9</v>
          </cell>
          <cell r="D2921" t="str">
            <v>65(3)</v>
          </cell>
        </row>
        <row r="2922">
          <cell r="B2922">
            <v>10019998</v>
          </cell>
          <cell r="C2922" t="str">
            <v>763804-8</v>
          </cell>
          <cell r="D2922" t="str">
            <v>65(3)</v>
          </cell>
        </row>
        <row r="2923">
          <cell r="B2923">
            <v>10019731</v>
          </cell>
          <cell r="C2923" t="str">
            <v>763618-5</v>
          </cell>
          <cell r="D2923" t="str">
            <v>65(3)</v>
          </cell>
        </row>
        <row r="2924">
          <cell r="B2924">
            <v>10019306</v>
          </cell>
          <cell r="C2924" t="str">
            <v>763801-4</v>
          </cell>
          <cell r="D2924" t="str">
            <v>65(3)</v>
          </cell>
        </row>
        <row r="2925">
          <cell r="B2925">
            <v>10019303</v>
          </cell>
          <cell r="C2925" t="str">
            <v>763447-6</v>
          </cell>
          <cell r="D2925" t="str">
            <v>65(3)</v>
          </cell>
        </row>
        <row r="2926">
          <cell r="B2926">
            <v>10019124</v>
          </cell>
          <cell r="C2926" t="str">
            <v>763636-3</v>
          </cell>
          <cell r="D2926" t="str">
            <v>65(3)</v>
          </cell>
        </row>
        <row r="2927">
          <cell r="B2927">
            <v>10019938</v>
          </cell>
          <cell r="C2927" t="str">
            <v>763663-0</v>
          </cell>
          <cell r="D2927" t="str">
            <v>65(3)</v>
          </cell>
        </row>
        <row r="2928">
          <cell r="B2928">
            <v>40008314</v>
          </cell>
          <cell r="C2928" t="str">
            <v>763809-8</v>
          </cell>
          <cell r="D2928" t="str">
            <v>65(3)</v>
          </cell>
        </row>
        <row r="2929">
          <cell r="B2929">
            <v>10019846</v>
          </cell>
          <cell r="C2929" t="str">
            <v>123062-2</v>
          </cell>
          <cell r="D2929" t="str">
            <v>65(3)</v>
          </cell>
        </row>
        <row r="2930">
          <cell r="B2930">
            <v>40007369</v>
          </cell>
          <cell r="C2930" t="str">
            <v>123004-6</v>
          </cell>
          <cell r="D2930" t="str">
            <v>65(3)</v>
          </cell>
        </row>
        <row r="2931">
          <cell r="B2931">
            <v>40008313</v>
          </cell>
          <cell r="C2931" t="str">
            <v>763808-0</v>
          </cell>
          <cell r="D2931" t="str">
            <v>65(3)</v>
          </cell>
        </row>
        <row r="2932">
          <cell r="B2932">
            <v>10019484</v>
          </cell>
          <cell r="C2932" t="str">
            <v>224559-5</v>
          </cell>
          <cell r="D2932" t="str">
            <v>65(3)</v>
          </cell>
        </row>
        <row r="2933">
          <cell r="B2933">
            <v>10019866</v>
          </cell>
          <cell r="C2933" t="str">
            <v>224569-2</v>
          </cell>
          <cell r="D2933" t="str">
            <v>65(3)</v>
          </cell>
        </row>
        <row r="2934">
          <cell r="B2934">
            <v>40007719</v>
          </cell>
          <cell r="C2934" t="str">
            <v>224299-5</v>
          </cell>
          <cell r="D2934" t="str">
            <v>65(3)</v>
          </cell>
        </row>
        <row r="2935">
          <cell r="B2935">
            <v>10019881</v>
          </cell>
          <cell r="C2935" t="str">
            <v>224415-9</v>
          </cell>
          <cell r="D2935" t="str">
            <v>65(3)</v>
          </cell>
        </row>
        <row r="2936">
          <cell r="B2936">
            <v>10019892</v>
          </cell>
          <cell r="C2936" t="str">
            <v>224554-5</v>
          </cell>
          <cell r="D2936" t="str">
            <v>65(3)</v>
          </cell>
        </row>
        <row r="2937">
          <cell r="B2937">
            <v>40006799</v>
          </cell>
          <cell r="C2937" t="str">
            <v>224432-9</v>
          </cell>
          <cell r="D2937" t="str">
            <v>65(3)</v>
          </cell>
        </row>
        <row r="2938">
          <cell r="B2938">
            <v>10019140</v>
          </cell>
          <cell r="C2938" t="str">
            <v>224578-1</v>
          </cell>
          <cell r="D2938" t="str">
            <v>65(3)</v>
          </cell>
        </row>
        <row r="2939">
          <cell r="B2939">
            <v>10019869</v>
          </cell>
          <cell r="C2939" t="str">
            <v>224343-8</v>
          </cell>
          <cell r="D2939" t="str">
            <v>65(3)</v>
          </cell>
        </row>
        <row r="2940">
          <cell r="B2940">
            <v>40007492</v>
          </cell>
          <cell r="C2940" t="str">
            <v>225508-5</v>
          </cell>
          <cell r="D2940" t="str">
            <v>65(3)</v>
          </cell>
        </row>
        <row r="2941">
          <cell r="B2941">
            <v>10018132</v>
          </cell>
          <cell r="C2941" t="str">
            <v>224470-1</v>
          </cell>
          <cell r="D2941" t="str">
            <v>65(3)</v>
          </cell>
        </row>
        <row r="2942">
          <cell r="B2942">
            <v>40007931</v>
          </cell>
          <cell r="C2942" t="str">
            <v>224314-5</v>
          </cell>
          <cell r="D2942" t="str">
            <v>65(3)</v>
          </cell>
        </row>
        <row r="2943">
          <cell r="B2943">
            <v>40006663</v>
          </cell>
          <cell r="C2943" t="str">
            <v>763615-1</v>
          </cell>
          <cell r="D2943" t="str">
            <v>65(3)</v>
          </cell>
        </row>
        <row r="2944">
          <cell r="B2944">
            <v>10018453</v>
          </cell>
          <cell r="C2944" t="str">
            <v>B-58578</v>
          </cell>
          <cell r="D2944">
            <v>66</v>
          </cell>
        </row>
        <row r="2945">
          <cell r="B2945">
            <v>10018903</v>
          </cell>
          <cell r="C2945" t="str">
            <v>B-58322</v>
          </cell>
          <cell r="D2945">
            <v>66</v>
          </cell>
        </row>
        <row r="2946">
          <cell r="B2946">
            <v>10018987</v>
          </cell>
          <cell r="C2946" t="str">
            <v>B-58562</v>
          </cell>
          <cell r="D2946">
            <v>66</v>
          </cell>
        </row>
        <row r="2947">
          <cell r="B2947">
            <v>10018926</v>
          </cell>
          <cell r="C2947" t="str">
            <v>B-58073</v>
          </cell>
          <cell r="D2947">
            <v>66</v>
          </cell>
        </row>
        <row r="2948">
          <cell r="B2948">
            <v>10018667</v>
          </cell>
          <cell r="C2948" t="str">
            <v>B-58540</v>
          </cell>
          <cell r="D2948">
            <v>66</v>
          </cell>
        </row>
        <row r="2949">
          <cell r="B2949">
            <v>10018258</v>
          </cell>
          <cell r="C2949" t="str">
            <v>B-58687</v>
          </cell>
          <cell r="D2949">
            <v>66</v>
          </cell>
        </row>
        <row r="2950">
          <cell r="B2950">
            <v>10018239</v>
          </cell>
          <cell r="C2950" t="str">
            <v>B-58702</v>
          </cell>
          <cell r="D2950">
            <v>66</v>
          </cell>
        </row>
        <row r="2951">
          <cell r="B2951">
            <v>10018259</v>
          </cell>
          <cell r="C2951" t="str">
            <v>B-58774</v>
          </cell>
          <cell r="D2951">
            <v>66</v>
          </cell>
        </row>
        <row r="2952">
          <cell r="B2952">
            <v>10018257</v>
          </cell>
          <cell r="C2952" t="str">
            <v>B-58637</v>
          </cell>
          <cell r="D2952">
            <v>66</v>
          </cell>
        </row>
        <row r="2953">
          <cell r="B2953">
            <v>10018901</v>
          </cell>
          <cell r="C2953" t="str">
            <v>B-58229</v>
          </cell>
          <cell r="D2953">
            <v>66</v>
          </cell>
        </row>
        <row r="2954">
          <cell r="B2954">
            <v>10018256</v>
          </cell>
          <cell r="C2954" t="str">
            <v>B-20068</v>
          </cell>
          <cell r="D2954">
            <v>66</v>
          </cell>
        </row>
        <row r="2955">
          <cell r="B2955">
            <v>10018654</v>
          </cell>
          <cell r="C2955" t="str">
            <v>B-58344</v>
          </cell>
          <cell r="D2955">
            <v>66</v>
          </cell>
        </row>
        <row r="2956">
          <cell r="B2956">
            <v>10018237</v>
          </cell>
          <cell r="C2956" t="str">
            <v>B-58338</v>
          </cell>
          <cell r="D2956">
            <v>66</v>
          </cell>
        </row>
        <row r="2957">
          <cell r="B2957">
            <v>10029923</v>
          </cell>
          <cell r="C2957" t="str">
            <v>B-58615</v>
          </cell>
          <cell r="D2957">
            <v>66</v>
          </cell>
        </row>
        <row r="2958">
          <cell r="B2958">
            <v>10018681</v>
          </cell>
          <cell r="C2958" t="str">
            <v>B-58207</v>
          </cell>
          <cell r="D2958">
            <v>66</v>
          </cell>
        </row>
        <row r="2959">
          <cell r="B2959">
            <v>10018642</v>
          </cell>
          <cell r="C2959" t="str">
            <v>B-58659</v>
          </cell>
          <cell r="D2959">
            <v>66</v>
          </cell>
        </row>
        <row r="2960">
          <cell r="B2960">
            <v>10018964</v>
          </cell>
          <cell r="C2960" t="str">
            <v>B-58584</v>
          </cell>
          <cell r="D2960">
            <v>66</v>
          </cell>
        </row>
        <row r="2961">
          <cell r="B2961">
            <v>10018906</v>
          </cell>
          <cell r="C2961" t="str">
            <v>B-58724</v>
          </cell>
          <cell r="D2961">
            <v>66</v>
          </cell>
        </row>
        <row r="2962">
          <cell r="B2962">
            <v>10019019</v>
          </cell>
          <cell r="C2962" t="str">
            <v>B-20111</v>
          </cell>
          <cell r="D2962">
            <v>66</v>
          </cell>
        </row>
        <row r="2963">
          <cell r="B2963">
            <v>10018643</v>
          </cell>
          <cell r="C2963" t="str">
            <v>B-58104</v>
          </cell>
          <cell r="D2963">
            <v>66</v>
          </cell>
        </row>
        <row r="2964">
          <cell r="B2964">
            <v>10017981</v>
          </cell>
          <cell r="C2964" t="str">
            <v>B-58992</v>
          </cell>
          <cell r="D2964">
            <v>66</v>
          </cell>
        </row>
        <row r="2965">
          <cell r="B2965">
            <v>10018599</v>
          </cell>
          <cell r="C2965" t="str">
            <v>B-57962</v>
          </cell>
          <cell r="D2965">
            <v>67</v>
          </cell>
        </row>
        <row r="2966">
          <cell r="B2966">
            <v>10018916</v>
          </cell>
          <cell r="C2966" t="str">
            <v>B-57168</v>
          </cell>
          <cell r="D2966">
            <v>67</v>
          </cell>
        </row>
        <row r="2967">
          <cell r="B2967">
            <v>10018649</v>
          </cell>
          <cell r="C2967" t="str">
            <v>B-55697</v>
          </cell>
          <cell r="D2967">
            <v>67</v>
          </cell>
        </row>
        <row r="2968">
          <cell r="B2968">
            <v>10018236</v>
          </cell>
          <cell r="C2968" t="str">
            <v>B-58213</v>
          </cell>
          <cell r="D2968">
            <v>67</v>
          </cell>
        </row>
        <row r="2969">
          <cell r="B2969">
            <v>10018657</v>
          </cell>
          <cell r="C2969" t="str">
            <v>B-57978</v>
          </cell>
          <cell r="D2969">
            <v>67</v>
          </cell>
        </row>
        <row r="2970">
          <cell r="B2970">
            <v>10018238</v>
          </cell>
          <cell r="C2970" t="str">
            <v>B-58693</v>
          </cell>
          <cell r="D2970">
            <v>67</v>
          </cell>
        </row>
        <row r="2971">
          <cell r="B2971">
            <v>10018904</v>
          </cell>
          <cell r="C2971" t="str">
            <v>B-58556</v>
          </cell>
          <cell r="D2971">
            <v>67</v>
          </cell>
        </row>
        <row r="2972">
          <cell r="B2972">
            <v>10019037</v>
          </cell>
          <cell r="C2972" t="str">
            <v>B-58718</v>
          </cell>
          <cell r="D2972">
            <v>67</v>
          </cell>
        </row>
        <row r="2973">
          <cell r="B2973">
            <v>10018914</v>
          </cell>
          <cell r="C2973" t="str">
            <v>B-57990</v>
          </cell>
          <cell r="D2973">
            <v>67</v>
          </cell>
        </row>
        <row r="2974">
          <cell r="B2974">
            <v>10018457</v>
          </cell>
          <cell r="C2974" t="str">
            <v>B-58126</v>
          </cell>
          <cell r="D2974">
            <v>67</v>
          </cell>
        </row>
        <row r="2975">
          <cell r="B2975">
            <v>10018952</v>
          </cell>
          <cell r="C2975" t="str">
            <v>B-58665</v>
          </cell>
          <cell r="D2975">
            <v>67</v>
          </cell>
        </row>
        <row r="2976">
          <cell r="B2976">
            <v>10018775</v>
          </cell>
          <cell r="C2976" t="str">
            <v>B-58067</v>
          </cell>
          <cell r="D2976">
            <v>67</v>
          </cell>
        </row>
        <row r="2977">
          <cell r="B2977">
            <v>10017979</v>
          </cell>
          <cell r="C2977" t="str">
            <v>B-58899</v>
          </cell>
          <cell r="D2977">
            <v>67</v>
          </cell>
        </row>
        <row r="2978">
          <cell r="B2978">
            <v>10017977</v>
          </cell>
          <cell r="C2978" t="str">
            <v>B-58811</v>
          </cell>
          <cell r="D2978">
            <v>68</v>
          </cell>
        </row>
        <row r="2979">
          <cell r="B2979">
            <v>10018604</v>
          </cell>
          <cell r="C2979" t="str">
            <v>B-55594</v>
          </cell>
          <cell r="D2979">
            <v>68</v>
          </cell>
        </row>
        <row r="2980">
          <cell r="B2980">
            <v>10018655</v>
          </cell>
          <cell r="C2980" t="str">
            <v>B-58475</v>
          </cell>
          <cell r="D2980">
            <v>68</v>
          </cell>
        </row>
        <row r="2981">
          <cell r="B2981">
            <v>10018817</v>
          </cell>
          <cell r="C2981" t="str">
            <v>B-55762</v>
          </cell>
          <cell r="D2981">
            <v>68</v>
          </cell>
        </row>
        <row r="2982">
          <cell r="B2982">
            <v>40006158</v>
          </cell>
          <cell r="C2982" t="str">
            <v>B-52691</v>
          </cell>
          <cell r="D2982">
            <v>68</v>
          </cell>
        </row>
        <row r="2983">
          <cell r="B2983">
            <v>10019258</v>
          </cell>
          <cell r="C2983" t="str">
            <v>D-05309</v>
          </cell>
          <cell r="D2983">
            <v>68</v>
          </cell>
        </row>
        <row r="2984">
          <cell r="B2984">
            <v>10019134</v>
          </cell>
          <cell r="C2984" t="str">
            <v>D-05278</v>
          </cell>
          <cell r="D2984">
            <v>68</v>
          </cell>
        </row>
        <row r="2985">
          <cell r="B2985">
            <v>10019262</v>
          </cell>
          <cell r="C2985" t="str">
            <v>D-05262</v>
          </cell>
          <cell r="D2985">
            <v>68</v>
          </cell>
        </row>
        <row r="2986">
          <cell r="B2986">
            <v>10019260</v>
          </cell>
          <cell r="C2986" t="str">
            <v>D-05284</v>
          </cell>
          <cell r="D2986">
            <v>68</v>
          </cell>
        </row>
        <row r="2987">
          <cell r="B2987">
            <v>10018736</v>
          </cell>
          <cell r="C2987" t="str">
            <v>D-05321</v>
          </cell>
          <cell r="D2987">
            <v>68</v>
          </cell>
        </row>
        <row r="2988">
          <cell r="B2988">
            <v>10019135</v>
          </cell>
          <cell r="C2988" t="str">
            <v>D-05290</v>
          </cell>
          <cell r="D2988">
            <v>68</v>
          </cell>
        </row>
        <row r="2989">
          <cell r="B2989">
            <v>10019133</v>
          </cell>
          <cell r="C2989" t="str">
            <v>D-05256</v>
          </cell>
          <cell r="D2989">
            <v>68</v>
          </cell>
        </row>
        <row r="2990">
          <cell r="B2990">
            <v>10019198</v>
          </cell>
          <cell r="C2990" t="str">
            <v>D-05343</v>
          </cell>
          <cell r="D2990">
            <v>68</v>
          </cell>
        </row>
        <row r="2991">
          <cell r="B2991">
            <v>10018608</v>
          </cell>
          <cell r="C2991" t="str">
            <v>B-51851</v>
          </cell>
          <cell r="D2991">
            <v>68</v>
          </cell>
        </row>
        <row r="2992">
          <cell r="B2992">
            <v>10018602</v>
          </cell>
          <cell r="C2992" t="str">
            <v>B-55821</v>
          </cell>
          <cell r="D2992">
            <v>68</v>
          </cell>
        </row>
        <row r="2993">
          <cell r="B2993">
            <v>10018989</v>
          </cell>
          <cell r="C2993" t="str">
            <v>D-65838</v>
          </cell>
          <cell r="D2993">
            <v>69</v>
          </cell>
        </row>
        <row r="2994">
          <cell r="B2994">
            <v>10018777</v>
          </cell>
          <cell r="C2994" t="str">
            <v>D-54156</v>
          </cell>
          <cell r="D2994">
            <v>69</v>
          </cell>
        </row>
        <row r="2995">
          <cell r="B2995">
            <v>10018834</v>
          </cell>
          <cell r="C2995" t="str">
            <v>D-54140</v>
          </cell>
          <cell r="D2995">
            <v>69</v>
          </cell>
        </row>
        <row r="2996">
          <cell r="B2996">
            <v>10019232</v>
          </cell>
          <cell r="C2996" t="str">
            <v>P-33342</v>
          </cell>
          <cell r="D2996">
            <v>69</v>
          </cell>
        </row>
        <row r="2997">
          <cell r="B2997">
            <v>10018738</v>
          </cell>
          <cell r="C2997" t="str">
            <v>D-65850</v>
          </cell>
          <cell r="D2997">
            <v>69</v>
          </cell>
        </row>
        <row r="2998">
          <cell r="B2998">
            <v>10018443</v>
          </cell>
          <cell r="C2998" t="str">
            <v>D-65844</v>
          </cell>
          <cell r="D2998">
            <v>69</v>
          </cell>
        </row>
        <row r="2999">
          <cell r="B2999">
            <v>10018685</v>
          </cell>
          <cell r="C2999" t="str">
            <v>D-65888</v>
          </cell>
          <cell r="D2999">
            <v>69</v>
          </cell>
        </row>
        <row r="3000">
          <cell r="B3000">
            <v>10018282</v>
          </cell>
          <cell r="C3000" t="str">
            <v>D-65816</v>
          </cell>
          <cell r="D3000">
            <v>69</v>
          </cell>
        </row>
        <row r="3001">
          <cell r="B3001">
            <v>10044086</v>
          </cell>
          <cell r="C3001" t="str">
            <v>B-64951</v>
          </cell>
          <cell r="D3001">
            <v>70</v>
          </cell>
        </row>
        <row r="3002">
          <cell r="B3002">
            <v>10018479</v>
          </cell>
          <cell r="C3002" t="str">
            <v>B-65551</v>
          </cell>
          <cell r="D3002">
            <v>70</v>
          </cell>
        </row>
        <row r="3003">
          <cell r="B3003">
            <v>10018478</v>
          </cell>
          <cell r="C3003" t="str">
            <v>B-65539</v>
          </cell>
          <cell r="D3003">
            <v>70</v>
          </cell>
        </row>
        <row r="3004">
          <cell r="B3004">
            <v>10018799</v>
          </cell>
          <cell r="C3004" t="str">
            <v>A-67505</v>
          </cell>
          <cell r="D3004">
            <v>70</v>
          </cell>
        </row>
        <row r="3005">
          <cell r="B3005">
            <v>10018477</v>
          </cell>
          <cell r="C3005" t="str">
            <v>B-65458</v>
          </cell>
          <cell r="D3005">
            <v>70</v>
          </cell>
        </row>
        <row r="3006">
          <cell r="B3006">
            <v>10018473</v>
          </cell>
          <cell r="C3006" t="str">
            <v>B-65604</v>
          </cell>
          <cell r="D3006">
            <v>70</v>
          </cell>
        </row>
        <row r="3007">
          <cell r="B3007">
            <v>10019215</v>
          </cell>
          <cell r="C3007" t="str">
            <v>B-06890</v>
          </cell>
          <cell r="D3007">
            <v>70</v>
          </cell>
        </row>
        <row r="3008">
          <cell r="B3008">
            <v>10018408</v>
          </cell>
          <cell r="C3008" t="str">
            <v>B-65919</v>
          </cell>
          <cell r="D3008">
            <v>70</v>
          </cell>
        </row>
        <row r="3009">
          <cell r="B3009">
            <v>10018410</v>
          </cell>
          <cell r="C3009" t="str">
            <v>B-66020</v>
          </cell>
          <cell r="D3009">
            <v>70</v>
          </cell>
        </row>
        <row r="3010">
          <cell r="B3010">
            <v>10018409</v>
          </cell>
          <cell r="C3010" t="str">
            <v>B-65931</v>
          </cell>
          <cell r="D3010">
            <v>70</v>
          </cell>
        </row>
        <row r="3011">
          <cell r="B3011">
            <v>10018467</v>
          </cell>
          <cell r="C3011" t="str">
            <v>B-67496</v>
          </cell>
          <cell r="D3011">
            <v>50</v>
          </cell>
        </row>
        <row r="3012">
          <cell r="B3012">
            <v>10029922</v>
          </cell>
          <cell r="C3012" t="str">
            <v>D-64107</v>
          </cell>
          <cell r="D3012">
            <v>70</v>
          </cell>
        </row>
        <row r="3013">
          <cell r="B3013">
            <v>10041626</v>
          </cell>
          <cell r="C3013" t="str">
            <v>D-64054</v>
          </cell>
          <cell r="D3013">
            <v>70</v>
          </cell>
        </row>
        <row r="3014">
          <cell r="B3014">
            <v>10041625</v>
          </cell>
          <cell r="C3014" t="str">
            <v>D-64082</v>
          </cell>
          <cell r="D3014">
            <v>70</v>
          </cell>
        </row>
        <row r="3015">
          <cell r="B3015">
            <v>10018283</v>
          </cell>
          <cell r="C3015" t="str">
            <v>B-65115</v>
          </cell>
          <cell r="D3015">
            <v>71</v>
          </cell>
        </row>
        <row r="3016">
          <cell r="B3016">
            <v>10018327</v>
          </cell>
          <cell r="C3016" t="str">
            <v>D-62854</v>
          </cell>
          <cell r="D3016">
            <v>71</v>
          </cell>
        </row>
        <row r="3017">
          <cell r="B3017">
            <v>10018344</v>
          </cell>
          <cell r="C3017" t="str">
            <v>D-06482</v>
          </cell>
          <cell r="D3017">
            <v>71</v>
          </cell>
        </row>
        <row r="3018">
          <cell r="B3018">
            <v>10018342</v>
          </cell>
          <cell r="C3018" t="str">
            <v>D-06460</v>
          </cell>
          <cell r="D3018">
            <v>71</v>
          </cell>
        </row>
        <row r="3019">
          <cell r="B3019">
            <v>10018343</v>
          </cell>
          <cell r="C3019" t="str">
            <v>D-06476</v>
          </cell>
          <cell r="D3019">
            <v>71</v>
          </cell>
        </row>
        <row r="3020">
          <cell r="B3020">
            <v>10018340</v>
          </cell>
          <cell r="C3020" t="str">
            <v>D-06426</v>
          </cell>
          <cell r="D3020">
            <v>71</v>
          </cell>
        </row>
        <row r="3021">
          <cell r="B3021">
            <v>10018285</v>
          </cell>
          <cell r="C3021" t="str">
            <v>D-64272</v>
          </cell>
          <cell r="D3021">
            <v>71</v>
          </cell>
        </row>
        <row r="3022">
          <cell r="B3022">
            <v>10018978</v>
          </cell>
          <cell r="C3022" t="str">
            <v>D-63292</v>
          </cell>
          <cell r="D3022">
            <v>71</v>
          </cell>
        </row>
        <row r="3023">
          <cell r="B3023">
            <v>10018249</v>
          </cell>
          <cell r="C3023" t="str">
            <v>D-63345</v>
          </cell>
          <cell r="D3023">
            <v>71</v>
          </cell>
        </row>
        <row r="3024">
          <cell r="B3024">
            <v>10018985</v>
          </cell>
          <cell r="C3024" t="str">
            <v>D-64397</v>
          </cell>
          <cell r="D3024">
            <v>71</v>
          </cell>
        </row>
        <row r="3025">
          <cell r="B3025">
            <v>10018389</v>
          </cell>
          <cell r="C3025" t="str">
            <v>B-63410</v>
          </cell>
          <cell r="D3025">
            <v>71</v>
          </cell>
        </row>
        <row r="3026">
          <cell r="B3026">
            <v>10018384</v>
          </cell>
          <cell r="C3026" t="str">
            <v>B-63242</v>
          </cell>
          <cell r="D3026">
            <v>71</v>
          </cell>
        </row>
        <row r="3027">
          <cell r="B3027">
            <v>10018390</v>
          </cell>
          <cell r="C3027" t="str">
            <v>B-63426</v>
          </cell>
          <cell r="D3027">
            <v>71</v>
          </cell>
        </row>
        <row r="3028">
          <cell r="B3028">
            <v>10018385</v>
          </cell>
          <cell r="C3028" t="str">
            <v>B-63214</v>
          </cell>
          <cell r="D3028">
            <v>71</v>
          </cell>
        </row>
        <row r="3029">
          <cell r="B3029">
            <v>10018387</v>
          </cell>
          <cell r="C3029" t="str">
            <v>B-63264</v>
          </cell>
          <cell r="D3029">
            <v>71</v>
          </cell>
        </row>
        <row r="3030">
          <cell r="B3030">
            <v>10018388</v>
          </cell>
          <cell r="C3030" t="str">
            <v>B-63373</v>
          </cell>
          <cell r="D3030">
            <v>71</v>
          </cell>
        </row>
        <row r="3031">
          <cell r="B3031">
            <v>10018391</v>
          </cell>
          <cell r="C3031" t="str">
            <v>B-63460</v>
          </cell>
          <cell r="D3031">
            <v>71</v>
          </cell>
        </row>
        <row r="3032">
          <cell r="B3032">
            <v>10018386</v>
          </cell>
          <cell r="C3032" t="str">
            <v>B-63220</v>
          </cell>
          <cell r="D3032">
            <v>71</v>
          </cell>
        </row>
        <row r="3033">
          <cell r="B3033">
            <v>10019032</v>
          </cell>
          <cell r="C3033" t="str">
            <v>D-64325</v>
          </cell>
          <cell r="D3033">
            <v>71</v>
          </cell>
        </row>
        <row r="3034">
          <cell r="B3034">
            <v>10018818</v>
          </cell>
          <cell r="C3034" t="str">
            <v>B-64973</v>
          </cell>
          <cell r="D3034">
            <v>71</v>
          </cell>
        </row>
        <row r="3035">
          <cell r="B3035">
            <v>10019152</v>
          </cell>
          <cell r="C3035" t="str">
            <v>B-06476</v>
          </cell>
          <cell r="D3035">
            <v>71</v>
          </cell>
        </row>
        <row r="3036">
          <cell r="B3036">
            <v>10018173</v>
          </cell>
          <cell r="C3036" t="str">
            <v>D-06236</v>
          </cell>
          <cell r="D3036">
            <v>71</v>
          </cell>
        </row>
        <row r="3037">
          <cell r="B3037">
            <v>10018910</v>
          </cell>
          <cell r="C3037" t="str">
            <v>B-64870</v>
          </cell>
          <cell r="D3037">
            <v>72</v>
          </cell>
        </row>
        <row r="3038">
          <cell r="B3038">
            <v>10018345</v>
          </cell>
          <cell r="C3038" t="str">
            <v>D-06529</v>
          </cell>
          <cell r="D3038">
            <v>72</v>
          </cell>
        </row>
        <row r="3039">
          <cell r="B3039">
            <v>10018908</v>
          </cell>
          <cell r="C3039" t="str">
            <v>B-64858</v>
          </cell>
          <cell r="D3039">
            <v>72</v>
          </cell>
        </row>
        <row r="3040">
          <cell r="B3040">
            <v>10018273</v>
          </cell>
          <cell r="C3040" t="str">
            <v>D-64353</v>
          </cell>
          <cell r="D3040">
            <v>72</v>
          </cell>
        </row>
        <row r="3041">
          <cell r="B3041">
            <v>10018451</v>
          </cell>
          <cell r="C3041" t="str">
            <v>D-64331</v>
          </cell>
          <cell r="D3041">
            <v>72</v>
          </cell>
        </row>
        <row r="3042">
          <cell r="B3042">
            <v>10018449</v>
          </cell>
          <cell r="C3042" t="str">
            <v>D-64319</v>
          </cell>
          <cell r="D3042">
            <v>72</v>
          </cell>
        </row>
        <row r="3043">
          <cell r="B3043">
            <v>10019598</v>
          </cell>
          <cell r="C3043" t="str">
            <v>D-06638</v>
          </cell>
          <cell r="D3043">
            <v>72</v>
          </cell>
        </row>
        <row r="3044">
          <cell r="B3044">
            <v>10018341</v>
          </cell>
          <cell r="C3044" t="str">
            <v>D-06448</v>
          </cell>
          <cell r="D3044">
            <v>72</v>
          </cell>
        </row>
        <row r="3045">
          <cell r="B3045">
            <v>10019980</v>
          </cell>
          <cell r="C3045" t="str">
            <v>D-06410</v>
          </cell>
          <cell r="D3045">
            <v>72</v>
          </cell>
        </row>
        <row r="3046">
          <cell r="B3046">
            <v>10018737</v>
          </cell>
          <cell r="C3046" t="str">
            <v>D-64303</v>
          </cell>
          <cell r="D3046">
            <v>72</v>
          </cell>
        </row>
        <row r="3047">
          <cell r="B3047">
            <v>10018858</v>
          </cell>
          <cell r="C3047" t="str">
            <v>D-64294</v>
          </cell>
          <cell r="D3047">
            <v>72</v>
          </cell>
        </row>
        <row r="3048">
          <cell r="B3048">
            <v>10018326</v>
          </cell>
          <cell r="C3048" t="str">
            <v>D-62848</v>
          </cell>
          <cell r="D3048">
            <v>72</v>
          </cell>
        </row>
        <row r="3049">
          <cell r="B3049">
            <v>10018475</v>
          </cell>
          <cell r="C3049" t="str">
            <v>B-65523</v>
          </cell>
          <cell r="D3049">
            <v>72</v>
          </cell>
        </row>
        <row r="3050">
          <cell r="B3050">
            <v>10018535</v>
          </cell>
          <cell r="C3050" t="str">
            <v>188088-1</v>
          </cell>
          <cell r="D3050">
            <v>72</v>
          </cell>
        </row>
        <row r="3051">
          <cell r="B3051">
            <v>10018980</v>
          </cell>
          <cell r="C3051" t="str">
            <v>D-63270</v>
          </cell>
          <cell r="D3051">
            <v>72</v>
          </cell>
        </row>
        <row r="3052">
          <cell r="B3052">
            <v>10018976</v>
          </cell>
          <cell r="C3052" t="str">
            <v>D-63286</v>
          </cell>
          <cell r="D3052">
            <v>72</v>
          </cell>
        </row>
        <row r="3053">
          <cell r="B3053">
            <v>10018336</v>
          </cell>
          <cell r="C3053" t="str">
            <v>D-06301</v>
          </cell>
          <cell r="D3053">
            <v>72</v>
          </cell>
        </row>
        <row r="3054">
          <cell r="B3054">
            <v>10018063</v>
          </cell>
          <cell r="C3054" t="str">
            <v>D-06351</v>
          </cell>
          <cell r="D3054">
            <v>72</v>
          </cell>
        </row>
        <row r="3055">
          <cell r="B3055">
            <v>40007395</v>
          </cell>
          <cell r="C3055" t="str">
            <v>181490-7</v>
          </cell>
          <cell r="D3055">
            <v>73</v>
          </cell>
        </row>
        <row r="3056">
          <cell r="B3056">
            <v>40007238</v>
          </cell>
          <cell r="C3056">
            <v>980008607</v>
          </cell>
          <cell r="D3056">
            <v>73</v>
          </cell>
        </row>
        <row r="3057">
          <cell r="B3057">
            <v>40008273</v>
          </cell>
          <cell r="C3057" t="str">
            <v>181118-7</v>
          </cell>
          <cell r="D3057">
            <v>73</v>
          </cell>
        </row>
        <row r="3058">
          <cell r="B3058">
            <v>10018789</v>
          </cell>
          <cell r="C3058">
            <v>980008610</v>
          </cell>
          <cell r="D3058">
            <v>73</v>
          </cell>
        </row>
        <row r="3059">
          <cell r="B3059">
            <v>10019532</v>
          </cell>
          <cell r="C3059">
            <v>980508620</v>
          </cell>
          <cell r="D3059">
            <v>73</v>
          </cell>
        </row>
        <row r="3060">
          <cell r="B3060">
            <v>40008272</v>
          </cell>
          <cell r="C3060" t="str">
            <v>182229-1</v>
          </cell>
          <cell r="D3060">
            <v>73</v>
          </cell>
        </row>
        <row r="3061">
          <cell r="B3061">
            <v>10017888</v>
          </cell>
          <cell r="C3061">
            <v>980008606</v>
          </cell>
          <cell r="D3061">
            <v>73</v>
          </cell>
        </row>
        <row r="3062">
          <cell r="B3062">
            <v>10019333</v>
          </cell>
          <cell r="C3062" t="str">
            <v>D-19021</v>
          </cell>
          <cell r="D3062">
            <v>74</v>
          </cell>
        </row>
        <row r="3063">
          <cell r="B3063">
            <v>10019936</v>
          </cell>
          <cell r="C3063" t="str">
            <v>D-15300</v>
          </cell>
          <cell r="D3063">
            <v>74</v>
          </cell>
        </row>
        <row r="3064">
          <cell r="B3064">
            <v>10019021</v>
          </cell>
          <cell r="C3064" t="str">
            <v>A-80824</v>
          </cell>
          <cell r="D3064">
            <v>74</v>
          </cell>
        </row>
        <row r="3065">
          <cell r="B3065">
            <v>10018205</v>
          </cell>
          <cell r="C3065" t="str">
            <v>A-80787</v>
          </cell>
          <cell r="D3065">
            <v>74</v>
          </cell>
        </row>
        <row r="3066">
          <cell r="B3066">
            <v>10019736</v>
          </cell>
          <cell r="C3066" t="str">
            <v>D-16879</v>
          </cell>
          <cell r="D3066">
            <v>74</v>
          </cell>
        </row>
        <row r="3067">
          <cell r="B3067">
            <v>10018779</v>
          </cell>
          <cell r="C3067" t="str">
            <v>E-13172</v>
          </cell>
          <cell r="D3067">
            <v>74</v>
          </cell>
        </row>
        <row r="3068">
          <cell r="B3068">
            <v>40007353</v>
          </cell>
          <cell r="C3068" t="str">
            <v>D-15285</v>
          </cell>
          <cell r="D3068">
            <v>74</v>
          </cell>
        </row>
        <row r="3069">
          <cell r="B3069">
            <v>10019479</v>
          </cell>
          <cell r="C3069" t="str">
            <v>A-80818</v>
          </cell>
          <cell r="D3069">
            <v>74</v>
          </cell>
        </row>
        <row r="3070">
          <cell r="B3070">
            <v>10019519</v>
          </cell>
          <cell r="C3070" t="str">
            <v>A-80793</v>
          </cell>
          <cell r="D3070">
            <v>74</v>
          </cell>
        </row>
        <row r="3071">
          <cell r="B3071">
            <v>10019742</v>
          </cell>
          <cell r="C3071" t="str">
            <v>A-80802</v>
          </cell>
          <cell r="D3071">
            <v>74</v>
          </cell>
        </row>
        <row r="3072">
          <cell r="B3072">
            <v>10043840</v>
          </cell>
          <cell r="C3072" t="str">
            <v>A-59601</v>
          </cell>
          <cell r="D3072">
            <v>75</v>
          </cell>
        </row>
        <row r="3073">
          <cell r="B3073">
            <v>10018332</v>
          </cell>
          <cell r="C3073" t="str">
            <v>D-47519</v>
          </cell>
          <cell r="D3073">
            <v>75</v>
          </cell>
        </row>
        <row r="3074">
          <cell r="B3074">
            <v>10019181</v>
          </cell>
          <cell r="C3074" t="str">
            <v>D-49030</v>
          </cell>
          <cell r="D3074">
            <v>75</v>
          </cell>
        </row>
        <row r="3075">
          <cell r="B3075">
            <v>10019185</v>
          </cell>
          <cell r="C3075" t="str">
            <v>D-49052</v>
          </cell>
          <cell r="D3075">
            <v>75</v>
          </cell>
        </row>
        <row r="3076">
          <cell r="B3076">
            <v>10019188</v>
          </cell>
          <cell r="C3076" t="str">
            <v>D-49345</v>
          </cell>
          <cell r="D3076">
            <v>75</v>
          </cell>
        </row>
        <row r="3077">
          <cell r="B3077">
            <v>10019077</v>
          </cell>
          <cell r="C3077" t="str">
            <v>A-49585</v>
          </cell>
          <cell r="D3077">
            <v>75</v>
          </cell>
        </row>
        <row r="3078">
          <cell r="B3078">
            <v>40006463</v>
          </cell>
          <cell r="C3078" t="str">
            <v>B-49719</v>
          </cell>
          <cell r="D3078">
            <v>75</v>
          </cell>
        </row>
        <row r="3079">
          <cell r="B3079">
            <v>10019183</v>
          </cell>
          <cell r="C3079" t="str">
            <v>D-49373</v>
          </cell>
          <cell r="D3079">
            <v>75</v>
          </cell>
        </row>
        <row r="3080">
          <cell r="B3080">
            <v>10019187</v>
          </cell>
          <cell r="C3080" t="str">
            <v>D-49264</v>
          </cell>
          <cell r="D3080">
            <v>75</v>
          </cell>
        </row>
        <row r="3081">
          <cell r="B3081">
            <v>10019764</v>
          </cell>
          <cell r="C3081" t="str">
            <v>A-49579</v>
          </cell>
          <cell r="D3081">
            <v>75</v>
          </cell>
        </row>
        <row r="3082">
          <cell r="B3082">
            <v>10019444</v>
          </cell>
          <cell r="C3082" t="str">
            <v>A-49600</v>
          </cell>
          <cell r="D3082">
            <v>75</v>
          </cell>
        </row>
        <row r="3083">
          <cell r="B3083">
            <v>10019076</v>
          </cell>
          <cell r="C3083" t="str">
            <v>A-49563</v>
          </cell>
          <cell r="D3083">
            <v>75</v>
          </cell>
        </row>
        <row r="3084">
          <cell r="B3084">
            <v>10044097</v>
          </cell>
          <cell r="C3084" t="str">
            <v>A-59570</v>
          </cell>
          <cell r="D3084">
            <v>76</v>
          </cell>
        </row>
        <row r="3085">
          <cell r="B3085">
            <v>10039112</v>
          </cell>
          <cell r="C3085" t="str">
            <v>B-68410</v>
          </cell>
          <cell r="D3085">
            <v>76</v>
          </cell>
        </row>
        <row r="3086">
          <cell r="B3086">
            <v>10019206</v>
          </cell>
          <cell r="C3086" t="str">
            <v>B-21303</v>
          </cell>
          <cell r="D3086">
            <v>76</v>
          </cell>
        </row>
        <row r="3087">
          <cell r="B3087">
            <v>10018161</v>
          </cell>
          <cell r="C3087" t="str">
            <v>D-17273</v>
          </cell>
          <cell r="D3087">
            <v>76</v>
          </cell>
        </row>
        <row r="3088">
          <cell r="B3088">
            <v>10018619</v>
          </cell>
          <cell r="C3088" t="str">
            <v>D-17192</v>
          </cell>
          <cell r="D3088">
            <v>76</v>
          </cell>
        </row>
        <row r="3089">
          <cell r="B3089">
            <v>10018308</v>
          </cell>
          <cell r="C3089" t="str">
            <v>D-17463</v>
          </cell>
          <cell r="D3089">
            <v>76</v>
          </cell>
        </row>
        <row r="3090">
          <cell r="B3090">
            <v>10019376</v>
          </cell>
          <cell r="C3090" t="str">
            <v>D-17186</v>
          </cell>
          <cell r="D3090">
            <v>76</v>
          </cell>
        </row>
        <row r="3091">
          <cell r="B3091">
            <v>10019372</v>
          </cell>
          <cell r="C3091" t="str">
            <v>D-17114</v>
          </cell>
          <cell r="D3091">
            <v>76</v>
          </cell>
        </row>
        <row r="3092">
          <cell r="B3092">
            <v>10019164</v>
          </cell>
          <cell r="C3092">
            <v>134.41499999999999</v>
          </cell>
          <cell r="D3092">
            <v>76</v>
          </cell>
        </row>
        <row r="3093">
          <cell r="B3093">
            <v>40007061</v>
          </cell>
          <cell r="C3093" t="str">
            <v>D-17784</v>
          </cell>
          <cell r="D3093">
            <v>76</v>
          </cell>
        </row>
        <row r="3094">
          <cell r="B3094">
            <v>10018229</v>
          </cell>
          <cell r="C3094" t="str">
            <v>B-20024</v>
          </cell>
          <cell r="D3094">
            <v>76</v>
          </cell>
        </row>
        <row r="3095">
          <cell r="B3095">
            <v>10018844</v>
          </cell>
          <cell r="C3095" t="str">
            <v>E-03567</v>
          </cell>
          <cell r="D3095">
            <v>76</v>
          </cell>
        </row>
        <row r="3096">
          <cell r="B3096">
            <v>10018306</v>
          </cell>
          <cell r="C3096" t="str">
            <v>D-17429</v>
          </cell>
          <cell r="D3096">
            <v>76</v>
          </cell>
        </row>
        <row r="3097">
          <cell r="B3097">
            <v>10019038</v>
          </cell>
          <cell r="C3097" t="str">
            <v>B-22931</v>
          </cell>
          <cell r="D3097">
            <v>76</v>
          </cell>
        </row>
        <row r="3098">
          <cell r="B3098">
            <v>10018419</v>
          </cell>
          <cell r="C3098" t="str">
            <v>D-62810</v>
          </cell>
          <cell r="D3098">
            <v>76</v>
          </cell>
        </row>
        <row r="3099">
          <cell r="B3099">
            <v>10018689</v>
          </cell>
          <cell r="C3099" t="str">
            <v>E-12354</v>
          </cell>
          <cell r="D3099">
            <v>76</v>
          </cell>
        </row>
        <row r="3100">
          <cell r="B3100">
            <v>10039111</v>
          </cell>
          <cell r="C3100" t="str">
            <v>E-02375</v>
          </cell>
          <cell r="D3100">
            <v>76</v>
          </cell>
        </row>
        <row r="3101">
          <cell r="B3101">
            <v>10018782</v>
          </cell>
          <cell r="C3101" t="str">
            <v>B-04329</v>
          </cell>
          <cell r="D3101">
            <v>77</v>
          </cell>
        </row>
        <row r="3102">
          <cell r="B3102">
            <v>10018673</v>
          </cell>
          <cell r="C3102" t="str">
            <v>B-04391</v>
          </cell>
          <cell r="D3102">
            <v>77</v>
          </cell>
        </row>
        <row r="3103">
          <cell r="B3103">
            <v>10018319</v>
          </cell>
          <cell r="C3103" t="str">
            <v>B-04307</v>
          </cell>
          <cell r="D3103">
            <v>77</v>
          </cell>
        </row>
        <row r="3104">
          <cell r="B3104">
            <v>10019590</v>
          </cell>
          <cell r="C3104" t="str">
            <v>D-08682</v>
          </cell>
          <cell r="D3104">
            <v>77</v>
          </cell>
        </row>
        <row r="3105">
          <cell r="B3105">
            <v>10019819</v>
          </cell>
          <cell r="C3105" t="str">
            <v>D-08707</v>
          </cell>
          <cell r="D3105">
            <v>77</v>
          </cell>
        </row>
        <row r="3106">
          <cell r="B3106">
            <v>10019756</v>
          </cell>
          <cell r="C3106" t="str">
            <v>D-08735</v>
          </cell>
          <cell r="D3106">
            <v>77</v>
          </cell>
        </row>
        <row r="3107">
          <cell r="B3107">
            <v>10019835</v>
          </cell>
          <cell r="C3107" t="str">
            <v>D-08470</v>
          </cell>
          <cell r="D3107">
            <v>77</v>
          </cell>
        </row>
        <row r="3108">
          <cell r="B3108">
            <v>10019201</v>
          </cell>
          <cell r="C3108" t="str">
            <v>D-08034</v>
          </cell>
          <cell r="D3108">
            <v>77</v>
          </cell>
        </row>
        <row r="3109">
          <cell r="B3109">
            <v>10019939</v>
          </cell>
          <cell r="C3109" t="str">
            <v>D-08713</v>
          </cell>
          <cell r="D3109">
            <v>77</v>
          </cell>
        </row>
        <row r="3110">
          <cell r="B3110">
            <v>40007068</v>
          </cell>
          <cell r="C3110" t="str">
            <v>D-08729</v>
          </cell>
          <cell r="D3110">
            <v>77</v>
          </cell>
        </row>
        <row r="3111">
          <cell r="B3111">
            <v>40007411</v>
          </cell>
          <cell r="C3111" t="str">
            <v>A-83951</v>
          </cell>
          <cell r="D3111">
            <v>77</v>
          </cell>
        </row>
        <row r="3112">
          <cell r="B3112">
            <v>10018674</v>
          </cell>
          <cell r="C3112" t="str">
            <v>B-04503</v>
          </cell>
          <cell r="D3112">
            <v>78</v>
          </cell>
        </row>
        <row r="3113">
          <cell r="B3113">
            <v>10018830</v>
          </cell>
          <cell r="C3113" t="str">
            <v>D-09787</v>
          </cell>
          <cell r="D3113">
            <v>78</v>
          </cell>
        </row>
        <row r="3114">
          <cell r="B3114">
            <v>10019621</v>
          </cell>
          <cell r="C3114" t="str">
            <v>D-09547</v>
          </cell>
          <cell r="D3114">
            <v>78</v>
          </cell>
        </row>
        <row r="3115">
          <cell r="B3115">
            <v>40007249</v>
          </cell>
          <cell r="C3115" t="str">
            <v>D-09173</v>
          </cell>
          <cell r="D3115">
            <v>78</v>
          </cell>
        </row>
        <row r="3116">
          <cell r="B3116">
            <v>10019158</v>
          </cell>
          <cell r="C3116" t="str">
            <v>D-09444</v>
          </cell>
          <cell r="D3116">
            <v>78</v>
          </cell>
        </row>
        <row r="3117">
          <cell r="B3117">
            <v>10019317</v>
          </cell>
          <cell r="C3117" t="str">
            <v>D-09260</v>
          </cell>
          <cell r="D3117">
            <v>78</v>
          </cell>
        </row>
        <row r="3118">
          <cell r="B3118">
            <v>10019123</v>
          </cell>
          <cell r="C3118" t="str">
            <v>D-09422</v>
          </cell>
          <cell r="D3118">
            <v>78</v>
          </cell>
        </row>
        <row r="3119">
          <cell r="B3119">
            <v>10019516</v>
          </cell>
          <cell r="C3119" t="str">
            <v>D-09313</v>
          </cell>
          <cell r="D3119">
            <v>78</v>
          </cell>
        </row>
        <row r="3120">
          <cell r="B3120">
            <v>10019521</v>
          </cell>
          <cell r="C3120" t="str">
            <v>D-09167</v>
          </cell>
          <cell r="D3120">
            <v>78</v>
          </cell>
        </row>
        <row r="3121">
          <cell r="B3121">
            <v>10018829</v>
          </cell>
          <cell r="C3121" t="str">
            <v>D-09743</v>
          </cell>
          <cell r="D3121">
            <v>78</v>
          </cell>
        </row>
        <row r="3122">
          <cell r="B3122">
            <v>10019580</v>
          </cell>
          <cell r="C3122" t="str">
            <v>D-09709</v>
          </cell>
          <cell r="D3122">
            <v>78</v>
          </cell>
        </row>
        <row r="3123">
          <cell r="B3123">
            <v>10018825</v>
          </cell>
          <cell r="C3123" t="str">
            <v>D-09684</v>
          </cell>
          <cell r="D3123">
            <v>78</v>
          </cell>
        </row>
        <row r="3124">
          <cell r="B3124">
            <v>10018824</v>
          </cell>
          <cell r="C3124" t="str">
            <v>D-09678</v>
          </cell>
          <cell r="D3124">
            <v>78</v>
          </cell>
        </row>
        <row r="3125">
          <cell r="B3125">
            <v>10018826</v>
          </cell>
          <cell r="C3125" t="str">
            <v>D-09690</v>
          </cell>
          <cell r="D3125">
            <v>78</v>
          </cell>
        </row>
        <row r="3126">
          <cell r="B3126">
            <v>10018827</v>
          </cell>
          <cell r="C3126" t="str">
            <v>D-09715</v>
          </cell>
          <cell r="D3126">
            <v>78</v>
          </cell>
        </row>
        <row r="3127">
          <cell r="B3127">
            <v>10020023</v>
          </cell>
          <cell r="C3127" t="str">
            <v>D-09329</v>
          </cell>
          <cell r="D3127">
            <v>78</v>
          </cell>
        </row>
        <row r="3128">
          <cell r="B3128">
            <v>10018032</v>
          </cell>
          <cell r="C3128" t="str">
            <v>D-09385</v>
          </cell>
          <cell r="D3128">
            <v>78</v>
          </cell>
        </row>
        <row r="3129">
          <cell r="B3129">
            <v>10040636</v>
          </cell>
          <cell r="C3129" t="str">
            <v>F-00055</v>
          </cell>
          <cell r="D3129">
            <v>78</v>
          </cell>
        </row>
        <row r="3130">
          <cell r="B3130">
            <v>10040632</v>
          </cell>
          <cell r="C3130" t="str">
            <v>F-31838</v>
          </cell>
          <cell r="D3130">
            <v>78</v>
          </cell>
        </row>
        <row r="3131">
          <cell r="B3131">
            <v>10018267</v>
          </cell>
          <cell r="C3131" t="str">
            <v>191G24-0</v>
          </cell>
          <cell r="D3131">
            <v>79</v>
          </cell>
        </row>
        <row r="3132">
          <cell r="B3132">
            <v>10018312</v>
          </cell>
          <cell r="C3132" t="str">
            <v>191G26-6</v>
          </cell>
          <cell r="D3132">
            <v>79</v>
          </cell>
        </row>
        <row r="3133">
          <cell r="B3133">
            <v>10018455</v>
          </cell>
          <cell r="C3133" t="str">
            <v>191G25-8</v>
          </cell>
          <cell r="D3133">
            <v>79</v>
          </cell>
        </row>
        <row r="3134">
          <cell r="B3134">
            <v>10018796</v>
          </cell>
          <cell r="C3134">
            <v>445060451</v>
          </cell>
          <cell r="D3134">
            <v>79</v>
          </cell>
        </row>
        <row r="3135">
          <cell r="B3135">
            <v>10019735</v>
          </cell>
          <cell r="C3135" t="str">
            <v>341650-5</v>
          </cell>
          <cell r="D3135">
            <v>79</v>
          </cell>
        </row>
        <row r="3136">
          <cell r="B3136">
            <v>10018310</v>
          </cell>
          <cell r="C3136" t="str">
            <v>165695-7</v>
          </cell>
          <cell r="D3136">
            <v>79</v>
          </cell>
        </row>
        <row r="3137">
          <cell r="B3137">
            <v>10018184</v>
          </cell>
          <cell r="C3137">
            <v>445060455</v>
          </cell>
          <cell r="D3137">
            <v>79</v>
          </cell>
        </row>
        <row r="3138">
          <cell r="B3138">
            <v>10018223</v>
          </cell>
          <cell r="C3138">
            <v>445050655</v>
          </cell>
          <cell r="D3138">
            <v>79</v>
          </cell>
        </row>
        <row r="3139">
          <cell r="B3139">
            <v>10019627</v>
          </cell>
          <cell r="C3139">
            <v>445050455</v>
          </cell>
          <cell r="D3139">
            <v>79</v>
          </cell>
        </row>
        <row r="3140">
          <cell r="B3140">
            <v>40005916</v>
          </cell>
          <cell r="C3140">
            <v>445045651</v>
          </cell>
          <cell r="D3140">
            <v>79</v>
          </cell>
        </row>
        <row r="3141">
          <cell r="B3141">
            <v>10019539</v>
          </cell>
          <cell r="C3141" t="str">
            <v>A-24642</v>
          </cell>
          <cell r="D3141">
            <v>80</v>
          </cell>
        </row>
        <row r="3142">
          <cell r="B3142">
            <v>10019203</v>
          </cell>
          <cell r="C3142" t="str">
            <v>B-28983</v>
          </cell>
          <cell r="D3142">
            <v>80</v>
          </cell>
        </row>
        <row r="3143">
          <cell r="B3143">
            <v>10018358</v>
          </cell>
          <cell r="C3143" t="str">
            <v>D-26602</v>
          </cell>
          <cell r="D3143">
            <v>80</v>
          </cell>
        </row>
        <row r="3144">
          <cell r="B3144">
            <v>10018346</v>
          </cell>
          <cell r="C3144" t="str">
            <v>B-26652</v>
          </cell>
          <cell r="D3144">
            <v>80</v>
          </cell>
        </row>
        <row r="3145">
          <cell r="B3145">
            <v>10018347</v>
          </cell>
          <cell r="C3145" t="str">
            <v>B-26668</v>
          </cell>
          <cell r="D3145">
            <v>80</v>
          </cell>
        </row>
        <row r="3146">
          <cell r="B3146">
            <v>10018354</v>
          </cell>
          <cell r="C3146" t="str">
            <v>B-26755</v>
          </cell>
          <cell r="D3146">
            <v>80</v>
          </cell>
        </row>
        <row r="3147">
          <cell r="B3147">
            <v>10018364</v>
          </cell>
          <cell r="C3147" t="str">
            <v>B-26836</v>
          </cell>
          <cell r="D3147">
            <v>80</v>
          </cell>
        </row>
        <row r="3148">
          <cell r="B3148">
            <v>10019202</v>
          </cell>
          <cell r="C3148" t="str">
            <v>B-28961</v>
          </cell>
          <cell r="D3148">
            <v>80</v>
          </cell>
        </row>
        <row r="3149">
          <cell r="B3149">
            <v>10019313</v>
          </cell>
          <cell r="C3149" t="str">
            <v>D-26303</v>
          </cell>
          <cell r="D3149">
            <v>80</v>
          </cell>
        </row>
        <row r="3150">
          <cell r="B3150">
            <v>10018774</v>
          </cell>
          <cell r="C3150" t="str">
            <v>D-20719</v>
          </cell>
          <cell r="D3150">
            <v>80</v>
          </cell>
        </row>
        <row r="3151">
          <cell r="B3151">
            <v>10018203</v>
          </cell>
          <cell r="C3151" t="str">
            <v>D-20703</v>
          </cell>
          <cell r="D3151">
            <v>80</v>
          </cell>
        </row>
        <row r="3152">
          <cell r="B3152">
            <v>10019758</v>
          </cell>
          <cell r="C3152" t="str">
            <v>D-25616</v>
          </cell>
          <cell r="D3152">
            <v>80</v>
          </cell>
        </row>
        <row r="3153">
          <cell r="B3153">
            <v>10019553</v>
          </cell>
          <cell r="C3153" t="str">
            <v>D-16972</v>
          </cell>
          <cell r="D3153">
            <v>81</v>
          </cell>
        </row>
        <row r="3154">
          <cell r="B3154">
            <v>10019208</v>
          </cell>
          <cell r="C3154" t="str">
            <v>B-16673</v>
          </cell>
          <cell r="D3154">
            <v>81</v>
          </cell>
        </row>
        <row r="3155">
          <cell r="B3155">
            <v>10019209</v>
          </cell>
          <cell r="C3155" t="str">
            <v>B-16695</v>
          </cell>
          <cell r="D3155">
            <v>81</v>
          </cell>
        </row>
        <row r="3156">
          <cell r="B3156">
            <v>10019207</v>
          </cell>
          <cell r="C3156" t="str">
            <v>B-16667</v>
          </cell>
          <cell r="D3156">
            <v>81</v>
          </cell>
        </row>
        <row r="3157">
          <cell r="B3157">
            <v>10019136</v>
          </cell>
          <cell r="C3157" t="str">
            <v>B-16689</v>
          </cell>
          <cell r="D3157">
            <v>81</v>
          </cell>
        </row>
        <row r="3158">
          <cell r="B3158">
            <v>10018100</v>
          </cell>
          <cell r="C3158" t="str">
            <v>B-40559</v>
          </cell>
          <cell r="D3158">
            <v>81</v>
          </cell>
        </row>
        <row r="3159">
          <cell r="B3159">
            <v>10018549</v>
          </cell>
          <cell r="C3159" t="str">
            <v>D-17603</v>
          </cell>
          <cell r="D3159">
            <v>81</v>
          </cell>
        </row>
        <row r="3160">
          <cell r="B3160">
            <v>10019063</v>
          </cell>
          <cell r="C3160" t="str">
            <v>D-18873</v>
          </cell>
          <cell r="D3160">
            <v>81</v>
          </cell>
        </row>
        <row r="3161">
          <cell r="B3161">
            <v>10019552</v>
          </cell>
          <cell r="C3161" t="str">
            <v>D-16988</v>
          </cell>
          <cell r="D3161">
            <v>81</v>
          </cell>
        </row>
        <row r="3162">
          <cell r="B3162">
            <v>10018302</v>
          </cell>
          <cell r="C3162" t="str">
            <v>D-16667</v>
          </cell>
          <cell r="D3162">
            <v>81</v>
          </cell>
        </row>
        <row r="3163">
          <cell r="B3163">
            <v>10018300</v>
          </cell>
          <cell r="C3163" t="str">
            <v>D-16645</v>
          </cell>
          <cell r="D3163">
            <v>81</v>
          </cell>
        </row>
        <row r="3164">
          <cell r="B3164">
            <v>10018304</v>
          </cell>
          <cell r="C3164" t="str">
            <v>D-16689</v>
          </cell>
          <cell r="D3164">
            <v>81</v>
          </cell>
        </row>
        <row r="3165">
          <cell r="B3165">
            <v>10019669</v>
          </cell>
          <cell r="C3165" t="str">
            <v>D-14093</v>
          </cell>
          <cell r="D3165">
            <v>82</v>
          </cell>
        </row>
        <row r="3166">
          <cell r="B3166">
            <v>10019518</v>
          </cell>
          <cell r="C3166" t="str">
            <v>D-15388</v>
          </cell>
          <cell r="D3166">
            <v>82</v>
          </cell>
        </row>
        <row r="3167">
          <cell r="B3167">
            <v>40007410</v>
          </cell>
          <cell r="C3167" t="str">
            <v>153489-2</v>
          </cell>
          <cell r="D3167">
            <v>82</v>
          </cell>
        </row>
        <row r="3168">
          <cell r="B3168">
            <v>40006575</v>
          </cell>
          <cell r="C3168" t="str">
            <v>158237-4</v>
          </cell>
          <cell r="D3168">
            <v>82</v>
          </cell>
        </row>
        <row r="3169">
          <cell r="B3169">
            <v>10019718</v>
          </cell>
          <cell r="C3169" t="str">
            <v>D-15512</v>
          </cell>
          <cell r="D3169">
            <v>82</v>
          </cell>
        </row>
        <row r="3170">
          <cell r="B3170">
            <v>10019972</v>
          </cell>
          <cell r="C3170" t="str">
            <v>152492-0</v>
          </cell>
          <cell r="D3170">
            <v>82</v>
          </cell>
        </row>
        <row r="3171">
          <cell r="B3171">
            <v>10018566</v>
          </cell>
          <cell r="C3171" t="str">
            <v>D-15609</v>
          </cell>
          <cell r="D3171">
            <v>82</v>
          </cell>
        </row>
        <row r="3172">
          <cell r="B3172">
            <v>40006101</v>
          </cell>
          <cell r="C3172" t="str">
            <v>A-50120</v>
          </cell>
          <cell r="D3172">
            <v>82</v>
          </cell>
        </row>
        <row r="3173">
          <cell r="B3173">
            <v>10019396</v>
          </cell>
          <cell r="C3173" t="str">
            <v>164367-1</v>
          </cell>
          <cell r="D3173">
            <v>82</v>
          </cell>
        </row>
        <row r="3174">
          <cell r="B3174">
            <v>40010520</v>
          </cell>
          <cell r="C3174" t="str">
            <v>GM00001714</v>
          </cell>
          <cell r="D3174">
            <v>82</v>
          </cell>
        </row>
        <row r="3175">
          <cell r="B3175">
            <v>10029927</v>
          </cell>
          <cell r="C3175" t="str">
            <v>E-14744</v>
          </cell>
          <cell r="D3175">
            <v>82</v>
          </cell>
        </row>
        <row r="3176">
          <cell r="B3176">
            <v>10018845</v>
          </cell>
          <cell r="C3176" t="str">
            <v>E-14336</v>
          </cell>
          <cell r="D3176">
            <v>82</v>
          </cell>
        </row>
        <row r="3177">
          <cell r="B3177">
            <v>10018551</v>
          </cell>
          <cell r="C3177" t="str">
            <v>D-15584</v>
          </cell>
          <cell r="D3177">
            <v>82</v>
          </cell>
        </row>
        <row r="3178">
          <cell r="B3178">
            <v>40007337</v>
          </cell>
          <cell r="C3178" t="str">
            <v>A-15051</v>
          </cell>
          <cell r="D3178">
            <v>82</v>
          </cell>
        </row>
        <row r="3179">
          <cell r="B3179">
            <v>40007565</v>
          </cell>
          <cell r="C3179" t="str">
            <v>164095-8</v>
          </cell>
          <cell r="D3179">
            <v>82</v>
          </cell>
        </row>
        <row r="3180">
          <cell r="B3180">
            <v>40007956</v>
          </cell>
          <cell r="C3180" t="str">
            <v>TP00000111</v>
          </cell>
          <cell r="D3180">
            <v>82</v>
          </cell>
        </row>
        <row r="3181">
          <cell r="B3181">
            <v>10018454</v>
          </cell>
          <cell r="C3181" t="str">
            <v>E-14227</v>
          </cell>
          <cell r="D3181">
            <v>82</v>
          </cell>
        </row>
        <row r="3182">
          <cell r="B3182">
            <v>10018431</v>
          </cell>
          <cell r="C3182" t="str">
            <v>E-14772</v>
          </cell>
          <cell r="D3182">
            <v>82</v>
          </cell>
        </row>
        <row r="3183">
          <cell r="B3183">
            <v>40008211</v>
          </cell>
          <cell r="C3183" t="str">
            <v>158324-9</v>
          </cell>
          <cell r="D3183">
            <v>82</v>
          </cell>
        </row>
        <row r="3184">
          <cell r="B3184">
            <v>10017893</v>
          </cell>
          <cell r="C3184" t="str">
            <v>E-14532</v>
          </cell>
          <cell r="D3184">
            <v>82</v>
          </cell>
        </row>
        <row r="3185">
          <cell r="B3185">
            <v>10018456</v>
          </cell>
          <cell r="C3185" t="str">
            <v>E-14233</v>
          </cell>
          <cell r="D3185">
            <v>82</v>
          </cell>
        </row>
        <row r="3186">
          <cell r="B3186">
            <v>10029926</v>
          </cell>
          <cell r="C3186" t="str">
            <v>E-14548</v>
          </cell>
          <cell r="D3186">
            <v>82</v>
          </cell>
        </row>
        <row r="3187">
          <cell r="B3187">
            <v>10019094</v>
          </cell>
          <cell r="C3187" t="str">
            <v>D-24088</v>
          </cell>
          <cell r="D3187">
            <v>83</v>
          </cell>
        </row>
        <row r="3188">
          <cell r="B3188">
            <v>10018195</v>
          </cell>
          <cell r="C3188" t="str">
            <v>D-29555</v>
          </cell>
          <cell r="D3188">
            <v>83</v>
          </cell>
        </row>
        <row r="3189">
          <cell r="B3189">
            <v>10018133</v>
          </cell>
          <cell r="C3189" t="str">
            <v>D-24125</v>
          </cell>
          <cell r="D3189">
            <v>83</v>
          </cell>
        </row>
        <row r="3190">
          <cell r="B3190">
            <v>10018026</v>
          </cell>
          <cell r="C3190" t="str">
            <v>D-24131</v>
          </cell>
          <cell r="D3190">
            <v>83</v>
          </cell>
        </row>
        <row r="3191">
          <cell r="B3191">
            <v>10019395</v>
          </cell>
          <cell r="C3191" t="str">
            <v>B-30586</v>
          </cell>
          <cell r="D3191">
            <v>83</v>
          </cell>
        </row>
        <row r="3192">
          <cell r="B3192">
            <v>10018298</v>
          </cell>
          <cell r="C3192" t="str">
            <v>D-36077</v>
          </cell>
          <cell r="D3192">
            <v>83</v>
          </cell>
        </row>
        <row r="3193">
          <cell r="B3193">
            <v>10018307</v>
          </cell>
          <cell r="C3193" t="str">
            <v>D-36108</v>
          </cell>
          <cell r="D3193">
            <v>83</v>
          </cell>
        </row>
        <row r="3194">
          <cell r="B3194">
            <v>10019501</v>
          </cell>
          <cell r="C3194" t="str">
            <v>D-37378</v>
          </cell>
          <cell r="D3194">
            <v>83</v>
          </cell>
        </row>
        <row r="3195">
          <cell r="B3195">
            <v>10019583</v>
          </cell>
          <cell r="C3195" t="str">
            <v>343411-9</v>
          </cell>
          <cell r="D3195">
            <v>83</v>
          </cell>
        </row>
        <row r="3196">
          <cell r="B3196">
            <v>10019053</v>
          </cell>
          <cell r="C3196" t="str">
            <v>D-33875</v>
          </cell>
          <cell r="D3196">
            <v>83</v>
          </cell>
        </row>
        <row r="3197">
          <cell r="B3197">
            <v>10018122</v>
          </cell>
          <cell r="C3197" t="str">
            <v>D-30514</v>
          </cell>
          <cell r="D3197">
            <v>83</v>
          </cell>
        </row>
        <row r="3198">
          <cell r="B3198">
            <v>10018523</v>
          </cell>
          <cell r="C3198" t="str">
            <v>D-36712</v>
          </cell>
          <cell r="D3198">
            <v>83</v>
          </cell>
        </row>
        <row r="3199">
          <cell r="B3199">
            <v>10019727</v>
          </cell>
          <cell r="C3199" t="str">
            <v>A-32415</v>
          </cell>
          <cell r="D3199">
            <v>83</v>
          </cell>
        </row>
        <row r="3200">
          <cell r="B3200">
            <v>10019807</v>
          </cell>
          <cell r="C3200" t="str">
            <v>D-30106</v>
          </cell>
          <cell r="D3200">
            <v>83</v>
          </cell>
        </row>
        <row r="3201">
          <cell r="B3201">
            <v>10018294</v>
          </cell>
          <cell r="C3201" t="str">
            <v>D-36055</v>
          </cell>
          <cell r="D3201">
            <v>83</v>
          </cell>
        </row>
        <row r="3202">
          <cell r="B3202">
            <v>10018305</v>
          </cell>
          <cell r="C3202" t="str">
            <v>D-36099</v>
          </cell>
          <cell r="D3202">
            <v>83</v>
          </cell>
        </row>
        <row r="3203">
          <cell r="B3203">
            <v>10018974</v>
          </cell>
          <cell r="C3203">
            <v>1235</v>
          </cell>
          <cell r="D3203">
            <v>84</v>
          </cell>
        </row>
        <row r="3204">
          <cell r="B3204">
            <v>10019504</v>
          </cell>
          <cell r="C3204" t="str">
            <v>BL1430</v>
          </cell>
          <cell r="D3204">
            <v>84</v>
          </cell>
        </row>
        <row r="3205">
          <cell r="B3205">
            <v>10019044</v>
          </cell>
          <cell r="C3205" t="str">
            <v>BL1016</v>
          </cell>
          <cell r="D3205">
            <v>84</v>
          </cell>
        </row>
        <row r="3206">
          <cell r="B3206">
            <v>10018160</v>
          </cell>
          <cell r="C3206" t="str">
            <v>197599-5</v>
          </cell>
          <cell r="D3206">
            <v>84</v>
          </cell>
        </row>
        <row r="3207">
          <cell r="B3207">
            <v>10018065</v>
          </cell>
          <cell r="C3207" t="str">
            <v>197396-9</v>
          </cell>
          <cell r="D3207">
            <v>84</v>
          </cell>
        </row>
        <row r="3208">
          <cell r="B3208">
            <v>10018157</v>
          </cell>
          <cell r="C3208" t="str">
            <v>197280-8</v>
          </cell>
          <cell r="D3208">
            <v>84</v>
          </cell>
        </row>
        <row r="3209">
          <cell r="B3209">
            <v>10018950</v>
          </cell>
          <cell r="C3209">
            <v>9135</v>
          </cell>
          <cell r="D3209">
            <v>84</v>
          </cell>
        </row>
        <row r="3210">
          <cell r="B3210">
            <v>10018960</v>
          </cell>
          <cell r="C3210" t="str">
            <v>198192-8</v>
          </cell>
          <cell r="D3210">
            <v>85</v>
          </cell>
        </row>
        <row r="3211">
          <cell r="B3211">
            <v>10019887</v>
          </cell>
          <cell r="C3211">
            <v>9100</v>
          </cell>
          <cell r="D3211">
            <v>85</v>
          </cell>
        </row>
        <row r="3212">
          <cell r="B3212">
            <v>10019941</v>
          </cell>
          <cell r="C3212" t="str">
            <v>192536-4</v>
          </cell>
          <cell r="D3212">
            <v>85</v>
          </cell>
        </row>
        <row r="3213">
          <cell r="B3213">
            <v>40007042</v>
          </cell>
          <cell r="C3213">
            <v>9050</v>
          </cell>
          <cell r="D3213">
            <v>85</v>
          </cell>
        </row>
        <row r="3214">
          <cell r="B3214">
            <v>40007058</v>
          </cell>
          <cell r="C3214" t="str">
            <v>193941-8</v>
          </cell>
          <cell r="D3214">
            <v>85</v>
          </cell>
        </row>
        <row r="3215">
          <cell r="B3215">
            <v>10018670</v>
          </cell>
          <cell r="C3215">
            <v>7034</v>
          </cell>
          <cell r="D3215">
            <v>85</v>
          </cell>
        </row>
        <row r="3216">
          <cell r="B3216">
            <v>40007049</v>
          </cell>
          <cell r="C3216" t="str">
            <v>DC1414</v>
          </cell>
          <cell r="D3216">
            <v>85</v>
          </cell>
        </row>
        <row r="3217">
          <cell r="B3217">
            <v>10018638</v>
          </cell>
          <cell r="C3217" t="str">
            <v>197422-4</v>
          </cell>
          <cell r="D3217">
            <v>85</v>
          </cell>
        </row>
        <row r="3218">
          <cell r="B3218">
            <v>10018166</v>
          </cell>
          <cell r="C3218" t="str">
            <v>197406-2</v>
          </cell>
          <cell r="D3218">
            <v>85</v>
          </cell>
        </row>
        <row r="3219">
          <cell r="B3219">
            <v>10018905</v>
          </cell>
          <cell r="C3219" t="str">
            <v>BL4040</v>
          </cell>
          <cell r="D3219">
            <v>85</v>
          </cell>
        </row>
        <row r="3220">
          <cell r="B3220">
            <v>40005853</v>
          </cell>
          <cell r="C3220">
            <v>1435</v>
          </cell>
          <cell r="D3220">
            <v>86</v>
          </cell>
        </row>
        <row r="3221">
          <cell r="B3221">
            <v>10018928</v>
          </cell>
          <cell r="C3221" t="str">
            <v>BL1013</v>
          </cell>
          <cell r="D3221">
            <v>86</v>
          </cell>
        </row>
        <row r="3222">
          <cell r="B3222">
            <v>10018907</v>
          </cell>
          <cell r="C3222" t="str">
            <v>BL4025</v>
          </cell>
          <cell r="D3222">
            <v>86</v>
          </cell>
        </row>
        <row r="3223">
          <cell r="B3223">
            <v>10019908</v>
          </cell>
          <cell r="C3223">
            <v>9000</v>
          </cell>
          <cell r="D3223">
            <v>86</v>
          </cell>
        </row>
        <row r="3224">
          <cell r="B3224">
            <v>40007051</v>
          </cell>
          <cell r="C3224">
            <v>7050</v>
          </cell>
          <cell r="D3224">
            <v>86</v>
          </cell>
        </row>
        <row r="3225">
          <cell r="B3225">
            <v>10019213</v>
          </cell>
          <cell r="C3225" t="str">
            <v>DC1851</v>
          </cell>
          <cell r="D3225">
            <v>86</v>
          </cell>
        </row>
        <row r="3226">
          <cell r="B3226">
            <v>10019856</v>
          </cell>
          <cell r="C3226" t="str">
            <v>DC10WA</v>
          </cell>
          <cell r="D3226">
            <v>86</v>
          </cell>
        </row>
        <row r="3227">
          <cell r="B3227">
            <v>10018776</v>
          </cell>
          <cell r="C3227" t="str">
            <v>191L47-8</v>
          </cell>
          <cell r="D3227">
            <v>86</v>
          </cell>
        </row>
        <row r="3228">
          <cell r="B3228">
            <v>10018247</v>
          </cell>
          <cell r="C3228" t="str">
            <v>B-69901</v>
          </cell>
          <cell r="D3228">
            <v>87</v>
          </cell>
        </row>
        <row r="3229">
          <cell r="B3229">
            <v>10018909</v>
          </cell>
          <cell r="C3229" t="str">
            <v>191E08-6</v>
          </cell>
          <cell r="D3229">
            <v>87</v>
          </cell>
        </row>
        <row r="3230">
          <cell r="B3230">
            <v>10019148</v>
          </cell>
          <cell r="C3230" t="str">
            <v>DC10SB</v>
          </cell>
          <cell r="D3230">
            <v>87</v>
          </cell>
        </row>
        <row r="3231">
          <cell r="B3231">
            <v>10018911</v>
          </cell>
          <cell r="C3231" t="str">
            <v>195424-4</v>
          </cell>
          <cell r="D3231">
            <v>87</v>
          </cell>
        </row>
        <row r="3232">
          <cell r="B3232">
            <v>10019291</v>
          </cell>
          <cell r="C3232" t="str">
            <v>DC18RC</v>
          </cell>
          <cell r="D3232">
            <v>87</v>
          </cell>
        </row>
        <row r="3233">
          <cell r="B3233">
            <v>10018281</v>
          </cell>
          <cell r="C3233" t="str">
            <v>B-23151</v>
          </cell>
          <cell r="D3233">
            <v>88</v>
          </cell>
        </row>
        <row r="3234">
          <cell r="B3234">
            <v>10017971</v>
          </cell>
          <cell r="C3234" t="str">
            <v>D-03377</v>
          </cell>
          <cell r="D3234">
            <v>88</v>
          </cell>
        </row>
        <row r="3235">
          <cell r="B3235">
            <v>10019204</v>
          </cell>
          <cell r="C3235" t="str">
            <v>D-41414</v>
          </cell>
          <cell r="D3235">
            <v>88</v>
          </cell>
        </row>
        <row r="3236">
          <cell r="B3236">
            <v>10020034</v>
          </cell>
          <cell r="C3236" t="str">
            <v>A-82351</v>
          </cell>
          <cell r="D3236">
            <v>88</v>
          </cell>
        </row>
        <row r="3237">
          <cell r="B3237">
            <v>10018583</v>
          </cell>
          <cell r="C3237" t="str">
            <v>A-85488</v>
          </cell>
          <cell r="D3237">
            <v>88</v>
          </cell>
        </row>
        <row r="3238">
          <cell r="B3238">
            <v>10019259</v>
          </cell>
          <cell r="C3238" t="str">
            <v>A-81131</v>
          </cell>
          <cell r="D3238">
            <v>89</v>
          </cell>
        </row>
        <row r="3239">
          <cell r="B3239">
            <v>10020018</v>
          </cell>
          <cell r="C3239" t="str">
            <v>A-07185</v>
          </cell>
          <cell r="D3239">
            <v>89</v>
          </cell>
        </row>
        <row r="3240">
          <cell r="B3240">
            <v>10019100</v>
          </cell>
          <cell r="C3240" t="str">
            <v>B-09949</v>
          </cell>
          <cell r="D3240">
            <v>89</v>
          </cell>
        </row>
        <row r="3241">
          <cell r="B3241">
            <v>10018145</v>
          </cell>
          <cell r="C3241" t="str">
            <v>A-84090</v>
          </cell>
          <cell r="D3241">
            <v>89</v>
          </cell>
        </row>
        <row r="3242">
          <cell r="B3242">
            <v>10020015</v>
          </cell>
          <cell r="C3242" t="str">
            <v>T-01210</v>
          </cell>
          <cell r="D3242">
            <v>89</v>
          </cell>
        </row>
        <row r="3243">
          <cell r="B3243">
            <v>10019075</v>
          </cell>
          <cell r="C3243" t="str">
            <v>A-84040</v>
          </cell>
          <cell r="D3243">
            <v>89</v>
          </cell>
        </row>
        <row r="3244">
          <cell r="B3244">
            <v>10018279</v>
          </cell>
          <cell r="C3244" t="str">
            <v>D-19037</v>
          </cell>
          <cell r="D3244">
            <v>89</v>
          </cell>
        </row>
        <row r="3245">
          <cell r="B3245">
            <v>10020031</v>
          </cell>
          <cell r="C3245" t="str">
            <v>P-67885</v>
          </cell>
          <cell r="D3245">
            <v>90</v>
          </cell>
        </row>
        <row r="3246">
          <cell r="B3246">
            <v>10019966</v>
          </cell>
          <cell r="C3246" t="str">
            <v>A-81767</v>
          </cell>
          <cell r="D3246">
            <v>90</v>
          </cell>
        </row>
        <row r="3247">
          <cell r="B3247">
            <v>10020033</v>
          </cell>
          <cell r="C3247" t="str">
            <v>A-82557</v>
          </cell>
          <cell r="D3247">
            <v>90</v>
          </cell>
        </row>
        <row r="3248">
          <cell r="B3248">
            <v>10019314</v>
          </cell>
          <cell r="C3248" t="str">
            <v>A-80438</v>
          </cell>
          <cell r="D3248">
            <v>90</v>
          </cell>
        </row>
        <row r="3249">
          <cell r="B3249">
            <v>10020041</v>
          </cell>
          <cell r="C3249" t="str">
            <v>A-81418</v>
          </cell>
          <cell r="D3249">
            <v>90</v>
          </cell>
        </row>
        <row r="3250">
          <cell r="B3250">
            <v>10018277</v>
          </cell>
          <cell r="C3250" t="str">
            <v>B-14607</v>
          </cell>
          <cell r="D3250">
            <v>90</v>
          </cell>
        </row>
        <row r="3251">
          <cell r="B3251">
            <v>10036232</v>
          </cell>
          <cell r="C3251" t="str">
            <v>E-12924</v>
          </cell>
          <cell r="D3251">
            <v>96</v>
          </cell>
        </row>
        <row r="3252">
          <cell r="B3252">
            <v>10018819</v>
          </cell>
          <cell r="C3252" t="str">
            <v>B-69892</v>
          </cell>
          <cell r="D3252">
            <v>91</v>
          </cell>
        </row>
        <row r="3253">
          <cell r="B3253">
            <v>10018533</v>
          </cell>
          <cell r="C3253" t="str">
            <v>D-29066</v>
          </cell>
          <cell r="D3253">
            <v>91</v>
          </cell>
        </row>
        <row r="3254">
          <cell r="B3254">
            <v>10018529</v>
          </cell>
          <cell r="C3254" t="str">
            <v>B-62022</v>
          </cell>
          <cell r="D3254">
            <v>91</v>
          </cell>
        </row>
        <row r="3255">
          <cell r="B3255">
            <v>10019212</v>
          </cell>
          <cell r="C3255" t="str">
            <v>A-81402</v>
          </cell>
          <cell r="D3255">
            <v>91</v>
          </cell>
        </row>
        <row r="3256">
          <cell r="B3256">
            <v>10017969</v>
          </cell>
          <cell r="C3256" t="str">
            <v>D-50522</v>
          </cell>
          <cell r="D3256">
            <v>91</v>
          </cell>
        </row>
        <row r="3257">
          <cell r="B3257">
            <v>10019137</v>
          </cell>
          <cell r="C3257" t="str">
            <v>B-16994</v>
          </cell>
          <cell r="D3257">
            <v>92</v>
          </cell>
        </row>
        <row r="3258">
          <cell r="B3258">
            <v>10018847</v>
          </cell>
          <cell r="C3258" t="str">
            <v>E-15671</v>
          </cell>
          <cell r="D3258">
            <v>92</v>
          </cell>
        </row>
        <row r="3259">
          <cell r="B3259">
            <v>10041622</v>
          </cell>
          <cell r="C3259" t="str">
            <v>D-62240</v>
          </cell>
          <cell r="D3259">
            <v>92</v>
          </cell>
        </row>
        <row r="3260">
          <cell r="B3260">
            <v>10018255</v>
          </cell>
          <cell r="C3260" t="str">
            <v>A-84121</v>
          </cell>
          <cell r="D3260">
            <v>92</v>
          </cell>
        </row>
        <row r="3261">
          <cell r="B3261">
            <v>10018416</v>
          </cell>
          <cell r="C3261" t="str">
            <v>D-65414</v>
          </cell>
          <cell r="D3261">
            <v>92</v>
          </cell>
        </row>
        <row r="3262">
          <cell r="B3262">
            <v>10018517</v>
          </cell>
          <cell r="C3262" t="str">
            <v>D-59156</v>
          </cell>
          <cell r="D3262">
            <v>92</v>
          </cell>
        </row>
        <row r="3263">
          <cell r="B3263">
            <v>10018846</v>
          </cell>
          <cell r="C3263" t="str">
            <v>E-15665</v>
          </cell>
          <cell r="D3263">
            <v>92</v>
          </cell>
        </row>
        <row r="3264">
          <cell r="B3264">
            <v>10017887</v>
          </cell>
          <cell r="C3264" t="str">
            <v>D-50550</v>
          </cell>
          <cell r="D3264">
            <v>92</v>
          </cell>
        </row>
        <row r="3265">
          <cell r="B3265">
            <v>10020040</v>
          </cell>
          <cell r="C3265" t="str">
            <v>A-81561</v>
          </cell>
          <cell r="D3265">
            <v>92</v>
          </cell>
        </row>
        <row r="3266">
          <cell r="B3266">
            <v>10020025</v>
          </cell>
          <cell r="C3266" t="str">
            <v>A-81505</v>
          </cell>
          <cell r="D3266">
            <v>93</v>
          </cell>
        </row>
        <row r="3267">
          <cell r="B3267">
            <v>10019482</v>
          </cell>
          <cell r="C3267" t="str">
            <v>A-83696</v>
          </cell>
          <cell r="D3267">
            <v>93</v>
          </cell>
        </row>
        <row r="3268">
          <cell r="B3268">
            <v>10018541</v>
          </cell>
          <cell r="C3268" t="str">
            <v>A-86038</v>
          </cell>
          <cell r="D3268">
            <v>93</v>
          </cell>
        </row>
        <row r="3269">
          <cell r="B3269">
            <v>10018739</v>
          </cell>
          <cell r="C3269" t="str">
            <v>B-54237</v>
          </cell>
          <cell r="D3269">
            <v>93</v>
          </cell>
        </row>
        <row r="3270">
          <cell r="B3270">
            <v>10018417</v>
          </cell>
          <cell r="C3270" t="str">
            <v>B-17142</v>
          </cell>
          <cell r="D3270">
            <v>93</v>
          </cell>
        </row>
        <row r="3271">
          <cell r="B3271">
            <v>10036229</v>
          </cell>
          <cell r="C3271" t="str">
            <v>P-68018</v>
          </cell>
          <cell r="D3271">
            <v>93</v>
          </cell>
        </row>
        <row r="3272">
          <cell r="B3272">
            <v>10019842</v>
          </cell>
          <cell r="C3272" t="str">
            <v>A-83646</v>
          </cell>
          <cell r="D3272">
            <v>93</v>
          </cell>
        </row>
        <row r="3273">
          <cell r="B3273">
            <v>10018412</v>
          </cell>
          <cell r="C3273" t="str">
            <v>D-63616</v>
          </cell>
          <cell r="D3273">
            <v>94</v>
          </cell>
        </row>
        <row r="3274">
          <cell r="B3274">
            <v>10019527</v>
          </cell>
          <cell r="C3274" t="str">
            <v>A-82476</v>
          </cell>
          <cell r="D3274">
            <v>94</v>
          </cell>
        </row>
        <row r="3275">
          <cell r="B3275">
            <v>10019271</v>
          </cell>
          <cell r="C3275" t="str">
            <v>A-80612</v>
          </cell>
          <cell r="D3275">
            <v>94</v>
          </cell>
        </row>
        <row r="3276">
          <cell r="B3276">
            <v>10020039</v>
          </cell>
          <cell r="C3276" t="str">
            <v>A-89947</v>
          </cell>
          <cell r="D3276">
            <v>94</v>
          </cell>
        </row>
        <row r="3277">
          <cell r="B3277">
            <v>10020026</v>
          </cell>
          <cell r="C3277" t="str">
            <v>A-81430</v>
          </cell>
          <cell r="D3277">
            <v>94</v>
          </cell>
        </row>
        <row r="3278">
          <cell r="B3278">
            <v>10019149</v>
          </cell>
          <cell r="C3278" t="str">
            <v>A-81474</v>
          </cell>
          <cell r="D3278">
            <v>95</v>
          </cell>
        </row>
        <row r="3279">
          <cell r="B3279">
            <v>10018280</v>
          </cell>
          <cell r="C3279" t="str">
            <v>D-50500</v>
          </cell>
          <cell r="D3279">
            <v>88</v>
          </cell>
        </row>
        <row r="3280">
          <cell r="B3280">
            <v>10020028</v>
          </cell>
          <cell r="C3280" t="str">
            <v>A-82105</v>
          </cell>
          <cell r="D3280">
            <v>95</v>
          </cell>
        </row>
        <row r="3281">
          <cell r="B3281">
            <v>10020035</v>
          </cell>
          <cell r="C3281" t="str">
            <v>A-81614</v>
          </cell>
          <cell r="D3281">
            <v>95</v>
          </cell>
        </row>
        <row r="3282">
          <cell r="B3282">
            <v>10020042</v>
          </cell>
          <cell r="C3282" t="str">
            <v>A-82292</v>
          </cell>
          <cell r="D3282">
            <v>95</v>
          </cell>
        </row>
        <row r="3283">
          <cell r="B3283">
            <v>10018531</v>
          </cell>
          <cell r="C3283" t="str">
            <v>P-67957</v>
          </cell>
          <cell r="D3283">
            <v>96</v>
          </cell>
        </row>
        <row r="3284">
          <cell r="B3284">
            <v>10018611</v>
          </cell>
          <cell r="C3284" t="str">
            <v>B-56487</v>
          </cell>
          <cell r="D3284">
            <v>96</v>
          </cell>
        </row>
        <row r="3285">
          <cell r="B3285">
            <v>10018547</v>
          </cell>
          <cell r="C3285" t="str">
            <v>A-86044</v>
          </cell>
          <cell r="D3285">
            <v>96</v>
          </cell>
        </row>
        <row r="3286">
          <cell r="B3286">
            <v>10018615</v>
          </cell>
          <cell r="C3286" t="str">
            <v>B-57364</v>
          </cell>
          <cell r="D3286">
            <v>96</v>
          </cell>
        </row>
        <row r="3287">
          <cell r="B3287">
            <v>10018801</v>
          </cell>
          <cell r="C3287" t="str">
            <v>B-07440</v>
          </cell>
          <cell r="D3287">
            <v>96</v>
          </cell>
        </row>
        <row r="3288">
          <cell r="B3288">
            <v>10018607</v>
          </cell>
          <cell r="C3288" t="str">
            <v>B-53285</v>
          </cell>
          <cell r="D3288">
            <v>96</v>
          </cell>
        </row>
        <row r="3289">
          <cell r="B3289">
            <v>10041623</v>
          </cell>
          <cell r="C3289" t="str">
            <v>B-67452</v>
          </cell>
          <cell r="D3289">
            <v>96</v>
          </cell>
        </row>
        <row r="3290">
          <cell r="B3290">
            <v>10020027</v>
          </cell>
          <cell r="C3290" t="str">
            <v>A-81898</v>
          </cell>
          <cell r="D3290">
            <v>97</v>
          </cell>
        </row>
        <row r="3291">
          <cell r="B3291">
            <v>10019734</v>
          </cell>
          <cell r="C3291" t="str">
            <v>A-86767</v>
          </cell>
          <cell r="D3291">
            <v>97</v>
          </cell>
        </row>
        <row r="3292">
          <cell r="B3292">
            <v>10018414</v>
          </cell>
          <cell r="C3292" t="str">
            <v>A-83967</v>
          </cell>
          <cell r="D3292">
            <v>97</v>
          </cell>
        </row>
        <row r="3293">
          <cell r="B3293">
            <v>10018545</v>
          </cell>
          <cell r="C3293" t="str">
            <v>D-03349</v>
          </cell>
          <cell r="D3293">
            <v>97</v>
          </cell>
        </row>
        <row r="3294">
          <cell r="B3294">
            <v>10020019</v>
          </cell>
          <cell r="C3294" t="str">
            <v>A-83836</v>
          </cell>
          <cell r="D3294">
            <v>98</v>
          </cell>
        </row>
        <row r="3295">
          <cell r="B3295">
            <v>10018044</v>
          </cell>
          <cell r="C3295" t="str">
            <v>A-81533</v>
          </cell>
          <cell r="D3295">
            <v>98</v>
          </cell>
        </row>
        <row r="3296">
          <cell r="B3296">
            <v>10018069</v>
          </cell>
          <cell r="C3296" t="str">
            <v>A-87242</v>
          </cell>
          <cell r="D3296">
            <v>98</v>
          </cell>
        </row>
        <row r="3297">
          <cell r="B3297">
            <v>10020037</v>
          </cell>
          <cell r="C3297" t="str">
            <v>A-82323</v>
          </cell>
          <cell r="D3297">
            <v>98</v>
          </cell>
        </row>
        <row r="3298">
          <cell r="B3298">
            <v>10019477</v>
          </cell>
          <cell r="C3298" t="str">
            <v>A-02478</v>
          </cell>
          <cell r="D3298">
            <v>98</v>
          </cell>
        </row>
        <row r="3299">
          <cell r="B3299">
            <v>10019458</v>
          </cell>
          <cell r="C3299" t="str">
            <v>D-05181</v>
          </cell>
          <cell r="D3299">
            <v>99</v>
          </cell>
        </row>
        <row r="3300">
          <cell r="B3300">
            <v>10019461</v>
          </cell>
          <cell r="C3300" t="str">
            <v>D-16368</v>
          </cell>
          <cell r="D3300">
            <v>99</v>
          </cell>
        </row>
        <row r="3301">
          <cell r="B3301">
            <v>10020001</v>
          </cell>
          <cell r="C3301" t="str">
            <v>AF301</v>
          </cell>
          <cell r="D3301">
            <v>99</v>
          </cell>
        </row>
        <row r="3302">
          <cell r="B3302">
            <v>10020137</v>
          </cell>
          <cell r="C3302" t="str">
            <v>GA6010</v>
          </cell>
          <cell r="D3302">
            <v>99</v>
          </cell>
        </row>
        <row r="3303">
          <cell r="B3303">
            <v>10019097</v>
          </cell>
          <cell r="C3303" t="str">
            <v>D-47123</v>
          </cell>
          <cell r="D3303">
            <v>99</v>
          </cell>
        </row>
        <row r="3304">
          <cell r="B3304">
            <v>10019320</v>
          </cell>
          <cell r="C3304" t="str">
            <v>D-47139</v>
          </cell>
          <cell r="D3304">
            <v>99</v>
          </cell>
        </row>
        <row r="3305">
          <cell r="B3305">
            <v>10019166</v>
          </cell>
          <cell r="C3305" t="str">
            <v>196521-9</v>
          </cell>
          <cell r="D3305">
            <v>100</v>
          </cell>
        </row>
        <row r="3306">
          <cell r="B3306">
            <v>10018772</v>
          </cell>
          <cell r="C3306" t="str">
            <v>191H13-1</v>
          </cell>
          <cell r="D3306">
            <v>100</v>
          </cell>
        </row>
        <row r="3307">
          <cell r="B3307">
            <v>10018266</v>
          </cell>
          <cell r="C3307" t="str">
            <v>191H11-5</v>
          </cell>
          <cell r="D3307">
            <v>100</v>
          </cell>
        </row>
        <row r="3308">
          <cell r="B3308">
            <v>10019967</v>
          </cell>
          <cell r="C3308">
            <v>528099684</v>
          </cell>
          <cell r="D3308">
            <v>100</v>
          </cell>
        </row>
        <row r="3309">
          <cell r="B3309">
            <v>10020008</v>
          </cell>
          <cell r="C3309">
            <v>523093664</v>
          </cell>
          <cell r="D3309">
            <v>100</v>
          </cell>
        </row>
        <row r="3310">
          <cell r="B3310">
            <v>10018795</v>
          </cell>
          <cell r="C3310" t="str">
            <v>196740-7</v>
          </cell>
          <cell r="D3310">
            <v>100</v>
          </cell>
        </row>
        <row r="3311">
          <cell r="B3311">
            <v>10018269</v>
          </cell>
          <cell r="C3311" t="str">
            <v>191H12-3</v>
          </cell>
          <cell r="D3311">
            <v>100</v>
          </cell>
        </row>
        <row r="3312">
          <cell r="B3312">
            <v>10020012</v>
          </cell>
          <cell r="C3312">
            <v>528099672</v>
          </cell>
          <cell r="D3312">
            <v>100</v>
          </cell>
        </row>
        <row r="3313">
          <cell r="B3313">
            <v>10019008</v>
          </cell>
          <cell r="C3313">
            <v>512484772</v>
          </cell>
          <cell r="D3313">
            <v>100</v>
          </cell>
        </row>
        <row r="3314">
          <cell r="B3314">
            <v>10019947</v>
          </cell>
          <cell r="C3314" t="str">
            <v>794138-8</v>
          </cell>
          <cell r="D3314">
            <v>100</v>
          </cell>
        </row>
        <row r="3315">
          <cell r="B3315">
            <v>10019733</v>
          </cell>
          <cell r="C3315" t="str">
            <v>794133-8</v>
          </cell>
          <cell r="D3315">
            <v>100</v>
          </cell>
        </row>
        <row r="3316">
          <cell r="B3316">
            <v>10020056</v>
          </cell>
          <cell r="C3316" t="str">
            <v>A-80880</v>
          </cell>
          <cell r="D3316">
            <v>101</v>
          </cell>
        </row>
        <row r="3317">
          <cell r="B3317">
            <v>10019020</v>
          </cell>
          <cell r="C3317" t="str">
            <v>D-18758</v>
          </cell>
          <cell r="D3317">
            <v>101</v>
          </cell>
        </row>
        <row r="3318">
          <cell r="B3318">
            <v>10020060</v>
          </cell>
          <cell r="C3318" t="str">
            <v>A-84981</v>
          </cell>
          <cell r="D3318">
            <v>101</v>
          </cell>
        </row>
        <row r="3319">
          <cell r="B3319">
            <v>10018601</v>
          </cell>
          <cell r="C3319" t="str">
            <v>B-52392</v>
          </cell>
          <cell r="D3319">
            <v>101</v>
          </cell>
        </row>
        <row r="3320">
          <cell r="B3320">
            <v>10019035</v>
          </cell>
          <cell r="C3320" t="str">
            <v>B-12201</v>
          </cell>
          <cell r="D3320">
            <v>101</v>
          </cell>
        </row>
        <row r="3321">
          <cell r="B3321">
            <v>10020058</v>
          </cell>
          <cell r="C3321" t="str">
            <v>A-80852</v>
          </cell>
          <cell r="D3321">
            <v>101</v>
          </cell>
        </row>
        <row r="3322">
          <cell r="B3322">
            <v>10018794</v>
          </cell>
          <cell r="C3322" t="str">
            <v>A-80911</v>
          </cell>
          <cell r="D3322">
            <v>101</v>
          </cell>
        </row>
        <row r="3323">
          <cell r="B3323">
            <v>10020057</v>
          </cell>
          <cell r="C3323" t="str">
            <v>A-80933</v>
          </cell>
          <cell r="D3323">
            <v>101</v>
          </cell>
        </row>
        <row r="3324">
          <cell r="B3324">
            <v>10018284</v>
          </cell>
          <cell r="C3324" t="str">
            <v>D-18471</v>
          </cell>
          <cell r="D3324">
            <v>102</v>
          </cell>
        </row>
        <row r="3325">
          <cell r="B3325">
            <v>10019949</v>
          </cell>
          <cell r="C3325" t="str">
            <v>A-88456</v>
          </cell>
          <cell r="D3325">
            <v>102</v>
          </cell>
        </row>
        <row r="3326">
          <cell r="B3326">
            <v>10018831</v>
          </cell>
          <cell r="C3326" t="str">
            <v>D-18487</v>
          </cell>
          <cell r="D3326">
            <v>102</v>
          </cell>
        </row>
        <row r="3327">
          <cell r="B3327">
            <v>10018433</v>
          </cell>
          <cell r="C3327" t="str">
            <v>E-10855</v>
          </cell>
          <cell r="D3327">
            <v>102</v>
          </cell>
        </row>
        <row r="3328">
          <cell r="B3328">
            <v>10018437</v>
          </cell>
          <cell r="C3328" t="str">
            <v>E-03028</v>
          </cell>
          <cell r="D3328">
            <v>102</v>
          </cell>
        </row>
        <row r="3329">
          <cell r="B3329">
            <v>10018850</v>
          </cell>
          <cell r="C3329" t="str">
            <v>E-17108</v>
          </cell>
          <cell r="D3329">
            <v>102</v>
          </cell>
        </row>
        <row r="3330">
          <cell r="B3330">
            <v>10018156</v>
          </cell>
          <cell r="C3330" t="str">
            <v>GA9020</v>
          </cell>
          <cell r="D3330">
            <v>103</v>
          </cell>
        </row>
        <row r="3331">
          <cell r="B3331">
            <v>10013698</v>
          </cell>
          <cell r="C3331" t="str">
            <v>1911B</v>
          </cell>
          <cell r="D3331">
            <v>103</v>
          </cell>
        </row>
        <row r="3332">
          <cell r="B3332">
            <v>10018623</v>
          </cell>
          <cell r="C3332" t="str">
            <v>DUC254Z</v>
          </cell>
          <cell r="D3332">
            <v>103</v>
          </cell>
        </row>
        <row r="3333">
          <cell r="B3333">
            <v>10018503</v>
          </cell>
          <cell r="C3333" t="str">
            <v>DKT360Z</v>
          </cell>
          <cell r="D3333">
            <v>103</v>
          </cell>
        </row>
        <row r="3334">
          <cell r="B3334">
            <v>10019895</v>
          </cell>
          <cell r="C3334" t="str">
            <v>794135-4</v>
          </cell>
          <cell r="D3334">
            <v>104</v>
          </cell>
        </row>
        <row r="3335">
          <cell r="B3335">
            <v>10019912</v>
          </cell>
          <cell r="C3335" t="str">
            <v>794176-0</v>
          </cell>
          <cell r="D3335">
            <v>104</v>
          </cell>
        </row>
        <row r="3336">
          <cell r="B3336">
            <v>10019853</v>
          </cell>
          <cell r="C3336" t="str">
            <v>192629-7</v>
          </cell>
          <cell r="D3336">
            <v>104</v>
          </cell>
        </row>
        <row r="3337">
          <cell r="B3337">
            <v>40007989</v>
          </cell>
          <cell r="C3337" t="str">
            <v>743053-3</v>
          </cell>
          <cell r="D3337">
            <v>104</v>
          </cell>
        </row>
        <row r="3338">
          <cell r="B3338">
            <v>10019312</v>
          </cell>
          <cell r="C3338" t="str">
            <v>D-29860</v>
          </cell>
          <cell r="D3338">
            <v>104</v>
          </cell>
        </row>
        <row r="3339">
          <cell r="B3339">
            <v>10019574</v>
          </cell>
          <cell r="C3339" t="str">
            <v>D-29692</v>
          </cell>
          <cell r="D3339">
            <v>104</v>
          </cell>
        </row>
        <row r="3340">
          <cell r="B3340">
            <v>10019043</v>
          </cell>
          <cell r="C3340" t="str">
            <v>D-29773</v>
          </cell>
          <cell r="D3340">
            <v>104</v>
          </cell>
        </row>
        <row r="3341">
          <cell r="B3341">
            <v>10019373</v>
          </cell>
          <cell r="C3341" t="str">
            <v>D-29826</v>
          </cell>
          <cell r="D3341">
            <v>104</v>
          </cell>
        </row>
        <row r="3342">
          <cell r="B3342">
            <v>10019268</v>
          </cell>
          <cell r="C3342" t="str">
            <v>D-29614</v>
          </cell>
          <cell r="D3342">
            <v>104</v>
          </cell>
        </row>
        <row r="3343">
          <cell r="B3343">
            <v>10018833</v>
          </cell>
          <cell r="C3343" t="str">
            <v>D-29664</v>
          </cell>
          <cell r="D3343">
            <v>104</v>
          </cell>
        </row>
        <row r="3344">
          <cell r="B3344">
            <v>10019575</v>
          </cell>
          <cell r="C3344" t="str">
            <v>D-29739</v>
          </cell>
          <cell r="D3344">
            <v>104</v>
          </cell>
        </row>
        <row r="3345">
          <cell r="B3345">
            <v>10019298</v>
          </cell>
          <cell r="C3345" t="str">
            <v>D-29810</v>
          </cell>
          <cell r="D3345">
            <v>104</v>
          </cell>
        </row>
        <row r="3346">
          <cell r="B3346">
            <v>10019572</v>
          </cell>
          <cell r="C3346" t="str">
            <v>D-29636</v>
          </cell>
          <cell r="D3346">
            <v>104</v>
          </cell>
        </row>
        <row r="3347">
          <cell r="B3347">
            <v>10019573</v>
          </cell>
          <cell r="C3347" t="str">
            <v>D-29658</v>
          </cell>
          <cell r="D3347">
            <v>104</v>
          </cell>
        </row>
        <row r="3348">
          <cell r="B3348">
            <v>10018568</v>
          </cell>
          <cell r="C3348" t="str">
            <v>D-29670</v>
          </cell>
          <cell r="D3348">
            <v>104</v>
          </cell>
        </row>
        <row r="3349">
          <cell r="B3349">
            <v>10018832</v>
          </cell>
          <cell r="C3349" t="str">
            <v>D-29642</v>
          </cell>
          <cell r="D3349">
            <v>104</v>
          </cell>
        </row>
        <row r="3350">
          <cell r="B3350">
            <v>40005555</v>
          </cell>
          <cell r="C3350" t="str">
            <v>D-29620</v>
          </cell>
          <cell r="D3350">
            <v>104</v>
          </cell>
        </row>
        <row r="3351">
          <cell r="B3351">
            <v>10019476</v>
          </cell>
          <cell r="C3351" t="str">
            <v>D-05206</v>
          </cell>
          <cell r="D3351">
            <v>105</v>
          </cell>
        </row>
        <row r="3352">
          <cell r="B3352">
            <v>10019524</v>
          </cell>
          <cell r="C3352" t="str">
            <v>D-05212</v>
          </cell>
          <cell r="D3352">
            <v>105</v>
          </cell>
        </row>
        <row r="3353">
          <cell r="B3353">
            <v>10019754</v>
          </cell>
          <cell r="C3353" t="str">
            <v>D-05197</v>
          </cell>
          <cell r="D3353">
            <v>105</v>
          </cell>
        </row>
        <row r="3354">
          <cell r="B3354">
            <v>10018290</v>
          </cell>
          <cell r="C3354" t="str">
            <v>P-37356</v>
          </cell>
          <cell r="D3354">
            <v>105</v>
          </cell>
        </row>
        <row r="3355">
          <cell r="B3355">
            <v>10018435</v>
          </cell>
          <cell r="C3355" t="str">
            <v>D-59368</v>
          </cell>
          <cell r="D3355">
            <v>105</v>
          </cell>
        </row>
        <row r="3356">
          <cell r="B3356">
            <v>10019707</v>
          </cell>
          <cell r="C3356" t="str">
            <v>794134-6</v>
          </cell>
          <cell r="D3356">
            <v>105</v>
          </cell>
        </row>
        <row r="3357">
          <cell r="B3357">
            <v>10019948</v>
          </cell>
          <cell r="C3357" t="str">
            <v>794137-0</v>
          </cell>
          <cell r="D3357">
            <v>105</v>
          </cell>
        </row>
        <row r="3358">
          <cell r="B3358">
            <v>10019850</v>
          </cell>
          <cell r="C3358" t="str">
            <v>794136-2</v>
          </cell>
          <cell r="D3358">
            <v>105</v>
          </cell>
        </row>
        <row r="3359">
          <cell r="B3359">
            <v>10018292</v>
          </cell>
          <cell r="C3359" t="str">
            <v>P-37328</v>
          </cell>
          <cell r="D3359">
            <v>105</v>
          </cell>
        </row>
        <row r="3360">
          <cell r="B3360">
            <v>40007069</v>
          </cell>
          <cell r="C3360" t="str">
            <v>D-17631</v>
          </cell>
          <cell r="D3360">
            <v>106</v>
          </cell>
        </row>
        <row r="3361">
          <cell r="B3361">
            <v>10019463</v>
          </cell>
          <cell r="C3361" t="str">
            <v>B-10621</v>
          </cell>
          <cell r="D3361">
            <v>106</v>
          </cell>
        </row>
        <row r="3362">
          <cell r="B3362">
            <v>10019917</v>
          </cell>
          <cell r="C3362" t="str">
            <v>D-16863</v>
          </cell>
          <cell r="D3362">
            <v>106</v>
          </cell>
        </row>
        <row r="3363">
          <cell r="B3363">
            <v>10018381</v>
          </cell>
          <cell r="C3363" t="str">
            <v>D-16302</v>
          </cell>
          <cell r="D3363">
            <v>106</v>
          </cell>
        </row>
        <row r="3364">
          <cell r="B3364">
            <v>10019601</v>
          </cell>
          <cell r="C3364" t="str">
            <v>D-17647</v>
          </cell>
          <cell r="D3364">
            <v>106</v>
          </cell>
        </row>
        <row r="3365">
          <cell r="B3365">
            <v>10029925</v>
          </cell>
          <cell r="C3365" t="str">
            <v>D-17544</v>
          </cell>
          <cell r="D3365">
            <v>106</v>
          </cell>
        </row>
        <row r="3366">
          <cell r="B3366">
            <v>10019671</v>
          </cell>
          <cell r="C3366" t="str">
            <v>A-87563</v>
          </cell>
          <cell r="D3366">
            <v>107</v>
          </cell>
        </row>
        <row r="3367">
          <cell r="B3367">
            <v>10018933</v>
          </cell>
          <cell r="C3367" t="str">
            <v>198987-9</v>
          </cell>
          <cell r="D3367">
            <v>107</v>
          </cell>
        </row>
        <row r="3368">
          <cell r="B3368">
            <v>10018207</v>
          </cell>
          <cell r="C3368" t="str">
            <v>B-48832</v>
          </cell>
          <cell r="D3368">
            <v>107</v>
          </cell>
        </row>
        <row r="3369">
          <cell r="B3369">
            <v>10018637</v>
          </cell>
          <cell r="C3369" t="str">
            <v>198991-8</v>
          </cell>
          <cell r="D3369">
            <v>107</v>
          </cell>
        </row>
        <row r="3370">
          <cell r="B3370">
            <v>10018137</v>
          </cell>
          <cell r="C3370" t="str">
            <v>B-46062</v>
          </cell>
          <cell r="D3370">
            <v>107</v>
          </cell>
        </row>
        <row r="3371">
          <cell r="B3371">
            <v>10018578</v>
          </cell>
          <cell r="C3371" t="str">
            <v>195136-9</v>
          </cell>
          <cell r="D3371">
            <v>107</v>
          </cell>
        </row>
        <row r="3372">
          <cell r="B3372">
            <v>10019025</v>
          </cell>
          <cell r="C3372" t="str">
            <v>B-40749</v>
          </cell>
          <cell r="D3372">
            <v>107</v>
          </cell>
        </row>
        <row r="3373">
          <cell r="B3373">
            <v>10019031</v>
          </cell>
          <cell r="C3373" t="str">
            <v>B-40711</v>
          </cell>
          <cell r="D3373">
            <v>107</v>
          </cell>
        </row>
        <row r="3374">
          <cell r="B3374">
            <v>10018669</v>
          </cell>
          <cell r="C3374" t="str">
            <v>A-43670</v>
          </cell>
          <cell r="D3374">
            <v>107</v>
          </cell>
        </row>
        <row r="3375">
          <cell r="B3375">
            <v>10018036</v>
          </cell>
          <cell r="C3375" t="str">
            <v>A-43692</v>
          </cell>
          <cell r="D3375">
            <v>107</v>
          </cell>
        </row>
        <row r="3376">
          <cell r="B3376">
            <v>10030734</v>
          </cell>
          <cell r="C3376" t="str">
            <v>191A76-5</v>
          </cell>
          <cell r="D3376">
            <v>107</v>
          </cell>
        </row>
        <row r="3377">
          <cell r="B3377">
            <v>10019029</v>
          </cell>
          <cell r="C3377" t="str">
            <v>B-40727</v>
          </cell>
          <cell r="D3377">
            <v>107</v>
          </cell>
        </row>
        <row r="3378">
          <cell r="B3378">
            <v>10018139</v>
          </cell>
          <cell r="C3378" t="str">
            <v>B-46078</v>
          </cell>
          <cell r="D3378">
            <v>107</v>
          </cell>
        </row>
        <row r="3379">
          <cell r="B3379">
            <v>10018141</v>
          </cell>
          <cell r="C3379" t="str">
            <v>B-46090</v>
          </cell>
          <cell r="D3379">
            <v>107</v>
          </cell>
        </row>
        <row r="3380">
          <cell r="B3380">
            <v>10018423</v>
          </cell>
          <cell r="C3380" t="str">
            <v>455176-2</v>
          </cell>
          <cell r="D3380">
            <v>107</v>
          </cell>
        </row>
        <row r="3381">
          <cell r="B3381">
            <v>10018596</v>
          </cell>
          <cell r="C3381" t="str">
            <v>D-40135</v>
          </cell>
          <cell r="D3381">
            <v>107</v>
          </cell>
        </row>
        <row r="3382">
          <cell r="B3382">
            <v>10019078</v>
          </cell>
          <cell r="C3382" t="str">
            <v>A-43686</v>
          </cell>
          <cell r="D3382">
            <v>107</v>
          </cell>
        </row>
        <row r="3383">
          <cell r="B3383">
            <v>10018550</v>
          </cell>
          <cell r="C3383" t="str">
            <v>197314-7</v>
          </cell>
          <cell r="D3383">
            <v>107</v>
          </cell>
        </row>
        <row r="3384">
          <cell r="B3384">
            <v>10018569</v>
          </cell>
          <cell r="C3384" t="str">
            <v>D-40191</v>
          </cell>
          <cell r="D3384">
            <v>107</v>
          </cell>
        </row>
        <row r="3385">
          <cell r="B3385">
            <v>10019002</v>
          </cell>
          <cell r="C3385" t="str">
            <v>D-44339</v>
          </cell>
          <cell r="D3385">
            <v>107</v>
          </cell>
        </row>
        <row r="3386">
          <cell r="B3386">
            <v>10019023</v>
          </cell>
          <cell r="C3386" t="str">
            <v>D-44426</v>
          </cell>
          <cell r="D3386">
            <v>107</v>
          </cell>
        </row>
        <row r="3387">
          <cell r="B3387">
            <v>10018539</v>
          </cell>
          <cell r="C3387" t="str">
            <v>D-41408</v>
          </cell>
          <cell r="D3387">
            <v>107</v>
          </cell>
        </row>
        <row r="3388">
          <cell r="B3388">
            <v>10018555</v>
          </cell>
          <cell r="C3388" t="str">
            <v>D-41464</v>
          </cell>
          <cell r="D3388">
            <v>107</v>
          </cell>
        </row>
        <row r="3389">
          <cell r="B3389">
            <v>10018199</v>
          </cell>
          <cell r="C3389" t="str">
            <v>D-42531</v>
          </cell>
          <cell r="D3389">
            <v>107</v>
          </cell>
        </row>
        <row r="3390">
          <cell r="B3390">
            <v>10018418</v>
          </cell>
          <cell r="C3390" t="str">
            <v>D-42640</v>
          </cell>
          <cell r="D3390">
            <v>107</v>
          </cell>
        </row>
        <row r="3391">
          <cell r="B3391">
            <v>10018554</v>
          </cell>
          <cell r="C3391" t="str">
            <v>B-12289</v>
          </cell>
          <cell r="D3391">
            <v>107</v>
          </cell>
        </row>
        <row r="3392">
          <cell r="B3392">
            <v>10018427</v>
          </cell>
          <cell r="C3392" t="str">
            <v>D-62686</v>
          </cell>
          <cell r="D3392">
            <v>107</v>
          </cell>
        </row>
        <row r="3393">
          <cell r="B3393">
            <v>10018835</v>
          </cell>
          <cell r="C3393" t="str">
            <v>D-63476</v>
          </cell>
          <cell r="D3393">
            <v>107</v>
          </cell>
        </row>
        <row r="3394">
          <cell r="B3394">
            <v>10018458</v>
          </cell>
          <cell r="C3394" t="str">
            <v>194419-4</v>
          </cell>
          <cell r="D3394">
            <v>107</v>
          </cell>
        </row>
        <row r="3395">
          <cell r="B3395">
            <v>10018263</v>
          </cell>
          <cell r="C3395" t="str">
            <v>191K30-9</v>
          </cell>
          <cell r="D3395">
            <v>107</v>
          </cell>
        </row>
        <row r="3396">
          <cell r="B3396">
            <v>10019230</v>
          </cell>
          <cell r="C3396" t="str">
            <v>192121-3</v>
          </cell>
          <cell r="D3396">
            <v>107</v>
          </cell>
        </row>
        <row r="3397">
          <cell r="B3397">
            <v>10019739</v>
          </cell>
          <cell r="C3397" t="str">
            <v>191455-1</v>
          </cell>
          <cell r="D3397">
            <v>107</v>
          </cell>
        </row>
        <row r="3398">
          <cell r="B3398">
            <v>40006532</v>
          </cell>
          <cell r="C3398" t="str">
            <v>198885-7</v>
          </cell>
          <cell r="D3398">
            <v>107</v>
          </cell>
        </row>
        <row r="3399">
          <cell r="B3399">
            <v>10039114</v>
          </cell>
          <cell r="C3399" t="str">
            <v>166084-9</v>
          </cell>
          <cell r="D3399">
            <v>108</v>
          </cell>
        </row>
        <row r="3400">
          <cell r="B3400">
            <v>40007174</v>
          </cell>
          <cell r="C3400" t="str">
            <v>418794-7</v>
          </cell>
          <cell r="D3400">
            <v>108</v>
          </cell>
        </row>
        <row r="3401">
          <cell r="B3401">
            <v>10019107</v>
          </cell>
          <cell r="C3401" t="str">
            <v>D-34182</v>
          </cell>
          <cell r="D3401">
            <v>108</v>
          </cell>
        </row>
        <row r="3402">
          <cell r="B3402">
            <v>10019089</v>
          </cell>
          <cell r="C3402" t="str">
            <v>D-34207</v>
          </cell>
          <cell r="D3402">
            <v>108</v>
          </cell>
        </row>
        <row r="3403">
          <cell r="B3403">
            <v>10018248</v>
          </cell>
          <cell r="C3403" t="str">
            <v>D-34235</v>
          </cell>
          <cell r="D3403">
            <v>108</v>
          </cell>
        </row>
        <row r="3404">
          <cell r="B3404">
            <v>10019125</v>
          </cell>
          <cell r="C3404" t="str">
            <v>D-34176</v>
          </cell>
          <cell r="D3404">
            <v>108</v>
          </cell>
        </row>
        <row r="3405">
          <cell r="B3405">
            <v>10019010</v>
          </cell>
          <cell r="C3405" t="str">
            <v>D-34213</v>
          </cell>
          <cell r="D3405">
            <v>108</v>
          </cell>
        </row>
        <row r="3406">
          <cell r="B3406">
            <v>40011242</v>
          </cell>
          <cell r="C3406">
            <v>3640640</v>
          </cell>
          <cell r="D3406">
            <v>108</v>
          </cell>
        </row>
        <row r="3407">
          <cell r="B3407">
            <v>10018598</v>
          </cell>
          <cell r="C3407" t="str">
            <v>B-57679</v>
          </cell>
          <cell r="D3407">
            <v>108</v>
          </cell>
        </row>
        <row r="3408">
          <cell r="B3408">
            <v>40005851</v>
          </cell>
          <cell r="C3408" t="str">
            <v>199579-7</v>
          </cell>
          <cell r="D3408">
            <v>109</v>
          </cell>
        </row>
        <row r="3409">
          <cell r="B3409">
            <v>10018584</v>
          </cell>
          <cell r="C3409" t="str">
            <v>194385-5</v>
          </cell>
          <cell r="D3409">
            <v>109</v>
          </cell>
        </row>
        <row r="3410">
          <cell r="B3410">
            <v>10018067</v>
          </cell>
          <cell r="C3410" t="str">
            <v>A-51904</v>
          </cell>
          <cell r="D3410">
            <v>110</v>
          </cell>
        </row>
        <row r="3411">
          <cell r="B3411">
            <v>10019180</v>
          </cell>
          <cell r="C3411" t="str">
            <v>741016-3</v>
          </cell>
          <cell r="D3411">
            <v>110</v>
          </cell>
        </row>
        <row r="3412">
          <cell r="B3412">
            <v>10019178</v>
          </cell>
          <cell r="C3412" t="str">
            <v>741015-5</v>
          </cell>
          <cell r="D3412">
            <v>110</v>
          </cell>
        </row>
        <row r="3413">
          <cell r="B3413">
            <v>10018209</v>
          </cell>
          <cell r="C3413" t="str">
            <v>B-51904</v>
          </cell>
          <cell r="D3413">
            <v>110</v>
          </cell>
        </row>
        <row r="3414">
          <cell r="B3414">
            <v>10018631</v>
          </cell>
          <cell r="C3414" t="str">
            <v>B-51932</v>
          </cell>
          <cell r="D3414">
            <v>110</v>
          </cell>
        </row>
        <row r="3415">
          <cell r="B3415">
            <v>10018656</v>
          </cell>
          <cell r="C3415" t="str">
            <v>B-51926</v>
          </cell>
          <cell r="D3415">
            <v>110</v>
          </cell>
        </row>
        <row r="3416">
          <cell r="B3416">
            <v>10018175</v>
          </cell>
          <cell r="C3416" t="str">
            <v>B-51976</v>
          </cell>
          <cell r="D3416">
            <v>110</v>
          </cell>
        </row>
        <row r="3417">
          <cell r="B3417">
            <v>10018897</v>
          </cell>
          <cell r="C3417" t="str">
            <v>B-51960</v>
          </cell>
          <cell r="D3417">
            <v>110</v>
          </cell>
        </row>
        <row r="3418">
          <cell r="B3418">
            <v>10030735</v>
          </cell>
          <cell r="C3418" t="str">
            <v>191A78-1</v>
          </cell>
          <cell r="D3418">
            <v>110</v>
          </cell>
        </row>
        <row r="3419">
          <cell r="B3419">
            <v>10019570</v>
          </cell>
          <cell r="C3419" t="str">
            <v>194731-2</v>
          </cell>
          <cell r="D3419">
            <v>110</v>
          </cell>
        </row>
        <row r="3420">
          <cell r="B3420">
            <v>10018102</v>
          </cell>
          <cell r="C3420" t="str">
            <v>193470-1</v>
          </cell>
          <cell r="D3420">
            <v>110</v>
          </cell>
        </row>
        <row r="3421">
          <cell r="B3421">
            <v>10018521</v>
          </cell>
          <cell r="C3421" t="str">
            <v>199232-5</v>
          </cell>
          <cell r="D3421">
            <v>110</v>
          </cell>
        </row>
        <row r="3422">
          <cell r="B3422">
            <v>10018788</v>
          </cell>
          <cell r="C3422" t="str">
            <v>194579-2</v>
          </cell>
          <cell r="D3422">
            <v>110</v>
          </cell>
        </row>
        <row r="3423">
          <cell r="B3423">
            <v>40006295</v>
          </cell>
          <cell r="C3423" t="str">
            <v>B-14124</v>
          </cell>
          <cell r="D3423">
            <v>111</v>
          </cell>
        </row>
        <row r="3424">
          <cell r="B3424">
            <v>10018577</v>
          </cell>
          <cell r="C3424" t="str">
            <v>B-14168</v>
          </cell>
          <cell r="D3424">
            <v>111</v>
          </cell>
        </row>
        <row r="3425">
          <cell r="B3425">
            <v>10029928</v>
          </cell>
          <cell r="C3425" t="str">
            <v>D-44286</v>
          </cell>
          <cell r="D3425">
            <v>111</v>
          </cell>
        </row>
        <row r="3426">
          <cell r="B3426">
            <v>10018784</v>
          </cell>
          <cell r="C3426" t="str">
            <v>D-44292</v>
          </cell>
          <cell r="D3426">
            <v>111</v>
          </cell>
        </row>
        <row r="3427">
          <cell r="B3427">
            <v>10019004</v>
          </cell>
          <cell r="C3427" t="str">
            <v>D-44345</v>
          </cell>
          <cell r="D3427">
            <v>111</v>
          </cell>
        </row>
        <row r="3428">
          <cell r="B3428">
            <v>10017961</v>
          </cell>
          <cell r="C3428" t="str">
            <v>D-42553</v>
          </cell>
          <cell r="D3428">
            <v>111</v>
          </cell>
        </row>
        <row r="3429">
          <cell r="B3429">
            <v>10019950</v>
          </cell>
          <cell r="C3429" t="str">
            <v>A-88478</v>
          </cell>
          <cell r="D3429">
            <v>112</v>
          </cell>
        </row>
        <row r="3430">
          <cell r="B3430">
            <v>10019960</v>
          </cell>
          <cell r="C3430" t="str">
            <v>A-89545</v>
          </cell>
          <cell r="D3430">
            <v>112</v>
          </cell>
        </row>
        <row r="3431">
          <cell r="B3431">
            <v>10018836</v>
          </cell>
          <cell r="C3431" t="str">
            <v>D-65903</v>
          </cell>
          <cell r="D3431">
            <v>113</v>
          </cell>
        </row>
        <row r="3432">
          <cell r="B3432">
            <v>10018271</v>
          </cell>
          <cell r="C3432" t="str">
            <v>D-54162</v>
          </cell>
          <cell r="D3432">
            <v>113</v>
          </cell>
        </row>
        <row r="3433">
          <cell r="B3433">
            <v>10018786</v>
          </cell>
          <cell r="C3433" t="str">
            <v>D-54190</v>
          </cell>
          <cell r="D3433">
            <v>113</v>
          </cell>
        </row>
        <row r="3434">
          <cell r="B3434">
            <v>10018445</v>
          </cell>
          <cell r="C3434" t="str">
            <v>D-54134</v>
          </cell>
          <cell r="D3434">
            <v>113</v>
          </cell>
        </row>
        <row r="3435">
          <cell r="B3435">
            <v>10018537</v>
          </cell>
          <cell r="C3435" t="str">
            <v>D-65894</v>
          </cell>
          <cell r="D3435">
            <v>113</v>
          </cell>
        </row>
        <row r="3436">
          <cell r="B3436">
            <v>10018767</v>
          </cell>
          <cell r="C3436" t="str">
            <v>D-54178</v>
          </cell>
          <cell r="D3436">
            <v>114</v>
          </cell>
        </row>
        <row r="3437">
          <cell r="B3437">
            <v>10019503</v>
          </cell>
          <cell r="C3437" t="str">
            <v>p-43549</v>
          </cell>
          <cell r="D3437">
            <v>114</v>
          </cell>
        </row>
        <row r="3438">
          <cell r="B3438">
            <v>10019510</v>
          </cell>
          <cell r="C3438" t="str">
            <v>P-43577</v>
          </cell>
          <cell r="D3438">
            <v>114</v>
          </cell>
        </row>
        <row r="3439">
          <cell r="B3439">
            <v>10019514</v>
          </cell>
          <cell r="C3439" t="str">
            <v>P-43599</v>
          </cell>
          <cell r="D3439">
            <v>114</v>
          </cell>
        </row>
        <row r="3440">
          <cell r="B3440">
            <v>10018935</v>
          </cell>
          <cell r="C3440" t="str">
            <v>D-65872</v>
          </cell>
          <cell r="D3440">
            <v>114</v>
          </cell>
        </row>
        <row r="3441">
          <cell r="B3441">
            <v>10018778</v>
          </cell>
          <cell r="C3441" t="str">
            <v>D-54209</v>
          </cell>
          <cell r="D3441">
            <v>114</v>
          </cell>
        </row>
        <row r="3442">
          <cell r="B3442">
            <v>10036230</v>
          </cell>
          <cell r="C3442" t="str">
            <v>B-03698</v>
          </cell>
          <cell r="D3442">
            <v>115</v>
          </cell>
        </row>
        <row r="3443">
          <cell r="B3443">
            <v>10018230</v>
          </cell>
          <cell r="C3443" t="str">
            <v>B-51437</v>
          </cell>
          <cell r="D3443">
            <v>115</v>
          </cell>
        </row>
        <row r="3444">
          <cell r="B3444">
            <v>10018234</v>
          </cell>
          <cell r="C3444" t="str">
            <v>B-51471</v>
          </cell>
          <cell r="D3444">
            <v>115</v>
          </cell>
        </row>
        <row r="3445">
          <cell r="B3445">
            <v>10018231</v>
          </cell>
          <cell r="C3445" t="str">
            <v>B-51443</v>
          </cell>
          <cell r="D3445">
            <v>115</v>
          </cell>
        </row>
        <row r="3446">
          <cell r="B3446">
            <v>10018233</v>
          </cell>
          <cell r="C3446" t="str">
            <v>B-51465</v>
          </cell>
          <cell r="D3446">
            <v>115</v>
          </cell>
        </row>
        <row r="3447">
          <cell r="B3447">
            <v>10018235</v>
          </cell>
          <cell r="C3447" t="str">
            <v>B-51487</v>
          </cell>
          <cell r="D3447">
            <v>115</v>
          </cell>
        </row>
        <row r="3448">
          <cell r="B3448">
            <v>10018426</v>
          </cell>
          <cell r="C3448" t="str">
            <v>B-65573</v>
          </cell>
          <cell r="D3448">
            <v>115</v>
          </cell>
        </row>
        <row r="3449">
          <cell r="B3449">
            <v>10017967</v>
          </cell>
          <cell r="C3449" t="str">
            <v>B-31697</v>
          </cell>
          <cell r="D3449">
            <v>116</v>
          </cell>
        </row>
        <row r="3450">
          <cell r="B3450">
            <v>10018848</v>
          </cell>
          <cell r="C3450" t="str">
            <v>E-16841</v>
          </cell>
          <cell r="D3450">
            <v>116</v>
          </cell>
        </row>
        <row r="3451">
          <cell r="B3451">
            <v>10020052</v>
          </cell>
          <cell r="C3451" t="str">
            <v>D-03414</v>
          </cell>
          <cell r="D3451">
            <v>116</v>
          </cell>
        </row>
        <row r="3452">
          <cell r="B3452">
            <v>10017965</v>
          </cell>
          <cell r="C3452" t="str">
            <v>P-67963</v>
          </cell>
          <cell r="D3452">
            <v>116</v>
          </cell>
        </row>
        <row r="3453">
          <cell r="B3453">
            <v>10018543</v>
          </cell>
          <cell r="C3453" t="str">
            <v>D-50538</v>
          </cell>
          <cell r="D3453">
            <v>116</v>
          </cell>
        </row>
        <row r="3454">
          <cell r="B3454">
            <v>10018098</v>
          </cell>
          <cell r="C3454" t="str">
            <v>D-58899</v>
          </cell>
          <cell r="D3454">
            <v>116</v>
          </cell>
        </row>
        <row r="3455">
          <cell r="B3455">
            <v>40008238</v>
          </cell>
          <cell r="C3455" t="str">
            <v>743081-8</v>
          </cell>
          <cell r="D3455">
            <v>116</v>
          </cell>
        </row>
        <row r="3456">
          <cell r="B3456">
            <v>10018780</v>
          </cell>
          <cell r="C3456" t="str">
            <v>D-65822</v>
          </cell>
          <cell r="D3456">
            <v>116</v>
          </cell>
        </row>
        <row r="3457">
          <cell r="B3457">
            <v>10018650</v>
          </cell>
          <cell r="C3457" t="str">
            <v>D-65442</v>
          </cell>
          <cell r="D3457">
            <v>116</v>
          </cell>
        </row>
        <row r="3458">
          <cell r="B3458">
            <v>10041624</v>
          </cell>
          <cell r="C3458" t="str">
            <v>B-17158</v>
          </cell>
          <cell r="D3458">
            <v>116</v>
          </cell>
        </row>
        <row r="3459">
          <cell r="B3459">
            <v>10018617</v>
          </cell>
          <cell r="C3459" t="str">
            <v>B-56530</v>
          </cell>
          <cell r="D3459">
            <v>117</v>
          </cell>
        </row>
        <row r="3460">
          <cell r="B3460">
            <v>10020029</v>
          </cell>
          <cell r="C3460" t="str">
            <v>P-67929</v>
          </cell>
          <cell r="D3460">
            <v>117</v>
          </cell>
        </row>
        <row r="3461">
          <cell r="B3461">
            <v>10018707</v>
          </cell>
          <cell r="C3461" t="str">
            <v>DDF482Z</v>
          </cell>
          <cell r="D3461" t="str">
            <v>OFFICE</v>
          </cell>
        </row>
        <row r="3462">
          <cell r="B3462">
            <v>10018440</v>
          </cell>
          <cell r="C3462" t="str">
            <v>CL106FDSAW</v>
          </cell>
          <cell r="D3462" t="str">
            <v>OFFICE</v>
          </cell>
        </row>
        <row r="3463">
          <cell r="B3463">
            <v>10018973</v>
          </cell>
          <cell r="C3463" t="str">
            <v>DUB186Z</v>
          </cell>
          <cell r="D3463" t="str">
            <v>OFFICE</v>
          </cell>
        </row>
        <row r="3464">
          <cell r="B3464">
            <v>10018970</v>
          </cell>
          <cell r="C3464" t="str">
            <v>191D71-3</v>
          </cell>
          <cell r="D3464" t="str">
            <v>OFFICE</v>
          </cell>
        </row>
        <row r="3465">
          <cell r="B3465">
            <v>10033334</v>
          </cell>
          <cell r="C3465" t="str">
            <v>DHP484Z</v>
          </cell>
          <cell r="D3465" t="str">
            <v>OFFICE</v>
          </cell>
        </row>
        <row r="3466">
          <cell r="B3466">
            <v>10018722</v>
          </cell>
          <cell r="C3466" t="str">
            <v>DHR242Z</v>
          </cell>
          <cell r="D3466" t="str">
            <v>OFFICE</v>
          </cell>
        </row>
        <row r="3467">
          <cell r="B3467">
            <v>10018929</v>
          </cell>
          <cell r="C3467" t="str">
            <v>DTW300Z</v>
          </cell>
          <cell r="D3467" t="str">
            <v>OFFICE</v>
          </cell>
        </row>
        <row r="3468">
          <cell r="B3468">
            <v>10018646</v>
          </cell>
          <cell r="C3468" t="str">
            <v>DBO180Z</v>
          </cell>
          <cell r="D3468" t="str">
            <v>OFFICE</v>
          </cell>
        </row>
        <row r="3469">
          <cell r="B3469">
            <v>10019991</v>
          </cell>
          <cell r="C3469" t="str">
            <v>JN1601</v>
          </cell>
          <cell r="D3469" t="str">
            <v>OFFICE</v>
          </cell>
        </row>
        <row r="3470">
          <cell r="B3470">
            <v>10018672</v>
          </cell>
          <cell r="C3470" t="str">
            <v>DGA406Z</v>
          </cell>
          <cell r="D3470" t="str">
            <v>OFFICE</v>
          </cell>
        </row>
        <row r="3471">
          <cell r="B3471">
            <v>10018713</v>
          </cell>
          <cell r="C3471" t="str">
            <v>DTD154Z</v>
          </cell>
          <cell r="D3471" t="str">
            <v>OFFICE</v>
          </cell>
        </row>
        <row r="3472">
          <cell r="B3472">
            <v>10018136</v>
          </cell>
          <cell r="C3472" t="str">
            <v>JV101DZ</v>
          </cell>
          <cell r="D3472" t="str">
            <v>OFFICE</v>
          </cell>
        </row>
        <row r="3473">
          <cell r="B3473">
            <v>10017942</v>
          </cell>
          <cell r="C3473" t="str">
            <v>GA036GZ</v>
          </cell>
          <cell r="D3473" t="str">
            <v>OFFICE</v>
          </cell>
        </row>
        <row r="3474">
          <cell r="B3474">
            <v>10018751</v>
          </cell>
          <cell r="C3474" t="str">
            <v>DHP486Z</v>
          </cell>
          <cell r="D3474" t="str">
            <v>OFFICE</v>
          </cell>
        </row>
        <row r="3475">
          <cell r="B3475">
            <v>10018699</v>
          </cell>
          <cell r="C3475" t="str">
            <v>DTW190Z</v>
          </cell>
          <cell r="D3475" t="str">
            <v>OFFICE</v>
          </cell>
        </row>
        <row r="3476">
          <cell r="B3476">
            <v>10019142</v>
          </cell>
          <cell r="C3476" t="str">
            <v>DJV182Z</v>
          </cell>
          <cell r="D3476" t="str">
            <v>OFFICE</v>
          </cell>
        </row>
        <row r="3477">
          <cell r="B3477">
            <v>10033336</v>
          </cell>
          <cell r="C3477" t="str">
            <v>DBO380ZJ</v>
          </cell>
          <cell r="D3477" t="str">
            <v>OFFICE</v>
          </cell>
        </row>
        <row r="3478">
          <cell r="B3478">
            <v>10018487</v>
          </cell>
          <cell r="C3478" t="str">
            <v>DHP482Z</v>
          </cell>
          <cell r="D3478" t="str">
            <v>OFFICE</v>
          </cell>
        </row>
        <row r="3479">
          <cell r="B3479">
            <v>10018947</v>
          </cell>
          <cell r="C3479" t="str">
            <v>DKP181Z</v>
          </cell>
          <cell r="D3479" t="str">
            <v>OFFICE</v>
          </cell>
        </row>
        <row r="3480">
          <cell r="B3480">
            <v>10018721</v>
          </cell>
          <cell r="C3480" t="str">
            <v>DHP487Z</v>
          </cell>
          <cell r="D3480" t="str">
            <v>OFFICE</v>
          </cell>
        </row>
        <row r="3481">
          <cell r="B3481">
            <v>10017910</v>
          </cell>
          <cell r="C3481" t="str">
            <v>DHR183Z</v>
          </cell>
          <cell r="D3481" t="str">
            <v>OFFICE</v>
          </cell>
        </row>
        <row r="3482">
          <cell r="B3482">
            <v>10018110</v>
          </cell>
          <cell r="C3482" t="str">
            <v>HP332DSAE</v>
          </cell>
          <cell r="D3482" t="str">
            <v>OFFICE</v>
          </cell>
        </row>
        <row r="3483">
          <cell r="B3483">
            <v>10017897</v>
          </cell>
          <cell r="C3483" t="str">
            <v>DHP484RFE</v>
          </cell>
          <cell r="D3483" t="str">
            <v>OFFICE</v>
          </cell>
        </row>
        <row r="3484">
          <cell r="B3484">
            <v>10018743</v>
          </cell>
          <cell r="C3484" t="str">
            <v>TM3010CX6</v>
          </cell>
          <cell r="D3484" t="str">
            <v>OFFICE</v>
          </cell>
        </row>
        <row r="3485">
          <cell r="B3485">
            <v>10018702</v>
          </cell>
          <cell r="C3485" t="str">
            <v>MP100DZ</v>
          </cell>
          <cell r="D3485" t="str">
            <v>OFFICE</v>
          </cell>
        </row>
        <row r="3486">
          <cell r="B3486">
            <v>10018934</v>
          </cell>
          <cell r="C3486" t="str">
            <v>DF333DSAE</v>
          </cell>
          <cell r="D3486" t="str">
            <v>OFFICE</v>
          </cell>
        </row>
        <row r="3487">
          <cell r="B3487">
            <v>10018963</v>
          </cell>
          <cell r="C3487" t="str">
            <v>HP333DSAE</v>
          </cell>
          <cell r="D3487" t="str">
            <v>OFFICE</v>
          </cell>
        </row>
        <row r="3488">
          <cell r="B3488">
            <v>10019081</v>
          </cell>
          <cell r="C3488" t="str">
            <v>197974-5</v>
          </cell>
          <cell r="D3488" t="str">
            <v>OFFICE</v>
          </cell>
        </row>
        <row r="3489">
          <cell r="B3489">
            <v>10018050</v>
          </cell>
          <cell r="C3489" t="str">
            <v>DTD152RFE</v>
          </cell>
          <cell r="D3489" t="str">
            <v>OFFICE</v>
          </cell>
        </row>
        <row r="3490">
          <cell r="B3490">
            <v>10018153</v>
          </cell>
          <cell r="C3490" t="str">
            <v>DDF482RFE</v>
          </cell>
          <cell r="D3490" t="str">
            <v>OFFICE</v>
          </cell>
        </row>
        <row r="3491">
          <cell r="B3491">
            <v>10018712</v>
          </cell>
          <cell r="C3491" t="str">
            <v>DTD154RTE</v>
          </cell>
          <cell r="D3491" t="str">
            <v>OFFICE</v>
          </cell>
        </row>
        <row r="3492">
          <cell r="B3492">
            <v>10018923</v>
          </cell>
          <cell r="C3492" t="str">
            <v>M0801BX1</v>
          </cell>
          <cell r="D3492" t="str">
            <v>OFFICE</v>
          </cell>
        </row>
        <row r="3493">
          <cell r="B3493">
            <v>10018089</v>
          </cell>
          <cell r="C3493" t="str">
            <v>DTD152RTE</v>
          </cell>
          <cell r="D3493" t="str">
            <v>OFFICE</v>
          </cell>
        </row>
        <row r="3494">
          <cell r="B3494">
            <v>10018945</v>
          </cell>
          <cell r="C3494" t="str">
            <v>DHP453RFX4</v>
          </cell>
          <cell r="D3494" t="str">
            <v>OFFICE</v>
          </cell>
        </row>
        <row r="3495">
          <cell r="B3495">
            <v>10018052</v>
          </cell>
          <cell r="C3495" t="str">
            <v>DHP482RTE</v>
          </cell>
          <cell r="D3495" t="str">
            <v>OFFICE</v>
          </cell>
        </row>
        <row r="3496">
          <cell r="B3496">
            <v>10019356</v>
          </cell>
          <cell r="C3496" t="str">
            <v>JV0600K</v>
          </cell>
          <cell r="D3496" t="str">
            <v>OFFICE</v>
          </cell>
        </row>
        <row r="3497">
          <cell r="B3497">
            <v>10018759</v>
          </cell>
          <cell r="C3497" t="str">
            <v>DLX2131JX7</v>
          </cell>
          <cell r="D3497" t="str">
            <v>OFFICE</v>
          </cell>
        </row>
        <row r="3498">
          <cell r="B3498">
            <v>10019084</v>
          </cell>
          <cell r="C3498" t="str">
            <v>HR2470X5</v>
          </cell>
          <cell r="D3498" t="str">
            <v>OFFICE</v>
          </cell>
        </row>
        <row r="3499">
          <cell r="B3499">
            <v>10019535</v>
          </cell>
          <cell r="C3499" t="str">
            <v>HW102</v>
          </cell>
          <cell r="D3499" t="str">
            <v>OFFICE</v>
          </cell>
        </row>
        <row r="3500">
          <cell r="B3500">
            <v>10013713</v>
          </cell>
          <cell r="C3500" t="str">
            <v>N5900B</v>
          </cell>
          <cell r="D3500" t="str">
            <v>OFFICE</v>
          </cell>
        </row>
        <row r="3501">
          <cell r="B3501">
            <v>10013719</v>
          </cell>
          <cell r="C3501" t="str">
            <v>5008MG</v>
          </cell>
          <cell r="D3501" t="str">
            <v>OFFICE</v>
          </cell>
        </row>
        <row r="3502">
          <cell r="B3502">
            <v>10019051</v>
          </cell>
          <cell r="C3502" t="str">
            <v>LW1401</v>
          </cell>
          <cell r="D3502" t="str">
            <v>OFFICE</v>
          </cell>
        </row>
        <row r="3503">
          <cell r="B3503">
            <v>10018875</v>
          </cell>
          <cell r="C3503" t="str">
            <v>M2401B</v>
          </cell>
          <cell r="D3503" t="str">
            <v>OFFICE</v>
          </cell>
        </row>
        <row r="3504">
          <cell r="B3504">
            <v>10019471</v>
          </cell>
          <cell r="C3504" t="str">
            <v>RT0700CX2</v>
          </cell>
          <cell r="D3504" t="str">
            <v>OFFICE</v>
          </cell>
        </row>
        <row r="3505">
          <cell r="B3505">
            <v>10019121</v>
          </cell>
          <cell r="C3505" t="str">
            <v>UC4051A</v>
          </cell>
          <cell r="D3505" t="str">
            <v>OFFICE</v>
          </cell>
        </row>
        <row r="3506">
          <cell r="B3506">
            <v>10019145</v>
          </cell>
          <cell r="C3506" t="str">
            <v>UC3551A</v>
          </cell>
          <cell r="D3506" t="str">
            <v>STOCK</v>
          </cell>
        </row>
        <row r="3507">
          <cell r="B3507">
            <v>10018999</v>
          </cell>
          <cell r="C3507" t="str">
            <v>HP001GD201</v>
          </cell>
          <cell r="D3507" t="str">
            <v>STOCK</v>
          </cell>
        </row>
        <row r="3508">
          <cell r="B3508">
            <v>10019047</v>
          </cell>
          <cell r="C3508" t="str">
            <v>SP6000J</v>
          </cell>
          <cell r="D3508" t="str">
            <v>STOCK</v>
          </cell>
        </row>
        <row r="3509">
          <cell r="B3509">
            <v>10018518</v>
          </cell>
          <cell r="C3509" t="str">
            <v>SG1251J</v>
          </cell>
          <cell r="D3509" t="str">
            <v>STOCK</v>
          </cell>
        </row>
        <row r="3510">
          <cell r="B3510">
            <v>10018708</v>
          </cell>
          <cell r="C3510" t="str">
            <v>HP002GA201</v>
          </cell>
          <cell r="D3510" t="str">
            <v>STOCK</v>
          </cell>
        </row>
        <row r="3511">
          <cell r="B3511">
            <v>10018992</v>
          </cell>
          <cell r="C3511" t="str">
            <v>DF001GD201</v>
          </cell>
          <cell r="D3511" t="str">
            <v>STOCK</v>
          </cell>
        </row>
        <row r="3512">
          <cell r="B3512">
            <v>10031419</v>
          </cell>
          <cell r="C3512" t="str">
            <v>DF001GM201</v>
          </cell>
          <cell r="D3512" t="str">
            <v>STOCK</v>
          </cell>
        </row>
        <row r="3513">
          <cell r="B3513">
            <v>10018483</v>
          </cell>
          <cell r="C3513" t="str">
            <v>JR3051TK</v>
          </cell>
          <cell r="D3513" t="str">
            <v>STOCK</v>
          </cell>
        </row>
        <row r="3514">
          <cell r="B3514">
            <v>10013680</v>
          </cell>
          <cell r="C3514" t="str">
            <v>HR3200C</v>
          </cell>
          <cell r="D3514" t="str">
            <v>STOCK</v>
          </cell>
        </row>
        <row r="3515">
          <cell r="B3515">
            <v>10018750</v>
          </cell>
          <cell r="C3515" t="str">
            <v>DBO380Z</v>
          </cell>
          <cell r="D3515" t="str">
            <v>STOCK</v>
          </cell>
        </row>
        <row r="3516">
          <cell r="B3516">
            <v>10018590</v>
          </cell>
          <cell r="C3516" t="str">
            <v>DSS610RTE</v>
          </cell>
          <cell r="D3516" t="str">
            <v>STOCK</v>
          </cell>
        </row>
        <row r="3517">
          <cell r="B3517">
            <v>10018995</v>
          </cell>
          <cell r="C3517" t="str">
            <v>DF001GZ</v>
          </cell>
          <cell r="D3517" t="str">
            <v>STOCK</v>
          </cell>
        </row>
        <row r="3518">
          <cell r="B3518">
            <v>10019001</v>
          </cell>
          <cell r="C3518" t="str">
            <v>HP001GZ</v>
          </cell>
          <cell r="D3518" t="str">
            <v>STOCK</v>
          </cell>
        </row>
        <row r="3519">
          <cell r="B3519">
            <v>10032256</v>
          </cell>
          <cell r="C3519" t="str">
            <v>GA9060</v>
          </cell>
          <cell r="D3519" t="str">
            <v>STOCK</v>
          </cell>
        </row>
        <row r="3520">
          <cell r="B3520">
            <v>10018783</v>
          </cell>
          <cell r="C3520" t="str">
            <v>DPO600Z</v>
          </cell>
          <cell r="D3520" t="str">
            <v>STOCK</v>
          </cell>
        </row>
        <row r="3521">
          <cell r="B3521">
            <v>10020136</v>
          </cell>
          <cell r="C3521" t="str">
            <v>GA5010</v>
          </cell>
          <cell r="D3521" t="str">
            <v>STOCK</v>
          </cell>
        </row>
        <row r="3522">
          <cell r="B3522">
            <v>10019308</v>
          </cell>
          <cell r="C3522" t="str">
            <v>GA4040C</v>
          </cell>
          <cell r="D3522">
            <v>103</v>
          </cell>
        </row>
        <row r="3523">
          <cell r="B3523">
            <v>10018653</v>
          </cell>
          <cell r="C3523" t="str">
            <v>DJR183RTE</v>
          </cell>
          <cell r="D3523" t="str">
            <v>STOCK</v>
          </cell>
        </row>
        <row r="3524">
          <cell r="B3524">
            <v>10018913</v>
          </cell>
          <cell r="C3524" t="str">
            <v>DUB185Z</v>
          </cell>
          <cell r="D3524" t="str">
            <v>STOCK</v>
          </cell>
        </row>
        <row r="3525">
          <cell r="B3525">
            <v>10018621</v>
          </cell>
          <cell r="C3525" t="str">
            <v>DHR202RTE</v>
          </cell>
          <cell r="D3525" t="str">
            <v>STOCK</v>
          </cell>
        </row>
        <row r="3526">
          <cell r="B3526">
            <v>10018520</v>
          </cell>
          <cell r="C3526" t="str">
            <v>DJV182RTE</v>
          </cell>
          <cell r="D3526" t="str">
            <v>STOCK</v>
          </cell>
        </row>
        <row r="3527">
          <cell r="B3527">
            <v>10018889</v>
          </cell>
          <cell r="C3527" t="str">
            <v>HR1840J</v>
          </cell>
          <cell r="D3527" t="str">
            <v>STOCK</v>
          </cell>
        </row>
        <row r="3528">
          <cell r="B3528">
            <v>10018693</v>
          </cell>
          <cell r="C3528" t="str">
            <v>HP001GM201</v>
          </cell>
          <cell r="D3528" t="str">
            <v>STOCK</v>
          </cell>
        </row>
        <row r="3529">
          <cell r="B3529">
            <v>10018647</v>
          </cell>
          <cell r="C3529" t="str">
            <v>DCS552Z</v>
          </cell>
          <cell r="D3529" t="str">
            <v>STOCK</v>
          </cell>
        </row>
        <row r="3530">
          <cell r="B3530">
            <v>10018536</v>
          </cell>
          <cell r="C3530" t="str">
            <v>HS301DWAE</v>
          </cell>
          <cell r="D3530" t="str">
            <v>STOCK</v>
          </cell>
        </row>
        <row r="3531">
          <cell r="B3531">
            <v>10018710</v>
          </cell>
          <cell r="C3531" t="str">
            <v>HR3001CJ</v>
          </cell>
          <cell r="D3531" t="str">
            <v>STOCK</v>
          </cell>
        </row>
        <row r="3532">
          <cell r="B3532">
            <v>10018560</v>
          </cell>
          <cell r="C3532" t="str">
            <v>JV101DSAE</v>
          </cell>
          <cell r="D3532" t="str">
            <v>STOCK</v>
          </cell>
        </row>
        <row r="3533">
          <cell r="B3533">
            <v>10018706</v>
          </cell>
          <cell r="C3533" t="str">
            <v>HM0871C</v>
          </cell>
          <cell r="D3533" t="str">
            <v>STOCK</v>
          </cell>
        </row>
        <row r="3534">
          <cell r="B3534">
            <v>10019110</v>
          </cell>
          <cell r="C3534" t="str">
            <v>HM0810A</v>
          </cell>
          <cell r="D3534" t="str">
            <v>STOCK</v>
          </cell>
        </row>
        <row r="3535">
          <cell r="B3535">
            <v>10018220</v>
          </cell>
          <cell r="C3535" t="str">
            <v>DGA406RTE</v>
          </cell>
          <cell r="D3535" t="str">
            <v>STOCK</v>
          </cell>
        </row>
        <row r="3536">
          <cell r="B3536">
            <v>10018170</v>
          </cell>
          <cell r="C3536" t="str">
            <v>DHP482RFX1</v>
          </cell>
          <cell r="D3536" t="str">
            <v>STOCK</v>
          </cell>
        </row>
        <row r="3537">
          <cell r="B3537">
            <v>10018879</v>
          </cell>
          <cell r="C3537" t="str">
            <v>AF506</v>
          </cell>
          <cell r="D3537" t="str">
            <v>STOCK</v>
          </cell>
        </row>
        <row r="3538">
          <cell r="B3538">
            <v>10018115</v>
          </cell>
          <cell r="C3538" t="str">
            <v>DHP484RTE</v>
          </cell>
          <cell r="D3538" t="str">
            <v>STOCK</v>
          </cell>
        </row>
        <row r="3539">
          <cell r="B3539">
            <v>10018428</v>
          </cell>
          <cell r="C3539" t="str">
            <v>DTD153RTE</v>
          </cell>
          <cell r="D3539" t="str">
            <v>STOCK</v>
          </cell>
        </row>
        <row r="3540">
          <cell r="B3540">
            <v>10019132</v>
          </cell>
          <cell r="C3540" t="str">
            <v>HM0870C</v>
          </cell>
          <cell r="D3540" t="str">
            <v>STOCK</v>
          </cell>
        </row>
        <row r="3541">
          <cell r="B3541">
            <v>10013684</v>
          </cell>
          <cell r="C3541" t="str">
            <v>HR2810</v>
          </cell>
          <cell r="D3541" t="str">
            <v>STOCK</v>
          </cell>
        </row>
        <row r="3542">
          <cell r="B3542">
            <v>10019992</v>
          </cell>
          <cell r="C3542" t="str">
            <v>4100NH</v>
          </cell>
          <cell r="D3542" t="str">
            <v>STOCK</v>
          </cell>
        </row>
        <row r="3543">
          <cell r="B3543">
            <v>10018927</v>
          </cell>
          <cell r="C3543" t="str">
            <v>M4100B</v>
          </cell>
          <cell r="D3543" t="str">
            <v>STOCK</v>
          </cell>
        </row>
        <row r="3544">
          <cell r="B3544">
            <v>10019813</v>
          </cell>
          <cell r="C3544" t="str">
            <v>RP0900</v>
          </cell>
          <cell r="D3544" t="str">
            <v>STOCK</v>
          </cell>
        </row>
        <row r="3545">
          <cell r="B3545">
            <v>10019277</v>
          </cell>
          <cell r="C3545" t="str">
            <v>DS4011</v>
          </cell>
          <cell r="D3545" t="str">
            <v>STOCK</v>
          </cell>
        </row>
        <row r="3546">
          <cell r="B3546">
            <v>10018187</v>
          </cell>
          <cell r="C3546" t="str">
            <v>HR2630X3</v>
          </cell>
          <cell r="D3546" t="str">
            <v>STOCK</v>
          </cell>
        </row>
        <row r="3547">
          <cell r="B3547">
            <v>10018695</v>
          </cell>
          <cell r="C3547" t="str">
            <v>DHS660Z</v>
          </cell>
          <cell r="D3547" t="str">
            <v>STOCK</v>
          </cell>
        </row>
        <row r="3548">
          <cell r="B3548">
            <v>10018703</v>
          </cell>
          <cell r="C3548" t="str">
            <v>DSS610Z</v>
          </cell>
          <cell r="D3548" t="str">
            <v>STOCK</v>
          </cell>
        </row>
        <row r="3549">
          <cell r="B3549">
            <v>10018742</v>
          </cell>
          <cell r="C3549" t="str">
            <v>M4001B</v>
          </cell>
          <cell r="D3549" t="str">
            <v>STOCK</v>
          </cell>
        </row>
        <row r="3550">
          <cell r="B3550">
            <v>10031417</v>
          </cell>
          <cell r="C3550" t="str">
            <v>DHP489RTJ</v>
          </cell>
          <cell r="D3550" t="str">
            <v>STOCK</v>
          </cell>
        </row>
        <row r="3551">
          <cell r="B3551">
            <v>10018716</v>
          </cell>
          <cell r="C3551" t="str">
            <v>HR166DSAE1</v>
          </cell>
          <cell r="D3551" t="str">
            <v>STOCK</v>
          </cell>
        </row>
        <row r="3552">
          <cell r="B3552">
            <v>10017898</v>
          </cell>
          <cell r="C3552" t="str">
            <v>DHP487RFJ</v>
          </cell>
          <cell r="D3552" t="str">
            <v>STOCK</v>
          </cell>
        </row>
        <row r="3553">
          <cell r="B3553">
            <v>10018720</v>
          </cell>
          <cell r="C3553" t="str">
            <v>DHP486RTE</v>
          </cell>
          <cell r="D3553" t="str">
            <v>STOCK</v>
          </cell>
        </row>
        <row r="3554">
          <cell r="B3554">
            <v>10018701</v>
          </cell>
          <cell r="C3554" t="str">
            <v>DTD157RTJ</v>
          </cell>
          <cell r="D3554" t="str">
            <v>STOCK</v>
          </cell>
        </row>
        <row r="3555">
          <cell r="B3555">
            <v>10018442</v>
          </cell>
          <cell r="C3555" t="str">
            <v>DTD172RFJ</v>
          </cell>
          <cell r="D3555" t="str">
            <v>STOCK</v>
          </cell>
        </row>
        <row r="3556">
          <cell r="B3556">
            <v>10013716</v>
          </cell>
          <cell r="C3556" t="str">
            <v>5806B</v>
          </cell>
          <cell r="D3556" t="str">
            <v>STOCK</v>
          </cell>
        </row>
        <row r="3557">
          <cell r="B3557">
            <v>10018896</v>
          </cell>
          <cell r="C3557" t="str">
            <v>M5801B</v>
          </cell>
          <cell r="D3557" t="str">
            <v>STOCK</v>
          </cell>
        </row>
        <row r="3558">
          <cell r="B3558">
            <v>10019003</v>
          </cell>
          <cell r="C3558" t="str">
            <v>TD001GD201</v>
          </cell>
          <cell r="D3558" t="str">
            <v>STOCK</v>
          </cell>
        </row>
        <row r="3559">
          <cell r="B3559">
            <v>10018489</v>
          </cell>
          <cell r="C3559" t="str">
            <v>HP002GD201</v>
          </cell>
          <cell r="D3559" t="str">
            <v>STOCK</v>
          </cell>
        </row>
        <row r="3560">
          <cell r="B3560">
            <v>10018705</v>
          </cell>
          <cell r="C3560" t="str">
            <v>HR3011FCJ</v>
          </cell>
          <cell r="D3560" t="str">
            <v>STOCK</v>
          </cell>
        </row>
        <row r="3561">
          <cell r="B3561">
            <v>10019385</v>
          </cell>
          <cell r="C3561" t="str">
            <v>194041-7</v>
          </cell>
          <cell r="D3561" t="str">
            <v>CHUCK</v>
          </cell>
        </row>
        <row r="3562">
          <cell r="B3562">
            <v>40005935</v>
          </cell>
          <cell r="C3562" t="str">
            <v>763238-5</v>
          </cell>
          <cell r="D3562" t="str">
            <v>CHUCK</v>
          </cell>
        </row>
        <row r="3563">
          <cell r="B3563">
            <v>10019851</v>
          </cell>
          <cell r="C3563" t="str">
            <v>763132-1</v>
          </cell>
          <cell r="D3563" t="str">
            <v>CHUCK</v>
          </cell>
        </row>
        <row r="3564">
          <cell r="B3564">
            <v>40007825</v>
          </cell>
          <cell r="C3564" t="str">
            <v>763602-0</v>
          </cell>
          <cell r="D3564" t="str">
            <v>CHUCK</v>
          </cell>
        </row>
        <row r="3565">
          <cell r="B3565">
            <v>10019248</v>
          </cell>
          <cell r="C3565" t="str">
            <v>763187-6</v>
          </cell>
          <cell r="D3565" t="str">
            <v>CHUCK</v>
          </cell>
        </row>
        <row r="3566">
          <cell r="B3566">
            <v>10018368</v>
          </cell>
          <cell r="C3566" t="str">
            <v>763260-2</v>
          </cell>
          <cell r="D3566" t="str">
            <v>CHUCK</v>
          </cell>
        </row>
        <row r="3567">
          <cell r="B3567">
            <v>10019955</v>
          </cell>
          <cell r="C3567" t="str">
            <v>763161-4</v>
          </cell>
          <cell r="D3567" t="str">
            <v>CHUCK</v>
          </cell>
        </row>
        <row r="3568">
          <cell r="B3568">
            <v>10018773</v>
          </cell>
          <cell r="C3568" t="str">
            <v>763252-1</v>
          </cell>
          <cell r="D3568" t="str">
            <v>CHUCK</v>
          </cell>
        </row>
        <row r="3569">
          <cell r="B3569">
            <v>40005702</v>
          </cell>
          <cell r="C3569" t="str">
            <v>766014-6</v>
          </cell>
          <cell r="D3569" t="str">
            <v>CHUCK</v>
          </cell>
        </row>
        <row r="3570">
          <cell r="B3570">
            <v>10019286</v>
          </cell>
          <cell r="C3570" t="str">
            <v>763601-2</v>
          </cell>
          <cell r="D3570" t="str">
            <v>CHUCK</v>
          </cell>
        </row>
        <row r="3571">
          <cell r="B3571">
            <v>40007880</v>
          </cell>
          <cell r="C3571" t="str">
            <v>766002-3</v>
          </cell>
          <cell r="D3571" t="str">
            <v>CHUCK</v>
          </cell>
        </row>
        <row r="3572">
          <cell r="B3572">
            <v>10019969</v>
          </cell>
          <cell r="C3572" t="str">
            <v>763199-9</v>
          </cell>
          <cell r="D3572" t="str">
            <v>CHUCK</v>
          </cell>
        </row>
        <row r="3573">
          <cell r="B3573">
            <v>10019943</v>
          </cell>
          <cell r="C3573" t="str">
            <v>763077-3</v>
          </cell>
          <cell r="D3573" t="str">
            <v>CHUCK</v>
          </cell>
        </row>
        <row r="3574">
          <cell r="B3574">
            <v>10019640</v>
          </cell>
          <cell r="C3574" t="str">
            <v>763623-2</v>
          </cell>
          <cell r="D3574" t="str">
            <v>CHUCK</v>
          </cell>
        </row>
        <row r="3575">
          <cell r="B3575">
            <v>40006139</v>
          </cell>
          <cell r="C3575" t="str">
            <v>763182-6</v>
          </cell>
          <cell r="D3575" t="str">
            <v>CHUCK</v>
          </cell>
        </row>
        <row r="3576">
          <cell r="B3576">
            <v>40007586</v>
          </cell>
          <cell r="C3576" t="str">
            <v>766013-8</v>
          </cell>
          <cell r="D3576" t="str">
            <v>CHUCK</v>
          </cell>
        </row>
        <row r="3577">
          <cell r="B3577">
            <v>10019877</v>
          </cell>
          <cell r="C3577" t="str">
            <v>193067-6</v>
          </cell>
          <cell r="D3577" t="str">
            <v>CHUCK</v>
          </cell>
        </row>
        <row r="3578">
          <cell r="B3578">
            <v>40007354</v>
          </cell>
          <cell r="C3578" t="str">
            <v>763185-0</v>
          </cell>
          <cell r="D3578" t="str">
            <v>CHUCK</v>
          </cell>
        </row>
        <row r="3579">
          <cell r="B3579">
            <v>10019942</v>
          </cell>
          <cell r="C3579" t="str">
            <v>192877-8</v>
          </cell>
          <cell r="D3579" t="str">
            <v>CHUCK</v>
          </cell>
        </row>
        <row r="3580">
          <cell r="B3580">
            <v>10018899</v>
          </cell>
          <cell r="C3580" t="str">
            <v>198911-2</v>
          </cell>
          <cell r="D3580" t="str">
            <v>CHUCK</v>
          </cell>
        </row>
        <row r="3581">
          <cell r="B3581">
            <v>10018530</v>
          </cell>
          <cell r="C3581" t="str">
            <v>763229-6</v>
          </cell>
          <cell r="D3581" t="str">
            <v>CHUCK</v>
          </cell>
        </row>
        <row r="3582">
          <cell r="B3582">
            <v>10018683</v>
          </cell>
          <cell r="C3582" t="str">
            <v>766027-7</v>
          </cell>
          <cell r="D3582" t="str">
            <v>CHUCK</v>
          </cell>
        </row>
        <row r="3583">
          <cell r="B3583">
            <v>40007925</v>
          </cell>
          <cell r="C3583" t="str">
            <v>763136-3</v>
          </cell>
          <cell r="D3583" t="str">
            <v>CHUCK</v>
          </cell>
        </row>
        <row r="3584">
          <cell r="B3584">
            <v>40006191</v>
          </cell>
          <cell r="C3584" t="str">
            <v>763228-8</v>
          </cell>
          <cell r="D3584" t="str">
            <v>CHUCK</v>
          </cell>
        </row>
        <row r="3585">
          <cell r="B3585">
            <v>40005703</v>
          </cell>
          <cell r="C3585" t="str">
            <v>766023-5</v>
          </cell>
          <cell r="D3585" t="str">
            <v>CHUCK</v>
          </cell>
        </row>
        <row r="3586">
          <cell r="B3586">
            <v>10029929</v>
          </cell>
          <cell r="C3586" t="str">
            <v>766021-9</v>
          </cell>
          <cell r="D3586" t="str">
            <v>CHUCK</v>
          </cell>
        </row>
        <row r="3587">
          <cell r="B3587">
            <v>40006952</v>
          </cell>
          <cell r="C3587" t="str">
            <v>766003-1</v>
          </cell>
          <cell r="D3587" t="str">
            <v>CHUCK</v>
          </cell>
        </row>
        <row r="3588">
          <cell r="B3588">
            <v>10019957</v>
          </cell>
          <cell r="C3588" t="str">
            <v>763170-3</v>
          </cell>
          <cell r="D3588" t="str">
            <v>CHUCK</v>
          </cell>
        </row>
        <row r="3589">
          <cell r="B3589">
            <v>10018921</v>
          </cell>
          <cell r="C3589" t="str">
            <v>M9506B</v>
          </cell>
          <cell r="D3589" t="str">
            <v>STAIRS</v>
          </cell>
        </row>
        <row r="3590">
          <cell r="B3590">
            <v>10013727</v>
          </cell>
          <cell r="C3590" t="str">
            <v>4327M</v>
          </cell>
          <cell r="D3590" t="str">
            <v>STAIRS</v>
          </cell>
        </row>
        <row r="3591">
          <cell r="B3591">
            <v>10018900</v>
          </cell>
          <cell r="C3591" t="str">
            <v>M9204B</v>
          </cell>
          <cell r="D3591" t="str">
            <v>STAIRS</v>
          </cell>
        </row>
        <row r="3592">
          <cell r="B3592">
            <v>10018898</v>
          </cell>
          <cell r="C3592" t="str">
            <v>M9200B</v>
          </cell>
          <cell r="D3592" t="str">
            <v>STAIRS</v>
          </cell>
        </row>
        <row r="3593">
          <cell r="B3593">
            <v>10018660</v>
          </cell>
          <cell r="C3593" t="str">
            <v>CLX224SAX1</v>
          </cell>
          <cell r="D3593" t="str">
            <v>STAIRS</v>
          </cell>
        </row>
        <row r="3594">
          <cell r="B3594">
            <v>10018890</v>
          </cell>
          <cell r="C3594" t="str">
            <v>M1902B</v>
          </cell>
          <cell r="D3594" t="str">
            <v>STAIRS</v>
          </cell>
        </row>
        <row r="3595">
          <cell r="B3595">
            <v>10019445</v>
          </cell>
          <cell r="C3595" t="str">
            <v>LCT204</v>
          </cell>
          <cell r="D3595" t="str">
            <v>STAIRS</v>
          </cell>
        </row>
        <row r="3596">
          <cell r="B3596">
            <v>10018892</v>
          </cell>
          <cell r="C3596" t="str">
            <v>M4000B</v>
          </cell>
          <cell r="D3596" t="str">
            <v>STAIRS</v>
          </cell>
        </row>
        <row r="3597">
          <cell r="B3597">
            <v>10020128</v>
          </cell>
          <cell r="C3597" t="str">
            <v>9500NB</v>
          </cell>
          <cell r="D3597" t="str">
            <v>STAIRS</v>
          </cell>
        </row>
        <row r="3598">
          <cell r="B3598">
            <v>10013659</v>
          </cell>
          <cell r="C3598" t="str">
            <v>DP4700</v>
          </cell>
          <cell r="D3598" t="str">
            <v>STAIRS</v>
          </cell>
        </row>
        <row r="3599">
          <cell r="B3599">
            <v>10013692</v>
          </cell>
          <cell r="C3599" t="str">
            <v>TD0101F</v>
          </cell>
          <cell r="D3599" t="str">
            <v>STAIRS</v>
          </cell>
        </row>
        <row r="3600">
          <cell r="B3600">
            <v>10018652</v>
          </cell>
          <cell r="C3600" t="str">
            <v>9556HNG</v>
          </cell>
          <cell r="D3600" t="str">
            <v>STAIRS</v>
          </cell>
        </row>
        <row r="3601">
          <cell r="B3601">
            <v>10019666</v>
          </cell>
          <cell r="C3601" t="str">
            <v>GA4031</v>
          </cell>
          <cell r="D3601" t="str">
            <v>STAIRS</v>
          </cell>
        </row>
        <row r="3602">
          <cell r="B3602">
            <v>10018724</v>
          </cell>
          <cell r="C3602" t="str">
            <v>M0600B</v>
          </cell>
          <cell r="D3602" t="str">
            <v>STAIRS</v>
          </cell>
        </row>
        <row r="3603">
          <cell r="B3603">
            <v>10019841</v>
          </cell>
          <cell r="C3603" t="str">
            <v>KP0800X</v>
          </cell>
          <cell r="D3603" t="str">
            <v>STAIRS</v>
          </cell>
        </row>
        <row r="3604">
          <cell r="B3604">
            <v>10018874</v>
          </cell>
          <cell r="C3604" t="str">
            <v>M3700B</v>
          </cell>
          <cell r="D3604" t="str">
            <v>STAIRS</v>
          </cell>
        </row>
        <row r="3605">
          <cell r="B3605">
            <v>10018873</v>
          </cell>
          <cell r="C3605" t="str">
            <v>M9513B</v>
          </cell>
          <cell r="D3605" t="str">
            <v>STAIRS</v>
          </cell>
        </row>
        <row r="3606">
          <cell r="B3606">
            <v>10013671</v>
          </cell>
          <cell r="C3606">
            <v>6412</v>
          </cell>
          <cell r="D3606" t="str">
            <v>STAIRS</v>
          </cell>
        </row>
        <row r="3607">
          <cell r="B3607">
            <v>10019046</v>
          </cell>
          <cell r="C3607" t="str">
            <v>UB1102</v>
          </cell>
          <cell r="D3607" t="str">
            <v>STAIRS</v>
          </cell>
        </row>
        <row r="3608">
          <cell r="B3608">
            <v>10019144</v>
          </cell>
          <cell r="C3608" t="str">
            <v>UB1103</v>
          </cell>
          <cell r="D3608" t="str">
            <v>STAIRS</v>
          </cell>
        </row>
        <row r="3609">
          <cell r="B3609">
            <v>10019678</v>
          </cell>
          <cell r="C3609" t="str">
            <v>BO3710</v>
          </cell>
          <cell r="D3609" t="str">
            <v>STAIRS</v>
          </cell>
        </row>
        <row r="3610">
          <cell r="B3610">
            <v>10018872</v>
          </cell>
          <cell r="C3610" t="str">
            <v>M9203B</v>
          </cell>
          <cell r="D3610" t="str">
            <v>STAIRS</v>
          </cell>
        </row>
        <row r="3611">
          <cell r="B3611">
            <v>10018894</v>
          </cell>
          <cell r="C3611" t="str">
            <v>M4301B</v>
          </cell>
          <cell r="D3611" t="str">
            <v>STAIRS</v>
          </cell>
        </row>
        <row r="3612">
          <cell r="B3612">
            <v>10018723</v>
          </cell>
          <cell r="C3612" t="str">
            <v>HP0300</v>
          </cell>
          <cell r="D3612" t="str">
            <v>STAIRS</v>
          </cell>
        </row>
        <row r="3613">
          <cell r="B3613">
            <v>10018491</v>
          </cell>
          <cell r="C3613" t="str">
            <v>M6001B</v>
          </cell>
          <cell r="D3613" t="str">
            <v>STAIRS</v>
          </cell>
        </row>
        <row r="3614">
          <cell r="B3614">
            <v>10018676</v>
          </cell>
          <cell r="C3614" t="str">
            <v>M6500B</v>
          </cell>
          <cell r="D3614" t="str">
            <v>STAIRS</v>
          </cell>
        </row>
        <row r="3615">
          <cell r="B3615">
            <v>10013669</v>
          </cell>
          <cell r="C3615" t="str">
            <v>HP1630</v>
          </cell>
          <cell r="D3615" t="str">
            <v>STAIRS</v>
          </cell>
        </row>
        <row r="3616">
          <cell r="B3616">
            <v>10019931</v>
          </cell>
          <cell r="C3616">
            <v>6413</v>
          </cell>
          <cell r="D3616" t="str">
            <v>STAIRS</v>
          </cell>
        </row>
        <row r="3617">
          <cell r="B3617">
            <v>10018915</v>
          </cell>
          <cell r="C3617" t="str">
            <v>M8103B</v>
          </cell>
          <cell r="D3617" t="str">
            <v>STAIRS</v>
          </cell>
        </row>
        <row r="3618">
          <cell r="B3618">
            <v>10018725</v>
          </cell>
          <cell r="C3618" t="str">
            <v>M0801B</v>
          </cell>
          <cell r="D3618" t="str">
            <v>STAIRS</v>
          </cell>
        </row>
        <row r="3619">
          <cell r="B3619">
            <v>10018991</v>
          </cell>
          <cell r="C3619" t="str">
            <v>M8100B</v>
          </cell>
          <cell r="D3619" t="str">
            <v>STAIRS</v>
          </cell>
        </row>
        <row r="3620">
          <cell r="B3620">
            <v>10018661</v>
          </cell>
          <cell r="C3620" t="str">
            <v>HG5030</v>
          </cell>
          <cell r="D3620" t="str">
            <v>STAIRS</v>
          </cell>
        </row>
        <row r="3621">
          <cell r="B3621">
            <v>10019588</v>
          </cell>
          <cell r="C3621" t="str">
            <v>BO5031</v>
          </cell>
          <cell r="D3621" t="str">
            <v>STAIRS</v>
          </cell>
        </row>
        <row r="3622">
          <cell r="B3622">
            <v>10020113</v>
          </cell>
          <cell r="C3622" t="str">
            <v>BO4556</v>
          </cell>
          <cell r="D3622" t="str">
            <v>STAIRS</v>
          </cell>
        </row>
        <row r="3623">
          <cell r="B3623">
            <v>10018586</v>
          </cell>
          <cell r="C3623" t="str">
            <v>HG6031VK</v>
          </cell>
          <cell r="D3623" t="str">
            <v>STAIRS</v>
          </cell>
        </row>
        <row r="3624">
          <cell r="B3624">
            <v>10018949</v>
          </cell>
          <cell r="C3624" t="str">
            <v>HG6530VK</v>
          </cell>
          <cell r="D3624" t="str">
            <v>STAIRS</v>
          </cell>
        </row>
        <row r="3625">
          <cell r="B3625">
            <v>40011665</v>
          </cell>
          <cell r="C3625">
            <v>957114011</v>
          </cell>
          <cell r="D3625" t="str">
            <v>DHL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78"/>
  <sheetViews>
    <sheetView tabSelected="1" zoomScaleNormal="100" workbookViewId="0">
      <pane ySplit="1" topLeftCell="A2" activePane="bottomLeft" state="frozen"/>
      <selection pane="bottomLeft" activeCell="M18" sqref="M18"/>
    </sheetView>
  </sheetViews>
  <sheetFormatPr defaultRowHeight="12.75" x14ac:dyDescent="0.2"/>
  <cols>
    <col min="1" max="1" width="13.7109375" customWidth="1"/>
    <col min="2" max="2" width="48.42578125" bestFit="1" customWidth="1"/>
    <col min="3" max="3" width="13.85546875" style="12" bestFit="1" customWidth="1"/>
    <col min="4" max="4" width="9.5703125" style="22" bestFit="1" customWidth="1"/>
    <col min="5" max="7" width="9.5703125" style="22" customWidth="1"/>
    <col min="8" max="8" width="10" style="55" customWidth="1"/>
    <col min="9" max="9" width="10" style="53" customWidth="1"/>
    <col min="10" max="11" width="8.85546875" style="28" customWidth="1"/>
    <col min="12" max="13" width="8.85546875" style="16" customWidth="1"/>
    <col min="14" max="14" width="11.42578125" bestFit="1" customWidth="1"/>
    <col min="15" max="15" width="11.5703125" bestFit="1" customWidth="1"/>
    <col min="16" max="16" width="11.140625" bestFit="1" customWidth="1"/>
    <col min="17" max="17" width="13.28515625" bestFit="1" customWidth="1"/>
    <col min="18" max="18" width="48.42578125" bestFit="1" customWidth="1"/>
    <col min="19" max="19" width="4.85546875" bestFit="1" customWidth="1"/>
    <col min="20" max="20" width="11.42578125" customWidth="1"/>
    <col min="23" max="23" width="11.28515625" bestFit="1" customWidth="1"/>
    <col min="26" max="26" width="22.140625" bestFit="1" customWidth="1"/>
  </cols>
  <sheetData>
    <row r="1" spans="1:24" ht="25.5" x14ac:dyDescent="0.2">
      <c r="A1" s="1" t="s">
        <v>3606</v>
      </c>
      <c r="B1" s="1" t="s">
        <v>5315</v>
      </c>
      <c r="C1" s="11" t="s">
        <v>5300</v>
      </c>
      <c r="D1" s="20" t="s">
        <v>3607</v>
      </c>
      <c r="E1" s="20"/>
      <c r="F1" s="20" t="s">
        <v>10454</v>
      </c>
      <c r="G1" s="20"/>
      <c r="H1" s="29" t="s">
        <v>3608</v>
      </c>
      <c r="I1" s="52" t="s">
        <v>10766</v>
      </c>
      <c r="J1" s="26" t="s">
        <v>5316</v>
      </c>
      <c r="K1" s="26"/>
      <c r="L1" s="14" t="s">
        <v>10712</v>
      </c>
      <c r="M1" s="14" t="s">
        <v>10780</v>
      </c>
      <c r="N1" s="3" t="s">
        <v>3932</v>
      </c>
      <c r="O1" s="3" t="s">
        <v>3933</v>
      </c>
    </row>
    <row r="2" spans="1:24" x14ac:dyDescent="0.2">
      <c r="A2" s="2">
        <v>40010563</v>
      </c>
      <c r="B2" s="2" t="s">
        <v>3861</v>
      </c>
      <c r="C2" s="5" t="s">
        <v>9262</v>
      </c>
      <c r="D2" s="21">
        <v>4</v>
      </c>
      <c r="E2" s="21"/>
      <c r="F2" s="21" t="s">
        <v>10438</v>
      </c>
      <c r="G2" s="21"/>
      <c r="H2" s="54">
        <v>18</v>
      </c>
      <c r="I2" s="51"/>
      <c r="J2" s="27"/>
      <c r="K2" s="27"/>
      <c r="L2" s="15"/>
      <c r="M2" s="15"/>
      <c r="N2" s="4" t="s">
        <v>4625</v>
      </c>
      <c r="O2" s="4"/>
      <c r="Q2" s="7" t="s">
        <v>5462</v>
      </c>
      <c r="R2" s="7" t="s">
        <v>5329</v>
      </c>
      <c r="S2" s="7" t="s">
        <v>5330</v>
      </c>
      <c r="T2" s="7" t="s">
        <v>5461</v>
      </c>
      <c r="U2" s="7" t="s">
        <v>3608</v>
      </c>
      <c r="V2" s="6" t="s">
        <v>9449</v>
      </c>
      <c r="W2" s="6" t="s">
        <v>9608</v>
      </c>
      <c r="X2" s="6" t="s">
        <v>9609</v>
      </c>
    </row>
    <row r="3" spans="1:24" x14ac:dyDescent="0.2">
      <c r="A3" s="2">
        <v>40010569</v>
      </c>
      <c r="B3" s="7" t="s">
        <v>3862</v>
      </c>
      <c r="C3" s="5" t="s">
        <v>9266</v>
      </c>
      <c r="D3" s="21">
        <v>1</v>
      </c>
      <c r="E3" s="21"/>
      <c r="F3" s="21" t="s">
        <v>10438</v>
      </c>
      <c r="G3" s="21"/>
      <c r="H3" s="54">
        <v>135</v>
      </c>
      <c r="I3" s="51"/>
      <c r="J3" s="27"/>
      <c r="K3" s="27"/>
      <c r="L3" s="15"/>
      <c r="M3" s="15"/>
      <c r="N3" s="4"/>
      <c r="O3" s="4">
        <v>65</v>
      </c>
      <c r="Q3" s="2" t="e">
        <f>VLOOKUP(R3,'[1]MAKITA MASTERSHEET'!$E:$G,3,0)</f>
        <v>#N/A</v>
      </c>
      <c r="R3" s="10"/>
      <c r="S3" s="2">
        <v>1</v>
      </c>
      <c r="T3" s="2" t="e">
        <f t="shared" ref="T3:T6" si="0">VLOOKUP(Q3,A:D,4,0)</f>
        <v>#N/A</v>
      </c>
      <c r="U3" s="2" t="e">
        <f>VLOOKUP(Q3,A:H,6,0)</f>
        <v>#N/A</v>
      </c>
      <c r="V3" t="e">
        <f t="shared" ref="V3:V7" si="1">U3*S2</f>
        <v>#N/A</v>
      </c>
      <c r="W3" t="e">
        <f>VLOOKUP(Q3,'[2]So R'!$B:$D,3,0)</f>
        <v>#N/A</v>
      </c>
      <c r="X3" t="e">
        <f>VLOOKUP(Q3,A:O,11,0)</f>
        <v>#N/A</v>
      </c>
    </row>
    <row r="4" spans="1:24" x14ac:dyDescent="0.2">
      <c r="A4" s="2">
        <v>40010559</v>
      </c>
      <c r="B4" s="2" t="s">
        <v>3858</v>
      </c>
      <c r="C4" s="5" t="s">
        <v>9260</v>
      </c>
      <c r="D4" s="21">
        <v>4</v>
      </c>
      <c r="E4" s="21"/>
      <c r="F4" s="21" t="s">
        <v>10438</v>
      </c>
      <c r="G4" s="21"/>
      <c r="H4" s="54">
        <v>251</v>
      </c>
      <c r="I4" s="51"/>
      <c r="J4" s="27"/>
      <c r="K4" s="27"/>
      <c r="L4" s="15"/>
      <c r="M4" s="15"/>
      <c r="N4" s="4" t="s">
        <v>5274</v>
      </c>
      <c r="O4" s="4"/>
      <c r="Q4" s="2" t="e">
        <f>VLOOKUP(R4,'[1]MAKITA MASTERSHEET'!$E:$G,3,0)</f>
        <v>#N/A</v>
      </c>
      <c r="R4" s="10"/>
      <c r="S4" s="2">
        <v>1</v>
      </c>
      <c r="T4" s="2" t="e">
        <f t="shared" si="0"/>
        <v>#N/A</v>
      </c>
      <c r="U4" s="2" t="e">
        <f>VLOOKUP(Q4,A:H,6,0)</f>
        <v>#N/A</v>
      </c>
      <c r="V4" t="e">
        <f t="shared" si="1"/>
        <v>#N/A</v>
      </c>
      <c r="W4" t="e">
        <f>VLOOKUP(Q4,'[2]So R'!$B:$D,3,0)</f>
        <v>#N/A</v>
      </c>
      <c r="X4" t="e">
        <f>VLOOKUP(Q4,A:O,11,0)</f>
        <v>#N/A</v>
      </c>
    </row>
    <row r="5" spans="1:24" x14ac:dyDescent="0.2">
      <c r="A5" s="2">
        <v>40010574</v>
      </c>
      <c r="B5" s="2" t="s">
        <v>3864</v>
      </c>
      <c r="C5" s="5" t="s">
        <v>9270</v>
      </c>
      <c r="D5" s="21">
        <v>9</v>
      </c>
      <c r="E5" s="21"/>
      <c r="F5" s="21" t="s">
        <v>10438</v>
      </c>
      <c r="G5" s="21"/>
      <c r="H5" s="54">
        <v>6</v>
      </c>
      <c r="I5" s="51"/>
      <c r="J5" s="27"/>
      <c r="K5" s="27"/>
      <c r="L5" s="15"/>
      <c r="M5" s="15"/>
      <c r="N5" s="4" t="s">
        <v>5275</v>
      </c>
      <c r="O5" s="4"/>
      <c r="Q5" s="2" t="e">
        <f>VLOOKUP(R5,'[1]MAKITA MASTERSHEET'!$E:$G,3,0)</f>
        <v>#N/A</v>
      </c>
      <c r="R5" s="10"/>
      <c r="S5" s="2">
        <v>1</v>
      </c>
      <c r="T5" s="2" t="e">
        <f t="shared" si="0"/>
        <v>#N/A</v>
      </c>
      <c r="U5" s="2" t="e">
        <f>VLOOKUP(Q5,A:H,6,0)</f>
        <v>#N/A</v>
      </c>
      <c r="V5" t="e">
        <f t="shared" si="1"/>
        <v>#N/A</v>
      </c>
      <c r="W5" t="e">
        <f>VLOOKUP(Q5,'[2]So R'!$B:$D,3,0)</f>
        <v>#N/A</v>
      </c>
      <c r="X5" t="e">
        <f>VLOOKUP(Q5,A:O,11,0)</f>
        <v>#N/A</v>
      </c>
    </row>
    <row r="6" spans="1:24" x14ac:dyDescent="0.2">
      <c r="A6" s="2">
        <v>40010555</v>
      </c>
      <c r="B6" s="2" t="s">
        <v>3855</v>
      </c>
      <c r="C6" s="5" t="s">
        <v>9256</v>
      </c>
      <c r="D6" s="21">
        <v>1</v>
      </c>
      <c r="E6" s="21"/>
      <c r="F6" s="21" t="s">
        <v>10438</v>
      </c>
      <c r="G6" s="21"/>
      <c r="H6" s="54">
        <v>154</v>
      </c>
      <c r="I6" s="51"/>
      <c r="J6" s="27"/>
      <c r="K6" s="27"/>
      <c r="L6" s="15"/>
      <c r="M6" s="15"/>
      <c r="N6" s="4" t="s">
        <v>4907</v>
      </c>
      <c r="O6" s="4"/>
      <c r="Q6" s="2" t="e">
        <f>VLOOKUP(R6,'[1]MAKITA MASTERSHEET'!$E:$G,3,0)</f>
        <v>#N/A</v>
      </c>
      <c r="R6" s="10"/>
      <c r="S6" s="2">
        <v>1</v>
      </c>
      <c r="T6" s="2" t="e">
        <f t="shared" si="0"/>
        <v>#N/A</v>
      </c>
      <c r="U6" s="2" t="e">
        <f>VLOOKUP(Q6,A:H,6,0)</f>
        <v>#N/A</v>
      </c>
      <c r="V6" t="e">
        <f t="shared" si="1"/>
        <v>#N/A</v>
      </c>
      <c r="W6" t="e">
        <f>VLOOKUP(Q6,'[2]So R'!$B:$D,3,0)</f>
        <v>#N/A</v>
      </c>
      <c r="X6" t="e">
        <f>VLOOKUP(Q6,A:O,11,0)</f>
        <v>#N/A</v>
      </c>
    </row>
    <row r="7" spans="1:24" x14ac:dyDescent="0.2">
      <c r="A7" s="2">
        <v>40010560</v>
      </c>
      <c r="B7" s="7" t="s">
        <v>3859</v>
      </c>
      <c r="C7" s="10" t="s">
        <v>9450</v>
      </c>
      <c r="D7" s="21">
        <v>2</v>
      </c>
      <c r="E7" s="21"/>
      <c r="F7" s="21" t="s">
        <v>10438</v>
      </c>
      <c r="G7" s="21"/>
      <c r="H7" s="54">
        <v>52</v>
      </c>
      <c r="I7" s="51"/>
      <c r="J7" s="27"/>
      <c r="K7" s="27"/>
      <c r="L7" s="15"/>
      <c r="M7" s="15"/>
      <c r="N7" s="4" t="s">
        <v>3953</v>
      </c>
      <c r="O7" s="4"/>
      <c r="Q7" s="2" t="e">
        <f>VLOOKUP(R7,'[1]MAKITA MASTERSHEET'!$E:$G,3,0)</f>
        <v>#N/A</v>
      </c>
      <c r="R7" s="10"/>
      <c r="S7" s="2">
        <v>1</v>
      </c>
      <c r="T7" s="2" t="e">
        <f>VLOOKUP(Q7,A:D,4,0)</f>
        <v>#N/A</v>
      </c>
      <c r="U7" s="2" t="e">
        <f>VLOOKUP(Q7,A:H,6,0)</f>
        <v>#N/A</v>
      </c>
      <c r="V7" t="e">
        <f t="shared" si="1"/>
        <v>#N/A</v>
      </c>
      <c r="W7" t="e">
        <f>VLOOKUP(Q11,'[2]So R'!$B:$D,3,0)</f>
        <v>#N/A</v>
      </c>
      <c r="X7" t="e">
        <f>VLOOKUP(Q11,A:O,11,0)</f>
        <v>#N/A</v>
      </c>
    </row>
    <row r="8" spans="1:24" x14ac:dyDescent="0.2">
      <c r="A8" s="2">
        <v>40010573</v>
      </c>
      <c r="B8" s="2" t="s">
        <v>3863</v>
      </c>
      <c r="C8" s="5" t="s">
        <v>9269</v>
      </c>
      <c r="D8" s="21">
        <v>14</v>
      </c>
      <c r="E8" s="21"/>
      <c r="F8" s="21" t="s">
        <v>10438</v>
      </c>
      <c r="G8" s="21"/>
      <c r="H8" s="54">
        <v>12</v>
      </c>
      <c r="I8" s="51"/>
      <c r="J8" s="27"/>
      <c r="K8" s="27"/>
      <c r="L8" s="15"/>
      <c r="M8" s="15"/>
      <c r="N8" s="4" t="s">
        <v>5275</v>
      </c>
      <c r="O8" s="4"/>
      <c r="Q8" s="2" t="e">
        <f>VLOOKUP(R8,'[1]MAKITA MASTERSHEET'!$E:$G,3,0)</f>
        <v>#N/A</v>
      </c>
      <c r="R8" s="10"/>
      <c r="S8" s="2">
        <v>1</v>
      </c>
      <c r="T8" s="2" t="e">
        <f t="shared" ref="T8:T29" si="2">VLOOKUP(Q8,A:D,4,0)</f>
        <v>#N/A</v>
      </c>
      <c r="U8" s="2" t="e">
        <f>VLOOKUP(Q8,A:H,6,0)</f>
        <v>#N/A</v>
      </c>
      <c r="V8" t="e">
        <f>U8*S7</f>
        <v>#N/A</v>
      </c>
      <c r="W8" t="e">
        <f>VLOOKUP(Q7,'[2]So R'!$B:$D,3,0)</f>
        <v>#N/A</v>
      </c>
      <c r="X8" t="e">
        <f>VLOOKUP(Q7,A:O,11,0)</f>
        <v>#N/A</v>
      </c>
    </row>
    <row r="9" spans="1:24" x14ac:dyDescent="0.2">
      <c r="A9" s="2">
        <v>40010554</v>
      </c>
      <c r="B9" s="2" t="s">
        <v>3854</v>
      </c>
      <c r="C9" s="5" t="s">
        <v>9255</v>
      </c>
      <c r="D9" s="21"/>
      <c r="E9" s="21"/>
      <c r="F9" s="21" t="s">
        <v>10438</v>
      </c>
      <c r="G9" s="21"/>
      <c r="H9" s="54">
        <v>594</v>
      </c>
      <c r="I9" s="51"/>
      <c r="J9" s="27"/>
      <c r="K9" s="27"/>
      <c r="L9" s="15"/>
      <c r="M9" s="15"/>
      <c r="N9" s="4" t="s">
        <v>4907</v>
      </c>
      <c r="O9" s="4"/>
      <c r="Q9" s="2" t="e">
        <f>VLOOKUP(R9,'[1]MAKITA MASTERSHEET'!$E:$G,3,0)</f>
        <v>#N/A</v>
      </c>
      <c r="R9" s="10"/>
      <c r="S9" s="2">
        <v>1</v>
      </c>
      <c r="T9" s="2" t="e">
        <f t="shared" si="2"/>
        <v>#N/A</v>
      </c>
      <c r="U9" s="2" t="e">
        <f>VLOOKUP(Q9,A:H,6,0)</f>
        <v>#N/A</v>
      </c>
      <c r="V9" t="e">
        <f>U9*S8</f>
        <v>#N/A</v>
      </c>
      <c r="W9" t="e">
        <f>VLOOKUP(Q8,'[2]So R'!$B:$D,3,0)</f>
        <v>#N/A</v>
      </c>
      <c r="X9" t="e">
        <f>VLOOKUP(Q8,A:O,11,0)</f>
        <v>#N/A</v>
      </c>
    </row>
    <row r="10" spans="1:24" x14ac:dyDescent="0.2">
      <c r="A10" s="2">
        <v>40010557</v>
      </c>
      <c r="B10" s="2" t="s">
        <v>3857</v>
      </c>
      <c r="C10" s="5" t="s">
        <v>9258</v>
      </c>
      <c r="D10" s="21">
        <v>1</v>
      </c>
      <c r="E10" s="21"/>
      <c r="F10" s="21" t="s">
        <v>10438</v>
      </c>
      <c r="G10" s="21"/>
      <c r="H10" s="54">
        <v>24</v>
      </c>
      <c r="I10" s="51"/>
      <c r="J10" s="27"/>
      <c r="K10" s="27"/>
      <c r="L10" s="15"/>
      <c r="M10" s="15"/>
      <c r="N10" s="4" t="s">
        <v>4907</v>
      </c>
      <c r="O10" s="4"/>
      <c r="Q10" s="2" t="e">
        <f>VLOOKUP(R10,'[1]MAKITA MASTERSHEET'!$E:$G,3,0)</f>
        <v>#N/A</v>
      </c>
      <c r="R10" s="10"/>
      <c r="S10" s="2">
        <v>1</v>
      </c>
      <c r="T10" s="2" t="e">
        <f t="shared" si="2"/>
        <v>#N/A</v>
      </c>
      <c r="U10" s="2" t="e">
        <f t="shared" ref="U10:U28" si="3">VLOOKUP(Q10,A:H,6,0)</f>
        <v>#N/A</v>
      </c>
      <c r="V10" t="e">
        <f>U10*S9</f>
        <v>#N/A</v>
      </c>
      <c r="W10" t="e">
        <f>VLOOKUP(Q9,'[2]So R'!$B:$D,3,0)</f>
        <v>#N/A</v>
      </c>
      <c r="X10" t="e">
        <f>VLOOKUP(Q9,A:O,11,0)</f>
        <v>#N/A</v>
      </c>
    </row>
    <row r="11" spans="1:24" ht="12" customHeight="1" x14ac:dyDescent="0.2">
      <c r="A11" s="2">
        <v>40010556</v>
      </c>
      <c r="B11" s="2" t="s">
        <v>3856</v>
      </c>
      <c r="C11" s="5" t="s">
        <v>9257</v>
      </c>
      <c r="D11" s="21">
        <v>1</v>
      </c>
      <c r="E11" s="21"/>
      <c r="F11" s="21" t="s">
        <v>10438</v>
      </c>
      <c r="G11" s="21"/>
      <c r="H11" s="54">
        <v>169</v>
      </c>
      <c r="I11" s="51"/>
      <c r="J11" s="27"/>
      <c r="K11" s="27"/>
      <c r="L11" s="15"/>
      <c r="M11" s="15"/>
      <c r="N11" s="4" t="s">
        <v>4907</v>
      </c>
      <c r="O11" s="4"/>
      <c r="Q11" s="2" t="e">
        <f>VLOOKUP(R11,'[1]MAKITA MASTERSHEET'!$E:$G,3,0)</f>
        <v>#N/A</v>
      </c>
      <c r="R11" s="10"/>
      <c r="S11" s="2">
        <v>1</v>
      </c>
      <c r="T11" s="2" t="e">
        <f t="shared" si="2"/>
        <v>#N/A</v>
      </c>
      <c r="U11" s="2" t="e">
        <f t="shared" si="3"/>
        <v>#N/A</v>
      </c>
      <c r="V11" t="e">
        <f>U11*S22</f>
        <v>#N/A</v>
      </c>
      <c r="W11" t="e">
        <f>VLOOKUP(Q10,'[2]So R'!$B:$D,3,0)</f>
        <v>#N/A</v>
      </c>
      <c r="X11" t="e">
        <f>VLOOKUP(Q10,A:O,11,0)</f>
        <v>#N/A</v>
      </c>
    </row>
    <row r="12" spans="1:24" x14ac:dyDescent="0.2">
      <c r="A12" s="2">
        <v>40010562</v>
      </c>
      <c r="B12" s="2" t="s">
        <v>3860</v>
      </c>
      <c r="C12" s="5" t="s">
        <v>9261</v>
      </c>
      <c r="D12" s="21">
        <v>2</v>
      </c>
      <c r="E12" s="21"/>
      <c r="F12" s="21" t="s">
        <v>10438</v>
      </c>
      <c r="G12" s="21"/>
      <c r="H12" s="54">
        <v>58</v>
      </c>
      <c r="I12" s="51"/>
      <c r="J12" s="27"/>
      <c r="K12" s="27"/>
      <c r="L12" s="15"/>
      <c r="M12" s="15"/>
      <c r="N12" s="4" t="s">
        <v>5275</v>
      </c>
      <c r="O12" s="4"/>
      <c r="Q12" s="2" t="e">
        <f>VLOOKUP(R12,'[1]MAKITA MASTERSHEET'!$E:$G,3,0)</f>
        <v>#N/A</v>
      </c>
      <c r="R12" s="10"/>
      <c r="S12" s="2">
        <v>1</v>
      </c>
      <c r="T12" s="2" t="e">
        <f t="shared" si="2"/>
        <v>#N/A</v>
      </c>
      <c r="U12" s="2" t="e">
        <f t="shared" si="3"/>
        <v>#N/A</v>
      </c>
      <c r="V12" t="e">
        <f>U12*S16</f>
        <v>#N/A</v>
      </c>
      <c r="W12" t="e">
        <f>VLOOKUP(Q16,'[2]So R'!$B:$D,3,0)</f>
        <v>#N/A</v>
      </c>
      <c r="X12" t="e">
        <f>VLOOKUP(Q16,A:O,11,0)</f>
        <v>#N/A</v>
      </c>
    </row>
    <row r="13" spans="1:24" ht="12" customHeight="1" x14ac:dyDescent="0.2">
      <c r="A13" s="2">
        <v>40010571</v>
      </c>
      <c r="B13" s="7" t="s">
        <v>5481</v>
      </c>
      <c r="C13" s="5" t="s">
        <v>9268</v>
      </c>
      <c r="D13" s="21">
        <v>2</v>
      </c>
      <c r="E13" s="21"/>
      <c r="F13" s="21" t="s">
        <v>10438</v>
      </c>
      <c r="G13" s="21"/>
      <c r="H13" s="54">
        <v>936</v>
      </c>
      <c r="I13" s="51"/>
      <c r="J13" s="27"/>
      <c r="K13" s="27"/>
      <c r="L13" s="15"/>
      <c r="M13" s="15"/>
      <c r="N13" s="4"/>
      <c r="O13" s="4">
        <v>81</v>
      </c>
      <c r="Q13" s="2" t="e">
        <f>VLOOKUP(R13,'[1]MAKITA MASTERSHEET'!$E:$G,3,0)</f>
        <v>#N/A</v>
      </c>
      <c r="R13" s="10"/>
      <c r="S13" s="2">
        <v>1</v>
      </c>
      <c r="T13" s="2" t="e">
        <f t="shared" si="2"/>
        <v>#N/A</v>
      </c>
      <c r="U13" s="2" t="e">
        <f t="shared" si="3"/>
        <v>#N/A</v>
      </c>
      <c r="V13" t="e">
        <f>U13*S13</f>
        <v>#N/A</v>
      </c>
      <c r="W13" t="e">
        <f>VLOOKUP(Q17,'[2]So R'!$B:$D,3,0)</f>
        <v>#N/A</v>
      </c>
      <c r="X13" t="e">
        <f>VLOOKUP(Q17,A:O,11,0)</f>
        <v>#N/A</v>
      </c>
    </row>
    <row r="14" spans="1:24" ht="12" customHeight="1" x14ac:dyDescent="0.2">
      <c r="A14" s="2">
        <v>40010566</v>
      </c>
      <c r="B14" s="5" t="s">
        <v>5480</v>
      </c>
      <c r="C14" s="5" t="s">
        <v>9264</v>
      </c>
      <c r="D14" s="21">
        <v>5</v>
      </c>
      <c r="E14" s="21"/>
      <c r="F14" s="21" t="s">
        <v>10438</v>
      </c>
      <c r="G14" s="21"/>
      <c r="H14" s="54">
        <v>383</v>
      </c>
      <c r="I14" s="51"/>
      <c r="J14" s="27"/>
      <c r="K14" s="27"/>
      <c r="L14" s="15"/>
      <c r="M14" s="15"/>
      <c r="N14" s="4" t="s">
        <v>5275</v>
      </c>
      <c r="O14" s="4"/>
      <c r="Q14" s="2" t="e">
        <f>VLOOKUP(R14,'[1]MAKITA MASTERSHEET'!$E:$G,3,0)</f>
        <v>#N/A</v>
      </c>
      <c r="R14" s="10"/>
      <c r="S14" s="2">
        <v>1</v>
      </c>
      <c r="T14" s="2" t="e">
        <f t="shared" si="2"/>
        <v>#N/A</v>
      </c>
      <c r="U14" s="2" t="e">
        <f t="shared" si="3"/>
        <v>#N/A</v>
      </c>
      <c r="V14" t="e">
        <f>U15*S18</f>
        <v>#N/A</v>
      </c>
      <c r="W14" t="e">
        <f>VLOOKUP(Q18,'[2]So R'!$B:$D,3,0)</f>
        <v>#N/A</v>
      </c>
      <c r="X14" t="e">
        <f>VLOOKUP(Q18,A:O,11,0)</f>
        <v>#N/A</v>
      </c>
    </row>
    <row r="15" spans="1:24" ht="13.5" customHeight="1" x14ac:dyDescent="0.2">
      <c r="A15" s="2">
        <v>40007265</v>
      </c>
      <c r="B15" s="5" t="s">
        <v>3847</v>
      </c>
      <c r="C15" s="5" t="s">
        <v>8211</v>
      </c>
      <c r="D15" s="21">
        <v>1</v>
      </c>
      <c r="E15" s="21"/>
      <c r="F15" s="21" t="s">
        <v>10438</v>
      </c>
      <c r="G15" s="21"/>
      <c r="H15" s="54">
        <v>1</v>
      </c>
      <c r="I15" s="51"/>
      <c r="J15" s="27"/>
      <c r="K15" s="27"/>
      <c r="L15" s="15"/>
      <c r="M15" s="15"/>
      <c r="N15" s="4" t="s">
        <v>4897</v>
      </c>
      <c r="O15" s="4"/>
      <c r="Q15" s="2" t="e">
        <f>VLOOKUP(R15,'[1]MAKITA MASTERSHEET'!$E:$G,3,0)</f>
        <v>#N/A</v>
      </c>
      <c r="R15" s="10"/>
      <c r="S15" s="2">
        <v>1</v>
      </c>
      <c r="T15" s="2" t="e">
        <f t="shared" si="2"/>
        <v>#N/A</v>
      </c>
      <c r="U15" s="2" t="e">
        <f t="shared" si="3"/>
        <v>#N/A</v>
      </c>
      <c r="V15" t="e">
        <f>U15*S15</f>
        <v>#N/A</v>
      </c>
      <c r="W15" t="e">
        <f>VLOOKUP(Q15,'[2]So R'!$B:$D,3,0)</f>
        <v>#N/A</v>
      </c>
      <c r="X15" t="e">
        <f>VLOOKUP(Q15,A:O,12,0)</f>
        <v>#N/A</v>
      </c>
    </row>
    <row r="16" spans="1:24" x14ac:dyDescent="0.2">
      <c r="A16" s="2">
        <v>40007367</v>
      </c>
      <c r="B16" s="7" t="s">
        <v>3849</v>
      </c>
      <c r="C16" s="5" t="s">
        <v>8297</v>
      </c>
      <c r="D16" s="21">
        <v>6</v>
      </c>
      <c r="E16" s="21"/>
      <c r="F16" s="21" t="s">
        <v>10438</v>
      </c>
      <c r="G16" s="21"/>
      <c r="H16" s="54">
        <v>27</v>
      </c>
      <c r="I16" s="51"/>
      <c r="J16" s="27"/>
      <c r="K16" s="27"/>
      <c r="L16" s="15"/>
      <c r="M16" s="15"/>
      <c r="N16" s="4" t="s">
        <v>4259</v>
      </c>
      <c r="O16" s="4" t="s">
        <v>5290</v>
      </c>
      <c r="Q16" s="2" t="e">
        <f>VLOOKUP(R16,'[1]MAKITA MASTERSHEET'!$E:$G,3,0)</f>
        <v>#N/A</v>
      </c>
      <c r="R16" s="10"/>
      <c r="S16" s="2">
        <v>1</v>
      </c>
      <c r="T16" s="2" t="e">
        <f t="shared" si="2"/>
        <v>#N/A</v>
      </c>
      <c r="U16" s="2" t="e">
        <f t="shared" si="3"/>
        <v>#N/A</v>
      </c>
      <c r="V16" t="e">
        <f t="shared" ref="V16:V26" si="4">U16*S16</f>
        <v>#N/A</v>
      </c>
      <c r="W16" t="e">
        <f>VLOOKUP(Q16,'[2]So R'!$B:$D,3,0)</f>
        <v>#N/A</v>
      </c>
      <c r="X16" t="e">
        <f>VLOOKUP(Q16,A:O,12,0)</f>
        <v>#N/A</v>
      </c>
    </row>
    <row r="17" spans="1:24" x14ac:dyDescent="0.2">
      <c r="A17" s="2">
        <v>40005644</v>
      </c>
      <c r="B17" s="2" t="s">
        <v>1084</v>
      </c>
      <c r="C17" s="5" t="s">
        <v>6803</v>
      </c>
      <c r="D17" s="21">
        <v>18</v>
      </c>
      <c r="E17" s="21"/>
      <c r="F17" s="21" t="s">
        <v>10438</v>
      </c>
      <c r="G17" s="21"/>
      <c r="H17" s="54">
        <v>225</v>
      </c>
      <c r="I17" s="51"/>
      <c r="J17" s="27"/>
      <c r="K17" s="27"/>
      <c r="L17" s="15"/>
      <c r="M17" s="15"/>
      <c r="N17" s="4" t="s">
        <v>4186</v>
      </c>
      <c r="O17" s="4">
        <v>2</v>
      </c>
      <c r="Q17" s="2" t="e">
        <f>VLOOKUP(R17,'[1]MAKITA MASTERSHEET'!$E:$G,3,0)</f>
        <v>#N/A</v>
      </c>
      <c r="R17" s="10"/>
      <c r="S17" s="2">
        <v>1</v>
      </c>
      <c r="T17" s="2" t="e">
        <f t="shared" si="2"/>
        <v>#N/A</v>
      </c>
      <c r="U17" s="2" t="e">
        <f t="shared" si="3"/>
        <v>#N/A</v>
      </c>
      <c r="V17" t="e">
        <f t="shared" si="4"/>
        <v>#N/A</v>
      </c>
      <c r="W17" t="e">
        <f>VLOOKUP(Q17,'[2]So R'!$B:$D,3,0)</f>
        <v>#N/A</v>
      </c>
      <c r="X17" t="e">
        <f>VLOOKUP(Q17,A:O,12,0)</f>
        <v>#N/A</v>
      </c>
    </row>
    <row r="18" spans="1:24" x14ac:dyDescent="0.2">
      <c r="A18" s="2">
        <v>40005642</v>
      </c>
      <c r="B18" s="2" t="s">
        <v>1082</v>
      </c>
      <c r="C18" s="5" t="s">
        <v>6801</v>
      </c>
      <c r="D18" s="21">
        <v>3</v>
      </c>
      <c r="E18" s="21"/>
      <c r="F18" s="21" t="s">
        <v>10438</v>
      </c>
      <c r="G18" s="21"/>
      <c r="H18" s="54">
        <v>536</v>
      </c>
      <c r="I18" s="51"/>
      <c r="J18" s="27"/>
      <c r="K18" s="27"/>
      <c r="L18" s="15"/>
      <c r="M18" s="15"/>
      <c r="N18" s="4">
        <v>36</v>
      </c>
      <c r="O18" s="4">
        <v>32</v>
      </c>
      <c r="Q18" s="2" t="e">
        <f>VLOOKUP(R18,'[1]MAKITA MASTERSHEET'!$E:$G,3,0)</f>
        <v>#N/A</v>
      </c>
      <c r="R18" s="10"/>
      <c r="S18" s="2">
        <v>1</v>
      </c>
      <c r="T18" s="2" t="e">
        <f t="shared" si="2"/>
        <v>#N/A</v>
      </c>
      <c r="U18" s="2" t="e">
        <f t="shared" si="3"/>
        <v>#N/A</v>
      </c>
      <c r="V18" t="e">
        <f t="shared" si="4"/>
        <v>#N/A</v>
      </c>
      <c r="W18" t="e">
        <f>VLOOKUP(Q18,'[2]So R'!$B:$D,3,0)</f>
        <v>#N/A</v>
      </c>
      <c r="X18" t="e">
        <f>VLOOKUP(Q18,A:O,12,0)</f>
        <v>#N/A</v>
      </c>
    </row>
    <row r="19" spans="1:24" x14ac:dyDescent="0.2">
      <c r="A19" s="2">
        <v>40005581</v>
      </c>
      <c r="B19" s="2" t="s">
        <v>1031</v>
      </c>
      <c r="C19" s="5" t="s">
        <v>6757</v>
      </c>
      <c r="D19" s="21">
        <v>10</v>
      </c>
      <c r="E19" s="21"/>
      <c r="F19" s="21" t="s">
        <v>10438</v>
      </c>
      <c r="G19" s="21"/>
      <c r="H19" s="54">
        <v>85</v>
      </c>
      <c r="I19" s="51"/>
      <c r="J19" s="27"/>
      <c r="K19" s="27"/>
      <c r="L19" s="15"/>
      <c r="M19" s="15"/>
      <c r="N19" s="4" t="s">
        <v>4157</v>
      </c>
      <c r="O19" s="4"/>
      <c r="Q19" s="2" t="e">
        <f>VLOOKUP(R19,'[1]MAKITA MASTERSHEET'!$E:$G,3,0)</f>
        <v>#N/A</v>
      </c>
      <c r="R19" s="10"/>
      <c r="S19" s="2">
        <v>1</v>
      </c>
      <c r="T19" s="2" t="e">
        <f t="shared" si="2"/>
        <v>#N/A</v>
      </c>
      <c r="U19" s="2" t="e">
        <f t="shared" si="3"/>
        <v>#N/A</v>
      </c>
      <c r="V19" t="e">
        <f t="shared" si="4"/>
        <v>#N/A</v>
      </c>
      <c r="W19" t="e">
        <f>VLOOKUP(Q19,'[2]So R'!$B:$D,3,0)</f>
        <v>#N/A</v>
      </c>
      <c r="X19" t="e">
        <f>VLOOKUP(Q19,A:O,12,0)</f>
        <v>#N/A</v>
      </c>
    </row>
    <row r="20" spans="1:24" x14ac:dyDescent="0.2">
      <c r="A20" s="2">
        <v>40006710</v>
      </c>
      <c r="B20" s="2" t="s">
        <v>2022</v>
      </c>
      <c r="C20" s="5" t="s">
        <v>7733</v>
      </c>
      <c r="D20" s="21">
        <v>9</v>
      </c>
      <c r="E20" s="21"/>
      <c r="F20" s="21" t="s">
        <v>10438</v>
      </c>
      <c r="G20" s="21"/>
      <c r="H20" s="54">
        <v>20</v>
      </c>
      <c r="I20" s="51"/>
      <c r="J20" s="27"/>
      <c r="K20" s="27"/>
      <c r="L20" s="15"/>
      <c r="M20" s="15"/>
      <c r="N20" s="4"/>
      <c r="O20" s="4" t="s">
        <v>9514</v>
      </c>
      <c r="Q20" s="2" t="e">
        <f>VLOOKUP(R20,'[1]MAKITA MASTERSHEET'!$E:$G,3,0)</f>
        <v>#N/A</v>
      </c>
      <c r="R20" s="10"/>
      <c r="S20" s="2">
        <v>1</v>
      </c>
      <c r="T20" s="2" t="e">
        <f t="shared" si="2"/>
        <v>#N/A</v>
      </c>
      <c r="U20" s="2" t="e">
        <f t="shared" si="3"/>
        <v>#N/A</v>
      </c>
      <c r="V20" t="e">
        <f t="shared" si="4"/>
        <v>#N/A</v>
      </c>
      <c r="W20" t="e">
        <f>VLOOKUP(Q20,'[2]So R'!$B:$D,3,0)</f>
        <v>#N/A</v>
      </c>
      <c r="X20" t="e">
        <f>VLOOKUP(Q20,A:O,12,0)</f>
        <v>#N/A</v>
      </c>
    </row>
    <row r="21" spans="1:24" x14ac:dyDescent="0.2">
      <c r="A21" s="2">
        <v>10018807</v>
      </c>
      <c r="B21" s="7" t="s">
        <v>322</v>
      </c>
      <c r="C21" s="5" t="s">
        <v>5904</v>
      </c>
      <c r="D21" s="21">
        <v>1</v>
      </c>
      <c r="E21" s="21"/>
      <c r="F21" s="21" t="s">
        <v>10438</v>
      </c>
      <c r="G21" s="21"/>
      <c r="H21" s="54">
        <v>215</v>
      </c>
      <c r="I21" s="51"/>
      <c r="J21" s="27"/>
      <c r="K21" s="27"/>
      <c r="L21" s="15"/>
      <c r="M21" s="15"/>
      <c r="N21" s="4"/>
      <c r="O21" s="4"/>
      <c r="Q21" s="2" t="e">
        <f>VLOOKUP(R21,'[1]MAKITA MASTERSHEET'!$E:$G,3,0)</f>
        <v>#N/A</v>
      </c>
      <c r="R21" s="10"/>
      <c r="S21" s="2">
        <v>1</v>
      </c>
      <c r="T21" s="2" t="e">
        <f t="shared" si="2"/>
        <v>#N/A</v>
      </c>
      <c r="U21" s="2" t="e">
        <f t="shared" si="3"/>
        <v>#N/A</v>
      </c>
      <c r="V21" t="e">
        <f t="shared" si="4"/>
        <v>#N/A</v>
      </c>
      <c r="W21" t="e">
        <f>VLOOKUP(Q21,'[2]So R'!$B:$D,3,0)</f>
        <v>#N/A</v>
      </c>
      <c r="X21" t="e">
        <f>VLOOKUP(Q21,A:O,12,0)</f>
        <v>#N/A</v>
      </c>
    </row>
    <row r="22" spans="1:24" x14ac:dyDescent="0.2">
      <c r="A22" s="2">
        <v>10018810</v>
      </c>
      <c r="B22" s="2" t="s">
        <v>325</v>
      </c>
      <c r="C22" s="5" t="s">
        <v>5907</v>
      </c>
      <c r="D22" s="21">
        <v>3</v>
      </c>
      <c r="E22" s="21"/>
      <c r="F22" s="21" t="s">
        <v>10438</v>
      </c>
      <c r="G22" s="21"/>
      <c r="H22" s="54">
        <v>215</v>
      </c>
      <c r="I22" s="51"/>
      <c r="J22" s="27"/>
      <c r="K22" s="27"/>
      <c r="L22" s="15"/>
      <c r="M22" s="15"/>
      <c r="N22" s="4"/>
      <c r="O22" s="4"/>
      <c r="Q22" s="2" t="e">
        <f>VLOOKUP(R22,'[1]MAKITA MASTERSHEET'!$E:$G,3,0)</f>
        <v>#N/A</v>
      </c>
      <c r="R22" s="10"/>
      <c r="S22" s="2">
        <v>1</v>
      </c>
      <c r="T22" s="2" t="e">
        <f t="shared" si="2"/>
        <v>#N/A</v>
      </c>
      <c r="U22" s="2" t="e">
        <f t="shared" si="3"/>
        <v>#N/A</v>
      </c>
      <c r="V22" t="e">
        <f t="shared" si="4"/>
        <v>#N/A</v>
      </c>
      <c r="W22" t="e">
        <f>VLOOKUP(Q22,'[2]So R'!$B:$D,3,0)</f>
        <v>#N/A</v>
      </c>
      <c r="X22" t="e">
        <f>VLOOKUP(Q22,A:O,12,0)</f>
        <v>#N/A</v>
      </c>
    </row>
    <row r="23" spans="1:24" x14ac:dyDescent="0.2">
      <c r="A23" s="2">
        <v>10018813</v>
      </c>
      <c r="B23" s="2" t="s">
        <v>328</v>
      </c>
      <c r="C23" s="5" t="s">
        <v>5910</v>
      </c>
      <c r="D23" s="21">
        <v>3</v>
      </c>
      <c r="E23" s="21"/>
      <c r="F23" s="21" t="s">
        <v>10438</v>
      </c>
      <c r="G23" s="21"/>
      <c r="H23" s="54">
        <v>215</v>
      </c>
      <c r="I23" s="51"/>
      <c r="J23" s="27"/>
      <c r="K23" s="27"/>
      <c r="L23" s="15"/>
      <c r="M23" s="15"/>
      <c r="N23" s="4"/>
      <c r="O23" s="4"/>
      <c r="Q23" s="2" t="e">
        <f>VLOOKUP(R23,'[1]MAKITA MASTERSHEET'!$E:$G,3,0)</f>
        <v>#N/A</v>
      </c>
      <c r="R23" s="10"/>
      <c r="S23" s="2">
        <v>1</v>
      </c>
      <c r="T23" s="2" t="e">
        <f t="shared" si="2"/>
        <v>#N/A</v>
      </c>
      <c r="U23" s="2" t="e">
        <f t="shared" si="3"/>
        <v>#N/A</v>
      </c>
      <c r="V23" t="e">
        <f t="shared" si="4"/>
        <v>#N/A</v>
      </c>
      <c r="W23" t="e">
        <f>VLOOKUP(Q23,'[2]So R'!$B:$D,3,0)</f>
        <v>#N/A</v>
      </c>
      <c r="X23" t="e">
        <f>VLOOKUP(Q23,A:O,12,0)</f>
        <v>#N/A</v>
      </c>
    </row>
    <row r="24" spans="1:24" x14ac:dyDescent="0.2">
      <c r="A24" s="2">
        <v>10018809</v>
      </c>
      <c r="B24" s="2" t="s">
        <v>324</v>
      </c>
      <c r="C24" s="5" t="s">
        <v>5906</v>
      </c>
      <c r="D24" s="21">
        <v>1</v>
      </c>
      <c r="E24" s="21"/>
      <c r="F24" s="21" t="s">
        <v>10438</v>
      </c>
      <c r="G24" s="21"/>
      <c r="H24" s="54">
        <v>215</v>
      </c>
      <c r="I24" s="51"/>
      <c r="J24" s="27"/>
      <c r="K24" s="27"/>
      <c r="L24" s="15"/>
      <c r="M24" s="15"/>
      <c r="N24" s="4"/>
      <c r="O24" s="4"/>
      <c r="Q24" s="2" t="e">
        <f>VLOOKUP(R24,'[1]MAKITA MASTERSHEET'!$E:$G,3,0)</f>
        <v>#N/A</v>
      </c>
      <c r="R24" s="10"/>
      <c r="S24" s="2">
        <v>1</v>
      </c>
      <c r="T24" s="2" t="e">
        <f t="shared" si="2"/>
        <v>#N/A</v>
      </c>
      <c r="U24" s="2" t="e">
        <f t="shared" si="3"/>
        <v>#N/A</v>
      </c>
      <c r="V24" t="e">
        <f t="shared" si="4"/>
        <v>#N/A</v>
      </c>
      <c r="W24" t="e">
        <f>VLOOKUP(Q24,'[2]So R'!$B:$D,3,0)</f>
        <v>#N/A</v>
      </c>
      <c r="X24" t="e">
        <f>VLOOKUP(Q24,A:O,12,0)</f>
        <v>#N/A</v>
      </c>
    </row>
    <row r="25" spans="1:24" x14ac:dyDescent="0.2">
      <c r="A25" s="2">
        <v>10018812</v>
      </c>
      <c r="B25" s="2" t="s">
        <v>327</v>
      </c>
      <c r="C25" s="5" t="s">
        <v>5909</v>
      </c>
      <c r="D25" s="21">
        <v>1</v>
      </c>
      <c r="E25" s="21"/>
      <c r="F25" s="21" t="s">
        <v>10438</v>
      </c>
      <c r="G25" s="21"/>
      <c r="H25" s="54">
        <v>215</v>
      </c>
      <c r="I25" s="51"/>
      <c r="J25" s="27"/>
      <c r="K25" s="27"/>
      <c r="L25" s="15"/>
      <c r="M25" s="15"/>
      <c r="N25" s="4"/>
      <c r="O25" s="4"/>
      <c r="Q25" s="2" t="e">
        <f>VLOOKUP(R25,'[1]MAKITA MASTERSHEET'!$E:$G,3,0)</f>
        <v>#N/A</v>
      </c>
      <c r="R25" s="10"/>
      <c r="S25" s="2">
        <v>1</v>
      </c>
      <c r="T25" s="2" t="e">
        <f t="shared" si="2"/>
        <v>#N/A</v>
      </c>
      <c r="U25" s="2" t="e">
        <f t="shared" si="3"/>
        <v>#N/A</v>
      </c>
      <c r="V25" t="e">
        <f t="shared" si="4"/>
        <v>#N/A</v>
      </c>
      <c r="W25" t="e">
        <f>VLOOKUP(Q25,'[2]So R'!$B:$D,3,0)</f>
        <v>#N/A</v>
      </c>
      <c r="X25" t="e">
        <f>VLOOKUP(Q25,A:O,12,0)</f>
        <v>#N/A</v>
      </c>
    </row>
    <row r="26" spans="1:24" x14ac:dyDescent="0.2">
      <c r="A26" s="2">
        <v>10018805</v>
      </c>
      <c r="B26" s="2" t="s">
        <v>321</v>
      </c>
      <c r="C26" s="5" t="s">
        <v>5903</v>
      </c>
      <c r="D26" s="21">
        <v>3</v>
      </c>
      <c r="E26" s="21"/>
      <c r="F26" s="21" t="s">
        <v>10438</v>
      </c>
      <c r="G26" s="21"/>
      <c r="H26" s="54">
        <v>215</v>
      </c>
      <c r="I26" s="51"/>
      <c r="J26" s="27"/>
      <c r="K26" s="27"/>
      <c r="L26" s="15"/>
      <c r="M26" s="15"/>
      <c r="N26" s="4"/>
      <c r="O26" s="4"/>
      <c r="Q26" s="2" t="e">
        <f>VLOOKUP(R26,'[1]MAKITA MASTERSHEET'!$E:$G,3,0)</f>
        <v>#N/A</v>
      </c>
      <c r="R26" s="10"/>
      <c r="S26" s="2">
        <v>1</v>
      </c>
      <c r="T26" s="2" t="e">
        <f t="shared" si="2"/>
        <v>#N/A</v>
      </c>
      <c r="U26" s="2" t="e">
        <f t="shared" si="3"/>
        <v>#N/A</v>
      </c>
      <c r="V26" t="e">
        <f t="shared" si="4"/>
        <v>#N/A</v>
      </c>
      <c r="W26" t="e">
        <f>VLOOKUP(Q26,'[2]So R'!$B:$D,3,0)</f>
        <v>#N/A</v>
      </c>
      <c r="X26" t="e">
        <f>VLOOKUP(Q26,A:O,12,0)</f>
        <v>#N/A</v>
      </c>
    </row>
    <row r="27" spans="1:24" ht="14.25" x14ac:dyDescent="0.2">
      <c r="A27" s="2">
        <v>10018808</v>
      </c>
      <c r="B27" s="2" t="s">
        <v>323</v>
      </c>
      <c r="C27" s="5" t="s">
        <v>5905</v>
      </c>
      <c r="D27" s="21">
        <v>3</v>
      </c>
      <c r="E27" s="21"/>
      <c r="F27" s="21" t="s">
        <v>10438</v>
      </c>
      <c r="G27" s="21"/>
      <c r="H27" s="54">
        <v>215</v>
      </c>
      <c r="I27" s="51"/>
      <c r="J27" s="27"/>
      <c r="K27" s="27"/>
      <c r="L27" s="15"/>
      <c r="M27" s="15"/>
      <c r="N27" s="4"/>
      <c r="O27" s="4"/>
      <c r="Q27" s="2" t="e">
        <f>VLOOKUP(R27,'[1]MAKITA MASTERSHEET'!$E:$G,3,0)</f>
        <v>#N/A</v>
      </c>
      <c r="R27" s="35"/>
      <c r="S27" s="2">
        <v>1</v>
      </c>
      <c r="T27" s="2" t="e">
        <f t="shared" si="2"/>
        <v>#N/A</v>
      </c>
      <c r="U27" s="2" t="e">
        <f t="shared" si="3"/>
        <v>#N/A</v>
      </c>
      <c r="V27" t="e">
        <f>SUM(V15:V26)</f>
        <v>#N/A</v>
      </c>
      <c r="W27" t="e">
        <f>VLOOKUP(Q27,'[2]So R'!$B:$D,3,0)</f>
        <v>#N/A</v>
      </c>
      <c r="X27" t="e">
        <f>VLOOKUP(Q27,A:O,12,0)</f>
        <v>#N/A</v>
      </c>
    </row>
    <row r="28" spans="1:24" ht="14.25" x14ac:dyDescent="0.2">
      <c r="A28" s="2">
        <v>10018811</v>
      </c>
      <c r="B28" s="2" t="s">
        <v>326</v>
      </c>
      <c r="C28" s="5" t="s">
        <v>5908</v>
      </c>
      <c r="D28" s="21">
        <v>2</v>
      </c>
      <c r="E28" s="21"/>
      <c r="F28" s="21" t="s">
        <v>10438</v>
      </c>
      <c r="G28" s="21"/>
      <c r="H28" s="54">
        <v>215</v>
      </c>
      <c r="I28" s="51"/>
      <c r="J28" s="27"/>
      <c r="K28" s="27"/>
      <c r="L28" s="15"/>
      <c r="M28" s="15"/>
      <c r="N28" s="4"/>
      <c r="O28" s="4"/>
      <c r="Q28" s="2" t="e">
        <f>VLOOKUP(R28,'[1]MAKITA MASTERSHEET'!$E:$G,3,0)</f>
        <v>#N/A</v>
      </c>
      <c r="R28" s="35"/>
      <c r="S28" s="2">
        <v>1</v>
      </c>
      <c r="T28" s="2" t="e">
        <f t="shared" si="2"/>
        <v>#N/A</v>
      </c>
      <c r="U28" s="2" t="e">
        <f t="shared" si="3"/>
        <v>#N/A</v>
      </c>
    </row>
    <row r="29" spans="1:24" ht="14.25" x14ac:dyDescent="0.2">
      <c r="A29" s="2">
        <v>10018814</v>
      </c>
      <c r="B29" s="2" t="s">
        <v>329</v>
      </c>
      <c r="C29" s="5" t="s">
        <v>5911</v>
      </c>
      <c r="D29" s="21">
        <v>1</v>
      </c>
      <c r="E29" s="21"/>
      <c r="F29" s="21" t="s">
        <v>10438</v>
      </c>
      <c r="G29" s="21"/>
      <c r="H29" s="54">
        <v>215</v>
      </c>
      <c r="I29" s="51"/>
      <c r="J29" s="27"/>
      <c r="K29" s="27"/>
      <c r="L29" s="15"/>
      <c r="M29" s="15"/>
      <c r="N29" s="4"/>
      <c r="O29" s="4"/>
      <c r="Q29" s="2" t="e">
        <f>VLOOKUP(R29,'[1]MAKITA MASTERSHEET'!$E:$G,3,0)</f>
        <v>#N/A</v>
      </c>
      <c r="R29" s="35"/>
      <c r="S29" s="2">
        <v>1</v>
      </c>
      <c r="T29" s="2" t="e">
        <f t="shared" si="2"/>
        <v>#N/A</v>
      </c>
    </row>
    <row r="30" spans="1:24" ht="14.25" x14ac:dyDescent="0.2">
      <c r="A30" s="2">
        <v>40005945</v>
      </c>
      <c r="B30" s="2" t="s">
        <v>1352</v>
      </c>
      <c r="C30" s="5" t="s">
        <v>7058</v>
      </c>
      <c r="D30" s="21">
        <v>23</v>
      </c>
      <c r="E30" s="21"/>
      <c r="F30" s="21" t="s">
        <v>10438</v>
      </c>
      <c r="G30" s="21"/>
      <c r="H30" s="54">
        <v>14</v>
      </c>
      <c r="I30" s="51"/>
      <c r="J30" s="27"/>
      <c r="K30" s="27"/>
      <c r="L30" s="15"/>
      <c r="M30" s="15"/>
      <c r="N30" s="4" t="s">
        <v>4332</v>
      </c>
      <c r="O30" s="4"/>
      <c r="Q30" s="2" t="e">
        <f>VLOOKUP(R30,'[1]MAKITA MASTERSHEET'!$E:$G,3,0)</f>
        <v>#N/A</v>
      </c>
      <c r="R30" s="35"/>
      <c r="S30" s="2">
        <v>1</v>
      </c>
    </row>
    <row r="31" spans="1:24" ht="14.25" x14ac:dyDescent="0.2">
      <c r="A31" s="2">
        <v>40007956</v>
      </c>
      <c r="B31" s="2" t="s">
        <v>3106</v>
      </c>
      <c r="C31" s="5" t="s">
        <v>8801</v>
      </c>
      <c r="D31" s="21">
        <v>4</v>
      </c>
      <c r="E31" s="21"/>
      <c r="F31" s="21" t="s">
        <v>10438</v>
      </c>
      <c r="G31" s="21"/>
      <c r="H31" s="54">
        <v>332</v>
      </c>
      <c r="I31" s="51"/>
      <c r="J31" s="27"/>
      <c r="K31" s="27"/>
      <c r="L31" s="15"/>
      <c r="M31" s="15"/>
      <c r="N31" s="4">
        <v>82</v>
      </c>
      <c r="O31" s="4" t="s">
        <v>10313</v>
      </c>
      <c r="Q31" s="2" t="e">
        <f>VLOOKUP(R31,'[1]MAKITA MASTERSHEET'!$E:$G,3,0)</f>
        <v>#N/A</v>
      </c>
      <c r="R31" s="35"/>
      <c r="S31" s="2">
        <v>1</v>
      </c>
    </row>
    <row r="32" spans="1:24" ht="14.25" x14ac:dyDescent="0.2">
      <c r="A32" s="2">
        <v>40006181</v>
      </c>
      <c r="B32" s="2" t="s">
        <v>1566</v>
      </c>
      <c r="C32" s="5" t="s">
        <v>7273</v>
      </c>
      <c r="D32" s="21">
        <v>5</v>
      </c>
      <c r="E32" s="21"/>
      <c r="F32" s="21" t="s">
        <v>10438</v>
      </c>
      <c r="G32" s="21"/>
      <c r="H32" s="54">
        <v>107</v>
      </c>
      <c r="I32" s="51"/>
      <c r="J32" s="27"/>
      <c r="K32" s="27"/>
      <c r="L32" s="15"/>
      <c r="M32" s="15"/>
      <c r="N32" s="4" t="s">
        <v>4456</v>
      </c>
      <c r="O32" s="4"/>
      <c r="Q32" s="2" t="e">
        <f>VLOOKUP(R32,'[1]MAKITA MASTERSHEET'!$E:$G,3,0)</f>
        <v>#N/A</v>
      </c>
      <c r="R32" s="35"/>
      <c r="S32" s="2">
        <v>1</v>
      </c>
      <c r="W32" s="6"/>
    </row>
    <row r="33" spans="1:23" ht="14.25" x14ac:dyDescent="0.2">
      <c r="A33" s="2">
        <v>40006150</v>
      </c>
      <c r="B33" s="2" t="s">
        <v>1541</v>
      </c>
      <c r="C33" s="5" t="s">
        <v>7245</v>
      </c>
      <c r="D33" s="21">
        <v>7</v>
      </c>
      <c r="E33" s="21"/>
      <c r="F33" s="21" t="s">
        <v>10438</v>
      </c>
      <c r="G33" s="21"/>
      <c r="H33" s="54">
        <v>278</v>
      </c>
      <c r="I33" s="51"/>
      <c r="J33" s="27"/>
      <c r="K33" s="27"/>
      <c r="L33" s="15"/>
      <c r="M33" s="15"/>
      <c r="N33" s="4" t="s">
        <v>3985</v>
      </c>
      <c r="O33" s="4" t="s">
        <v>10218</v>
      </c>
      <c r="Q33" s="2" t="e">
        <f>VLOOKUP(R33,'[1]MAKITA MASTERSHEET'!$E:$G,3,0)</f>
        <v>#N/A</v>
      </c>
      <c r="R33" s="35"/>
      <c r="W33" s="6"/>
    </row>
    <row r="34" spans="1:23" x14ac:dyDescent="0.2">
      <c r="A34" s="2">
        <v>40007953</v>
      </c>
      <c r="B34" s="2" t="s">
        <v>3103</v>
      </c>
      <c r="C34" s="5" t="s">
        <v>8798</v>
      </c>
      <c r="D34" s="21">
        <v>9</v>
      </c>
      <c r="E34" s="21"/>
      <c r="F34" s="21" t="s">
        <v>10438</v>
      </c>
      <c r="G34" s="21"/>
      <c r="H34" s="54">
        <v>2420</v>
      </c>
      <c r="I34" s="51"/>
      <c r="J34" s="27"/>
      <c r="K34" s="27"/>
      <c r="L34" s="15"/>
      <c r="M34" s="15"/>
      <c r="N34" s="4"/>
      <c r="O34" s="4" t="s">
        <v>10232</v>
      </c>
      <c r="Q34" s="7"/>
      <c r="R34" s="2"/>
      <c r="W34" s="6"/>
    </row>
    <row r="35" spans="1:23" x14ac:dyDescent="0.2">
      <c r="A35" s="2">
        <v>10019095</v>
      </c>
      <c r="B35" s="2" t="s">
        <v>427</v>
      </c>
      <c r="C35" s="5" t="s">
        <v>6029</v>
      </c>
      <c r="D35" s="21">
        <v>3</v>
      </c>
      <c r="E35" s="21"/>
      <c r="F35" s="21" t="s">
        <v>10438</v>
      </c>
      <c r="G35" s="21"/>
      <c r="H35" s="54">
        <v>159</v>
      </c>
      <c r="I35" s="51"/>
      <c r="J35" s="27"/>
      <c r="K35" s="27"/>
      <c r="L35" s="15"/>
      <c r="M35" s="15"/>
      <c r="N35" s="4">
        <v>54</v>
      </c>
      <c r="O35" s="4"/>
      <c r="Q35" s="7"/>
      <c r="R35" s="2"/>
      <c r="W35" s="6"/>
    </row>
    <row r="36" spans="1:23" x14ac:dyDescent="0.2">
      <c r="A36" s="2">
        <v>40005640</v>
      </c>
      <c r="B36" s="2" t="s">
        <v>1080</v>
      </c>
      <c r="C36" s="5" t="s">
        <v>6799</v>
      </c>
      <c r="D36" s="21">
        <v>2</v>
      </c>
      <c r="E36" s="21"/>
      <c r="F36" s="21" t="s">
        <v>10438</v>
      </c>
      <c r="G36" s="21"/>
      <c r="H36" s="54">
        <v>251</v>
      </c>
      <c r="I36" s="51"/>
      <c r="J36" s="27"/>
      <c r="K36" s="27"/>
      <c r="L36" s="15"/>
      <c r="M36" s="15"/>
      <c r="N36" s="4" t="s">
        <v>4184</v>
      </c>
      <c r="O36" s="4"/>
      <c r="W36" s="6"/>
    </row>
    <row r="37" spans="1:23" x14ac:dyDescent="0.2">
      <c r="A37" s="2">
        <v>40005943</v>
      </c>
      <c r="B37" s="2" t="s">
        <v>1350</v>
      </c>
      <c r="C37" s="5" t="s">
        <v>7056</v>
      </c>
      <c r="D37" s="21">
        <v>5</v>
      </c>
      <c r="E37" s="21"/>
      <c r="F37" s="21" t="s">
        <v>10438</v>
      </c>
      <c r="G37" s="21"/>
      <c r="H37" s="54">
        <v>216</v>
      </c>
      <c r="I37" s="51"/>
      <c r="J37" s="27"/>
      <c r="K37" s="27"/>
      <c r="L37" s="15"/>
      <c r="M37" s="15"/>
      <c r="N37" s="4"/>
      <c r="O37" s="4" t="s">
        <v>10314</v>
      </c>
    </row>
    <row r="38" spans="1:23" x14ac:dyDescent="0.2">
      <c r="A38" s="2">
        <v>40007954</v>
      </c>
      <c r="B38" s="2" t="s">
        <v>3104</v>
      </c>
      <c r="C38" s="5" t="s">
        <v>8799</v>
      </c>
      <c r="D38" s="21">
        <v>2</v>
      </c>
      <c r="E38" s="21"/>
      <c r="F38" s="21" t="s">
        <v>10438</v>
      </c>
      <c r="G38" s="21"/>
      <c r="H38" s="54">
        <v>133</v>
      </c>
      <c r="I38" s="51"/>
      <c r="J38" s="27"/>
      <c r="K38" s="27"/>
      <c r="L38" s="15"/>
      <c r="M38" s="15"/>
      <c r="N38" s="4" t="s">
        <v>5146</v>
      </c>
      <c r="O38" s="4"/>
    </row>
    <row r="39" spans="1:23" x14ac:dyDescent="0.2">
      <c r="A39" s="2">
        <v>40006708</v>
      </c>
      <c r="B39" s="2" t="s">
        <v>2020</v>
      </c>
      <c r="C39" s="5" t="s">
        <v>7731</v>
      </c>
      <c r="D39" s="21">
        <v>12</v>
      </c>
      <c r="E39" s="21"/>
      <c r="F39" s="21" t="s">
        <v>10438</v>
      </c>
      <c r="G39" s="21"/>
      <c r="H39" s="54">
        <v>97</v>
      </c>
      <c r="I39" s="51"/>
      <c r="J39" s="27"/>
      <c r="K39" s="27"/>
      <c r="L39" s="15"/>
      <c r="M39" s="15"/>
      <c r="N39" s="4" t="s">
        <v>4656</v>
      </c>
      <c r="O39" s="4"/>
    </row>
    <row r="40" spans="1:23" x14ac:dyDescent="0.2">
      <c r="A40" s="2">
        <v>40006148</v>
      </c>
      <c r="B40" s="2" t="s">
        <v>1539</v>
      </c>
      <c r="C40" s="5" t="s">
        <v>7243</v>
      </c>
      <c r="D40" s="21">
        <v>2</v>
      </c>
      <c r="E40" s="21"/>
      <c r="F40" s="21" t="s">
        <v>10438</v>
      </c>
      <c r="G40" s="21"/>
      <c r="H40" s="54">
        <v>505</v>
      </c>
      <c r="I40" s="51"/>
      <c r="J40" s="27"/>
      <c r="K40" s="27"/>
      <c r="L40" s="15"/>
      <c r="M40" s="15"/>
      <c r="N40" s="4"/>
      <c r="O40" s="4">
        <v>39</v>
      </c>
    </row>
    <row r="41" spans="1:23" x14ac:dyDescent="0.2">
      <c r="A41" s="2">
        <v>40007955</v>
      </c>
      <c r="B41" s="2" t="s">
        <v>3105</v>
      </c>
      <c r="C41" s="5" t="s">
        <v>8800</v>
      </c>
      <c r="D41" s="21">
        <v>2</v>
      </c>
      <c r="E41" s="21"/>
      <c r="F41" s="21" t="s">
        <v>10438</v>
      </c>
      <c r="G41" s="21"/>
      <c r="H41" s="54">
        <v>118</v>
      </c>
      <c r="I41" s="51"/>
      <c r="J41" s="27"/>
      <c r="K41" s="27"/>
      <c r="L41" s="15"/>
      <c r="M41" s="15"/>
      <c r="N41" s="4" t="s">
        <v>5147</v>
      </c>
      <c r="O41" s="4"/>
    </row>
    <row r="42" spans="1:23" x14ac:dyDescent="0.2">
      <c r="A42" s="2">
        <v>40006151</v>
      </c>
      <c r="B42" s="2" t="s">
        <v>1542</v>
      </c>
      <c r="C42" s="5" t="s">
        <v>7246</v>
      </c>
      <c r="D42" s="21">
        <v>4</v>
      </c>
      <c r="E42" s="21"/>
      <c r="F42" s="21" t="s">
        <v>10438</v>
      </c>
      <c r="G42" s="21"/>
      <c r="H42" s="54">
        <v>44</v>
      </c>
      <c r="I42" s="51"/>
      <c r="J42" s="27"/>
      <c r="K42" s="27"/>
      <c r="L42" s="15"/>
      <c r="M42" s="15"/>
      <c r="N42" s="4"/>
      <c r="O42" s="4">
        <v>87</v>
      </c>
    </row>
    <row r="43" spans="1:23" x14ac:dyDescent="0.2">
      <c r="A43" s="2">
        <v>40005651</v>
      </c>
      <c r="B43" s="2" t="s">
        <v>1090</v>
      </c>
      <c r="C43" s="5" t="s">
        <v>6809</v>
      </c>
      <c r="D43" s="21">
        <v>1</v>
      </c>
      <c r="E43" s="21"/>
      <c r="F43" s="21" t="s">
        <v>10438</v>
      </c>
      <c r="G43" s="21"/>
      <c r="H43" s="54">
        <v>46</v>
      </c>
      <c r="I43" s="51"/>
      <c r="J43" s="27"/>
      <c r="K43" s="27"/>
      <c r="L43" s="15"/>
      <c r="M43" s="15"/>
      <c r="N43" s="4" t="s">
        <v>4192</v>
      </c>
      <c r="O43" s="4"/>
    </row>
    <row r="44" spans="1:23" x14ac:dyDescent="0.2">
      <c r="A44" s="2">
        <v>40006149</v>
      </c>
      <c r="B44" s="2" t="s">
        <v>1540</v>
      </c>
      <c r="C44" s="5" t="s">
        <v>7244</v>
      </c>
      <c r="D44" s="21">
        <v>1</v>
      </c>
      <c r="E44" s="21"/>
      <c r="F44" s="21" t="s">
        <v>10438</v>
      </c>
      <c r="G44" s="21"/>
      <c r="H44" s="54">
        <v>105</v>
      </c>
      <c r="I44" s="51"/>
      <c r="J44" s="27"/>
      <c r="K44" s="27"/>
      <c r="L44" s="15"/>
      <c r="M44" s="15"/>
      <c r="N44" s="4"/>
      <c r="O44" s="4">
        <v>21</v>
      </c>
    </row>
    <row r="45" spans="1:23" x14ac:dyDescent="0.2">
      <c r="A45" s="2">
        <v>40006147</v>
      </c>
      <c r="B45" s="2" t="s">
        <v>1538</v>
      </c>
      <c r="C45" s="5" t="s">
        <v>7242</v>
      </c>
      <c r="D45" s="21">
        <v>1</v>
      </c>
      <c r="E45" s="21"/>
      <c r="F45" s="21" t="s">
        <v>10438</v>
      </c>
      <c r="G45" s="21"/>
      <c r="H45" s="54">
        <v>105</v>
      </c>
      <c r="I45" s="51"/>
      <c r="J45" s="27"/>
      <c r="K45" s="27"/>
      <c r="L45" s="15"/>
      <c r="M45" s="15"/>
      <c r="N45" s="4"/>
      <c r="O45" s="4">
        <v>75</v>
      </c>
    </row>
    <row r="46" spans="1:23" x14ac:dyDescent="0.2">
      <c r="A46" s="2">
        <v>10019352</v>
      </c>
      <c r="B46" s="2" t="s">
        <v>502</v>
      </c>
      <c r="C46" s="5" t="s">
        <v>6120</v>
      </c>
      <c r="D46" s="21">
        <v>43</v>
      </c>
      <c r="E46" s="21"/>
      <c r="F46" s="21" t="s">
        <v>10438</v>
      </c>
      <c r="G46" s="21"/>
      <c r="H46" s="54">
        <v>111</v>
      </c>
      <c r="I46" s="51"/>
      <c r="J46" s="27"/>
      <c r="K46" s="27"/>
      <c r="L46" s="15"/>
      <c r="M46" s="15">
        <v>20</v>
      </c>
      <c r="N46" s="4">
        <v>60</v>
      </c>
      <c r="O46" s="4"/>
    </row>
    <row r="47" spans="1:23" x14ac:dyDescent="0.2">
      <c r="A47" s="2">
        <v>40006709</v>
      </c>
      <c r="B47" s="2" t="s">
        <v>2021</v>
      </c>
      <c r="C47" s="5" t="s">
        <v>7732</v>
      </c>
      <c r="D47" s="21">
        <v>5</v>
      </c>
      <c r="E47" s="21"/>
      <c r="F47" s="21" t="s">
        <v>10438</v>
      </c>
      <c r="G47" s="21"/>
      <c r="H47" s="54">
        <v>104</v>
      </c>
      <c r="I47" s="51"/>
      <c r="J47" s="27"/>
      <c r="K47" s="27"/>
      <c r="L47" s="15"/>
      <c r="M47" s="15"/>
      <c r="N47" s="4"/>
      <c r="O47" s="4">
        <v>78</v>
      </c>
    </row>
    <row r="48" spans="1:23" x14ac:dyDescent="0.2">
      <c r="A48" s="2">
        <v>40006179</v>
      </c>
      <c r="B48" s="2" t="s">
        <v>1564</v>
      </c>
      <c r="C48" s="5" t="s">
        <v>7271</v>
      </c>
      <c r="D48" s="21">
        <v>2</v>
      </c>
      <c r="E48" s="21"/>
      <c r="F48" s="21" t="s">
        <v>10438</v>
      </c>
      <c r="G48" s="21"/>
      <c r="H48" s="54">
        <v>19</v>
      </c>
      <c r="I48" s="51"/>
      <c r="J48" s="27"/>
      <c r="K48" s="27"/>
      <c r="L48" s="15"/>
      <c r="M48" s="15"/>
      <c r="N48" s="4" t="s">
        <v>4454</v>
      </c>
      <c r="O48" s="4"/>
    </row>
    <row r="49" spans="1:15" x14ac:dyDescent="0.2">
      <c r="A49" s="2">
        <v>10019552</v>
      </c>
      <c r="B49" s="2" t="s">
        <v>541</v>
      </c>
      <c r="C49" s="5" t="s">
        <v>6164</v>
      </c>
      <c r="D49" s="21"/>
      <c r="E49" s="21"/>
      <c r="F49" s="21" t="s">
        <v>10438</v>
      </c>
      <c r="G49" s="21"/>
      <c r="H49" s="54">
        <v>185</v>
      </c>
      <c r="I49" s="51"/>
      <c r="J49" s="27"/>
      <c r="K49" s="27"/>
      <c r="L49" s="15">
        <v>20</v>
      </c>
      <c r="M49" s="15">
        <v>10</v>
      </c>
      <c r="N49" s="4">
        <v>81</v>
      </c>
      <c r="O49" s="4"/>
    </row>
    <row r="50" spans="1:15" x14ac:dyDescent="0.2">
      <c r="A50" s="2">
        <v>40007952</v>
      </c>
      <c r="B50" s="2" t="s">
        <v>3102</v>
      </c>
      <c r="C50" s="5" t="s">
        <v>8797</v>
      </c>
      <c r="D50" s="21">
        <v>1</v>
      </c>
      <c r="E50" s="21"/>
      <c r="F50" s="21" t="s">
        <v>10438</v>
      </c>
      <c r="G50" s="21"/>
      <c r="H50" s="54">
        <v>8</v>
      </c>
      <c r="I50" s="51"/>
      <c r="J50" s="27"/>
      <c r="K50" s="27"/>
      <c r="L50" s="15"/>
      <c r="M50" s="15"/>
      <c r="N50" s="4" t="s">
        <v>4614</v>
      </c>
      <c r="O50" s="4"/>
    </row>
    <row r="51" spans="1:15" x14ac:dyDescent="0.2">
      <c r="A51" s="2">
        <v>40007856</v>
      </c>
      <c r="B51" s="2" t="s">
        <v>3013</v>
      </c>
      <c r="C51" s="5" t="s">
        <v>8713</v>
      </c>
      <c r="D51" s="21">
        <v>7</v>
      </c>
      <c r="E51" s="21"/>
      <c r="F51" s="21" t="s">
        <v>10438</v>
      </c>
      <c r="G51" s="21"/>
      <c r="H51" s="54">
        <v>31</v>
      </c>
      <c r="I51" s="51"/>
      <c r="J51" s="27"/>
      <c r="K51" s="27"/>
      <c r="L51" s="15"/>
      <c r="M51" s="15"/>
      <c r="N51" s="4" t="s">
        <v>4293</v>
      </c>
      <c r="O51" s="4"/>
    </row>
    <row r="52" spans="1:15" x14ac:dyDescent="0.2">
      <c r="A52" s="2">
        <v>40011196</v>
      </c>
      <c r="B52" s="2" t="s">
        <v>3766</v>
      </c>
      <c r="C52" s="5" t="s">
        <v>9341</v>
      </c>
      <c r="D52" s="21">
        <v>16</v>
      </c>
      <c r="E52" s="21"/>
      <c r="F52" s="21" t="s">
        <v>10438</v>
      </c>
      <c r="G52" s="21"/>
      <c r="H52" s="54">
        <v>4</v>
      </c>
      <c r="I52" s="51"/>
      <c r="J52" s="27"/>
      <c r="K52" s="27"/>
      <c r="L52" s="15"/>
      <c r="M52" s="15"/>
      <c r="N52" s="4" t="s">
        <v>4504</v>
      </c>
      <c r="O52" s="4"/>
    </row>
    <row r="53" spans="1:15" x14ac:dyDescent="0.2">
      <c r="A53" s="2">
        <v>40006670</v>
      </c>
      <c r="B53" s="2" t="s">
        <v>1994</v>
      </c>
      <c r="C53" s="5" t="s">
        <v>7703</v>
      </c>
      <c r="D53" s="21">
        <v>27</v>
      </c>
      <c r="E53" s="21"/>
      <c r="F53" s="21" t="s">
        <v>10438</v>
      </c>
      <c r="G53" s="21"/>
      <c r="H53" s="54">
        <v>2</v>
      </c>
      <c r="I53" s="51"/>
      <c r="J53" s="27"/>
      <c r="K53" s="27"/>
      <c r="L53" s="15">
        <v>5</v>
      </c>
      <c r="M53" s="15"/>
      <c r="N53" s="4" t="s">
        <v>4450</v>
      </c>
      <c r="O53" s="4"/>
    </row>
    <row r="54" spans="1:15" x14ac:dyDescent="0.2">
      <c r="A54" s="2">
        <v>40008216</v>
      </c>
      <c r="B54" s="2" t="s">
        <v>3335</v>
      </c>
      <c r="C54" s="5" t="s">
        <v>9027</v>
      </c>
      <c r="D54" s="21">
        <v>1</v>
      </c>
      <c r="E54" s="21"/>
      <c r="F54" s="21" t="s">
        <v>10438</v>
      </c>
      <c r="G54" s="21"/>
      <c r="H54" s="54">
        <v>330</v>
      </c>
      <c r="I54" s="51"/>
      <c r="J54" s="27"/>
      <c r="K54" s="27"/>
      <c r="L54" s="15"/>
      <c r="M54" s="15"/>
      <c r="N54" s="4"/>
      <c r="O54" s="4" t="s">
        <v>10179</v>
      </c>
    </row>
    <row r="55" spans="1:15" x14ac:dyDescent="0.2">
      <c r="A55" s="2">
        <v>40008220</v>
      </c>
      <c r="B55" s="2" t="s">
        <v>3339</v>
      </c>
      <c r="C55" s="5" t="s">
        <v>9031</v>
      </c>
      <c r="D55" s="21">
        <v>9</v>
      </c>
      <c r="E55" s="21"/>
      <c r="F55" s="21" t="s">
        <v>10438</v>
      </c>
      <c r="G55" s="21"/>
      <c r="H55" s="54">
        <v>49</v>
      </c>
      <c r="I55" s="51"/>
      <c r="J55" s="27"/>
      <c r="K55" s="27"/>
      <c r="L55" s="15"/>
      <c r="M55" s="15"/>
      <c r="N55" s="4"/>
      <c r="O55" s="4" t="s">
        <v>10184</v>
      </c>
    </row>
    <row r="56" spans="1:15" x14ac:dyDescent="0.2">
      <c r="A56" s="2">
        <v>40008217</v>
      </c>
      <c r="B56" s="2" t="s">
        <v>3336</v>
      </c>
      <c r="C56" s="5" t="s">
        <v>9028</v>
      </c>
      <c r="D56" s="21">
        <v>11</v>
      </c>
      <c r="E56" s="21"/>
      <c r="F56" s="21" t="s">
        <v>10438</v>
      </c>
      <c r="G56" s="21"/>
      <c r="H56" s="54">
        <v>640</v>
      </c>
      <c r="I56" s="51"/>
      <c r="J56" s="27"/>
      <c r="K56" s="27"/>
      <c r="L56" s="15"/>
      <c r="M56" s="15"/>
      <c r="N56" s="4" t="s">
        <v>5177</v>
      </c>
      <c r="O56" s="4">
        <v>84</v>
      </c>
    </row>
    <row r="57" spans="1:15" x14ac:dyDescent="0.2">
      <c r="A57" s="2">
        <v>40008224</v>
      </c>
      <c r="B57" s="2" t="s">
        <v>3343</v>
      </c>
      <c r="C57" s="5" t="s">
        <v>9035</v>
      </c>
      <c r="D57" s="21">
        <v>12</v>
      </c>
      <c r="E57" s="21"/>
      <c r="F57" s="21" t="s">
        <v>10438</v>
      </c>
      <c r="G57" s="21"/>
      <c r="H57" s="54">
        <v>12</v>
      </c>
      <c r="I57" s="51"/>
      <c r="J57" s="27"/>
      <c r="K57" s="27"/>
      <c r="L57" s="15"/>
      <c r="M57" s="15"/>
      <c r="N57" s="4" t="s">
        <v>4906</v>
      </c>
      <c r="O57" s="4"/>
    </row>
    <row r="58" spans="1:15" x14ac:dyDescent="0.2">
      <c r="A58" s="2">
        <v>40008225</v>
      </c>
      <c r="B58" s="2" t="s">
        <v>3344</v>
      </c>
      <c r="C58" s="5" t="s">
        <v>9036</v>
      </c>
      <c r="D58" s="21">
        <v>14</v>
      </c>
      <c r="E58" s="21"/>
      <c r="F58" s="21" t="s">
        <v>10438</v>
      </c>
      <c r="G58" s="21"/>
      <c r="H58" s="54">
        <v>367</v>
      </c>
      <c r="I58" s="51"/>
      <c r="J58" s="27"/>
      <c r="K58" s="27"/>
      <c r="L58" s="15"/>
      <c r="M58" s="15"/>
      <c r="N58" s="4" t="s">
        <v>5274</v>
      </c>
      <c r="O58" s="4" t="s">
        <v>10150</v>
      </c>
    </row>
    <row r="59" spans="1:15" x14ac:dyDescent="0.2">
      <c r="A59" s="2">
        <v>40005720</v>
      </c>
      <c r="B59" s="2" t="s">
        <v>1148</v>
      </c>
      <c r="C59" s="5" t="s">
        <v>6866</v>
      </c>
      <c r="D59" s="21">
        <v>3</v>
      </c>
      <c r="E59" s="21"/>
      <c r="F59" s="21" t="s">
        <v>10438</v>
      </c>
      <c r="G59" s="21"/>
      <c r="H59" s="54">
        <v>147</v>
      </c>
      <c r="I59" s="51"/>
      <c r="J59" s="27"/>
      <c r="K59" s="27"/>
      <c r="L59" s="15">
        <v>3</v>
      </c>
      <c r="M59" s="15"/>
      <c r="N59" s="4" t="s">
        <v>4232</v>
      </c>
      <c r="O59" s="4"/>
    </row>
    <row r="60" spans="1:15" x14ac:dyDescent="0.2">
      <c r="A60" s="2">
        <v>40008226</v>
      </c>
      <c r="B60" s="2" t="s">
        <v>3345</v>
      </c>
      <c r="C60" s="5" t="s">
        <v>9037</v>
      </c>
      <c r="D60" s="21">
        <v>50</v>
      </c>
      <c r="E60" s="21"/>
      <c r="F60" s="21" t="s">
        <v>10438</v>
      </c>
      <c r="G60" s="21"/>
      <c r="H60" s="54">
        <v>5</v>
      </c>
      <c r="I60" s="51"/>
      <c r="J60" s="27"/>
      <c r="K60" s="27"/>
      <c r="L60" s="15"/>
      <c r="M60" s="15"/>
      <c r="N60" s="4" t="s">
        <v>4158</v>
      </c>
      <c r="O60" s="4"/>
    </row>
    <row r="61" spans="1:15" x14ac:dyDescent="0.2">
      <c r="A61" s="2">
        <v>40008227</v>
      </c>
      <c r="B61" s="2" t="s">
        <v>3346</v>
      </c>
      <c r="C61" s="5" t="s">
        <v>9038</v>
      </c>
      <c r="D61" s="21"/>
      <c r="E61" s="21"/>
      <c r="F61" s="21" t="s">
        <v>10438</v>
      </c>
      <c r="G61" s="21"/>
      <c r="H61" s="54">
        <v>1</v>
      </c>
      <c r="I61" s="51"/>
      <c r="J61" s="27"/>
      <c r="K61" s="27"/>
      <c r="L61" s="15"/>
      <c r="M61" s="15"/>
      <c r="N61" s="4" t="s">
        <v>4396</v>
      </c>
      <c r="O61" s="4"/>
    </row>
    <row r="62" spans="1:15" x14ac:dyDescent="0.2">
      <c r="A62" s="2">
        <v>40008223</v>
      </c>
      <c r="B62" s="2" t="s">
        <v>3342</v>
      </c>
      <c r="C62" s="5" t="s">
        <v>9034</v>
      </c>
      <c r="D62" s="21">
        <v>6</v>
      </c>
      <c r="E62" s="21"/>
      <c r="F62" s="21" t="s">
        <v>10438</v>
      </c>
      <c r="G62" s="21"/>
      <c r="H62" s="54">
        <v>8</v>
      </c>
      <c r="I62" s="51"/>
      <c r="J62" s="27"/>
      <c r="K62" s="27"/>
      <c r="L62" s="15"/>
      <c r="M62" s="15"/>
      <c r="N62" s="4" t="s">
        <v>4898</v>
      </c>
      <c r="O62" s="4"/>
    </row>
    <row r="63" spans="1:15" x14ac:dyDescent="0.2">
      <c r="A63" s="2">
        <v>40008218</v>
      </c>
      <c r="B63" s="2" t="s">
        <v>3337</v>
      </c>
      <c r="C63" s="5" t="s">
        <v>9029</v>
      </c>
      <c r="D63" s="21"/>
      <c r="E63" s="21"/>
      <c r="F63" s="21" t="s">
        <v>10438</v>
      </c>
      <c r="G63" s="21"/>
      <c r="H63" s="54">
        <v>2</v>
      </c>
      <c r="I63" s="51"/>
      <c r="J63" s="27"/>
      <c r="K63" s="27"/>
      <c r="L63" s="15"/>
      <c r="M63" s="15"/>
      <c r="N63" s="4" t="s">
        <v>4160</v>
      </c>
      <c r="O63" s="4"/>
    </row>
    <row r="64" spans="1:15" x14ac:dyDescent="0.2">
      <c r="A64" s="2">
        <v>40008222</v>
      </c>
      <c r="B64" s="2" t="s">
        <v>3341</v>
      </c>
      <c r="C64" s="5" t="s">
        <v>9033</v>
      </c>
      <c r="D64" s="21">
        <v>5</v>
      </c>
      <c r="E64" s="21"/>
      <c r="F64" s="21" t="s">
        <v>10438</v>
      </c>
      <c r="G64" s="21"/>
      <c r="H64" s="54">
        <v>22</v>
      </c>
      <c r="I64" s="51"/>
      <c r="J64" s="27"/>
      <c r="K64" s="27"/>
      <c r="L64" s="15"/>
      <c r="M64" s="15"/>
      <c r="N64" s="4" t="s">
        <v>4369</v>
      </c>
      <c r="O64" s="4"/>
    </row>
    <row r="65" spans="1:15" x14ac:dyDescent="0.2">
      <c r="A65" s="2">
        <v>40008219</v>
      </c>
      <c r="B65" s="2" t="s">
        <v>3338</v>
      </c>
      <c r="C65" s="5" t="s">
        <v>9030</v>
      </c>
      <c r="D65" s="21">
        <v>5</v>
      </c>
      <c r="E65" s="21"/>
      <c r="F65" s="21" t="s">
        <v>10438</v>
      </c>
      <c r="G65" s="21"/>
      <c r="H65" s="54">
        <v>4</v>
      </c>
      <c r="I65" s="51"/>
      <c r="J65" s="27"/>
      <c r="K65" s="27"/>
      <c r="L65" s="15"/>
      <c r="M65" s="15"/>
      <c r="N65" s="4" t="s">
        <v>4033</v>
      </c>
      <c r="O65" s="4"/>
    </row>
    <row r="66" spans="1:15" x14ac:dyDescent="0.2">
      <c r="A66" s="2">
        <v>40005935</v>
      </c>
      <c r="B66" s="2" t="s">
        <v>1344</v>
      </c>
      <c r="C66" s="5" t="s">
        <v>7050</v>
      </c>
      <c r="D66" s="21">
        <v>13</v>
      </c>
      <c r="E66" s="21"/>
      <c r="F66" s="21" t="s">
        <v>10438</v>
      </c>
      <c r="G66" s="21"/>
      <c r="H66" s="54">
        <v>111</v>
      </c>
      <c r="I66" s="51"/>
      <c r="J66" s="27"/>
      <c r="K66" s="27"/>
      <c r="L66" s="15"/>
      <c r="M66" s="15">
        <v>2</v>
      </c>
      <c r="N66" s="4" t="s">
        <v>3941</v>
      </c>
      <c r="O66" s="4"/>
    </row>
    <row r="67" spans="1:15" x14ac:dyDescent="0.2">
      <c r="A67" s="2">
        <v>10018469</v>
      </c>
      <c r="B67" s="2" t="s">
        <v>185</v>
      </c>
      <c r="C67" s="5" t="s">
        <v>5737</v>
      </c>
      <c r="D67" s="21">
        <v>2</v>
      </c>
      <c r="E67" s="21"/>
      <c r="F67" s="21" t="s">
        <v>10438</v>
      </c>
      <c r="G67" s="21"/>
      <c r="H67" s="54">
        <v>1910</v>
      </c>
      <c r="I67" s="51"/>
      <c r="J67" s="27"/>
      <c r="K67" s="27"/>
      <c r="L67" s="15"/>
      <c r="M67" s="15"/>
      <c r="N67" s="4"/>
      <c r="O67" s="4"/>
    </row>
    <row r="68" spans="1:15" x14ac:dyDescent="0.2">
      <c r="A68" s="2">
        <v>10019807</v>
      </c>
      <c r="B68" s="2" t="s">
        <v>586</v>
      </c>
      <c r="C68" s="5" t="s">
        <v>6219</v>
      </c>
      <c r="D68" s="21">
        <v>1</v>
      </c>
      <c r="E68" s="21"/>
      <c r="F68" s="21" t="s">
        <v>10438</v>
      </c>
      <c r="G68" s="21"/>
      <c r="H68" s="54">
        <v>71</v>
      </c>
      <c r="I68" s="51"/>
      <c r="J68" s="27"/>
      <c r="K68" s="27"/>
      <c r="L68" s="15"/>
      <c r="M68" s="15"/>
      <c r="N68" s="4">
        <v>83</v>
      </c>
      <c r="O68" s="4"/>
    </row>
    <row r="69" spans="1:15" x14ac:dyDescent="0.2">
      <c r="A69" s="2">
        <v>40005551</v>
      </c>
      <c r="B69" s="2" t="s">
        <v>1010</v>
      </c>
      <c r="C69" s="5" t="s">
        <v>6734</v>
      </c>
      <c r="D69" s="21">
        <v>9</v>
      </c>
      <c r="E69" s="21"/>
      <c r="F69" s="21" t="s">
        <v>10438</v>
      </c>
      <c r="G69" s="21"/>
      <c r="H69" s="54">
        <v>555</v>
      </c>
      <c r="I69" s="51"/>
      <c r="J69" s="27"/>
      <c r="K69" s="27"/>
      <c r="L69" s="15"/>
      <c r="M69" s="15"/>
      <c r="N69" s="4" t="s">
        <v>4142</v>
      </c>
      <c r="O69" s="4">
        <v>73</v>
      </c>
    </row>
    <row r="70" spans="1:15" x14ac:dyDescent="0.2">
      <c r="A70" s="2">
        <v>40005553</v>
      </c>
      <c r="B70" s="2" t="s">
        <v>1012</v>
      </c>
      <c r="C70" s="5" t="s">
        <v>6736</v>
      </c>
      <c r="D70" s="21">
        <v>11</v>
      </c>
      <c r="E70" s="21"/>
      <c r="F70" s="21" t="s">
        <v>10438</v>
      </c>
      <c r="G70" s="21"/>
      <c r="H70" s="54">
        <v>64</v>
      </c>
      <c r="I70" s="51"/>
      <c r="J70" s="27"/>
      <c r="K70" s="27"/>
      <c r="L70" s="15"/>
      <c r="M70" s="15"/>
      <c r="N70" s="4" t="s">
        <v>4143</v>
      </c>
      <c r="O70" s="4">
        <v>66</v>
      </c>
    </row>
    <row r="71" spans="1:15" x14ac:dyDescent="0.2">
      <c r="A71" s="2">
        <v>40011623</v>
      </c>
      <c r="B71" s="2" t="s">
        <v>5495</v>
      </c>
      <c r="C71" s="5" t="s">
        <v>9448</v>
      </c>
      <c r="D71" s="21">
        <v>3</v>
      </c>
      <c r="E71" s="21"/>
      <c r="F71" s="21" t="s">
        <v>10438</v>
      </c>
      <c r="G71" s="21"/>
      <c r="H71" s="54">
        <v>51</v>
      </c>
      <c r="I71" s="51"/>
      <c r="J71" s="27"/>
      <c r="K71" s="27"/>
      <c r="L71" s="15"/>
      <c r="M71" s="15"/>
      <c r="N71" s="4" t="s">
        <v>10612</v>
      </c>
      <c r="O71" s="4"/>
    </row>
    <row r="72" spans="1:15" x14ac:dyDescent="0.2">
      <c r="A72" s="2">
        <v>40008229</v>
      </c>
      <c r="B72" s="2" t="s">
        <v>3348</v>
      </c>
      <c r="C72" s="5" t="s">
        <v>9040</v>
      </c>
      <c r="D72" s="21">
        <v>5</v>
      </c>
      <c r="E72" s="21"/>
      <c r="F72" s="21" t="s">
        <v>10438</v>
      </c>
      <c r="G72" s="21"/>
      <c r="H72" s="54">
        <v>7</v>
      </c>
      <c r="I72" s="51"/>
      <c r="J72" s="27"/>
      <c r="K72" s="27"/>
      <c r="L72" s="15"/>
      <c r="M72" s="15"/>
      <c r="N72" s="4" t="s">
        <v>4525</v>
      </c>
      <c r="O72" s="4"/>
    </row>
    <row r="73" spans="1:15" x14ac:dyDescent="0.2">
      <c r="A73" s="2">
        <v>40008228</v>
      </c>
      <c r="B73" s="2" t="s">
        <v>3347</v>
      </c>
      <c r="C73" s="5" t="s">
        <v>9039</v>
      </c>
      <c r="D73" s="21">
        <v>6</v>
      </c>
      <c r="E73" s="21"/>
      <c r="F73" s="21" t="s">
        <v>10438</v>
      </c>
      <c r="G73" s="21"/>
      <c r="H73" s="54">
        <v>4</v>
      </c>
      <c r="I73" s="51"/>
      <c r="J73" s="27"/>
      <c r="K73" s="27"/>
      <c r="L73" s="15"/>
      <c r="M73" s="15"/>
      <c r="N73" s="4" t="s">
        <v>5054</v>
      </c>
      <c r="O73" s="4"/>
    </row>
    <row r="74" spans="1:15" x14ac:dyDescent="0.2">
      <c r="A74" s="2">
        <v>10019948</v>
      </c>
      <c r="B74" s="2" t="s">
        <v>638</v>
      </c>
      <c r="C74" s="5" t="s">
        <v>6278</v>
      </c>
      <c r="D74" s="21">
        <v>21</v>
      </c>
      <c r="E74" s="21"/>
      <c r="F74" s="21" t="s">
        <v>10438</v>
      </c>
      <c r="G74" s="21"/>
      <c r="H74" s="54">
        <v>223</v>
      </c>
      <c r="I74" s="51"/>
      <c r="J74" s="27"/>
      <c r="K74" s="27"/>
      <c r="L74" s="15"/>
      <c r="M74" s="15"/>
      <c r="N74" s="4">
        <v>105</v>
      </c>
      <c r="O74" s="4">
        <v>106</v>
      </c>
    </row>
    <row r="75" spans="1:15" x14ac:dyDescent="0.2">
      <c r="A75" s="2">
        <v>10019947</v>
      </c>
      <c r="B75" s="2" t="s">
        <v>3887</v>
      </c>
      <c r="C75" s="5" t="s">
        <v>6277</v>
      </c>
      <c r="D75" s="21">
        <v>12</v>
      </c>
      <c r="E75" s="21"/>
      <c r="F75" s="21" t="s">
        <v>10438</v>
      </c>
      <c r="G75" s="21"/>
      <c r="H75" s="54">
        <v>223</v>
      </c>
      <c r="I75" s="51"/>
      <c r="J75" s="27"/>
      <c r="K75" s="27"/>
      <c r="L75" s="15"/>
      <c r="M75" s="15"/>
      <c r="N75" s="4">
        <v>100</v>
      </c>
      <c r="O75" s="4"/>
    </row>
    <row r="76" spans="1:15" x14ac:dyDescent="0.2">
      <c r="A76" s="2">
        <v>10019707</v>
      </c>
      <c r="B76" s="2" t="s">
        <v>569</v>
      </c>
      <c r="C76" s="5" t="s">
        <v>6199</v>
      </c>
      <c r="D76" s="21">
        <v>11</v>
      </c>
      <c r="E76" s="21"/>
      <c r="F76" s="21" t="s">
        <v>10438</v>
      </c>
      <c r="G76" s="21"/>
      <c r="H76" s="54">
        <v>240</v>
      </c>
      <c r="I76" s="51"/>
      <c r="J76" s="27"/>
      <c r="K76" s="27"/>
      <c r="L76" s="15"/>
      <c r="M76" s="15">
        <v>20</v>
      </c>
      <c r="N76" s="4">
        <v>105</v>
      </c>
      <c r="O76" s="4"/>
    </row>
    <row r="77" spans="1:15" x14ac:dyDescent="0.2">
      <c r="A77" s="2">
        <v>10019895</v>
      </c>
      <c r="B77" s="2" t="s">
        <v>3886</v>
      </c>
      <c r="C77" s="5" t="s">
        <v>6255</v>
      </c>
      <c r="D77" s="21">
        <v>27</v>
      </c>
      <c r="E77" s="21"/>
      <c r="F77" s="21" t="s">
        <v>10438</v>
      </c>
      <c r="G77" s="21"/>
      <c r="H77" s="54">
        <v>233</v>
      </c>
      <c r="I77" s="51"/>
      <c r="J77" s="27"/>
      <c r="K77" s="27"/>
      <c r="L77" s="15"/>
      <c r="M77" s="15"/>
      <c r="N77" s="4">
        <v>104</v>
      </c>
      <c r="O77" s="4">
        <v>106</v>
      </c>
    </row>
    <row r="78" spans="1:15" x14ac:dyDescent="0.2">
      <c r="A78" s="2">
        <v>10018271</v>
      </c>
      <c r="B78" s="2" t="s">
        <v>139</v>
      </c>
      <c r="C78" s="5" t="s">
        <v>5677</v>
      </c>
      <c r="D78" s="21">
        <v>50</v>
      </c>
      <c r="E78" s="21"/>
      <c r="F78" s="21" t="s">
        <v>10438</v>
      </c>
      <c r="G78" s="21"/>
      <c r="H78" s="54">
        <v>44</v>
      </c>
      <c r="I78" s="51"/>
      <c r="J78" s="27"/>
      <c r="K78" s="27"/>
      <c r="L78" s="15">
        <v>50</v>
      </c>
      <c r="M78" s="15"/>
      <c r="N78" s="4">
        <v>113</v>
      </c>
      <c r="O78" s="4"/>
    </row>
    <row r="79" spans="1:15" x14ac:dyDescent="0.2">
      <c r="A79" s="2">
        <v>10019850</v>
      </c>
      <c r="B79" s="2" t="s">
        <v>598</v>
      </c>
      <c r="C79" s="5" t="s">
        <v>6234</v>
      </c>
      <c r="D79" s="21">
        <v>13</v>
      </c>
      <c r="E79" s="21"/>
      <c r="F79" s="21" t="s">
        <v>10438</v>
      </c>
      <c r="G79" s="21"/>
      <c r="H79" s="54">
        <v>225</v>
      </c>
      <c r="I79" s="51"/>
      <c r="J79" s="27"/>
      <c r="K79" s="27"/>
      <c r="L79" s="15"/>
      <c r="M79" s="15"/>
      <c r="N79" s="4">
        <v>105</v>
      </c>
      <c r="O79" s="4">
        <v>106</v>
      </c>
    </row>
    <row r="80" spans="1:15" x14ac:dyDescent="0.2">
      <c r="A80" s="2">
        <v>10019318</v>
      </c>
      <c r="B80" s="2" t="s">
        <v>496</v>
      </c>
      <c r="C80" s="5" t="s">
        <v>6112</v>
      </c>
      <c r="D80" s="21">
        <v>4</v>
      </c>
      <c r="E80" s="21"/>
      <c r="F80" s="21" t="s">
        <v>10438</v>
      </c>
      <c r="G80" s="21"/>
      <c r="H80" s="54">
        <v>89</v>
      </c>
      <c r="I80" s="51"/>
      <c r="J80" s="27"/>
      <c r="K80" s="27"/>
      <c r="L80" s="15"/>
      <c r="M80" s="15"/>
      <c r="N80" s="4">
        <v>61</v>
      </c>
      <c r="O80" s="4"/>
    </row>
    <row r="81" spans="1:15" x14ac:dyDescent="0.2">
      <c r="A81" s="2">
        <v>10019038</v>
      </c>
      <c r="B81" s="2" t="s">
        <v>411</v>
      </c>
      <c r="C81" s="5" t="s">
        <v>6015</v>
      </c>
      <c r="D81" s="21">
        <v>4</v>
      </c>
      <c r="E81" s="21"/>
      <c r="F81" s="21" t="s">
        <v>10438</v>
      </c>
      <c r="G81" s="21"/>
      <c r="H81" s="54">
        <v>50</v>
      </c>
      <c r="I81" s="51"/>
      <c r="J81" s="27"/>
      <c r="K81" s="27"/>
      <c r="L81" s="15"/>
      <c r="M81" s="15"/>
      <c r="N81" s="4">
        <v>76</v>
      </c>
      <c r="O81" s="4"/>
    </row>
    <row r="82" spans="1:15" x14ac:dyDescent="0.2">
      <c r="A82" s="2">
        <v>10018738</v>
      </c>
      <c r="B82" s="2" t="s">
        <v>3673</v>
      </c>
      <c r="C82" s="5" t="s">
        <v>5869</v>
      </c>
      <c r="D82" s="21">
        <v>19</v>
      </c>
      <c r="E82" s="21"/>
      <c r="F82" s="21" t="s">
        <v>10438</v>
      </c>
      <c r="G82" s="21"/>
      <c r="H82" s="54">
        <v>35</v>
      </c>
      <c r="I82" s="51"/>
      <c r="J82" s="27"/>
      <c r="K82" s="27"/>
      <c r="L82" s="15"/>
      <c r="M82" s="15">
        <v>50</v>
      </c>
      <c r="N82" s="4">
        <v>69</v>
      </c>
      <c r="O82" s="4"/>
    </row>
    <row r="83" spans="1:15" x14ac:dyDescent="0.2">
      <c r="A83" s="2">
        <v>10018685</v>
      </c>
      <c r="B83" s="2" t="s">
        <v>271</v>
      </c>
      <c r="C83" s="5" t="s">
        <v>5840</v>
      </c>
      <c r="D83" s="21">
        <v>28</v>
      </c>
      <c r="E83" s="21"/>
      <c r="F83" s="21" t="s">
        <v>10438</v>
      </c>
      <c r="G83" s="21"/>
      <c r="H83" s="54">
        <v>37</v>
      </c>
      <c r="I83" s="51"/>
      <c r="J83" s="27"/>
      <c r="K83" s="27"/>
      <c r="L83" s="15"/>
      <c r="M83" s="15">
        <v>30</v>
      </c>
      <c r="N83" s="4">
        <v>69</v>
      </c>
      <c r="O83" s="4"/>
    </row>
    <row r="84" spans="1:15" x14ac:dyDescent="0.2">
      <c r="A84" s="2">
        <v>10018780</v>
      </c>
      <c r="B84" s="2" t="s">
        <v>310</v>
      </c>
      <c r="C84" s="5" t="s">
        <v>5893</v>
      </c>
      <c r="D84" s="21">
        <v>19</v>
      </c>
      <c r="E84" s="21"/>
      <c r="F84" s="21" t="s">
        <v>10438</v>
      </c>
      <c r="G84" s="21"/>
      <c r="H84" s="54">
        <v>35</v>
      </c>
      <c r="I84" s="51"/>
      <c r="J84" s="27"/>
      <c r="K84" s="27"/>
      <c r="L84" s="15">
        <v>30</v>
      </c>
      <c r="M84" s="15"/>
      <c r="N84" s="4">
        <v>116</v>
      </c>
      <c r="O84" s="4"/>
    </row>
    <row r="85" spans="1:15" x14ac:dyDescent="0.2">
      <c r="A85" s="2">
        <v>10018445</v>
      </c>
      <c r="B85" s="2" t="s">
        <v>180</v>
      </c>
      <c r="C85" s="5" t="s">
        <v>5725</v>
      </c>
      <c r="D85" s="21"/>
      <c r="E85" s="21"/>
      <c r="F85" s="21" t="s">
        <v>10438</v>
      </c>
      <c r="G85" s="21"/>
      <c r="H85" s="54">
        <v>50</v>
      </c>
      <c r="I85" s="51"/>
      <c r="J85" s="27"/>
      <c r="K85" s="27"/>
      <c r="L85" s="15">
        <v>30</v>
      </c>
      <c r="M85" s="15"/>
      <c r="N85" s="4">
        <v>113</v>
      </c>
      <c r="O85" s="4"/>
    </row>
    <row r="86" spans="1:15" x14ac:dyDescent="0.2">
      <c r="A86" s="2">
        <v>10018767</v>
      </c>
      <c r="B86" s="2" t="s">
        <v>300</v>
      </c>
      <c r="C86" s="5" t="s">
        <v>5880</v>
      </c>
      <c r="D86" s="21"/>
      <c r="E86" s="21"/>
      <c r="F86" s="21" t="s">
        <v>10438</v>
      </c>
      <c r="G86" s="21"/>
      <c r="H86" s="54">
        <v>46</v>
      </c>
      <c r="I86" s="51"/>
      <c r="J86" s="27"/>
      <c r="K86" s="27"/>
      <c r="L86" s="15">
        <v>25</v>
      </c>
      <c r="M86" s="15"/>
      <c r="N86" s="4">
        <v>114</v>
      </c>
      <c r="O86" s="4"/>
    </row>
    <row r="87" spans="1:15" x14ac:dyDescent="0.2">
      <c r="A87" s="2">
        <v>10018778</v>
      </c>
      <c r="B87" s="2" t="s">
        <v>308</v>
      </c>
      <c r="C87" s="5" t="s">
        <v>5891</v>
      </c>
      <c r="D87" s="21">
        <v>50</v>
      </c>
      <c r="E87" s="21"/>
      <c r="F87" s="21" t="s">
        <v>10438</v>
      </c>
      <c r="G87" s="21"/>
      <c r="H87" s="54">
        <v>46</v>
      </c>
      <c r="I87" s="51"/>
      <c r="J87" s="27"/>
      <c r="K87" s="27"/>
      <c r="L87" s="15">
        <v>50</v>
      </c>
      <c r="M87" s="15"/>
      <c r="N87" s="4">
        <v>114</v>
      </c>
      <c r="O87" s="4"/>
    </row>
    <row r="88" spans="1:15" x14ac:dyDescent="0.2">
      <c r="A88" s="2">
        <v>10018786</v>
      </c>
      <c r="B88" s="2" t="s">
        <v>3668</v>
      </c>
      <c r="C88" s="5" t="s">
        <v>5896</v>
      </c>
      <c r="D88" s="21">
        <v>15</v>
      </c>
      <c r="E88" s="21"/>
      <c r="F88" s="21" t="s">
        <v>10438</v>
      </c>
      <c r="G88" s="21"/>
      <c r="H88" s="54">
        <v>40</v>
      </c>
      <c r="I88" s="51"/>
      <c r="J88" s="27"/>
      <c r="K88" s="27"/>
      <c r="L88" s="15">
        <v>30</v>
      </c>
      <c r="M88" s="15"/>
      <c r="N88" s="4">
        <v>113</v>
      </c>
      <c r="O88" s="4"/>
    </row>
    <row r="89" spans="1:15" x14ac:dyDescent="0.2">
      <c r="A89" s="2">
        <v>10018537</v>
      </c>
      <c r="B89" s="2" t="s">
        <v>210</v>
      </c>
      <c r="C89" s="5" t="s">
        <v>5767</v>
      </c>
      <c r="D89" s="21">
        <v>22</v>
      </c>
      <c r="E89" s="21"/>
      <c r="F89" s="21" t="s">
        <v>10438</v>
      </c>
      <c r="G89" s="21"/>
      <c r="H89" s="54">
        <v>38</v>
      </c>
      <c r="I89" s="51"/>
      <c r="J89" s="27"/>
      <c r="K89" s="27"/>
      <c r="L89" s="15"/>
      <c r="M89" s="15">
        <v>10</v>
      </c>
      <c r="N89" s="4">
        <v>113</v>
      </c>
      <c r="O89" s="4"/>
    </row>
    <row r="90" spans="1:15" x14ac:dyDescent="0.2">
      <c r="A90" s="2">
        <v>10018282</v>
      </c>
      <c r="B90" s="2" t="s">
        <v>3670</v>
      </c>
      <c r="C90" s="5" t="s">
        <v>5683</v>
      </c>
      <c r="D90" s="21">
        <v>3</v>
      </c>
      <c r="E90" s="21"/>
      <c r="F90" s="21" t="s">
        <v>10438</v>
      </c>
      <c r="G90" s="21"/>
      <c r="H90" s="54">
        <v>45</v>
      </c>
      <c r="I90" s="51"/>
      <c r="J90" s="27"/>
      <c r="K90" s="27"/>
      <c r="L90" s="15">
        <v>10</v>
      </c>
      <c r="M90" s="15"/>
      <c r="N90" s="4">
        <v>69</v>
      </c>
      <c r="O90" s="4"/>
    </row>
    <row r="91" spans="1:15" x14ac:dyDescent="0.2">
      <c r="A91" s="2">
        <v>10018836</v>
      </c>
      <c r="B91" s="2" t="s">
        <v>5361</v>
      </c>
      <c r="C91" s="5" t="s">
        <v>5924</v>
      </c>
      <c r="D91" s="21">
        <v>19</v>
      </c>
      <c r="E91" s="21"/>
      <c r="F91" s="21" t="s">
        <v>10438</v>
      </c>
      <c r="G91" s="21"/>
      <c r="H91" s="54">
        <v>40</v>
      </c>
      <c r="I91" s="51"/>
      <c r="J91" s="27"/>
      <c r="K91" s="27"/>
      <c r="L91" s="15"/>
      <c r="M91" s="15"/>
      <c r="N91" s="4">
        <v>113</v>
      </c>
      <c r="O91" s="4"/>
    </row>
    <row r="92" spans="1:15" x14ac:dyDescent="0.2">
      <c r="A92" s="2">
        <v>10018834</v>
      </c>
      <c r="B92" s="2" t="s">
        <v>3901</v>
      </c>
      <c r="C92" s="5" t="s">
        <v>5922</v>
      </c>
      <c r="D92" s="21"/>
      <c r="E92" s="21"/>
      <c r="F92" s="21" t="s">
        <v>10438</v>
      </c>
      <c r="G92" s="21"/>
      <c r="H92" s="54">
        <v>40</v>
      </c>
      <c r="I92" s="51"/>
      <c r="J92" s="27"/>
      <c r="K92" s="27"/>
      <c r="L92" s="15"/>
      <c r="M92" s="15"/>
      <c r="N92" s="4">
        <v>69</v>
      </c>
      <c r="O92" s="4"/>
    </row>
    <row r="93" spans="1:15" x14ac:dyDescent="0.2">
      <c r="A93" s="2">
        <v>10018777</v>
      </c>
      <c r="B93" s="2" t="s">
        <v>307</v>
      </c>
      <c r="C93" s="5" t="s">
        <v>5890</v>
      </c>
      <c r="D93" s="21">
        <v>49</v>
      </c>
      <c r="E93" s="21"/>
      <c r="F93" s="21" t="s">
        <v>10438</v>
      </c>
      <c r="G93" s="21"/>
      <c r="H93" s="54">
        <v>44</v>
      </c>
      <c r="I93" s="51"/>
      <c r="J93" s="27"/>
      <c r="K93" s="27"/>
      <c r="L93" s="15">
        <v>50</v>
      </c>
      <c r="M93" s="15"/>
      <c r="N93" s="4">
        <v>69</v>
      </c>
      <c r="O93" s="4"/>
    </row>
    <row r="94" spans="1:15" x14ac:dyDescent="0.2">
      <c r="A94" s="2">
        <v>10018231</v>
      </c>
      <c r="B94" s="2" t="s">
        <v>117</v>
      </c>
      <c r="C94" s="5" t="s">
        <v>5654</v>
      </c>
      <c r="D94" s="21">
        <v>29</v>
      </c>
      <c r="E94" s="21"/>
      <c r="F94" s="21" t="s">
        <v>10438</v>
      </c>
      <c r="G94" s="21"/>
      <c r="H94" s="54">
        <v>88</v>
      </c>
      <c r="I94" s="51"/>
      <c r="J94" s="27"/>
      <c r="K94" s="27"/>
      <c r="L94" s="15"/>
      <c r="M94" s="15"/>
      <c r="N94" s="4">
        <v>115</v>
      </c>
      <c r="O94" s="4"/>
    </row>
    <row r="95" spans="1:15" x14ac:dyDescent="0.2">
      <c r="A95" s="2">
        <v>10018232</v>
      </c>
      <c r="B95" s="2" t="s">
        <v>118</v>
      </c>
      <c r="C95" s="5" t="s">
        <v>5655</v>
      </c>
      <c r="D95" s="21">
        <v>21</v>
      </c>
      <c r="E95" s="21"/>
      <c r="F95" s="21" t="s">
        <v>10438</v>
      </c>
      <c r="G95" s="21"/>
      <c r="H95" s="54">
        <v>85</v>
      </c>
      <c r="I95" s="51"/>
      <c r="J95" s="27"/>
      <c r="K95" s="27"/>
      <c r="L95" s="15"/>
      <c r="M95" s="15"/>
      <c r="N95" s="4"/>
      <c r="O95" s="4"/>
    </row>
    <row r="96" spans="1:15" x14ac:dyDescent="0.2">
      <c r="A96" s="2">
        <v>10018233</v>
      </c>
      <c r="B96" s="2" t="s">
        <v>119</v>
      </c>
      <c r="C96" s="5" t="s">
        <v>5656</v>
      </c>
      <c r="D96" s="21">
        <v>45</v>
      </c>
      <c r="E96" s="21"/>
      <c r="F96" s="21" t="s">
        <v>10438</v>
      </c>
      <c r="G96" s="21"/>
      <c r="H96" s="54">
        <v>85</v>
      </c>
      <c r="I96" s="51"/>
      <c r="J96" s="27"/>
      <c r="K96" s="27"/>
      <c r="L96" s="15"/>
      <c r="M96" s="15"/>
      <c r="N96" s="4">
        <v>115</v>
      </c>
      <c r="O96" s="4"/>
    </row>
    <row r="97" spans="1:15" x14ac:dyDescent="0.2">
      <c r="A97" s="2">
        <v>10018234</v>
      </c>
      <c r="B97" s="2" t="s">
        <v>120</v>
      </c>
      <c r="C97" s="5" t="s">
        <v>5657</v>
      </c>
      <c r="D97" s="21">
        <v>16</v>
      </c>
      <c r="E97" s="21"/>
      <c r="F97" s="21" t="s">
        <v>10438</v>
      </c>
      <c r="G97" s="21"/>
      <c r="H97" s="54">
        <v>88</v>
      </c>
      <c r="I97" s="51"/>
      <c r="J97" s="27"/>
      <c r="K97" s="27"/>
      <c r="L97" s="15"/>
      <c r="M97" s="15"/>
      <c r="N97" s="4">
        <v>115</v>
      </c>
      <c r="O97" s="4"/>
    </row>
    <row r="98" spans="1:15" x14ac:dyDescent="0.2">
      <c r="A98" s="2">
        <v>10018235</v>
      </c>
      <c r="B98" s="2" t="s">
        <v>121</v>
      </c>
      <c r="C98" s="5" t="s">
        <v>5658</v>
      </c>
      <c r="D98" s="21">
        <v>18</v>
      </c>
      <c r="E98" s="21"/>
      <c r="F98" s="21" t="s">
        <v>10438</v>
      </c>
      <c r="G98" s="21"/>
      <c r="H98" s="54">
        <v>88</v>
      </c>
      <c r="I98" s="51"/>
      <c r="J98" s="27"/>
      <c r="K98" s="27"/>
      <c r="L98" s="15"/>
      <c r="M98" s="15"/>
      <c r="N98" s="4">
        <v>115</v>
      </c>
      <c r="O98" s="4"/>
    </row>
    <row r="99" spans="1:15" x14ac:dyDescent="0.2">
      <c r="A99" s="2">
        <v>10039111</v>
      </c>
      <c r="B99" s="2" t="s">
        <v>5467</v>
      </c>
      <c r="C99" s="5" t="s">
        <v>6371</v>
      </c>
      <c r="D99" s="21">
        <v>3</v>
      </c>
      <c r="E99" s="21"/>
      <c r="F99" s="21" t="s">
        <v>10438</v>
      </c>
      <c r="G99" s="21"/>
      <c r="H99" s="54">
        <v>584</v>
      </c>
      <c r="I99" s="51"/>
      <c r="J99" s="27"/>
      <c r="K99" s="27"/>
      <c r="L99" s="15"/>
      <c r="M99" s="15"/>
      <c r="N99" s="4">
        <v>76</v>
      </c>
      <c r="O99" s="4"/>
    </row>
    <row r="100" spans="1:15" x14ac:dyDescent="0.2">
      <c r="A100" s="2">
        <v>10039112</v>
      </c>
      <c r="B100" s="2" t="s">
        <v>3843</v>
      </c>
      <c r="C100" s="5" t="s">
        <v>6372</v>
      </c>
      <c r="D100" s="21">
        <v>4</v>
      </c>
      <c r="E100" s="21"/>
      <c r="F100" s="21" t="s">
        <v>10438</v>
      </c>
      <c r="G100" s="21"/>
      <c r="H100" s="54">
        <v>507</v>
      </c>
      <c r="I100" s="51"/>
      <c r="J100" s="27"/>
      <c r="K100" s="27"/>
      <c r="L100" s="15"/>
      <c r="M100" s="15"/>
      <c r="N100" s="4">
        <v>76</v>
      </c>
      <c r="O100" s="4"/>
    </row>
    <row r="101" spans="1:15" x14ac:dyDescent="0.2">
      <c r="A101" s="2">
        <v>10039113</v>
      </c>
      <c r="B101" s="2" t="s">
        <v>3844</v>
      </c>
      <c r="C101" s="5" t="s">
        <v>6373</v>
      </c>
      <c r="D101" s="21">
        <v>1</v>
      </c>
      <c r="E101" s="21"/>
      <c r="F101" s="21" t="s">
        <v>10438</v>
      </c>
      <c r="G101" s="21"/>
      <c r="H101" s="54">
        <v>525</v>
      </c>
      <c r="I101" s="51"/>
      <c r="J101" s="27"/>
      <c r="K101" s="27"/>
      <c r="L101" s="15"/>
      <c r="M101" s="15"/>
      <c r="N101" s="4"/>
      <c r="O101" s="4"/>
    </row>
    <row r="102" spans="1:15" x14ac:dyDescent="0.2">
      <c r="A102" s="2">
        <v>10019726</v>
      </c>
      <c r="B102" s="2" t="s">
        <v>571</v>
      </c>
      <c r="C102" s="5" t="s">
        <v>6202</v>
      </c>
      <c r="D102" s="21">
        <v>9</v>
      </c>
      <c r="E102" s="21"/>
      <c r="F102" s="21" t="s">
        <v>10438</v>
      </c>
      <c r="G102" s="21"/>
      <c r="H102" s="54">
        <v>449</v>
      </c>
      <c r="I102" s="51"/>
      <c r="J102" s="27"/>
      <c r="K102" s="27"/>
      <c r="L102" s="15"/>
      <c r="M102" s="15"/>
      <c r="N102" s="4">
        <v>62</v>
      </c>
      <c r="O102" s="4" t="s">
        <v>10315</v>
      </c>
    </row>
    <row r="103" spans="1:15" x14ac:dyDescent="0.2">
      <c r="A103" s="2">
        <v>10019481</v>
      </c>
      <c r="B103" s="2" t="s">
        <v>527</v>
      </c>
      <c r="C103" s="5" t="s">
        <v>6148</v>
      </c>
      <c r="D103" s="21">
        <v>4</v>
      </c>
      <c r="E103" s="21"/>
      <c r="F103" s="21" t="s">
        <v>10438</v>
      </c>
      <c r="G103" s="21"/>
      <c r="H103" s="54">
        <v>500</v>
      </c>
      <c r="I103" s="51"/>
      <c r="J103" s="27"/>
      <c r="K103" s="27"/>
      <c r="L103" s="15"/>
      <c r="M103" s="15"/>
      <c r="N103" s="4">
        <v>63</v>
      </c>
      <c r="O103" s="4"/>
    </row>
    <row r="104" spans="1:15" x14ac:dyDescent="0.2">
      <c r="A104" s="2">
        <v>10019485</v>
      </c>
      <c r="B104" s="2" t="s">
        <v>529</v>
      </c>
      <c r="C104" s="5" t="s">
        <v>6150</v>
      </c>
      <c r="D104" s="21">
        <v>20</v>
      </c>
      <c r="E104" s="21"/>
      <c r="F104" s="21" t="s">
        <v>10438</v>
      </c>
      <c r="G104" s="21"/>
      <c r="H104" s="54">
        <v>492</v>
      </c>
      <c r="I104" s="51"/>
      <c r="J104" s="27"/>
      <c r="K104" s="27"/>
      <c r="L104" s="15"/>
      <c r="M104" s="15"/>
      <c r="N104" s="4">
        <v>63</v>
      </c>
      <c r="O104" s="4" t="s">
        <v>10315</v>
      </c>
    </row>
    <row r="105" spans="1:15" x14ac:dyDescent="0.2">
      <c r="A105" s="2">
        <v>10019488</v>
      </c>
      <c r="B105" s="2" t="s">
        <v>530</v>
      </c>
      <c r="C105" s="5" t="s">
        <v>6151</v>
      </c>
      <c r="D105" s="21">
        <v>7</v>
      </c>
      <c r="E105" s="21"/>
      <c r="F105" s="21" t="s">
        <v>10438</v>
      </c>
      <c r="G105" s="21"/>
      <c r="H105" s="54">
        <v>466</v>
      </c>
      <c r="I105" s="51"/>
      <c r="J105" s="27"/>
      <c r="K105" s="27"/>
      <c r="L105" s="15"/>
      <c r="M105" s="15"/>
      <c r="N105" s="4">
        <v>63</v>
      </c>
      <c r="O105" s="4"/>
    </row>
    <row r="106" spans="1:15" x14ac:dyDescent="0.2">
      <c r="A106" s="2">
        <v>10019500</v>
      </c>
      <c r="B106" s="2" t="s">
        <v>531</v>
      </c>
      <c r="C106" s="5" t="s">
        <v>6152</v>
      </c>
      <c r="D106" s="21">
        <v>10</v>
      </c>
      <c r="E106" s="21"/>
      <c r="F106" s="21" t="s">
        <v>10438</v>
      </c>
      <c r="G106" s="21"/>
      <c r="H106" s="54">
        <v>367</v>
      </c>
      <c r="I106" s="51"/>
      <c r="J106" s="27"/>
      <c r="K106" s="27"/>
      <c r="L106" s="15"/>
      <c r="M106" s="15"/>
      <c r="N106" s="4">
        <v>62</v>
      </c>
      <c r="O106" s="4" t="s">
        <v>10315</v>
      </c>
    </row>
    <row r="107" spans="1:15" x14ac:dyDescent="0.2">
      <c r="A107" s="2">
        <v>10019243</v>
      </c>
      <c r="B107" s="2" t="s">
        <v>468</v>
      </c>
      <c r="C107" s="5" t="s">
        <v>6080</v>
      </c>
      <c r="D107" s="21">
        <v>13</v>
      </c>
      <c r="E107" s="21"/>
      <c r="F107" s="21" t="s">
        <v>10438</v>
      </c>
      <c r="G107" s="21"/>
      <c r="H107" s="54">
        <v>67</v>
      </c>
      <c r="I107" s="51"/>
      <c r="J107" s="27"/>
      <c r="K107" s="27"/>
      <c r="L107" s="15"/>
      <c r="M107" s="15"/>
      <c r="N107" s="4">
        <v>61</v>
      </c>
      <c r="O107" s="4"/>
    </row>
    <row r="108" spans="1:15" x14ac:dyDescent="0.2">
      <c r="A108" s="2">
        <v>10019245</v>
      </c>
      <c r="B108" s="2" t="s">
        <v>469</v>
      </c>
      <c r="C108" s="5" t="s">
        <v>6081</v>
      </c>
      <c r="D108" s="21">
        <v>3</v>
      </c>
      <c r="E108" s="21"/>
      <c r="F108" s="21" t="s">
        <v>10438</v>
      </c>
      <c r="G108" s="21"/>
      <c r="H108" s="54">
        <v>175</v>
      </c>
      <c r="I108" s="51"/>
      <c r="J108" s="27"/>
      <c r="K108" s="27"/>
      <c r="L108" s="15"/>
      <c r="M108" s="15"/>
      <c r="N108" s="4">
        <v>62</v>
      </c>
      <c r="O108" s="4" t="s">
        <v>10315</v>
      </c>
    </row>
    <row r="109" spans="1:15" x14ac:dyDescent="0.2">
      <c r="A109" s="2">
        <v>10019247</v>
      </c>
      <c r="B109" s="2" t="s">
        <v>470</v>
      </c>
      <c r="C109" s="5" t="s">
        <v>6082</v>
      </c>
      <c r="D109" s="21">
        <v>15</v>
      </c>
      <c r="E109" s="21"/>
      <c r="F109" s="21" t="s">
        <v>10438</v>
      </c>
      <c r="G109" s="21"/>
      <c r="H109" s="54">
        <v>142</v>
      </c>
      <c r="I109" s="51"/>
      <c r="J109" s="27"/>
      <c r="K109" s="27"/>
      <c r="L109" s="15"/>
      <c r="M109" s="15"/>
      <c r="N109" s="4">
        <v>63</v>
      </c>
      <c r="O109" s="4" t="s">
        <v>10315</v>
      </c>
    </row>
    <row r="110" spans="1:15" x14ac:dyDescent="0.2">
      <c r="A110" s="2">
        <v>10019249</v>
      </c>
      <c r="B110" s="2" t="s">
        <v>472</v>
      </c>
      <c r="C110" s="5" t="s">
        <v>6084</v>
      </c>
      <c r="D110" s="21">
        <v>15</v>
      </c>
      <c r="E110" s="21"/>
      <c r="F110" s="21" t="s">
        <v>10438</v>
      </c>
      <c r="G110" s="21"/>
      <c r="H110" s="54">
        <v>204</v>
      </c>
      <c r="I110" s="51"/>
      <c r="J110" s="27"/>
      <c r="K110" s="27"/>
      <c r="L110" s="15"/>
      <c r="M110" s="15"/>
      <c r="N110" s="4">
        <v>63</v>
      </c>
      <c r="O110" s="4" t="s">
        <v>10315</v>
      </c>
    </row>
    <row r="111" spans="1:15" x14ac:dyDescent="0.2">
      <c r="A111" s="2">
        <v>10019250</v>
      </c>
      <c r="B111" s="2" t="s">
        <v>473</v>
      </c>
      <c r="C111" s="5" t="s">
        <v>6085</v>
      </c>
      <c r="D111" s="21">
        <v>27</v>
      </c>
      <c r="E111" s="21"/>
      <c r="F111" s="21" t="s">
        <v>10438</v>
      </c>
      <c r="G111" s="21"/>
      <c r="H111" s="54">
        <v>214</v>
      </c>
      <c r="I111" s="51"/>
      <c r="J111" s="27"/>
      <c r="K111" s="27"/>
      <c r="L111" s="15"/>
      <c r="M111" s="15"/>
      <c r="N111" s="4">
        <v>62</v>
      </c>
      <c r="O111" s="4" t="s">
        <v>10316</v>
      </c>
    </row>
    <row r="112" spans="1:15" x14ac:dyDescent="0.2">
      <c r="A112" s="2">
        <v>10018230</v>
      </c>
      <c r="B112" s="2" t="s">
        <v>116</v>
      </c>
      <c r="C112" s="5" t="s">
        <v>5653</v>
      </c>
      <c r="D112" s="21">
        <v>14</v>
      </c>
      <c r="E112" s="21"/>
      <c r="F112" s="21" t="s">
        <v>10438</v>
      </c>
      <c r="G112" s="21"/>
      <c r="H112" s="54">
        <v>88</v>
      </c>
      <c r="I112" s="51"/>
      <c r="J112" s="27"/>
      <c r="K112" s="27"/>
      <c r="L112" s="15"/>
      <c r="M112" s="15"/>
      <c r="N112" s="4">
        <v>115</v>
      </c>
      <c r="O112" s="4"/>
    </row>
    <row r="113" spans="1:15" x14ac:dyDescent="0.2">
      <c r="A113" s="2">
        <v>10018042</v>
      </c>
      <c r="B113" s="2" t="s">
        <v>61</v>
      </c>
      <c r="C113" s="5" t="s">
        <v>5593</v>
      </c>
      <c r="D113" s="21">
        <v>1</v>
      </c>
      <c r="E113" s="21"/>
      <c r="F113" s="21" t="s">
        <v>10438</v>
      </c>
      <c r="G113" s="21"/>
      <c r="H113" s="54">
        <v>23</v>
      </c>
      <c r="I113" s="51"/>
      <c r="J113" s="27"/>
      <c r="K113" s="27"/>
      <c r="L113" s="15"/>
      <c r="M113" s="15"/>
      <c r="N113" s="4">
        <v>61</v>
      </c>
      <c r="O113" s="4" t="s">
        <v>10315</v>
      </c>
    </row>
    <row r="114" spans="1:15" x14ac:dyDescent="0.2">
      <c r="A114" s="2">
        <v>10018040</v>
      </c>
      <c r="B114" s="2" t="s">
        <v>60</v>
      </c>
      <c r="C114" s="5" t="s">
        <v>5592</v>
      </c>
      <c r="D114" s="21">
        <v>1</v>
      </c>
      <c r="E114" s="21"/>
      <c r="F114" s="21" t="s">
        <v>10438</v>
      </c>
      <c r="G114" s="21"/>
      <c r="H114" s="54">
        <v>57</v>
      </c>
      <c r="I114" s="51"/>
      <c r="J114" s="27"/>
      <c r="K114" s="27"/>
      <c r="L114" s="15"/>
      <c r="M114" s="15"/>
      <c r="N114" s="4">
        <v>61</v>
      </c>
      <c r="O114" s="4" t="s">
        <v>10315</v>
      </c>
    </row>
    <row r="115" spans="1:15" x14ac:dyDescent="0.2">
      <c r="A115" s="2">
        <v>10018935</v>
      </c>
      <c r="B115" s="2" t="s">
        <v>372</v>
      </c>
      <c r="C115" s="5" t="s">
        <v>5968</v>
      </c>
      <c r="D115" s="21">
        <v>61</v>
      </c>
      <c r="E115" s="21"/>
      <c r="F115" s="21" t="s">
        <v>10438</v>
      </c>
      <c r="G115" s="21"/>
      <c r="H115" s="54">
        <v>36</v>
      </c>
      <c r="I115" s="51"/>
      <c r="J115" s="27"/>
      <c r="K115" s="27"/>
      <c r="L115" s="15"/>
      <c r="M115" s="15">
        <v>30</v>
      </c>
      <c r="N115" s="4">
        <v>114</v>
      </c>
      <c r="O115" s="4"/>
    </row>
    <row r="116" spans="1:15" x14ac:dyDescent="0.2">
      <c r="A116" s="2">
        <v>10018989</v>
      </c>
      <c r="B116" s="2" t="s">
        <v>3671</v>
      </c>
      <c r="C116" s="5" t="s">
        <v>5992</v>
      </c>
      <c r="D116" s="21">
        <v>24</v>
      </c>
      <c r="E116" s="21"/>
      <c r="F116" s="21" t="s">
        <v>10438</v>
      </c>
      <c r="G116" s="21"/>
      <c r="H116" s="54">
        <v>38</v>
      </c>
      <c r="I116" s="51"/>
      <c r="J116" s="27"/>
      <c r="K116" s="27"/>
      <c r="L116" s="15">
        <v>30</v>
      </c>
      <c r="M116" s="15"/>
      <c r="N116" s="4">
        <v>69</v>
      </c>
      <c r="O116" s="4"/>
    </row>
    <row r="117" spans="1:15" x14ac:dyDescent="0.2">
      <c r="A117" s="2">
        <v>10018443</v>
      </c>
      <c r="B117" s="2" t="s">
        <v>3672</v>
      </c>
      <c r="C117" s="5" t="s">
        <v>5724</v>
      </c>
      <c r="D117" s="21">
        <v>31</v>
      </c>
      <c r="E117" s="21"/>
      <c r="F117" s="21" t="s">
        <v>10438</v>
      </c>
      <c r="G117" s="21"/>
      <c r="H117" s="54">
        <v>35</v>
      </c>
      <c r="I117" s="51"/>
      <c r="J117" s="27"/>
      <c r="K117" s="27"/>
      <c r="L117" s="15"/>
      <c r="M117" s="15">
        <v>50</v>
      </c>
      <c r="N117" s="4">
        <v>69</v>
      </c>
      <c r="O117" s="4"/>
    </row>
    <row r="118" spans="1:15" x14ac:dyDescent="0.2">
      <c r="A118" s="2">
        <v>10019733</v>
      </c>
      <c r="B118" s="2" t="s">
        <v>5373</v>
      </c>
      <c r="C118" s="5" t="s">
        <v>6205</v>
      </c>
      <c r="D118" s="21"/>
      <c r="E118" s="21"/>
      <c r="F118" s="21" t="s">
        <v>10438</v>
      </c>
      <c r="G118" s="21"/>
      <c r="H118" s="54">
        <v>279</v>
      </c>
      <c r="I118" s="51"/>
      <c r="J118" s="27"/>
      <c r="K118" s="27"/>
      <c r="L118" s="15"/>
      <c r="M118" s="15"/>
      <c r="N118" s="4">
        <v>100</v>
      </c>
      <c r="O118" s="4"/>
    </row>
    <row r="119" spans="1:15" x14ac:dyDescent="0.2">
      <c r="A119" s="2">
        <v>40006027</v>
      </c>
      <c r="B119" s="2" t="s">
        <v>1429</v>
      </c>
      <c r="C119" s="5" t="s">
        <v>7131</v>
      </c>
      <c r="D119" s="21">
        <v>11</v>
      </c>
      <c r="E119" s="21"/>
      <c r="F119" s="21" t="s">
        <v>10438</v>
      </c>
      <c r="G119" s="21"/>
      <c r="H119" s="54">
        <v>16</v>
      </c>
      <c r="I119" s="51"/>
      <c r="J119" s="27"/>
      <c r="K119" s="27"/>
      <c r="L119" s="15"/>
      <c r="M119" s="15"/>
      <c r="N119" s="4" t="s">
        <v>4374</v>
      </c>
      <c r="O119" s="4"/>
    </row>
    <row r="120" spans="1:15" x14ac:dyDescent="0.2">
      <c r="A120" s="2">
        <v>40010319</v>
      </c>
      <c r="B120" s="2" t="s">
        <v>3503</v>
      </c>
      <c r="C120" s="5" t="s">
        <v>9199</v>
      </c>
      <c r="D120" s="21">
        <v>2</v>
      </c>
      <c r="E120" s="21"/>
      <c r="F120" s="21" t="s">
        <v>10438</v>
      </c>
      <c r="G120" s="21"/>
      <c r="H120" s="54">
        <v>80</v>
      </c>
      <c r="I120" s="51"/>
      <c r="J120" s="27"/>
      <c r="K120" s="27"/>
      <c r="L120" s="15"/>
      <c r="M120" s="15"/>
      <c r="N120" s="4" t="s">
        <v>5248</v>
      </c>
      <c r="O120" s="4"/>
    </row>
    <row r="121" spans="1:15" x14ac:dyDescent="0.2">
      <c r="A121" s="2">
        <v>10032256</v>
      </c>
      <c r="B121" s="2" t="s">
        <v>5426</v>
      </c>
      <c r="C121" s="5" t="s">
        <v>6352</v>
      </c>
      <c r="D121" s="21">
        <v>6</v>
      </c>
      <c r="E121" s="21"/>
      <c r="F121" s="21" t="s">
        <v>10438</v>
      </c>
      <c r="G121" s="21"/>
      <c r="H121" s="54">
        <v>3235</v>
      </c>
      <c r="I121" s="51">
        <v>2915</v>
      </c>
      <c r="J121" s="27"/>
      <c r="K121" s="27"/>
      <c r="L121" s="15"/>
      <c r="M121" s="15"/>
      <c r="N121" s="4" t="s">
        <v>3607</v>
      </c>
      <c r="O121" s="4" t="s">
        <v>10446</v>
      </c>
    </row>
    <row r="122" spans="1:15" x14ac:dyDescent="0.2">
      <c r="A122" s="2">
        <v>10018921</v>
      </c>
      <c r="B122" s="2" t="s">
        <v>364</v>
      </c>
      <c r="C122" s="5" t="s">
        <v>5511</v>
      </c>
      <c r="D122" s="21">
        <v>15</v>
      </c>
      <c r="E122" s="21"/>
      <c r="F122" s="21" t="s">
        <v>10438</v>
      </c>
      <c r="G122" s="21"/>
      <c r="H122" s="54">
        <v>1235</v>
      </c>
      <c r="I122" s="51">
        <v>1140</v>
      </c>
      <c r="J122" s="27">
        <v>60</v>
      </c>
      <c r="K122" s="27"/>
      <c r="L122" s="15"/>
      <c r="M122" s="15"/>
      <c r="N122" s="4" t="s">
        <v>3934</v>
      </c>
      <c r="O122" s="4" t="s">
        <v>10446</v>
      </c>
    </row>
    <row r="123" spans="1:15" x14ac:dyDescent="0.2">
      <c r="A123" s="2">
        <v>10018878</v>
      </c>
      <c r="B123" s="2" t="s">
        <v>3611</v>
      </c>
      <c r="C123" s="5" t="s">
        <v>5936</v>
      </c>
      <c r="D123" s="21">
        <v>23</v>
      </c>
      <c r="E123" s="21"/>
      <c r="F123" s="21" t="s">
        <v>10438</v>
      </c>
      <c r="G123" s="21"/>
      <c r="H123" s="54">
        <v>1385</v>
      </c>
      <c r="I123" s="51">
        <v>1275</v>
      </c>
      <c r="J123" s="27">
        <v>44</v>
      </c>
      <c r="K123" s="27"/>
      <c r="L123" s="15">
        <v>20</v>
      </c>
      <c r="M123" s="15"/>
      <c r="N123" s="4"/>
      <c r="O123" s="4" t="s">
        <v>10445</v>
      </c>
    </row>
    <row r="124" spans="1:15" x14ac:dyDescent="0.2">
      <c r="A124" s="2">
        <v>10017886</v>
      </c>
      <c r="B124" s="2" t="s">
        <v>14</v>
      </c>
      <c r="C124" s="5" t="s">
        <v>5534</v>
      </c>
      <c r="D124" s="21">
        <v>4</v>
      </c>
      <c r="E124" s="21"/>
      <c r="F124" s="21" t="s">
        <v>10438</v>
      </c>
      <c r="G124" s="21"/>
      <c r="H124" s="54">
        <v>3155</v>
      </c>
      <c r="I124" s="51">
        <v>2685</v>
      </c>
      <c r="J124" s="27"/>
      <c r="K124" s="27"/>
      <c r="L124" s="15"/>
      <c r="M124" s="15"/>
      <c r="N124" s="4"/>
      <c r="O124" s="4"/>
    </row>
    <row r="125" spans="1:15" x14ac:dyDescent="0.2">
      <c r="A125" s="2">
        <v>10018892</v>
      </c>
      <c r="B125" s="2" t="s">
        <v>349</v>
      </c>
      <c r="C125" s="5" t="s">
        <v>5942</v>
      </c>
      <c r="D125" s="21">
        <v>17</v>
      </c>
      <c r="E125" s="21"/>
      <c r="F125" s="21" t="s">
        <v>10438</v>
      </c>
      <c r="G125" s="21"/>
      <c r="H125" s="54">
        <v>1165</v>
      </c>
      <c r="I125" s="51">
        <v>1075</v>
      </c>
      <c r="J125" s="27"/>
      <c r="K125" s="27"/>
      <c r="L125" s="15"/>
      <c r="M125" s="15">
        <v>20</v>
      </c>
      <c r="N125" s="4" t="s">
        <v>3934</v>
      </c>
      <c r="O125" s="4" t="s">
        <v>10448</v>
      </c>
    </row>
    <row r="126" spans="1:15" x14ac:dyDescent="0.2">
      <c r="A126" s="2">
        <v>10018742</v>
      </c>
      <c r="B126" s="2" t="s">
        <v>294</v>
      </c>
      <c r="C126" s="5" t="s">
        <v>5871</v>
      </c>
      <c r="D126" s="21">
        <v>10</v>
      </c>
      <c r="E126" s="21"/>
      <c r="F126" s="21" t="s">
        <v>10438</v>
      </c>
      <c r="G126" s="21"/>
      <c r="H126" s="54">
        <v>1345</v>
      </c>
      <c r="I126" s="51">
        <v>1240</v>
      </c>
      <c r="J126" s="27">
        <v>26</v>
      </c>
      <c r="K126" s="27"/>
      <c r="L126" s="15"/>
      <c r="M126" s="15">
        <v>20</v>
      </c>
      <c r="N126" s="4" t="s">
        <v>3607</v>
      </c>
      <c r="O126" s="4" t="s">
        <v>10450</v>
      </c>
    </row>
    <row r="127" spans="1:15" x14ac:dyDescent="0.2">
      <c r="A127" s="2">
        <v>10019026</v>
      </c>
      <c r="B127" s="2" t="s">
        <v>408</v>
      </c>
      <c r="C127" s="5" t="s">
        <v>6011</v>
      </c>
      <c r="D127" s="21">
        <v>10</v>
      </c>
      <c r="E127" s="21"/>
      <c r="F127" s="21" t="s">
        <v>10438</v>
      </c>
      <c r="G127" s="21"/>
      <c r="H127" s="54">
        <v>3195</v>
      </c>
      <c r="I127" s="51">
        <v>2880</v>
      </c>
      <c r="J127" s="27"/>
      <c r="K127" s="27"/>
      <c r="L127" s="15">
        <v>5</v>
      </c>
      <c r="M127" s="15"/>
      <c r="N127" s="4"/>
      <c r="O127" s="4" t="s">
        <v>10455</v>
      </c>
    </row>
    <row r="128" spans="1:15" x14ac:dyDescent="0.2">
      <c r="A128" s="2">
        <v>10018726</v>
      </c>
      <c r="B128" s="2" t="s">
        <v>290</v>
      </c>
      <c r="C128" s="5" t="s">
        <v>5865</v>
      </c>
      <c r="D128" s="21">
        <v>7</v>
      </c>
      <c r="E128" s="21">
        <v>7</v>
      </c>
      <c r="F128" s="21" t="s">
        <v>10438</v>
      </c>
      <c r="G128" s="21">
        <v>9</v>
      </c>
      <c r="H128" s="54">
        <v>3040</v>
      </c>
      <c r="I128" s="51">
        <v>2740</v>
      </c>
      <c r="J128" s="27">
        <v>3</v>
      </c>
      <c r="K128" s="27">
        <v>3</v>
      </c>
      <c r="L128" s="15">
        <v>50</v>
      </c>
      <c r="M128" s="15"/>
      <c r="N128" s="4"/>
      <c r="O128" s="4" t="s">
        <v>10456</v>
      </c>
    </row>
    <row r="129" spans="1:15" x14ac:dyDescent="0.2">
      <c r="A129" s="2">
        <v>10018896</v>
      </c>
      <c r="B129" s="2" t="s">
        <v>352</v>
      </c>
      <c r="C129" s="5" t="s">
        <v>5945</v>
      </c>
      <c r="D129" s="21">
        <v>27</v>
      </c>
      <c r="E129" s="21">
        <v>27</v>
      </c>
      <c r="F129" s="21" t="s">
        <v>10438</v>
      </c>
      <c r="G129" s="21">
        <v>5</v>
      </c>
      <c r="H129" s="54">
        <v>2025</v>
      </c>
      <c r="I129" s="51">
        <v>1865</v>
      </c>
      <c r="J129" s="27">
        <v>36</v>
      </c>
      <c r="K129" s="27">
        <v>36</v>
      </c>
      <c r="L129" s="15">
        <v>60</v>
      </c>
      <c r="M129" s="15"/>
      <c r="N129" s="4" t="s">
        <v>3607</v>
      </c>
      <c r="O129" s="4" t="s">
        <v>10456</v>
      </c>
    </row>
    <row r="130" spans="1:15" x14ac:dyDescent="0.2">
      <c r="A130" s="2">
        <v>10041607</v>
      </c>
      <c r="B130" s="2" t="s">
        <v>5446</v>
      </c>
      <c r="C130" s="5" t="s">
        <v>9413</v>
      </c>
      <c r="D130" s="21">
        <v>6</v>
      </c>
      <c r="E130" s="21"/>
      <c r="F130" s="21" t="s">
        <v>10438</v>
      </c>
      <c r="G130" s="21"/>
      <c r="H130" s="54">
        <v>3600</v>
      </c>
      <c r="I130" s="51">
        <v>3240</v>
      </c>
      <c r="J130" s="27">
        <v>48</v>
      </c>
      <c r="K130" s="27"/>
      <c r="L130" s="15"/>
      <c r="M130" s="15"/>
      <c r="N130" s="4"/>
      <c r="O130" s="4" t="s">
        <v>10446</v>
      </c>
    </row>
    <row r="131" spans="1:15" x14ac:dyDescent="0.2">
      <c r="A131" s="2">
        <v>10018705</v>
      </c>
      <c r="B131" s="2" t="s">
        <v>278</v>
      </c>
      <c r="C131" s="5" t="s">
        <v>5851</v>
      </c>
      <c r="D131" s="21"/>
      <c r="E131" s="21"/>
      <c r="F131" s="21" t="s">
        <v>10438</v>
      </c>
      <c r="G131" s="21"/>
      <c r="H131" s="54">
        <v>7225</v>
      </c>
      <c r="I131" s="51"/>
      <c r="J131" s="27"/>
      <c r="K131" s="27"/>
      <c r="L131" s="15"/>
      <c r="M131" s="15"/>
      <c r="N131" s="4" t="s">
        <v>3607</v>
      </c>
      <c r="O131" s="4"/>
    </row>
    <row r="132" spans="1:15" x14ac:dyDescent="0.2">
      <c r="A132" s="2">
        <v>10018927</v>
      </c>
      <c r="B132" s="2" t="s">
        <v>367</v>
      </c>
      <c r="C132" s="5" t="s">
        <v>5964</v>
      </c>
      <c r="D132" s="21">
        <v>11</v>
      </c>
      <c r="E132" s="21">
        <v>11</v>
      </c>
      <c r="F132" s="21" t="s">
        <v>10438</v>
      </c>
      <c r="G132" s="21">
        <v>4</v>
      </c>
      <c r="H132" s="54">
        <v>1790</v>
      </c>
      <c r="I132" s="51">
        <v>1650</v>
      </c>
      <c r="J132" s="27">
        <v>4</v>
      </c>
      <c r="K132" s="27">
        <v>4</v>
      </c>
      <c r="L132" s="15"/>
      <c r="M132" s="15"/>
      <c r="N132" s="4" t="s">
        <v>3607</v>
      </c>
      <c r="O132" s="4" t="s">
        <v>10450</v>
      </c>
    </row>
    <row r="133" spans="1:15" x14ac:dyDescent="0.2">
      <c r="A133" s="2">
        <v>10018746</v>
      </c>
      <c r="B133" s="2" t="s">
        <v>3742</v>
      </c>
      <c r="C133" s="5" t="s">
        <v>5873</v>
      </c>
      <c r="D133" s="21">
        <v>6</v>
      </c>
      <c r="E133" s="21">
        <v>6</v>
      </c>
      <c r="F133" s="21" t="s">
        <v>10438</v>
      </c>
      <c r="G133" s="21">
        <v>4</v>
      </c>
      <c r="H133" s="54">
        <v>6065</v>
      </c>
      <c r="I133" s="51">
        <v>5460</v>
      </c>
      <c r="J133" s="27">
        <v>9</v>
      </c>
      <c r="K133" s="27">
        <v>9</v>
      </c>
      <c r="L133" s="15"/>
      <c r="M133" s="15"/>
      <c r="N133" s="4"/>
      <c r="O133" s="4" t="s">
        <v>10446</v>
      </c>
    </row>
    <row r="134" spans="1:15" x14ac:dyDescent="0.2">
      <c r="A134" s="2">
        <v>10018724</v>
      </c>
      <c r="B134" s="2" t="s">
        <v>288</v>
      </c>
      <c r="C134" s="5" t="s">
        <v>5863</v>
      </c>
      <c r="D134" s="21">
        <v>19</v>
      </c>
      <c r="E134" s="21"/>
      <c r="F134" s="21" t="s">
        <v>10438</v>
      </c>
      <c r="G134" s="21"/>
      <c r="H134" s="54">
        <v>835</v>
      </c>
      <c r="I134" s="51">
        <v>770</v>
      </c>
      <c r="J134" s="27"/>
      <c r="K134" s="27"/>
      <c r="L134" s="15"/>
      <c r="M134" s="15"/>
      <c r="N134" s="4" t="s">
        <v>3934</v>
      </c>
      <c r="O134" s="4" t="s">
        <v>10445</v>
      </c>
    </row>
    <row r="135" spans="1:15" x14ac:dyDescent="0.2">
      <c r="A135" s="2">
        <v>10018491</v>
      </c>
      <c r="B135" s="2" t="s">
        <v>192</v>
      </c>
      <c r="C135" s="5" t="s">
        <v>5745</v>
      </c>
      <c r="D135" s="21">
        <v>1</v>
      </c>
      <c r="E135" s="21"/>
      <c r="F135" s="21" t="s">
        <v>10438</v>
      </c>
      <c r="G135" s="21"/>
      <c r="H135" s="54">
        <v>1110</v>
      </c>
      <c r="I135" s="51">
        <v>1025</v>
      </c>
      <c r="J135" s="27"/>
      <c r="K135" s="27"/>
      <c r="L135" s="15"/>
      <c r="M135" s="15">
        <v>15</v>
      </c>
      <c r="N135" s="4" t="s">
        <v>3934</v>
      </c>
      <c r="O135" s="4"/>
    </row>
    <row r="136" spans="1:15" x14ac:dyDescent="0.2">
      <c r="A136" s="2">
        <v>10018898</v>
      </c>
      <c r="B136" s="2" t="s">
        <v>354</v>
      </c>
      <c r="C136" s="5" t="s">
        <v>5947</v>
      </c>
      <c r="D136" s="21">
        <v>20</v>
      </c>
      <c r="E136" s="21"/>
      <c r="F136" s="21" t="s">
        <v>10438</v>
      </c>
      <c r="G136" s="21"/>
      <c r="H136" s="54">
        <v>1032</v>
      </c>
      <c r="I136" s="51">
        <v>950</v>
      </c>
      <c r="J136" s="27">
        <v>24</v>
      </c>
      <c r="K136" s="27"/>
      <c r="L136" s="15"/>
      <c r="M136" s="15"/>
      <c r="N136" s="4" t="s">
        <v>3934</v>
      </c>
      <c r="O136" s="4" t="s">
        <v>10452</v>
      </c>
    </row>
    <row r="137" spans="1:15" x14ac:dyDescent="0.2">
      <c r="A137" s="2">
        <v>10018723</v>
      </c>
      <c r="B137" s="2" t="s">
        <v>287</v>
      </c>
      <c r="C137" s="5" t="s">
        <v>5862</v>
      </c>
      <c r="D137" s="21">
        <v>13</v>
      </c>
      <c r="E137" s="21"/>
      <c r="F137" s="21" t="s">
        <v>10438</v>
      </c>
      <c r="G137" s="21"/>
      <c r="H137" s="54">
        <v>1730</v>
      </c>
      <c r="I137" s="51">
        <v>1560</v>
      </c>
      <c r="J137" s="27">
        <v>24</v>
      </c>
      <c r="K137" s="27"/>
      <c r="L137" s="15"/>
      <c r="M137" s="15"/>
      <c r="N137" s="4" t="s">
        <v>3934</v>
      </c>
      <c r="O137" s="4" t="s">
        <v>10452</v>
      </c>
    </row>
    <row r="138" spans="1:15" x14ac:dyDescent="0.2">
      <c r="A138" s="2">
        <v>10018915</v>
      </c>
      <c r="B138" s="2" t="s">
        <v>363</v>
      </c>
      <c r="C138" s="5" t="s">
        <v>5960</v>
      </c>
      <c r="D138" s="21">
        <v>21</v>
      </c>
      <c r="E138" s="21"/>
      <c r="F138" s="21" t="s">
        <v>10438</v>
      </c>
      <c r="G138" s="21"/>
      <c r="H138" s="54">
        <v>1230</v>
      </c>
      <c r="I138" s="51">
        <v>1110</v>
      </c>
      <c r="J138" s="27"/>
      <c r="K138" s="27"/>
      <c r="L138" s="15"/>
      <c r="M138" s="15"/>
      <c r="N138" s="4" t="s">
        <v>3934</v>
      </c>
      <c r="O138" s="4" t="s">
        <v>10447</v>
      </c>
    </row>
    <row r="139" spans="1:15" x14ac:dyDescent="0.2">
      <c r="A139" s="2">
        <v>10018725</v>
      </c>
      <c r="B139" s="2" t="s">
        <v>289</v>
      </c>
      <c r="C139" s="5" t="s">
        <v>5864</v>
      </c>
      <c r="D139" s="21">
        <v>8</v>
      </c>
      <c r="E139" s="21"/>
      <c r="F139" s="21" t="s">
        <v>10438</v>
      </c>
      <c r="G139" s="21"/>
      <c r="H139" s="54">
        <v>1010</v>
      </c>
      <c r="I139" s="51">
        <v>930</v>
      </c>
      <c r="J139" s="27"/>
      <c r="K139" s="27"/>
      <c r="L139" s="15"/>
      <c r="M139" s="15"/>
      <c r="N139" s="4" t="s">
        <v>3934</v>
      </c>
      <c r="O139" s="4" t="s">
        <v>10447</v>
      </c>
    </row>
    <row r="140" spans="1:15" x14ac:dyDescent="0.2">
      <c r="A140" s="2">
        <v>10018991</v>
      </c>
      <c r="B140" s="2" t="s">
        <v>394</v>
      </c>
      <c r="C140" s="5" t="s">
        <v>5993</v>
      </c>
      <c r="D140" s="21">
        <v>16</v>
      </c>
      <c r="E140" s="21">
        <v>16</v>
      </c>
      <c r="F140" s="21" t="s">
        <v>10438</v>
      </c>
      <c r="G140" s="21">
        <v>6</v>
      </c>
      <c r="H140" s="54">
        <v>1680</v>
      </c>
      <c r="I140" s="51">
        <v>1515</v>
      </c>
      <c r="J140" s="27">
        <v>12</v>
      </c>
      <c r="K140" s="27">
        <v>12</v>
      </c>
      <c r="L140" s="15"/>
      <c r="M140" s="15"/>
      <c r="N140" s="4" t="s">
        <v>3934</v>
      </c>
      <c r="O140" s="4" t="s">
        <v>10448</v>
      </c>
    </row>
    <row r="141" spans="1:15" x14ac:dyDescent="0.2">
      <c r="A141" s="2">
        <v>10018949</v>
      </c>
      <c r="B141" s="2" t="s">
        <v>379</v>
      </c>
      <c r="C141" s="5" t="s">
        <v>5976</v>
      </c>
      <c r="D141" s="21">
        <v>19</v>
      </c>
      <c r="E141" s="21"/>
      <c r="F141" s="21" t="s">
        <v>10438</v>
      </c>
      <c r="G141" s="21"/>
      <c r="H141" s="54">
        <v>2795</v>
      </c>
      <c r="I141" s="51">
        <v>2380</v>
      </c>
      <c r="J141" s="27"/>
      <c r="K141" s="27"/>
      <c r="L141" s="15"/>
      <c r="M141" s="15"/>
      <c r="N141" s="4" t="s">
        <v>3934</v>
      </c>
      <c r="O141" s="4" t="s">
        <v>10448</v>
      </c>
    </row>
    <row r="142" spans="1:15" x14ac:dyDescent="0.2">
      <c r="A142" s="2">
        <v>10018676</v>
      </c>
      <c r="B142" s="2" t="s">
        <v>265</v>
      </c>
      <c r="C142" s="5" t="s">
        <v>5834</v>
      </c>
      <c r="D142" s="21">
        <v>9</v>
      </c>
      <c r="E142" s="21"/>
      <c r="F142" s="21" t="s">
        <v>10438</v>
      </c>
      <c r="G142" s="21"/>
      <c r="H142" s="54">
        <v>885</v>
      </c>
      <c r="I142" s="51">
        <v>815</v>
      </c>
      <c r="J142" s="27"/>
      <c r="K142" s="27"/>
      <c r="L142" s="15"/>
      <c r="M142" s="15"/>
      <c r="N142" s="4" t="s">
        <v>3934</v>
      </c>
      <c r="O142" s="4"/>
    </row>
    <row r="143" spans="1:15" x14ac:dyDescent="0.2">
      <c r="A143" s="2">
        <v>10018894</v>
      </c>
      <c r="B143" s="2" t="s">
        <v>350</v>
      </c>
      <c r="C143" s="5" t="s">
        <v>5943</v>
      </c>
      <c r="D143" s="21">
        <v>11</v>
      </c>
      <c r="E143" s="21"/>
      <c r="F143" s="21" t="s">
        <v>10438</v>
      </c>
      <c r="G143" s="21"/>
      <c r="H143" s="54">
        <v>1410</v>
      </c>
      <c r="I143" s="51">
        <v>1300</v>
      </c>
      <c r="J143" s="27">
        <v>5</v>
      </c>
      <c r="K143" s="27"/>
      <c r="L143" s="15">
        <v>15</v>
      </c>
      <c r="M143" s="15">
        <v>15</v>
      </c>
      <c r="N143" s="4" t="s">
        <v>3934</v>
      </c>
      <c r="O143" s="4" t="s">
        <v>10452</v>
      </c>
    </row>
    <row r="144" spans="1:15" x14ac:dyDescent="0.2">
      <c r="A144" s="2">
        <v>10018486</v>
      </c>
      <c r="B144" s="2" t="s">
        <v>190</v>
      </c>
      <c r="C144" s="5">
        <v>4131</v>
      </c>
      <c r="D144" s="21">
        <v>1</v>
      </c>
      <c r="E144" s="21"/>
      <c r="F144" s="21" t="s">
        <v>10438</v>
      </c>
      <c r="G144" s="21"/>
      <c r="H144" s="54">
        <v>6300</v>
      </c>
      <c r="I144" s="51">
        <v>5040</v>
      </c>
      <c r="J144" s="27"/>
      <c r="K144" s="27"/>
      <c r="L144" s="15"/>
      <c r="M144" s="15"/>
      <c r="N144" s="4"/>
      <c r="O144" s="4"/>
    </row>
    <row r="145" spans="1:15" x14ac:dyDescent="0.2">
      <c r="A145" s="2">
        <v>10018743</v>
      </c>
      <c r="B145" s="2" t="s">
        <v>295</v>
      </c>
      <c r="C145" s="5" t="s">
        <v>5872</v>
      </c>
      <c r="D145" s="21">
        <v>4</v>
      </c>
      <c r="E145" s="21"/>
      <c r="F145" s="21" t="s">
        <v>10438</v>
      </c>
      <c r="G145" s="21"/>
      <c r="H145" s="54">
        <v>4200</v>
      </c>
      <c r="I145" s="51">
        <v>3570</v>
      </c>
      <c r="J145" s="27"/>
      <c r="K145" s="27"/>
      <c r="L145" s="15">
        <v>3</v>
      </c>
      <c r="M145" s="15"/>
      <c r="N145" s="4" t="s">
        <v>10713</v>
      </c>
      <c r="O145" s="4" t="s">
        <v>10447</v>
      </c>
    </row>
    <row r="146" spans="1:15" x14ac:dyDescent="0.2">
      <c r="A146" s="2">
        <v>10018900</v>
      </c>
      <c r="B146" s="2" t="s">
        <v>356</v>
      </c>
      <c r="C146" s="5" t="s">
        <v>5949</v>
      </c>
      <c r="D146" s="21">
        <v>23</v>
      </c>
      <c r="E146" s="21"/>
      <c r="F146" s="21" t="s">
        <v>10438</v>
      </c>
      <c r="G146" s="21"/>
      <c r="H146" s="54">
        <v>1440</v>
      </c>
      <c r="I146" s="51">
        <v>1325</v>
      </c>
      <c r="J146" s="27">
        <v>56</v>
      </c>
      <c r="K146" s="27"/>
      <c r="L146" s="15">
        <v>30</v>
      </c>
      <c r="M146" s="15"/>
      <c r="N146" s="4" t="s">
        <v>3934</v>
      </c>
      <c r="O146" s="4" t="s">
        <v>10452</v>
      </c>
    </row>
    <row r="147" spans="1:15" x14ac:dyDescent="0.2">
      <c r="A147" s="2">
        <v>10018925</v>
      </c>
      <c r="B147" s="2" t="s">
        <v>3619</v>
      </c>
      <c r="C147" s="5" t="s">
        <v>5962</v>
      </c>
      <c r="D147" s="21">
        <v>6</v>
      </c>
      <c r="E147" s="21"/>
      <c r="F147" s="21" t="s">
        <v>10438</v>
      </c>
      <c r="G147" s="21"/>
      <c r="H147" s="54">
        <v>2780</v>
      </c>
      <c r="I147" s="51">
        <v>2505</v>
      </c>
      <c r="J147" s="27">
        <v>10</v>
      </c>
      <c r="K147" s="27"/>
      <c r="L147" s="15">
        <v>10</v>
      </c>
      <c r="M147" s="15">
        <v>13</v>
      </c>
      <c r="N147" s="4"/>
      <c r="O147" s="4" t="s">
        <v>10449</v>
      </c>
    </row>
    <row r="148" spans="1:15" x14ac:dyDescent="0.2">
      <c r="A148" s="2">
        <v>10018890</v>
      </c>
      <c r="B148" s="2" t="s">
        <v>348</v>
      </c>
      <c r="C148" s="5" t="s">
        <v>5941</v>
      </c>
      <c r="D148" s="21">
        <v>26</v>
      </c>
      <c r="E148" s="21"/>
      <c r="F148" s="21" t="s">
        <v>10438</v>
      </c>
      <c r="G148" s="21"/>
      <c r="H148" s="54">
        <v>1770</v>
      </c>
      <c r="I148" s="51">
        <v>1630</v>
      </c>
      <c r="J148" s="27">
        <v>24</v>
      </c>
      <c r="K148" s="27"/>
      <c r="L148" s="15">
        <v>50</v>
      </c>
      <c r="M148" s="15">
        <v>40</v>
      </c>
      <c r="N148" s="4" t="s">
        <v>3934</v>
      </c>
      <c r="O148" s="4" t="s">
        <v>10456</v>
      </c>
    </row>
    <row r="149" spans="1:15" x14ac:dyDescent="0.2">
      <c r="A149" s="2">
        <v>10018483</v>
      </c>
      <c r="B149" s="2" t="s">
        <v>5345</v>
      </c>
      <c r="C149" s="5" t="s">
        <v>5741</v>
      </c>
      <c r="D149" s="21">
        <v>5</v>
      </c>
      <c r="E149" s="21">
        <v>5</v>
      </c>
      <c r="F149" s="21" t="s">
        <v>10438</v>
      </c>
      <c r="G149" s="21">
        <v>3</v>
      </c>
      <c r="H149" s="54">
        <v>3008</v>
      </c>
      <c r="I149" s="51">
        <v>2560</v>
      </c>
      <c r="J149" s="27">
        <v>0</v>
      </c>
      <c r="K149" s="27">
        <v>0</v>
      </c>
      <c r="L149" s="15">
        <v>2</v>
      </c>
      <c r="M149" s="15"/>
      <c r="N149" s="4" t="s">
        <v>3607</v>
      </c>
      <c r="O149" s="4" t="s">
        <v>10448</v>
      </c>
    </row>
    <row r="150" spans="1:15" x14ac:dyDescent="0.2">
      <c r="A150" s="2">
        <v>10018889</v>
      </c>
      <c r="B150" s="2" t="s">
        <v>347</v>
      </c>
      <c r="C150" s="5" t="s">
        <v>5940</v>
      </c>
      <c r="D150" s="21"/>
      <c r="E150" s="21"/>
      <c r="F150" s="21" t="s">
        <v>10438</v>
      </c>
      <c r="G150" s="21"/>
      <c r="H150" s="54">
        <v>3240</v>
      </c>
      <c r="I150" s="51">
        <v>2920</v>
      </c>
      <c r="J150" s="27">
        <v>8</v>
      </c>
      <c r="K150" s="27"/>
      <c r="L150" s="15">
        <v>10</v>
      </c>
      <c r="M150" s="15">
        <v>10</v>
      </c>
      <c r="N150" s="4" t="s">
        <v>3607</v>
      </c>
      <c r="O150" s="4" t="s">
        <v>10457</v>
      </c>
    </row>
    <row r="151" spans="1:15" x14ac:dyDescent="0.2">
      <c r="A151" s="2">
        <v>10018977</v>
      </c>
      <c r="B151" s="2" t="s">
        <v>3618</v>
      </c>
      <c r="C151" s="5" t="s">
        <v>5989</v>
      </c>
      <c r="D151" s="21">
        <v>3</v>
      </c>
      <c r="E151" s="21"/>
      <c r="F151" s="21" t="s">
        <v>10438</v>
      </c>
      <c r="G151" s="21"/>
      <c r="H151" s="54">
        <v>3705</v>
      </c>
      <c r="I151" s="51">
        <v>2965</v>
      </c>
      <c r="J151" s="27"/>
      <c r="K151" s="27"/>
      <c r="L151" s="15">
        <v>6</v>
      </c>
      <c r="M151" s="15">
        <v>12</v>
      </c>
      <c r="N151" s="4"/>
      <c r="O151" s="4" t="s">
        <v>10451</v>
      </c>
    </row>
    <row r="152" spans="1:15" x14ac:dyDescent="0.2">
      <c r="A152" s="2">
        <v>10018727</v>
      </c>
      <c r="B152" s="2" t="s">
        <v>291</v>
      </c>
      <c r="C152" s="5">
        <v>3711</v>
      </c>
      <c r="D152" s="21">
        <v>7</v>
      </c>
      <c r="E152" s="21">
        <v>7</v>
      </c>
      <c r="F152" s="21" t="s">
        <v>10438</v>
      </c>
      <c r="G152" s="21">
        <v>5</v>
      </c>
      <c r="H152" s="54">
        <v>2040</v>
      </c>
      <c r="I152" s="51">
        <v>1840</v>
      </c>
      <c r="J152" s="27">
        <v>21</v>
      </c>
      <c r="K152" s="27">
        <v>21</v>
      </c>
      <c r="L152" s="15">
        <v>20</v>
      </c>
      <c r="M152" s="15"/>
      <c r="N152" s="4"/>
      <c r="O152" s="4" t="s">
        <v>10452</v>
      </c>
    </row>
    <row r="153" spans="1:15" x14ac:dyDescent="0.2">
      <c r="A153" s="2">
        <v>10017895</v>
      </c>
      <c r="B153" s="2" t="s">
        <v>5331</v>
      </c>
      <c r="C153" s="5" t="s">
        <v>5539</v>
      </c>
      <c r="D153" s="21"/>
      <c r="E153" s="21"/>
      <c r="F153" s="21" t="s">
        <v>10438</v>
      </c>
      <c r="G153" s="21"/>
      <c r="H153" s="54">
        <v>4260</v>
      </c>
      <c r="I153" s="51">
        <v>3625</v>
      </c>
      <c r="J153" s="27">
        <v>4</v>
      </c>
      <c r="K153" s="27"/>
      <c r="L153" s="15"/>
      <c r="M153" s="15"/>
      <c r="N153" s="4"/>
      <c r="O153" s="4" t="s">
        <v>10455</v>
      </c>
    </row>
    <row r="154" spans="1:15" x14ac:dyDescent="0.2">
      <c r="A154" s="2">
        <v>10018252</v>
      </c>
      <c r="B154" s="2" t="s">
        <v>126</v>
      </c>
      <c r="C154" s="5" t="s">
        <v>5665</v>
      </c>
      <c r="D154" s="21">
        <v>2</v>
      </c>
      <c r="E154" s="21"/>
      <c r="F154" s="21" t="s">
        <v>10438</v>
      </c>
      <c r="G154" s="21"/>
      <c r="H154" s="54">
        <v>5691</v>
      </c>
      <c r="I154" s="51">
        <v>4553</v>
      </c>
      <c r="J154" s="27"/>
      <c r="K154" s="27"/>
      <c r="L154" s="15"/>
      <c r="M154" s="15"/>
      <c r="N154" s="4"/>
      <c r="O154" s="4"/>
    </row>
    <row r="155" spans="1:15" x14ac:dyDescent="0.2">
      <c r="A155" s="2">
        <v>40005743</v>
      </c>
      <c r="B155" s="2" t="s">
        <v>1170</v>
      </c>
      <c r="C155" s="5" t="s">
        <v>6882</v>
      </c>
      <c r="D155" s="21">
        <v>1</v>
      </c>
      <c r="E155" s="21"/>
      <c r="F155" s="21" t="s">
        <v>10438</v>
      </c>
      <c r="G155" s="21"/>
      <c r="H155" s="54">
        <v>684</v>
      </c>
      <c r="I155" s="51"/>
      <c r="J155" s="27"/>
      <c r="K155" s="27"/>
      <c r="L155" s="15"/>
      <c r="M155" s="15"/>
      <c r="N155" s="4"/>
      <c r="O155" s="4"/>
    </row>
    <row r="156" spans="1:15" x14ac:dyDescent="0.2">
      <c r="A156" s="2">
        <v>10030735</v>
      </c>
      <c r="B156" s="2" t="s">
        <v>685</v>
      </c>
      <c r="C156" s="5" t="s">
        <v>6348</v>
      </c>
      <c r="D156" s="21">
        <v>3</v>
      </c>
      <c r="E156" s="21"/>
      <c r="F156" s="21" t="s">
        <v>10438</v>
      </c>
      <c r="G156" s="21"/>
      <c r="H156" s="54">
        <v>800</v>
      </c>
      <c r="I156" s="51"/>
      <c r="J156" s="27"/>
      <c r="K156" s="27"/>
      <c r="L156" s="15"/>
      <c r="M156" s="15"/>
      <c r="N156" s="4">
        <v>110</v>
      </c>
      <c r="O156" s="4"/>
    </row>
    <row r="157" spans="1:15" x14ac:dyDescent="0.2">
      <c r="A157" s="2">
        <v>40007292</v>
      </c>
      <c r="B157" s="2" t="s">
        <v>2537</v>
      </c>
      <c r="C157" s="5" t="s">
        <v>8236</v>
      </c>
      <c r="D157" s="21">
        <v>4</v>
      </c>
      <c r="E157" s="21"/>
      <c r="F157" s="21" t="s">
        <v>10438</v>
      </c>
      <c r="G157" s="21"/>
      <c r="H157" s="54">
        <v>4</v>
      </c>
      <c r="I157" s="51"/>
      <c r="J157" s="27"/>
      <c r="K157" s="27"/>
      <c r="L157" s="15"/>
      <c r="M157" s="15"/>
      <c r="N157" s="4" t="s">
        <v>4907</v>
      </c>
      <c r="O157" s="4"/>
    </row>
    <row r="158" spans="1:15" x14ac:dyDescent="0.2">
      <c r="A158" s="2">
        <v>40006479</v>
      </c>
      <c r="B158" s="2" t="s">
        <v>1832</v>
      </c>
      <c r="C158" s="5" t="s">
        <v>7540</v>
      </c>
      <c r="D158" s="21">
        <v>1</v>
      </c>
      <c r="E158" s="21"/>
      <c r="F158" s="21" t="s">
        <v>10438</v>
      </c>
      <c r="G158" s="21"/>
      <c r="H158" s="54">
        <v>9</v>
      </c>
      <c r="I158" s="51"/>
      <c r="J158" s="27"/>
      <c r="K158" s="27"/>
      <c r="L158" s="15"/>
      <c r="M158" s="15"/>
      <c r="N158" s="4" t="s">
        <v>4259</v>
      </c>
      <c r="O158" s="4"/>
    </row>
    <row r="159" spans="1:15" x14ac:dyDescent="0.2">
      <c r="A159" s="2">
        <v>40008207</v>
      </c>
      <c r="B159" s="2" t="s">
        <v>3327</v>
      </c>
      <c r="C159" s="5" t="s">
        <v>9019</v>
      </c>
      <c r="D159" s="21">
        <v>3</v>
      </c>
      <c r="E159" s="21"/>
      <c r="F159" s="21" t="s">
        <v>10438</v>
      </c>
      <c r="G159" s="21"/>
      <c r="H159" s="54">
        <v>28</v>
      </c>
      <c r="I159" s="51"/>
      <c r="J159" s="27"/>
      <c r="K159" s="27"/>
      <c r="L159" s="15"/>
      <c r="M159" s="15"/>
      <c r="N159" s="4" t="s">
        <v>5211</v>
      </c>
      <c r="O159" s="4"/>
    </row>
    <row r="160" spans="1:15" x14ac:dyDescent="0.2">
      <c r="A160" s="2">
        <v>40006325</v>
      </c>
      <c r="B160" s="2" t="s">
        <v>1692</v>
      </c>
      <c r="C160" s="5" t="s">
        <v>7402</v>
      </c>
      <c r="D160" s="21">
        <v>5</v>
      </c>
      <c r="E160" s="21"/>
      <c r="F160" s="21" t="s">
        <v>10438</v>
      </c>
      <c r="G160" s="21"/>
      <c r="H160" s="54">
        <v>14</v>
      </c>
      <c r="I160" s="51"/>
      <c r="J160" s="27"/>
      <c r="K160" s="27"/>
      <c r="L160" s="15"/>
      <c r="M160" s="15"/>
      <c r="N160" s="4" t="s">
        <v>4529</v>
      </c>
      <c r="O160" s="4"/>
    </row>
    <row r="161" spans="1:15" x14ac:dyDescent="0.2">
      <c r="A161" s="2">
        <v>40006324</v>
      </c>
      <c r="B161" s="2" t="s">
        <v>1691</v>
      </c>
      <c r="C161" s="5" t="s">
        <v>7401</v>
      </c>
      <c r="D161" s="21">
        <v>5</v>
      </c>
      <c r="E161" s="21"/>
      <c r="F161" s="21" t="s">
        <v>10438</v>
      </c>
      <c r="G161" s="21"/>
      <c r="H161" s="54">
        <v>6</v>
      </c>
      <c r="I161" s="51"/>
      <c r="J161" s="27"/>
      <c r="K161" s="27"/>
      <c r="L161" s="15"/>
      <c r="M161" s="15"/>
      <c r="N161" s="4" t="s">
        <v>4528</v>
      </c>
      <c r="O161" s="4"/>
    </row>
    <row r="162" spans="1:15" x14ac:dyDescent="0.2">
      <c r="A162" s="2">
        <v>40005835</v>
      </c>
      <c r="B162" s="2" t="s">
        <v>1254</v>
      </c>
      <c r="C162" s="5" t="s">
        <v>6966</v>
      </c>
      <c r="D162" s="21">
        <v>23</v>
      </c>
      <c r="E162" s="21"/>
      <c r="F162" s="21" t="s">
        <v>10438</v>
      </c>
      <c r="G162" s="21"/>
      <c r="H162" s="54">
        <v>11</v>
      </c>
      <c r="I162" s="51"/>
      <c r="J162" s="27"/>
      <c r="K162" s="27"/>
      <c r="L162" s="15">
        <v>20</v>
      </c>
      <c r="M162" s="15">
        <v>4</v>
      </c>
      <c r="N162" s="4" t="s">
        <v>4285</v>
      </c>
      <c r="O162" s="4"/>
    </row>
    <row r="163" spans="1:15" x14ac:dyDescent="0.2">
      <c r="A163" s="2">
        <v>40006671</v>
      </c>
      <c r="B163" s="2" t="s">
        <v>1995</v>
      </c>
      <c r="C163" s="5" t="s">
        <v>7704</v>
      </c>
      <c r="D163" s="21">
        <v>3</v>
      </c>
      <c r="E163" s="21"/>
      <c r="F163" s="21" t="s">
        <v>10438</v>
      </c>
      <c r="G163" s="21"/>
      <c r="H163" s="54">
        <v>7</v>
      </c>
      <c r="I163" s="51"/>
      <c r="J163" s="27"/>
      <c r="K163" s="27"/>
      <c r="L163" s="15"/>
      <c r="M163" s="15"/>
      <c r="N163" s="4" t="s">
        <v>4059</v>
      </c>
      <c r="O163" s="4"/>
    </row>
    <row r="164" spans="1:15" x14ac:dyDescent="0.2">
      <c r="A164" s="2">
        <v>40008070</v>
      </c>
      <c r="B164" s="2" t="s">
        <v>3201</v>
      </c>
      <c r="C164" s="5" t="s">
        <v>8897</v>
      </c>
      <c r="D164" s="21"/>
      <c r="E164" s="21"/>
      <c r="F164" s="21" t="s">
        <v>10438</v>
      </c>
      <c r="G164" s="21"/>
      <c r="H164" s="54">
        <v>4</v>
      </c>
      <c r="I164" s="51"/>
      <c r="J164" s="27"/>
      <c r="K164" s="27"/>
      <c r="L164" s="15">
        <v>2</v>
      </c>
      <c r="M164" s="15"/>
      <c r="N164" s="4" t="s">
        <v>5186</v>
      </c>
      <c r="O164" s="4"/>
    </row>
    <row r="165" spans="1:15" x14ac:dyDescent="0.2">
      <c r="A165" s="2">
        <v>40007483</v>
      </c>
      <c r="B165" s="2" t="s">
        <v>2694</v>
      </c>
      <c r="C165" s="5" t="s">
        <v>8395</v>
      </c>
      <c r="D165" s="21">
        <v>2</v>
      </c>
      <c r="E165" s="21"/>
      <c r="F165" s="21" t="s">
        <v>10438</v>
      </c>
      <c r="G165" s="21"/>
      <c r="H165" s="54">
        <v>56</v>
      </c>
      <c r="I165" s="51"/>
      <c r="J165" s="27"/>
      <c r="K165" s="27"/>
      <c r="L165" s="15"/>
      <c r="M165" s="15"/>
      <c r="N165" s="4" t="s">
        <v>4269</v>
      </c>
      <c r="O165" s="4"/>
    </row>
    <row r="166" spans="1:15" x14ac:dyDescent="0.2">
      <c r="A166" s="2">
        <v>40010790</v>
      </c>
      <c r="B166" s="2" t="s">
        <v>3571</v>
      </c>
      <c r="C166" s="5" t="s">
        <v>9291</v>
      </c>
      <c r="D166" s="21">
        <v>1</v>
      </c>
      <c r="E166" s="21"/>
      <c r="F166" s="21" t="s">
        <v>10438</v>
      </c>
      <c r="G166" s="21"/>
      <c r="H166" s="54">
        <v>14</v>
      </c>
      <c r="I166" s="51"/>
      <c r="J166" s="27"/>
      <c r="K166" s="27"/>
      <c r="L166" s="15"/>
      <c r="M166" s="15"/>
      <c r="N166" s="4" t="s">
        <v>5277</v>
      </c>
      <c r="O166" s="4"/>
    </row>
    <row r="167" spans="1:15" x14ac:dyDescent="0.2">
      <c r="A167" s="2">
        <v>40007656</v>
      </c>
      <c r="B167" s="2" t="s">
        <v>3693</v>
      </c>
      <c r="C167" s="5" t="s">
        <v>8536</v>
      </c>
      <c r="D167" s="21">
        <v>4</v>
      </c>
      <c r="E167" s="21"/>
      <c r="F167" s="21" t="s">
        <v>10438</v>
      </c>
      <c r="G167" s="21"/>
      <c r="H167" s="54">
        <v>33</v>
      </c>
      <c r="I167" s="51"/>
      <c r="J167" s="27"/>
      <c r="K167" s="27"/>
      <c r="L167" s="15">
        <v>1</v>
      </c>
      <c r="M167" s="15"/>
      <c r="N167" s="4" t="s">
        <v>5026</v>
      </c>
      <c r="O167" s="4"/>
    </row>
    <row r="168" spans="1:15" x14ac:dyDescent="0.2">
      <c r="A168" s="2">
        <v>40005896</v>
      </c>
      <c r="B168" s="2" t="s">
        <v>1310</v>
      </c>
      <c r="C168" s="5" t="s">
        <v>7020</v>
      </c>
      <c r="D168" s="21">
        <v>1</v>
      </c>
      <c r="E168" s="21"/>
      <c r="F168" s="21" t="s">
        <v>10438</v>
      </c>
      <c r="G168" s="21"/>
      <c r="H168" s="54">
        <v>69</v>
      </c>
      <c r="I168" s="51"/>
      <c r="J168" s="27"/>
      <c r="K168" s="27"/>
      <c r="L168" s="15"/>
      <c r="M168" s="15"/>
      <c r="N168" s="4"/>
      <c r="O168" s="4" t="s">
        <v>4921</v>
      </c>
    </row>
    <row r="169" spans="1:15" x14ac:dyDescent="0.2">
      <c r="A169" s="2">
        <v>40005907</v>
      </c>
      <c r="B169" s="2" t="s">
        <v>1319</v>
      </c>
      <c r="C169" s="5" t="s">
        <v>7027</v>
      </c>
      <c r="D169" s="21">
        <v>1</v>
      </c>
      <c r="E169" s="21"/>
      <c r="F169" s="21" t="s">
        <v>10438</v>
      </c>
      <c r="G169" s="21"/>
      <c r="H169" s="54">
        <v>2</v>
      </c>
      <c r="I169" s="51"/>
      <c r="J169" s="27"/>
      <c r="K169" s="27"/>
      <c r="L169" s="15"/>
      <c r="M169" s="15"/>
      <c r="N169" s="4" t="s">
        <v>4314</v>
      </c>
      <c r="O169" s="4"/>
    </row>
    <row r="170" spans="1:15" x14ac:dyDescent="0.2">
      <c r="A170" s="2">
        <v>10018944</v>
      </c>
      <c r="B170" s="2" t="s">
        <v>375</v>
      </c>
      <c r="C170" s="5" t="s">
        <v>5971</v>
      </c>
      <c r="D170" s="21">
        <v>1</v>
      </c>
      <c r="E170" s="21"/>
      <c r="F170" s="21" t="s">
        <v>10438</v>
      </c>
      <c r="G170" s="21"/>
      <c r="H170" s="54">
        <v>6</v>
      </c>
      <c r="I170" s="51"/>
      <c r="J170" s="27"/>
      <c r="K170" s="27"/>
      <c r="L170" s="15"/>
      <c r="M170" s="15"/>
      <c r="N170" s="4" t="s">
        <v>3950</v>
      </c>
      <c r="O170" s="4"/>
    </row>
    <row r="171" spans="1:15" x14ac:dyDescent="0.2">
      <c r="A171" s="2">
        <v>40007514</v>
      </c>
      <c r="B171" s="2" t="s">
        <v>2720</v>
      </c>
      <c r="C171" s="5" t="s">
        <v>8423</v>
      </c>
      <c r="D171" s="21">
        <v>18</v>
      </c>
      <c r="E171" s="21"/>
      <c r="F171" s="21" t="s">
        <v>10438</v>
      </c>
      <c r="G171" s="21"/>
      <c r="H171" s="54">
        <v>310</v>
      </c>
      <c r="I171" s="51"/>
      <c r="J171" s="27"/>
      <c r="K171" s="27"/>
      <c r="L171" s="15"/>
      <c r="M171" s="15"/>
      <c r="N171" s="4" t="s">
        <v>4051</v>
      </c>
      <c r="O171" s="4"/>
    </row>
    <row r="172" spans="1:15" x14ac:dyDescent="0.2">
      <c r="A172" s="2">
        <v>40005956</v>
      </c>
      <c r="B172" s="2" t="s">
        <v>1363</v>
      </c>
      <c r="C172" s="5" t="s">
        <v>7069</v>
      </c>
      <c r="D172" s="21">
        <v>17</v>
      </c>
      <c r="E172" s="21"/>
      <c r="F172" s="21" t="s">
        <v>10438</v>
      </c>
      <c r="G172" s="21"/>
      <c r="H172" s="54">
        <v>332</v>
      </c>
      <c r="I172" s="51"/>
      <c r="J172" s="27"/>
      <c r="K172" s="27"/>
      <c r="L172" s="15"/>
      <c r="M172" s="15"/>
      <c r="N172" s="4"/>
      <c r="O172" s="4">
        <v>92</v>
      </c>
    </row>
    <row r="173" spans="1:15" x14ac:dyDescent="0.2">
      <c r="A173" s="2">
        <v>40006190</v>
      </c>
      <c r="B173" s="2" t="s">
        <v>1573</v>
      </c>
      <c r="C173" s="5">
        <v>38173101</v>
      </c>
      <c r="D173" s="21">
        <v>1</v>
      </c>
      <c r="E173" s="21"/>
      <c r="F173" s="21" t="s">
        <v>10438</v>
      </c>
      <c r="G173" s="21"/>
      <c r="H173" s="54">
        <v>174</v>
      </c>
      <c r="I173" s="51"/>
      <c r="J173" s="27"/>
      <c r="K173" s="27"/>
      <c r="L173" s="15"/>
      <c r="M173" s="15"/>
      <c r="N173" s="4" t="s">
        <v>4461</v>
      </c>
      <c r="O173" s="4"/>
    </row>
    <row r="174" spans="1:15" x14ac:dyDescent="0.2">
      <c r="A174" s="2">
        <v>40011418</v>
      </c>
      <c r="B174" s="2" t="s">
        <v>5312</v>
      </c>
      <c r="C174" s="5" t="s">
        <v>9396</v>
      </c>
      <c r="D174" s="21">
        <v>1</v>
      </c>
      <c r="E174" s="21"/>
      <c r="F174" s="21" t="s">
        <v>10438</v>
      </c>
      <c r="G174" s="21"/>
      <c r="H174" s="54">
        <v>31</v>
      </c>
      <c r="I174" s="51"/>
      <c r="J174" s="27"/>
      <c r="K174" s="27"/>
      <c r="L174" s="15"/>
      <c r="M174" s="15"/>
      <c r="N174" s="4"/>
      <c r="O174" s="4" t="s">
        <v>10317</v>
      </c>
    </row>
    <row r="175" spans="1:15" x14ac:dyDescent="0.2">
      <c r="A175" s="2">
        <v>10019636</v>
      </c>
      <c r="B175" s="2" t="s">
        <v>5465</v>
      </c>
      <c r="C175" s="5" t="s">
        <v>6188</v>
      </c>
      <c r="D175" s="21">
        <v>24</v>
      </c>
      <c r="E175" s="21"/>
      <c r="F175" s="21" t="s">
        <v>10438</v>
      </c>
      <c r="G175" s="21"/>
      <c r="H175" s="54">
        <v>1436</v>
      </c>
      <c r="I175" s="51">
        <v>1295</v>
      </c>
      <c r="J175" s="27"/>
      <c r="K175" s="27"/>
      <c r="L175" s="15">
        <v>20</v>
      </c>
      <c r="M175" s="15"/>
      <c r="N175" s="4"/>
      <c r="O175" s="4" t="s">
        <v>10446</v>
      </c>
    </row>
    <row r="176" spans="1:15" x14ac:dyDescent="0.2">
      <c r="A176" s="2">
        <v>10019666</v>
      </c>
      <c r="B176" s="2" t="s">
        <v>564</v>
      </c>
      <c r="C176" s="5" t="s">
        <v>6193</v>
      </c>
      <c r="D176" s="21">
        <v>29</v>
      </c>
      <c r="E176" s="21">
        <v>29</v>
      </c>
      <c r="F176" s="21" t="s">
        <v>10438</v>
      </c>
      <c r="G176" s="21">
        <v>12</v>
      </c>
      <c r="H176" s="54">
        <v>1500</v>
      </c>
      <c r="I176" s="51">
        <v>1350</v>
      </c>
      <c r="J176" s="27">
        <v>54</v>
      </c>
      <c r="K176" s="27">
        <v>54</v>
      </c>
      <c r="L176" s="15">
        <v>80</v>
      </c>
      <c r="M176" s="15">
        <v>75</v>
      </c>
      <c r="N176" s="4" t="s">
        <v>3934</v>
      </c>
      <c r="O176" s="4" t="s">
        <v>10445</v>
      </c>
    </row>
    <row r="177" spans="1:15" x14ac:dyDescent="0.2">
      <c r="A177" s="2">
        <v>10018873</v>
      </c>
      <c r="B177" s="2" t="s">
        <v>343</v>
      </c>
      <c r="C177" s="5" t="s">
        <v>5933</v>
      </c>
      <c r="D177" s="21">
        <v>42</v>
      </c>
      <c r="E177" s="21"/>
      <c r="F177" s="21" t="s">
        <v>10438</v>
      </c>
      <c r="G177" s="21"/>
      <c r="H177" s="54">
        <v>1045</v>
      </c>
      <c r="I177" s="51">
        <v>965</v>
      </c>
      <c r="J177" s="27"/>
      <c r="K177" s="27"/>
      <c r="L177" s="15"/>
      <c r="M177" s="15"/>
      <c r="N177" s="4" t="s">
        <v>3934</v>
      </c>
      <c r="O177" s="4" t="s">
        <v>10451</v>
      </c>
    </row>
    <row r="178" spans="1:15" x14ac:dyDescent="0.2">
      <c r="A178" s="2">
        <v>10018211</v>
      </c>
      <c r="B178" s="2" t="s">
        <v>108</v>
      </c>
      <c r="C178" s="5" t="s">
        <v>5645</v>
      </c>
      <c r="D178" s="21">
        <v>11</v>
      </c>
      <c r="E178" s="21"/>
      <c r="F178" s="30" t="s">
        <v>10438</v>
      </c>
      <c r="G178" s="21"/>
      <c r="H178" s="54">
        <v>3245</v>
      </c>
      <c r="I178" s="51">
        <v>2760</v>
      </c>
      <c r="J178" s="27"/>
      <c r="K178" s="27"/>
      <c r="L178" s="15">
        <v>5</v>
      </c>
      <c r="M178" s="15">
        <v>10</v>
      </c>
      <c r="N178" s="4">
        <v>99</v>
      </c>
      <c r="O178" s="4" t="s">
        <v>10446</v>
      </c>
    </row>
    <row r="179" spans="1:15" x14ac:dyDescent="0.2">
      <c r="A179" s="2">
        <v>10018220</v>
      </c>
      <c r="B179" s="2" t="s">
        <v>111</v>
      </c>
      <c r="C179" s="5" t="s">
        <v>5648</v>
      </c>
      <c r="D179" s="21">
        <v>5</v>
      </c>
      <c r="E179" s="21"/>
      <c r="F179" s="21" t="s">
        <v>10438</v>
      </c>
      <c r="G179" s="21"/>
      <c r="H179" s="54">
        <v>9195</v>
      </c>
      <c r="I179" s="51">
        <v>7360</v>
      </c>
      <c r="J179" s="27">
        <v>8</v>
      </c>
      <c r="K179" s="27"/>
      <c r="L179" s="15"/>
      <c r="M179" s="15">
        <v>5</v>
      </c>
      <c r="N179" s="4" t="s">
        <v>3607</v>
      </c>
      <c r="O179" s="4" t="s">
        <v>10450</v>
      </c>
    </row>
    <row r="180" spans="1:15" x14ac:dyDescent="0.2">
      <c r="A180" s="2">
        <v>10018729</v>
      </c>
      <c r="B180" s="2" t="s">
        <v>292</v>
      </c>
      <c r="C180" s="5" t="s">
        <v>5866</v>
      </c>
      <c r="D180" s="21">
        <v>1</v>
      </c>
      <c r="E180" s="21"/>
      <c r="F180" s="21" t="s">
        <v>10438</v>
      </c>
      <c r="G180" s="21"/>
      <c r="H180" s="54">
        <v>2235</v>
      </c>
      <c r="I180" s="51">
        <v>1790</v>
      </c>
      <c r="J180" s="27"/>
      <c r="K180" s="27"/>
      <c r="L180" s="15"/>
      <c r="M180" s="15"/>
      <c r="N180" s="4"/>
      <c r="O180" s="4"/>
    </row>
    <row r="181" spans="1:15" x14ac:dyDescent="0.2">
      <c r="A181" s="2">
        <v>10020128</v>
      </c>
      <c r="B181" s="2" t="s">
        <v>676</v>
      </c>
      <c r="C181" s="5" t="s">
        <v>6331</v>
      </c>
      <c r="D181" s="21">
        <v>32</v>
      </c>
      <c r="E181" s="21">
        <v>32</v>
      </c>
      <c r="F181" s="30" t="s">
        <v>10438</v>
      </c>
      <c r="G181" s="21">
        <v>21</v>
      </c>
      <c r="H181" s="54">
        <v>2645</v>
      </c>
      <c r="I181" s="51">
        <v>2435</v>
      </c>
      <c r="J181" s="27">
        <v>65</v>
      </c>
      <c r="K181" s="27">
        <v>65</v>
      </c>
      <c r="L181" s="15">
        <v>100</v>
      </c>
      <c r="M181" s="15">
        <v>150</v>
      </c>
      <c r="N181" s="4" t="s">
        <v>3934</v>
      </c>
      <c r="O181" s="4" t="s">
        <v>10458</v>
      </c>
    </row>
    <row r="182" spans="1:15" x14ac:dyDescent="0.2">
      <c r="A182" s="2">
        <v>10018652</v>
      </c>
      <c r="B182" s="2" t="s">
        <v>252</v>
      </c>
      <c r="C182" s="5" t="s">
        <v>5820</v>
      </c>
      <c r="D182" s="21">
        <v>30</v>
      </c>
      <c r="E182" s="21"/>
      <c r="F182" s="21" t="s">
        <v>10438</v>
      </c>
      <c r="G182" s="21"/>
      <c r="H182" s="54">
        <v>1540</v>
      </c>
      <c r="I182" s="51">
        <v>1420</v>
      </c>
      <c r="J182" s="27">
        <v>66</v>
      </c>
      <c r="K182" s="27"/>
      <c r="L182" s="15">
        <v>50</v>
      </c>
      <c r="M182" s="15"/>
      <c r="N182" s="4" t="s">
        <v>3934</v>
      </c>
      <c r="O182" s="4" t="s">
        <v>10452</v>
      </c>
    </row>
    <row r="183" spans="1:15" x14ac:dyDescent="0.2">
      <c r="A183" s="2">
        <v>10019308</v>
      </c>
      <c r="B183" s="2" t="s">
        <v>492</v>
      </c>
      <c r="C183" s="5" t="s">
        <v>6108</v>
      </c>
      <c r="D183" s="21">
        <v>1</v>
      </c>
      <c r="E183" s="21"/>
      <c r="F183" s="21" t="s">
        <v>10438</v>
      </c>
      <c r="G183" s="21"/>
      <c r="H183" s="54">
        <v>3280</v>
      </c>
      <c r="I183" s="51">
        <v>2955</v>
      </c>
      <c r="J183" s="27"/>
      <c r="K183" s="27"/>
      <c r="L183" s="15"/>
      <c r="M183" s="15">
        <v>15</v>
      </c>
      <c r="N183" s="4">
        <v>103</v>
      </c>
      <c r="O183" s="4" t="s">
        <v>10446</v>
      </c>
    </row>
    <row r="184" spans="1:15" x14ac:dyDescent="0.2">
      <c r="A184" s="2">
        <v>10020136</v>
      </c>
      <c r="B184" s="2" t="s">
        <v>3808</v>
      </c>
      <c r="C184" s="5" t="s">
        <v>6334</v>
      </c>
      <c r="D184" s="21">
        <v>13</v>
      </c>
      <c r="E184" s="21"/>
      <c r="F184" s="21" t="s">
        <v>10438</v>
      </c>
      <c r="G184" s="21"/>
      <c r="H184" s="54">
        <v>2130</v>
      </c>
      <c r="I184" s="51">
        <v>1960</v>
      </c>
      <c r="J184" s="27">
        <v>13</v>
      </c>
      <c r="K184" s="27"/>
      <c r="L184" s="15"/>
      <c r="M184" s="15"/>
      <c r="N184" s="4">
        <v>99</v>
      </c>
      <c r="O184" s="4" t="s">
        <v>10449</v>
      </c>
    </row>
    <row r="185" spans="1:15" x14ac:dyDescent="0.2">
      <c r="A185" s="2">
        <v>10020137</v>
      </c>
      <c r="B185" s="2" t="s">
        <v>677</v>
      </c>
      <c r="C185" s="5" t="s">
        <v>6335</v>
      </c>
      <c r="D185" s="21">
        <v>16</v>
      </c>
      <c r="E185" s="21"/>
      <c r="F185" s="21" t="s">
        <v>10438</v>
      </c>
      <c r="G185" s="21"/>
      <c r="H185" s="54">
        <v>2255</v>
      </c>
      <c r="I185" s="51">
        <v>2075</v>
      </c>
      <c r="J185" s="27">
        <v>20</v>
      </c>
      <c r="K185" s="27"/>
      <c r="L185" s="15"/>
      <c r="M185" s="15"/>
      <c r="N185" s="4">
        <v>99</v>
      </c>
      <c r="O185" s="4" t="s">
        <v>10446</v>
      </c>
    </row>
    <row r="186" spans="1:15" x14ac:dyDescent="0.2">
      <c r="A186" s="2">
        <v>10019896</v>
      </c>
      <c r="B186" s="2" t="s">
        <v>618</v>
      </c>
      <c r="C186" s="5" t="s">
        <v>6256</v>
      </c>
      <c r="D186" s="21">
        <v>1</v>
      </c>
      <c r="E186" s="21"/>
      <c r="F186" s="21" t="s">
        <v>10438</v>
      </c>
      <c r="G186" s="21"/>
      <c r="H186" s="54">
        <v>343</v>
      </c>
      <c r="I186" s="51"/>
      <c r="J186" s="27"/>
      <c r="K186" s="27"/>
      <c r="L186" s="15"/>
      <c r="M186" s="15"/>
      <c r="N186" s="4"/>
      <c r="O186" s="4">
        <v>94</v>
      </c>
    </row>
    <row r="187" spans="1:15" x14ac:dyDescent="0.2">
      <c r="A187" s="2">
        <v>40008061</v>
      </c>
      <c r="B187" s="2" t="s">
        <v>3193</v>
      </c>
      <c r="C187" s="5" t="s">
        <v>8888</v>
      </c>
      <c r="D187" s="21">
        <v>12</v>
      </c>
      <c r="E187" s="21"/>
      <c r="F187" s="21" t="s">
        <v>10438</v>
      </c>
      <c r="G187" s="21"/>
      <c r="H187" s="54">
        <v>342</v>
      </c>
      <c r="I187" s="51"/>
      <c r="J187" s="27"/>
      <c r="K187" s="27"/>
      <c r="L187" s="15"/>
      <c r="M187" s="15"/>
      <c r="N187" s="4"/>
      <c r="O187" s="4" t="s">
        <v>4821</v>
      </c>
    </row>
    <row r="188" spans="1:15" x14ac:dyDescent="0.2">
      <c r="A188" s="2">
        <v>40006830</v>
      </c>
      <c r="B188" s="7" t="s">
        <v>2129</v>
      </c>
      <c r="C188" s="5" t="s">
        <v>7837</v>
      </c>
      <c r="D188" s="21">
        <v>14</v>
      </c>
      <c r="E188" s="21"/>
      <c r="F188" s="21" t="s">
        <v>10438</v>
      </c>
      <c r="G188" s="21"/>
      <c r="H188" s="54">
        <v>67</v>
      </c>
      <c r="I188" s="51"/>
      <c r="J188" s="27"/>
      <c r="K188" s="27"/>
      <c r="L188" s="15"/>
      <c r="M188" s="15"/>
      <c r="N188" s="4" t="s">
        <v>4702</v>
      </c>
      <c r="O188" s="4"/>
    </row>
    <row r="189" spans="1:15" x14ac:dyDescent="0.2">
      <c r="A189" s="2">
        <v>40006405</v>
      </c>
      <c r="B189" s="2" t="s">
        <v>1765</v>
      </c>
      <c r="C189" s="5" t="s">
        <v>7476</v>
      </c>
      <c r="D189" s="21">
        <v>1</v>
      </c>
      <c r="E189" s="21"/>
      <c r="F189" s="21" t="s">
        <v>10438</v>
      </c>
      <c r="G189" s="21"/>
      <c r="H189" s="54">
        <v>774</v>
      </c>
      <c r="I189" s="51"/>
      <c r="J189" s="27"/>
      <c r="K189" s="27"/>
      <c r="L189" s="15"/>
      <c r="M189" s="15"/>
      <c r="N189" s="4" t="s">
        <v>4290</v>
      </c>
      <c r="O189" s="4"/>
    </row>
    <row r="190" spans="1:15" x14ac:dyDescent="0.2">
      <c r="A190" s="2">
        <v>40006556</v>
      </c>
      <c r="B190" s="2" t="s">
        <v>1896</v>
      </c>
      <c r="C190" s="5" t="s">
        <v>7604</v>
      </c>
      <c r="D190" s="21">
        <v>2</v>
      </c>
      <c r="E190" s="21"/>
      <c r="F190" s="21" t="s">
        <v>10438</v>
      </c>
      <c r="G190" s="21"/>
      <c r="H190" s="54">
        <v>399</v>
      </c>
      <c r="I190" s="51"/>
      <c r="J190" s="27"/>
      <c r="K190" s="27"/>
      <c r="L190" s="15"/>
      <c r="M190" s="15"/>
      <c r="N190" s="4"/>
      <c r="O190" s="4" t="s">
        <v>10371</v>
      </c>
    </row>
    <row r="191" spans="1:15" x14ac:dyDescent="0.2">
      <c r="A191" s="2">
        <v>40006564</v>
      </c>
      <c r="B191" s="2" t="s">
        <v>1903</v>
      </c>
      <c r="C191" s="5" t="s">
        <v>7611</v>
      </c>
      <c r="D191" s="21">
        <v>2</v>
      </c>
      <c r="E191" s="21"/>
      <c r="F191" s="21" t="s">
        <v>10438</v>
      </c>
      <c r="G191" s="21"/>
      <c r="H191" s="54">
        <v>628</v>
      </c>
      <c r="I191" s="51"/>
      <c r="J191" s="27"/>
      <c r="K191" s="27"/>
      <c r="L191" s="15"/>
      <c r="M191" s="15"/>
      <c r="N191" s="4"/>
      <c r="O191" s="4" t="s">
        <v>10371</v>
      </c>
    </row>
    <row r="192" spans="1:15" x14ac:dyDescent="0.2">
      <c r="A192" s="2">
        <v>40005206</v>
      </c>
      <c r="B192" s="2" t="s">
        <v>744</v>
      </c>
      <c r="C192" s="5" t="s">
        <v>6457</v>
      </c>
      <c r="D192" s="21">
        <v>4</v>
      </c>
      <c r="E192" s="21"/>
      <c r="F192" s="21" t="s">
        <v>10438</v>
      </c>
      <c r="G192" s="21"/>
      <c r="H192" s="54">
        <v>87</v>
      </c>
      <c r="I192" s="51"/>
      <c r="J192" s="27"/>
      <c r="K192" s="27"/>
      <c r="L192" s="15"/>
      <c r="M192" s="15"/>
      <c r="N192" s="4" t="s">
        <v>4008</v>
      </c>
      <c r="O192" s="4"/>
    </row>
    <row r="193" spans="1:15" x14ac:dyDescent="0.2">
      <c r="A193" s="2">
        <v>40006217</v>
      </c>
      <c r="B193" s="7" t="s">
        <v>1599</v>
      </c>
      <c r="C193" s="5" t="s">
        <v>5326</v>
      </c>
      <c r="D193" s="21">
        <v>15</v>
      </c>
      <c r="E193" s="21"/>
      <c r="F193" s="21" t="s">
        <v>10438</v>
      </c>
      <c r="G193" s="21"/>
      <c r="H193" s="54">
        <v>74</v>
      </c>
      <c r="I193" s="51"/>
      <c r="J193" s="27"/>
      <c r="K193" s="27"/>
      <c r="L193" s="15">
        <v>8</v>
      </c>
      <c r="M193" s="15"/>
      <c r="N193" s="4" t="s">
        <v>4003</v>
      </c>
      <c r="O193" s="4"/>
    </row>
    <row r="194" spans="1:15" x14ac:dyDescent="0.2">
      <c r="A194" s="2">
        <v>40005208</v>
      </c>
      <c r="B194" s="7" t="s">
        <v>746</v>
      </c>
      <c r="C194" s="5" t="s">
        <v>6459</v>
      </c>
      <c r="D194" s="21">
        <v>7</v>
      </c>
      <c r="E194" s="21"/>
      <c r="F194" s="21" t="s">
        <v>10438</v>
      </c>
      <c r="G194" s="21"/>
      <c r="H194" s="54">
        <v>105</v>
      </c>
      <c r="I194" s="51"/>
      <c r="J194" s="27"/>
      <c r="K194" s="27"/>
      <c r="L194" s="15"/>
      <c r="M194" s="15"/>
      <c r="N194" s="4" t="s">
        <v>4010</v>
      </c>
      <c r="O194" s="4"/>
    </row>
    <row r="195" spans="1:15" x14ac:dyDescent="0.2">
      <c r="A195" s="2">
        <v>40007473</v>
      </c>
      <c r="B195" s="2" t="s">
        <v>2684</v>
      </c>
      <c r="C195" s="5" t="s">
        <v>5509</v>
      </c>
      <c r="D195" s="21">
        <v>3</v>
      </c>
      <c r="E195" s="21"/>
      <c r="F195" s="30">
        <v>1</v>
      </c>
      <c r="G195" s="21"/>
      <c r="H195" s="54">
        <v>710</v>
      </c>
      <c r="I195" s="51"/>
      <c r="J195" s="27"/>
      <c r="K195" s="27"/>
      <c r="L195" s="15"/>
      <c r="M195" s="15">
        <v>10</v>
      </c>
      <c r="N195" s="4" t="s">
        <v>10002</v>
      </c>
      <c r="O195" s="4"/>
    </row>
    <row r="196" spans="1:15" x14ac:dyDescent="0.2">
      <c r="A196" s="2">
        <v>40007073</v>
      </c>
      <c r="B196" s="2" t="s">
        <v>2347</v>
      </c>
      <c r="C196" s="5" t="s">
        <v>8054</v>
      </c>
      <c r="D196" s="21">
        <v>14</v>
      </c>
      <c r="E196" s="21"/>
      <c r="F196" s="21" t="s">
        <v>10438</v>
      </c>
      <c r="G196" s="21"/>
      <c r="H196" s="54">
        <v>940</v>
      </c>
      <c r="I196" s="51"/>
      <c r="J196" s="27"/>
      <c r="K196" s="27"/>
      <c r="L196" s="15"/>
      <c r="M196" s="15"/>
      <c r="N196" s="4">
        <v>5</v>
      </c>
      <c r="O196" s="4">
        <v>105</v>
      </c>
    </row>
    <row r="197" spans="1:15" x14ac:dyDescent="0.2">
      <c r="A197" s="2">
        <v>40008195</v>
      </c>
      <c r="B197" s="2" t="s">
        <v>3316</v>
      </c>
      <c r="C197" s="5" t="s">
        <v>9008</v>
      </c>
      <c r="D197" s="21">
        <v>3</v>
      </c>
      <c r="E197" s="21"/>
      <c r="F197" s="21" t="s">
        <v>10438</v>
      </c>
      <c r="G197" s="21"/>
      <c r="H197" s="54">
        <v>260</v>
      </c>
      <c r="I197" s="51"/>
      <c r="J197" s="27"/>
      <c r="K197" s="27"/>
      <c r="L197" s="15"/>
      <c r="M197" s="15"/>
      <c r="N197" s="4"/>
      <c r="O197" s="4">
        <v>79</v>
      </c>
    </row>
    <row r="198" spans="1:15" x14ac:dyDescent="0.2">
      <c r="A198" s="2">
        <v>40007947</v>
      </c>
      <c r="B198" s="2" t="s">
        <v>3099</v>
      </c>
      <c r="C198" s="5" t="s">
        <v>8792</v>
      </c>
      <c r="D198" s="21">
        <v>14</v>
      </c>
      <c r="E198" s="21"/>
      <c r="F198" s="30">
        <v>1</v>
      </c>
      <c r="G198" s="21"/>
      <c r="H198" s="54">
        <v>245</v>
      </c>
      <c r="I198" s="51"/>
      <c r="J198" s="27"/>
      <c r="K198" s="27"/>
      <c r="L198" s="15"/>
      <c r="M198" s="15"/>
      <c r="N198" s="4" t="s">
        <v>5144</v>
      </c>
      <c r="O198" s="4">
        <v>37</v>
      </c>
    </row>
    <row r="199" spans="1:15" x14ac:dyDescent="0.2">
      <c r="A199" s="2">
        <v>40006731</v>
      </c>
      <c r="B199" s="2" t="s">
        <v>2036</v>
      </c>
      <c r="C199" s="5" t="s">
        <v>7746</v>
      </c>
      <c r="D199" s="21">
        <v>1</v>
      </c>
      <c r="E199" s="21"/>
      <c r="F199" s="21" t="s">
        <v>10438</v>
      </c>
      <c r="G199" s="21"/>
      <c r="H199" s="54">
        <v>98</v>
      </c>
      <c r="I199" s="51"/>
      <c r="J199" s="27"/>
      <c r="K199" s="27"/>
      <c r="L199" s="15"/>
      <c r="M199" s="15"/>
      <c r="N199" s="4" t="s">
        <v>4025</v>
      </c>
      <c r="O199" s="4"/>
    </row>
    <row r="200" spans="1:15" x14ac:dyDescent="0.2">
      <c r="A200" s="2">
        <v>40008303</v>
      </c>
      <c r="B200" s="2" t="s">
        <v>3411</v>
      </c>
      <c r="C200" s="5" t="s">
        <v>9104</v>
      </c>
      <c r="D200" s="21">
        <v>5</v>
      </c>
      <c r="E200" s="21"/>
      <c r="F200" s="21" t="s">
        <v>10438</v>
      </c>
      <c r="G200" s="21"/>
      <c r="H200" s="54">
        <v>306</v>
      </c>
      <c r="I200" s="51"/>
      <c r="J200" s="27"/>
      <c r="K200" s="27"/>
      <c r="L200" s="15"/>
      <c r="M200" s="15"/>
      <c r="N200" s="4" t="s">
        <v>10003</v>
      </c>
      <c r="O200" s="4"/>
    </row>
    <row r="201" spans="1:15" x14ac:dyDescent="0.2">
      <c r="A201" s="2">
        <v>40008302</v>
      </c>
      <c r="B201" s="2" t="s">
        <v>3410</v>
      </c>
      <c r="C201" s="5" t="s">
        <v>9103</v>
      </c>
      <c r="D201" s="21">
        <v>10</v>
      </c>
      <c r="E201" s="21"/>
      <c r="F201" s="21" t="s">
        <v>10438</v>
      </c>
      <c r="G201" s="21"/>
      <c r="H201" s="54">
        <v>127</v>
      </c>
      <c r="I201" s="51"/>
      <c r="J201" s="27"/>
      <c r="K201" s="27"/>
      <c r="L201" s="15"/>
      <c r="M201" s="15"/>
      <c r="N201" s="4" t="s">
        <v>5235</v>
      </c>
      <c r="O201" s="4"/>
    </row>
    <row r="202" spans="1:15" x14ac:dyDescent="0.2">
      <c r="A202" s="2">
        <v>40007436</v>
      </c>
      <c r="B202" s="2" t="s">
        <v>2655</v>
      </c>
      <c r="C202" s="5" t="s">
        <v>8353</v>
      </c>
      <c r="D202" s="21">
        <v>6</v>
      </c>
      <c r="E202" s="21"/>
      <c r="F202" s="21" t="s">
        <v>10438</v>
      </c>
      <c r="G202" s="21"/>
      <c r="H202" s="54">
        <v>942</v>
      </c>
      <c r="I202" s="51"/>
      <c r="J202" s="27"/>
      <c r="K202" s="27"/>
      <c r="L202" s="15"/>
      <c r="M202" s="15"/>
      <c r="N202" s="4" t="s">
        <v>4264</v>
      </c>
      <c r="O202" s="4"/>
    </row>
    <row r="203" spans="1:15" x14ac:dyDescent="0.2">
      <c r="A203" s="2">
        <v>40007448</v>
      </c>
      <c r="B203" s="2" t="s">
        <v>2666</v>
      </c>
      <c r="C203" s="5" t="s">
        <v>8365</v>
      </c>
      <c r="D203" s="21">
        <v>1</v>
      </c>
      <c r="E203" s="21"/>
      <c r="F203" s="21" t="s">
        <v>10438</v>
      </c>
      <c r="G203" s="21"/>
      <c r="H203" s="54">
        <v>471</v>
      </c>
      <c r="I203" s="51"/>
      <c r="J203" s="27"/>
      <c r="K203" s="27"/>
      <c r="L203" s="15"/>
      <c r="M203" s="15"/>
      <c r="N203" s="4" t="s">
        <v>4904</v>
      </c>
      <c r="O203" s="4"/>
    </row>
    <row r="204" spans="1:15" x14ac:dyDescent="0.2">
      <c r="A204" s="2">
        <v>40007429</v>
      </c>
      <c r="B204" s="2" t="s">
        <v>2651</v>
      </c>
      <c r="C204" s="5" t="s">
        <v>8348</v>
      </c>
      <c r="D204" s="21">
        <v>1</v>
      </c>
      <c r="E204" s="21"/>
      <c r="F204" s="21" t="s">
        <v>10438</v>
      </c>
      <c r="G204" s="21"/>
      <c r="H204" s="54">
        <v>1787</v>
      </c>
      <c r="I204" s="51"/>
      <c r="J204" s="27"/>
      <c r="K204" s="27"/>
      <c r="L204" s="15"/>
      <c r="M204" s="15"/>
      <c r="N204" s="4"/>
      <c r="O204" s="4">
        <v>98</v>
      </c>
    </row>
    <row r="205" spans="1:15" x14ac:dyDescent="0.2">
      <c r="A205" s="2">
        <v>40007482</v>
      </c>
      <c r="B205" s="2" t="s">
        <v>2693</v>
      </c>
      <c r="C205" s="5" t="s">
        <v>8394</v>
      </c>
      <c r="D205" s="21">
        <v>5</v>
      </c>
      <c r="E205" s="21"/>
      <c r="F205" s="21" t="s">
        <v>10438</v>
      </c>
      <c r="G205" s="21"/>
      <c r="H205" s="54">
        <v>349</v>
      </c>
      <c r="I205" s="51"/>
      <c r="J205" s="27"/>
      <c r="K205" s="27"/>
      <c r="L205" s="15"/>
      <c r="M205" s="15"/>
      <c r="N205" s="4" t="s">
        <v>4975</v>
      </c>
      <c r="O205" s="4">
        <v>38</v>
      </c>
    </row>
    <row r="206" spans="1:15" x14ac:dyDescent="0.2">
      <c r="A206" s="2">
        <v>40007447</v>
      </c>
      <c r="B206" s="2" t="s">
        <v>2665</v>
      </c>
      <c r="C206" s="5" t="s">
        <v>8364</v>
      </c>
      <c r="D206" s="21">
        <v>2</v>
      </c>
      <c r="E206" s="21"/>
      <c r="F206" s="21" t="s">
        <v>10438</v>
      </c>
      <c r="G206" s="21"/>
      <c r="H206" s="54">
        <v>730</v>
      </c>
      <c r="I206" s="51"/>
      <c r="J206" s="27"/>
      <c r="K206" s="27"/>
      <c r="L206" s="15"/>
      <c r="M206" s="15"/>
      <c r="N206" s="4" t="s">
        <v>4966</v>
      </c>
      <c r="O206" s="4"/>
    </row>
    <row r="207" spans="1:15" x14ac:dyDescent="0.2">
      <c r="A207" s="2">
        <v>40007489</v>
      </c>
      <c r="B207" s="2" t="s">
        <v>5398</v>
      </c>
      <c r="C207" s="5" t="s">
        <v>8401</v>
      </c>
      <c r="D207" s="21">
        <v>15</v>
      </c>
      <c r="E207" s="21"/>
      <c r="F207" s="21" t="s">
        <v>10438</v>
      </c>
      <c r="G207" s="21"/>
      <c r="H207" s="54">
        <v>458</v>
      </c>
      <c r="I207" s="51"/>
      <c r="J207" s="27"/>
      <c r="K207" s="27"/>
      <c r="L207" s="15"/>
      <c r="M207" s="15"/>
      <c r="N207" s="4" t="s">
        <v>5296</v>
      </c>
      <c r="O207" s="4">
        <v>99</v>
      </c>
    </row>
    <row r="208" spans="1:15" x14ac:dyDescent="0.2">
      <c r="A208" s="2">
        <v>40007460</v>
      </c>
      <c r="B208" s="2" t="s">
        <v>2676</v>
      </c>
      <c r="C208" s="5" t="s">
        <v>8375</v>
      </c>
      <c r="D208" s="21">
        <v>7</v>
      </c>
      <c r="E208" s="21"/>
      <c r="F208" s="21" t="s">
        <v>10438</v>
      </c>
      <c r="G208" s="21"/>
      <c r="H208" s="54">
        <v>2167</v>
      </c>
      <c r="I208" s="51"/>
      <c r="J208" s="27"/>
      <c r="K208" s="27"/>
      <c r="L208" s="15"/>
      <c r="M208" s="15"/>
      <c r="N208" s="4" t="s">
        <v>4969</v>
      </c>
      <c r="O208" s="4">
        <v>99</v>
      </c>
    </row>
    <row r="209" spans="1:15" x14ac:dyDescent="0.2">
      <c r="A209" s="2">
        <v>40007461</v>
      </c>
      <c r="B209" s="2" t="s">
        <v>2677</v>
      </c>
      <c r="C209" s="5" t="s">
        <v>8376</v>
      </c>
      <c r="D209" s="21">
        <v>2</v>
      </c>
      <c r="E209" s="21"/>
      <c r="F209" s="21" t="s">
        <v>10438</v>
      </c>
      <c r="G209" s="21"/>
      <c r="H209" s="54">
        <v>1241</v>
      </c>
      <c r="I209" s="51"/>
      <c r="J209" s="27"/>
      <c r="K209" s="27"/>
      <c r="L209" s="15"/>
      <c r="M209" s="15"/>
      <c r="N209" s="4" t="s">
        <v>3986</v>
      </c>
      <c r="O209" s="4">
        <v>7</v>
      </c>
    </row>
    <row r="210" spans="1:15" x14ac:dyDescent="0.2">
      <c r="A210" s="2">
        <v>40010225</v>
      </c>
      <c r="B210" s="2" t="s">
        <v>3830</v>
      </c>
      <c r="C210" s="5" t="s">
        <v>9119</v>
      </c>
      <c r="D210" s="21">
        <v>5</v>
      </c>
      <c r="E210" s="21"/>
      <c r="F210" s="21" t="s">
        <v>10438</v>
      </c>
      <c r="G210" s="21"/>
      <c r="H210" s="54">
        <v>1809</v>
      </c>
      <c r="I210" s="51"/>
      <c r="J210" s="27"/>
      <c r="K210" s="27"/>
      <c r="L210" s="15"/>
      <c r="M210" s="15"/>
      <c r="N210" s="4">
        <v>33</v>
      </c>
      <c r="O210" s="4"/>
    </row>
    <row r="211" spans="1:15" x14ac:dyDescent="0.2">
      <c r="A211" s="2">
        <v>40007503</v>
      </c>
      <c r="B211" s="2" t="s">
        <v>2712</v>
      </c>
      <c r="C211" s="5" t="s">
        <v>8414</v>
      </c>
      <c r="D211" s="21">
        <v>1</v>
      </c>
      <c r="E211" s="21"/>
      <c r="F211" s="21" t="s">
        <v>10438</v>
      </c>
      <c r="G211" s="21"/>
      <c r="H211" s="54">
        <v>647</v>
      </c>
      <c r="I211" s="51"/>
      <c r="J211" s="27"/>
      <c r="K211" s="27"/>
      <c r="L211" s="15"/>
      <c r="M211" s="15"/>
      <c r="N211" s="4" t="s">
        <v>4024</v>
      </c>
      <c r="O211" s="4">
        <v>33</v>
      </c>
    </row>
    <row r="212" spans="1:15" x14ac:dyDescent="0.2">
      <c r="A212" s="2">
        <v>40007746</v>
      </c>
      <c r="B212" s="2" t="s">
        <v>2921</v>
      </c>
      <c r="C212" s="5" t="s">
        <v>8617</v>
      </c>
      <c r="D212" s="21">
        <v>10</v>
      </c>
      <c r="E212" s="21"/>
      <c r="F212" s="30">
        <v>9</v>
      </c>
      <c r="G212" s="21"/>
      <c r="H212" s="54">
        <v>645</v>
      </c>
      <c r="I212" s="51"/>
      <c r="J212" s="27"/>
      <c r="K212" s="27"/>
      <c r="L212" s="15">
        <v>42</v>
      </c>
      <c r="M212" s="15">
        <v>63</v>
      </c>
      <c r="N212" s="4">
        <v>3</v>
      </c>
      <c r="O212" s="4">
        <v>29</v>
      </c>
    </row>
    <row r="213" spans="1:15" x14ac:dyDescent="0.2">
      <c r="A213" s="2">
        <v>40007477</v>
      </c>
      <c r="B213" s="2" t="s">
        <v>2688</v>
      </c>
      <c r="C213" s="5" t="s">
        <v>8389</v>
      </c>
      <c r="D213" s="21">
        <v>15</v>
      </c>
      <c r="E213" s="21"/>
      <c r="F213" s="21" t="s">
        <v>10438</v>
      </c>
      <c r="G213" s="21"/>
      <c r="H213" s="54">
        <v>136</v>
      </c>
      <c r="I213" s="51"/>
      <c r="J213" s="27"/>
      <c r="K213" s="27"/>
      <c r="L213" s="15"/>
      <c r="M213" s="15"/>
      <c r="N213" s="4" t="s">
        <v>4973</v>
      </c>
      <c r="O213" s="4">
        <v>37</v>
      </c>
    </row>
    <row r="214" spans="1:15" x14ac:dyDescent="0.2">
      <c r="A214" s="2">
        <v>40006992</v>
      </c>
      <c r="B214" s="2" t="s">
        <v>2278</v>
      </c>
      <c r="C214" s="5" t="s">
        <v>7986</v>
      </c>
      <c r="D214" s="21">
        <v>5</v>
      </c>
      <c r="E214" s="21"/>
      <c r="F214" s="21" t="s">
        <v>10438</v>
      </c>
      <c r="G214" s="21"/>
      <c r="H214" s="54">
        <v>565</v>
      </c>
      <c r="I214" s="51"/>
      <c r="J214" s="27"/>
      <c r="K214" s="27"/>
      <c r="L214" s="15"/>
      <c r="M214" s="15"/>
      <c r="N214" s="4">
        <v>16</v>
      </c>
      <c r="O214" s="4">
        <v>30</v>
      </c>
    </row>
    <row r="215" spans="1:15" x14ac:dyDescent="0.2">
      <c r="A215" s="2">
        <v>40007485</v>
      </c>
      <c r="B215" s="2" t="s">
        <v>2696</v>
      </c>
      <c r="C215" s="5" t="s">
        <v>8397</v>
      </c>
      <c r="D215" s="21">
        <v>20</v>
      </c>
      <c r="E215" s="21"/>
      <c r="F215" s="21" t="s">
        <v>10438</v>
      </c>
      <c r="G215" s="21"/>
      <c r="H215" s="54">
        <v>620</v>
      </c>
      <c r="I215" s="51"/>
      <c r="J215" s="27"/>
      <c r="K215" s="27"/>
      <c r="L215" s="15"/>
      <c r="M215" s="15"/>
      <c r="N215" s="4" t="s">
        <v>4976</v>
      </c>
      <c r="O215" s="4">
        <v>42</v>
      </c>
    </row>
    <row r="216" spans="1:15" x14ac:dyDescent="0.2">
      <c r="A216" s="2">
        <v>40007749</v>
      </c>
      <c r="B216" s="2" t="s">
        <v>3850</v>
      </c>
      <c r="C216" s="5" t="s">
        <v>8620</v>
      </c>
      <c r="D216" s="21"/>
      <c r="E216" s="21"/>
      <c r="F216" s="21" t="s">
        <v>10438</v>
      </c>
      <c r="G216" s="21"/>
      <c r="H216" s="54">
        <v>958</v>
      </c>
      <c r="I216" s="51"/>
      <c r="J216" s="27"/>
      <c r="K216" s="27"/>
      <c r="L216" s="15"/>
      <c r="M216" s="15"/>
      <c r="N216" s="4" t="s">
        <v>4986</v>
      </c>
      <c r="O216" s="4"/>
    </row>
    <row r="217" spans="1:15" x14ac:dyDescent="0.2">
      <c r="A217" s="2">
        <v>40007491</v>
      </c>
      <c r="B217" s="2" t="s">
        <v>2701</v>
      </c>
      <c r="C217" s="5" t="s">
        <v>8403</v>
      </c>
      <c r="D217" s="21">
        <v>10</v>
      </c>
      <c r="E217" s="21"/>
      <c r="F217" s="21" t="s">
        <v>10438</v>
      </c>
      <c r="G217" s="21"/>
      <c r="H217" s="54">
        <v>2018</v>
      </c>
      <c r="I217" s="51"/>
      <c r="J217" s="27"/>
      <c r="K217" s="27"/>
      <c r="L217" s="15"/>
      <c r="M217" s="15"/>
      <c r="N217" s="4">
        <v>12</v>
      </c>
      <c r="O217" s="4">
        <v>32</v>
      </c>
    </row>
    <row r="218" spans="1:15" x14ac:dyDescent="0.2">
      <c r="A218" s="2">
        <v>40005713</v>
      </c>
      <c r="B218" s="2" t="s">
        <v>1142</v>
      </c>
      <c r="C218" s="5" t="s">
        <v>6861</v>
      </c>
      <c r="D218" s="21">
        <v>2</v>
      </c>
      <c r="E218" s="21"/>
      <c r="F218" s="21" t="s">
        <v>10438</v>
      </c>
      <c r="G218" s="21"/>
      <c r="H218" s="54">
        <v>1501</v>
      </c>
      <c r="I218" s="51"/>
      <c r="J218" s="27"/>
      <c r="K218" s="27"/>
      <c r="L218" s="15"/>
      <c r="M218" s="15"/>
      <c r="N218" s="4">
        <v>20</v>
      </c>
      <c r="O218" s="4"/>
    </row>
    <row r="219" spans="1:15" x14ac:dyDescent="0.2">
      <c r="A219" s="2">
        <v>40006131</v>
      </c>
      <c r="B219" s="2" t="s">
        <v>1522</v>
      </c>
      <c r="C219" s="5" t="s">
        <v>7226</v>
      </c>
      <c r="D219" s="21">
        <v>4</v>
      </c>
      <c r="E219" s="21"/>
      <c r="F219" s="21" t="s">
        <v>10438</v>
      </c>
      <c r="G219" s="21"/>
      <c r="H219" s="54">
        <v>893</v>
      </c>
      <c r="I219" s="51"/>
      <c r="J219" s="27"/>
      <c r="K219" s="27"/>
      <c r="L219" s="15"/>
      <c r="M219" s="15"/>
      <c r="N219" s="4">
        <v>8</v>
      </c>
      <c r="O219" s="4"/>
    </row>
    <row r="220" spans="1:15" x14ac:dyDescent="0.2">
      <c r="A220" s="2">
        <v>40005383</v>
      </c>
      <c r="B220" s="2" t="s">
        <v>861</v>
      </c>
      <c r="C220" s="5" t="s">
        <v>6583</v>
      </c>
      <c r="D220" s="21">
        <v>20</v>
      </c>
      <c r="E220" s="21"/>
      <c r="F220" s="21" t="s">
        <v>10438</v>
      </c>
      <c r="G220" s="21"/>
      <c r="H220" s="54">
        <v>392</v>
      </c>
      <c r="I220" s="51"/>
      <c r="J220" s="27"/>
      <c r="K220" s="27"/>
      <c r="L220" s="15"/>
      <c r="M220" s="15"/>
      <c r="N220" s="4">
        <v>34</v>
      </c>
      <c r="O220" s="4">
        <v>25</v>
      </c>
    </row>
    <row r="221" spans="1:15" x14ac:dyDescent="0.2">
      <c r="A221" s="2">
        <v>40011329</v>
      </c>
      <c r="B221" s="2" t="s">
        <v>3930</v>
      </c>
      <c r="C221" s="5" t="s">
        <v>9376</v>
      </c>
      <c r="D221" s="21">
        <v>3</v>
      </c>
      <c r="E221" s="21"/>
      <c r="F221" s="21" t="s">
        <v>10438</v>
      </c>
      <c r="G221" s="21"/>
      <c r="H221" s="54">
        <v>455</v>
      </c>
      <c r="I221" s="51"/>
      <c r="J221" s="27"/>
      <c r="K221" s="27"/>
      <c r="L221" s="15"/>
      <c r="M221" s="15"/>
      <c r="N221" s="4" t="s">
        <v>10812</v>
      </c>
      <c r="O221" s="4">
        <v>22</v>
      </c>
    </row>
    <row r="222" spans="1:15" x14ac:dyDescent="0.2">
      <c r="A222" s="2">
        <v>40005925</v>
      </c>
      <c r="B222" s="2" t="s">
        <v>1335</v>
      </c>
      <c r="C222" s="5" t="s">
        <v>7041</v>
      </c>
      <c r="D222" s="21">
        <v>15</v>
      </c>
      <c r="E222" s="21"/>
      <c r="F222" s="21" t="s">
        <v>10438</v>
      </c>
      <c r="G222" s="21"/>
      <c r="H222" s="54">
        <v>267</v>
      </c>
      <c r="I222" s="51"/>
      <c r="J222" s="27"/>
      <c r="K222" s="27"/>
      <c r="L222" s="15"/>
      <c r="M222" s="15">
        <v>10</v>
      </c>
      <c r="N222" s="4" t="s">
        <v>10459</v>
      </c>
      <c r="O222" s="4"/>
    </row>
    <row r="223" spans="1:15" x14ac:dyDescent="0.2">
      <c r="A223" s="2">
        <v>40005170</v>
      </c>
      <c r="B223" s="2" t="s">
        <v>717</v>
      </c>
      <c r="C223" s="5" t="s">
        <v>6431</v>
      </c>
      <c r="D223" s="21">
        <v>3</v>
      </c>
      <c r="E223" s="21"/>
      <c r="F223" s="21" t="s">
        <v>10438</v>
      </c>
      <c r="G223" s="21"/>
      <c r="H223" s="54">
        <v>727</v>
      </c>
      <c r="I223" s="51"/>
      <c r="J223" s="27"/>
      <c r="K223" s="27"/>
      <c r="L223" s="15"/>
      <c r="M223" s="15"/>
      <c r="N223" s="4" t="s">
        <v>3983</v>
      </c>
      <c r="O223" s="4"/>
    </row>
    <row r="224" spans="1:15" x14ac:dyDescent="0.2">
      <c r="A224" s="2">
        <v>40005275</v>
      </c>
      <c r="B224" s="2" t="s">
        <v>782</v>
      </c>
      <c r="C224" s="5" t="s">
        <v>6499</v>
      </c>
      <c r="D224" s="21">
        <v>2</v>
      </c>
      <c r="E224" s="21"/>
      <c r="F224" s="21" t="s">
        <v>10438</v>
      </c>
      <c r="G224" s="21"/>
      <c r="H224" s="54">
        <v>1134</v>
      </c>
      <c r="I224" s="51"/>
      <c r="J224" s="27"/>
      <c r="K224" s="27"/>
      <c r="L224" s="15"/>
      <c r="M224" s="15"/>
      <c r="N224" s="4">
        <v>27</v>
      </c>
      <c r="O224" s="4"/>
    </row>
    <row r="225" spans="1:15" x14ac:dyDescent="0.2">
      <c r="A225" s="2">
        <v>40007496</v>
      </c>
      <c r="B225" s="2" t="s">
        <v>2706</v>
      </c>
      <c r="C225" s="5" t="s">
        <v>8408</v>
      </c>
      <c r="D225" s="21">
        <v>9</v>
      </c>
      <c r="E225" s="21"/>
      <c r="F225" s="30">
        <v>1</v>
      </c>
      <c r="G225" s="21"/>
      <c r="H225" s="54">
        <v>510</v>
      </c>
      <c r="I225" s="51"/>
      <c r="J225" s="27"/>
      <c r="K225" s="27"/>
      <c r="L225" s="15"/>
      <c r="M225" s="15"/>
      <c r="N225" s="4">
        <v>10</v>
      </c>
      <c r="O225" s="4"/>
    </row>
    <row r="226" spans="1:15" x14ac:dyDescent="0.2">
      <c r="A226" s="2">
        <v>40006332</v>
      </c>
      <c r="B226" s="2" t="s">
        <v>1699</v>
      </c>
      <c r="C226" s="5" t="s">
        <v>5517</v>
      </c>
      <c r="D226" s="21">
        <v>56</v>
      </c>
      <c r="E226" s="21"/>
      <c r="F226" s="30">
        <v>4</v>
      </c>
      <c r="G226" s="21"/>
      <c r="H226" s="54">
        <v>257</v>
      </c>
      <c r="I226" s="51"/>
      <c r="J226" s="27"/>
      <c r="K226" s="27"/>
      <c r="L226" s="15">
        <v>42</v>
      </c>
      <c r="M226" s="15">
        <v>42</v>
      </c>
      <c r="N226" s="4" t="s">
        <v>10460</v>
      </c>
      <c r="O226" s="4">
        <v>29</v>
      </c>
    </row>
    <row r="227" spans="1:15" x14ac:dyDescent="0.2">
      <c r="A227" s="2">
        <v>40008022</v>
      </c>
      <c r="B227" s="2" t="s">
        <v>3162</v>
      </c>
      <c r="C227" s="5" t="s">
        <v>8856</v>
      </c>
      <c r="D227" s="21">
        <v>4</v>
      </c>
      <c r="E227" s="21"/>
      <c r="F227" s="21" t="s">
        <v>10438</v>
      </c>
      <c r="G227" s="21"/>
      <c r="H227" s="54">
        <v>81</v>
      </c>
      <c r="I227" s="51"/>
      <c r="J227" s="27"/>
      <c r="K227" s="27"/>
      <c r="L227" s="15"/>
      <c r="M227" s="15"/>
      <c r="N227" s="4" t="s">
        <v>5166</v>
      </c>
      <c r="O227" s="4"/>
    </row>
    <row r="228" spans="1:15" x14ac:dyDescent="0.2">
      <c r="A228" s="2">
        <v>40008129</v>
      </c>
      <c r="B228" s="2" t="s">
        <v>3252</v>
      </c>
      <c r="C228" s="5" t="s">
        <v>8948</v>
      </c>
      <c r="D228" s="21">
        <v>6</v>
      </c>
      <c r="E228" s="21"/>
      <c r="F228" s="21" t="s">
        <v>10438</v>
      </c>
      <c r="G228" s="21"/>
      <c r="H228" s="54">
        <v>296</v>
      </c>
      <c r="I228" s="51"/>
      <c r="J228" s="27"/>
      <c r="K228" s="27"/>
      <c r="L228" s="15"/>
      <c r="M228" s="15"/>
      <c r="N228" s="4" t="s">
        <v>5198</v>
      </c>
      <c r="O228" s="4">
        <v>2</v>
      </c>
    </row>
    <row r="229" spans="1:15" x14ac:dyDescent="0.2">
      <c r="A229" s="2">
        <v>40008075</v>
      </c>
      <c r="B229" s="2" t="s">
        <v>3205</v>
      </c>
      <c r="C229" s="5" t="s">
        <v>8901</v>
      </c>
      <c r="D229" s="21">
        <v>83</v>
      </c>
      <c r="E229" s="21"/>
      <c r="F229" s="21" t="s">
        <v>10438</v>
      </c>
      <c r="G229" s="21"/>
      <c r="H229" s="54">
        <v>386</v>
      </c>
      <c r="I229" s="51"/>
      <c r="J229" s="27"/>
      <c r="K229" s="27"/>
      <c r="L229" s="15"/>
      <c r="M229" s="15"/>
      <c r="N229" s="4">
        <v>7</v>
      </c>
      <c r="O229" s="4">
        <v>99</v>
      </c>
    </row>
    <row r="230" spans="1:15" x14ac:dyDescent="0.2">
      <c r="A230" s="2">
        <v>40006354</v>
      </c>
      <c r="B230" s="2" t="s">
        <v>1718</v>
      </c>
      <c r="C230" s="5" t="s">
        <v>7427</v>
      </c>
      <c r="D230" s="21">
        <v>2</v>
      </c>
      <c r="E230" s="21"/>
      <c r="F230" s="21" t="s">
        <v>10438</v>
      </c>
      <c r="G230" s="21"/>
      <c r="H230" s="54">
        <v>240</v>
      </c>
      <c r="I230" s="51"/>
      <c r="J230" s="27"/>
      <c r="K230" s="27"/>
      <c r="L230" s="15"/>
      <c r="M230" s="15"/>
      <c r="N230" s="4" t="s">
        <v>4543</v>
      </c>
      <c r="O230" s="4"/>
    </row>
    <row r="231" spans="1:15" x14ac:dyDescent="0.2">
      <c r="A231" s="2">
        <v>40006244</v>
      </c>
      <c r="B231" s="2" t="s">
        <v>1621</v>
      </c>
      <c r="C231" s="5" t="s">
        <v>7325</v>
      </c>
      <c r="D231" s="21">
        <v>17</v>
      </c>
      <c r="E231" s="21"/>
      <c r="F231" s="21" t="s">
        <v>10438</v>
      </c>
      <c r="G231" s="21"/>
      <c r="H231" s="54">
        <v>372</v>
      </c>
      <c r="I231" s="51"/>
      <c r="J231" s="27"/>
      <c r="K231" s="27"/>
      <c r="L231" s="15"/>
      <c r="M231" s="15"/>
      <c r="N231" s="4" t="s">
        <v>10004</v>
      </c>
      <c r="O231" s="4">
        <v>31</v>
      </c>
    </row>
    <row r="232" spans="1:15" x14ac:dyDescent="0.2">
      <c r="A232" s="2">
        <v>40006949</v>
      </c>
      <c r="B232" s="2" t="s">
        <v>2240</v>
      </c>
      <c r="C232" s="5" t="s">
        <v>9437</v>
      </c>
      <c r="D232" s="21">
        <v>4</v>
      </c>
      <c r="E232" s="21"/>
      <c r="F232" s="30">
        <v>2</v>
      </c>
      <c r="G232" s="21"/>
      <c r="H232" s="54">
        <v>653</v>
      </c>
      <c r="I232" s="51"/>
      <c r="J232" s="27"/>
      <c r="K232" s="27"/>
      <c r="L232" s="15">
        <v>3</v>
      </c>
      <c r="M232" s="15">
        <v>15</v>
      </c>
      <c r="N232" s="4" t="s">
        <v>3986</v>
      </c>
      <c r="O232" s="4">
        <v>1</v>
      </c>
    </row>
    <row r="233" spans="1:15" x14ac:dyDescent="0.2">
      <c r="A233" s="2">
        <v>40006333</v>
      </c>
      <c r="B233" s="2" t="s">
        <v>1700</v>
      </c>
      <c r="C233" s="5" t="s">
        <v>7409</v>
      </c>
      <c r="D233" s="21">
        <v>3</v>
      </c>
      <c r="E233" s="21"/>
      <c r="F233" s="21" t="s">
        <v>10438</v>
      </c>
      <c r="G233" s="21"/>
      <c r="H233" s="54">
        <v>280</v>
      </c>
      <c r="I233" s="51"/>
      <c r="J233" s="27"/>
      <c r="K233" s="27"/>
      <c r="L233" s="15">
        <v>3</v>
      </c>
      <c r="M233" s="15"/>
      <c r="N233" s="4" t="s">
        <v>4531</v>
      </c>
      <c r="O233" s="4"/>
    </row>
    <row r="234" spans="1:15" x14ac:dyDescent="0.2">
      <c r="A234" s="2">
        <v>40006092</v>
      </c>
      <c r="B234" s="2" t="s">
        <v>1483</v>
      </c>
      <c r="C234" s="5" t="s">
        <v>7189</v>
      </c>
      <c r="D234" s="21">
        <v>15</v>
      </c>
      <c r="E234" s="21"/>
      <c r="F234" s="21" t="s">
        <v>10438</v>
      </c>
      <c r="G234" s="21"/>
      <c r="H234" s="54">
        <v>225</v>
      </c>
      <c r="I234" s="51"/>
      <c r="J234" s="27"/>
      <c r="K234" s="27"/>
      <c r="L234" s="15"/>
      <c r="M234" s="15"/>
      <c r="N234" s="4" t="s">
        <v>4409</v>
      </c>
      <c r="O234" s="4">
        <v>30</v>
      </c>
    </row>
    <row r="235" spans="1:15" x14ac:dyDescent="0.2">
      <c r="A235" s="2">
        <v>40008021</v>
      </c>
      <c r="B235" s="2" t="s">
        <v>3161</v>
      </c>
      <c r="C235" s="5" t="s">
        <v>8855</v>
      </c>
      <c r="D235" s="21">
        <v>30</v>
      </c>
      <c r="E235" s="21"/>
      <c r="F235" s="21" t="s">
        <v>10438</v>
      </c>
      <c r="G235" s="21"/>
      <c r="H235" s="54">
        <v>199</v>
      </c>
      <c r="I235" s="51"/>
      <c r="J235" s="27"/>
      <c r="K235" s="27"/>
      <c r="L235" s="15"/>
      <c r="M235" s="15"/>
      <c r="N235" s="4" t="s">
        <v>5165</v>
      </c>
      <c r="O235" s="4">
        <v>38</v>
      </c>
    </row>
    <row r="236" spans="1:15" x14ac:dyDescent="0.2">
      <c r="A236" s="2">
        <v>40006757</v>
      </c>
      <c r="B236" s="2" t="s">
        <v>2060</v>
      </c>
      <c r="C236" s="5" t="s">
        <v>7772</v>
      </c>
      <c r="D236" s="21">
        <v>5</v>
      </c>
      <c r="E236" s="21"/>
      <c r="F236" s="21" t="s">
        <v>10438</v>
      </c>
      <c r="G236" s="21"/>
      <c r="H236" s="54">
        <v>839</v>
      </c>
      <c r="I236" s="51"/>
      <c r="J236" s="27"/>
      <c r="K236" s="27"/>
      <c r="L236" s="15"/>
      <c r="M236" s="15"/>
      <c r="N236" s="4" t="s">
        <v>4670</v>
      </c>
      <c r="O236" s="4"/>
    </row>
    <row r="237" spans="1:15" x14ac:dyDescent="0.2">
      <c r="A237" s="2">
        <v>40007464</v>
      </c>
      <c r="B237" s="2" t="s">
        <v>2680</v>
      </c>
      <c r="C237" s="5" t="s">
        <v>8379</v>
      </c>
      <c r="D237" s="21">
        <v>3</v>
      </c>
      <c r="E237" s="21"/>
      <c r="F237" s="21" t="s">
        <v>10438</v>
      </c>
      <c r="G237" s="21"/>
      <c r="H237" s="54">
        <v>1505</v>
      </c>
      <c r="I237" s="51"/>
      <c r="J237" s="27"/>
      <c r="K237" s="27"/>
      <c r="L237" s="15"/>
      <c r="M237" s="15"/>
      <c r="N237" s="4" t="s">
        <v>4971</v>
      </c>
      <c r="O237" s="4"/>
    </row>
    <row r="238" spans="1:15" x14ac:dyDescent="0.2">
      <c r="A238" s="2">
        <v>40007437</v>
      </c>
      <c r="B238" s="2" t="s">
        <v>2656</v>
      </c>
      <c r="C238" s="5" t="s">
        <v>8354</v>
      </c>
      <c r="D238" s="21">
        <v>7</v>
      </c>
      <c r="E238" s="21"/>
      <c r="F238" s="21" t="s">
        <v>10438</v>
      </c>
      <c r="G238" s="21"/>
      <c r="H238" s="54">
        <v>482</v>
      </c>
      <c r="I238" s="51"/>
      <c r="J238" s="27"/>
      <c r="K238" s="27"/>
      <c r="L238" s="15"/>
      <c r="M238" s="15"/>
      <c r="N238" s="4" t="s">
        <v>4959</v>
      </c>
      <c r="O238" s="4">
        <v>33</v>
      </c>
    </row>
    <row r="239" spans="1:15" x14ac:dyDescent="0.2">
      <c r="A239" s="2">
        <v>40007451</v>
      </c>
      <c r="B239" s="2" t="s">
        <v>2668</v>
      </c>
      <c r="C239" s="5" t="s">
        <v>8367</v>
      </c>
      <c r="D239" s="21">
        <v>90</v>
      </c>
      <c r="E239" s="21"/>
      <c r="F239" s="30">
        <v>11</v>
      </c>
      <c r="G239" s="21"/>
      <c r="H239" s="54">
        <v>578</v>
      </c>
      <c r="I239" s="51"/>
      <c r="J239" s="27"/>
      <c r="K239" s="27"/>
      <c r="L239" s="15">
        <v>21</v>
      </c>
      <c r="M239" s="15">
        <v>42</v>
      </c>
      <c r="N239" s="4" t="s">
        <v>10005</v>
      </c>
      <c r="O239" s="4">
        <v>110</v>
      </c>
    </row>
    <row r="240" spans="1:15" x14ac:dyDescent="0.2">
      <c r="A240" s="2">
        <v>40007452</v>
      </c>
      <c r="B240" s="2" t="s">
        <v>2669</v>
      </c>
      <c r="C240" s="5" t="s">
        <v>8368</v>
      </c>
      <c r="D240" s="21">
        <v>5</v>
      </c>
      <c r="E240" s="21"/>
      <c r="F240" s="21" t="s">
        <v>10438</v>
      </c>
      <c r="G240" s="21"/>
      <c r="H240" s="54">
        <v>517</v>
      </c>
      <c r="I240" s="51"/>
      <c r="J240" s="27"/>
      <c r="K240" s="27"/>
      <c r="L240" s="15">
        <v>3</v>
      </c>
      <c r="M240" s="15"/>
      <c r="N240" s="4" t="s">
        <v>4967</v>
      </c>
      <c r="O240" s="4"/>
    </row>
    <row r="241" spans="1:15" x14ac:dyDescent="0.2">
      <c r="A241" s="2">
        <v>40007438</v>
      </c>
      <c r="B241" s="2" t="s">
        <v>2657</v>
      </c>
      <c r="C241" s="5" t="s">
        <v>8355</v>
      </c>
      <c r="D241" s="21">
        <v>3</v>
      </c>
      <c r="E241" s="21"/>
      <c r="F241" s="21" t="s">
        <v>10438</v>
      </c>
      <c r="G241" s="21"/>
      <c r="H241" s="54">
        <v>785</v>
      </c>
      <c r="I241" s="51"/>
      <c r="J241" s="27"/>
      <c r="K241" s="27"/>
      <c r="L241" s="15"/>
      <c r="M241" s="15"/>
      <c r="N241" s="4" t="s">
        <v>4960</v>
      </c>
      <c r="O241" s="4"/>
    </row>
    <row r="242" spans="1:15" x14ac:dyDescent="0.2">
      <c r="A242" s="2">
        <v>40007168</v>
      </c>
      <c r="B242" s="2" t="s">
        <v>2435</v>
      </c>
      <c r="C242" s="5" t="s">
        <v>8137</v>
      </c>
      <c r="D242" s="21">
        <v>2</v>
      </c>
      <c r="E242" s="21"/>
      <c r="F242" s="21" t="s">
        <v>10438</v>
      </c>
      <c r="G242" s="21"/>
      <c r="H242" s="54">
        <v>739</v>
      </c>
      <c r="I242" s="51"/>
      <c r="J242" s="27"/>
      <c r="K242" s="27"/>
      <c r="L242" s="15"/>
      <c r="M242" s="15"/>
      <c r="N242" s="4">
        <v>9</v>
      </c>
      <c r="O242" s="4"/>
    </row>
    <row r="243" spans="1:15" x14ac:dyDescent="0.2">
      <c r="A243" s="2">
        <v>40007466</v>
      </c>
      <c r="B243" s="2" t="s">
        <v>5433</v>
      </c>
      <c r="C243" s="5" t="s">
        <v>8381</v>
      </c>
      <c r="D243" s="21">
        <v>1</v>
      </c>
      <c r="E243" s="21"/>
      <c r="F243" s="21" t="s">
        <v>10438</v>
      </c>
      <c r="G243" s="21"/>
      <c r="H243" s="54">
        <v>960</v>
      </c>
      <c r="I243" s="51"/>
      <c r="J243" s="27"/>
      <c r="K243" s="27"/>
      <c r="L243" s="15"/>
      <c r="M243" s="15"/>
      <c r="N243" s="4" t="s">
        <v>5501</v>
      </c>
      <c r="O243" s="4"/>
    </row>
    <row r="244" spans="1:15" x14ac:dyDescent="0.2">
      <c r="A244" s="2">
        <v>40007988</v>
      </c>
      <c r="B244" s="2" t="s">
        <v>3130</v>
      </c>
      <c r="C244" s="5" t="s">
        <v>8828</v>
      </c>
      <c r="D244" s="21">
        <v>4</v>
      </c>
      <c r="E244" s="21"/>
      <c r="F244" s="21" t="s">
        <v>10438</v>
      </c>
      <c r="G244" s="21"/>
      <c r="H244" s="54">
        <v>1420</v>
      </c>
      <c r="I244" s="51"/>
      <c r="J244" s="27"/>
      <c r="K244" s="27"/>
      <c r="L244" s="15"/>
      <c r="M244" s="15"/>
      <c r="N244" s="4"/>
      <c r="O244" s="4">
        <v>8</v>
      </c>
    </row>
    <row r="245" spans="1:15" x14ac:dyDescent="0.2">
      <c r="A245" s="2">
        <v>40007435</v>
      </c>
      <c r="B245" s="2" t="s">
        <v>2654</v>
      </c>
      <c r="C245" s="5" t="s">
        <v>8352</v>
      </c>
      <c r="D245" s="21">
        <v>12</v>
      </c>
      <c r="E245" s="21"/>
      <c r="F245" s="21" t="s">
        <v>10438</v>
      </c>
      <c r="G245" s="21"/>
      <c r="H245" s="54">
        <v>838</v>
      </c>
      <c r="I245" s="51"/>
      <c r="J245" s="27"/>
      <c r="K245" s="27"/>
      <c r="L245" s="15"/>
      <c r="M245" s="15"/>
      <c r="N245" s="4" t="s">
        <v>4958</v>
      </c>
      <c r="O245" s="4">
        <v>6</v>
      </c>
    </row>
    <row r="246" spans="1:15" x14ac:dyDescent="0.2">
      <c r="A246" s="2">
        <v>40003864</v>
      </c>
      <c r="B246" s="2" t="s">
        <v>693</v>
      </c>
      <c r="C246" s="5" t="s">
        <v>6407</v>
      </c>
      <c r="D246" s="21">
        <v>7</v>
      </c>
      <c r="E246" s="21"/>
      <c r="F246" s="21" t="s">
        <v>10438</v>
      </c>
      <c r="G246" s="21"/>
      <c r="H246" s="54">
        <v>749</v>
      </c>
      <c r="I246" s="51"/>
      <c r="J246" s="27"/>
      <c r="K246" s="27"/>
      <c r="L246" s="15"/>
      <c r="M246" s="15"/>
      <c r="N246" s="4" t="s">
        <v>10006</v>
      </c>
      <c r="O246" s="4">
        <v>55</v>
      </c>
    </row>
    <row r="247" spans="1:15" x14ac:dyDescent="0.2">
      <c r="A247" s="2">
        <v>40007440</v>
      </c>
      <c r="B247" s="2" t="s">
        <v>2659</v>
      </c>
      <c r="C247" s="5" t="s">
        <v>8357</v>
      </c>
      <c r="D247" s="21">
        <v>6</v>
      </c>
      <c r="E247" s="21"/>
      <c r="F247" s="21" t="s">
        <v>10438</v>
      </c>
      <c r="G247" s="21"/>
      <c r="H247" s="54">
        <v>581</v>
      </c>
      <c r="I247" s="51"/>
      <c r="J247" s="27"/>
      <c r="K247" s="27"/>
      <c r="L247" s="15"/>
      <c r="M247" s="15"/>
      <c r="N247" s="4" t="s">
        <v>4962</v>
      </c>
      <c r="O247" s="4">
        <v>9</v>
      </c>
    </row>
    <row r="248" spans="1:15" x14ac:dyDescent="0.2">
      <c r="A248" s="2">
        <v>40007463</v>
      </c>
      <c r="B248" s="2" t="s">
        <v>2679</v>
      </c>
      <c r="C248" s="5" t="s">
        <v>8378</v>
      </c>
      <c r="D248" s="21"/>
      <c r="E248" s="21"/>
      <c r="F248" s="21" t="s">
        <v>10438</v>
      </c>
      <c r="G248" s="21"/>
      <c r="H248" s="54">
        <v>1537</v>
      </c>
      <c r="I248" s="51"/>
      <c r="J248" s="27"/>
      <c r="K248" s="27"/>
      <c r="L248" s="15">
        <v>2</v>
      </c>
      <c r="M248" s="15">
        <v>4</v>
      </c>
      <c r="N248" s="4" t="s">
        <v>4970</v>
      </c>
      <c r="O248" s="4"/>
    </row>
    <row r="249" spans="1:15" x14ac:dyDescent="0.2">
      <c r="A249" s="2">
        <v>40007465</v>
      </c>
      <c r="B249" s="7" t="s">
        <v>5304</v>
      </c>
      <c r="C249" s="10" t="s">
        <v>8380</v>
      </c>
      <c r="D249" s="21">
        <v>3</v>
      </c>
      <c r="E249" s="21"/>
      <c r="F249" s="21" t="s">
        <v>10438</v>
      </c>
      <c r="G249" s="21"/>
      <c r="H249" s="54">
        <v>994</v>
      </c>
      <c r="I249" s="51"/>
      <c r="J249" s="27"/>
      <c r="K249" s="27"/>
      <c r="L249" s="15"/>
      <c r="M249" s="15"/>
      <c r="N249" s="4" t="s">
        <v>3986</v>
      </c>
      <c r="O249" s="4"/>
    </row>
    <row r="250" spans="1:15" x14ac:dyDescent="0.2">
      <c r="A250" s="2">
        <v>40007517</v>
      </c>
      <c r="B250" s="2" t="s">
        <v>2723</v>
      </c>
      <c r="C250" s="5" t="s">
        <v>8426</v>
      </c>
      <c r="D250" s="21">
        <v>9</v>
      </c>
      <c r="E250" s="21"/>
      <c r="F250" s="21" t="s">
        <v>10438</v>
      </c>
      <c r="G250" s="21"/>
      <c r="H250" s="54">
        <v>467</v>
      </c>
      <c r="I250" s="51"/>
      <c r="J250" s="27"/>
      <c r="K250" s="27"/>
      <c r="L250" s="15"/>
      <c r="M250" s="15"/>
      <c r="N250" s="4">
        <v>26</v>
      </c>
      <c r="O250" s="4">
        <v>101</v>
      </c>
    </row>
    <row r="251" spans="1:15" x14ac:dyDescent="0.2">
      <c r="A251" s="2">
        <v>40006995</v>
      </c>
      <c r="B251" s="2" t="s">
        <v>2281</v>
      </c>
      <c r="C251" s="5" t="s">
        <v>7989</v>
      </c>
      <c r="D251" s="21"/>
      <c r="E251" s="21"/>
      <c r="F251" s="21" t="s">
        <v>10438</v>
      </c>
      <c r="G251" s="21"/>
      <c r="H251" s="54">
        <v>358</v>
      </c>
      <c r="I251" s="51"/>
      <c r="J251" s="27"/>
      <c r="K251" s="27"/>
      <c r="L251" s="15"/>
      <c r="M251" s="15"/>
      <c r="N251" s="4" t="s">
        <v>4782</v>
      </c>
      <c r="O251" s="4"/>
    </row>
    <row r="252" spans="1:15" x14ac:dyDescent="0.2">
      <c r="A252" s="2">
        <v>40008149</v>
      </c>
      <c r="B252" s="2" t="s">
        <v>3272</v>
      </c>
      <c r="C252" s="10" t="s">
        <v>8967</v>
      </c>
      <c r="D252" s="21">
        <v>2</v>
      </c>
      <c r="E252" s="21"/>
      <c r="F252" s="30">
        <v>1</v>
      </c>
      <c r="G252" s="21"/>
      <c r="H252" s="54">
        <v>851</v>
      </c>
      <c r="I252" s="51"/>
      <c r="J252" s="27"/>
      <c r="K252" s="27"/>
      <c r="L252" s="15">
        <v>3</v>
      </c>
      <c r="M252" s="15"/>
      <c r="N252" s="4" t="s">
        <v>5203</v>
      </c>
      <c r="O252" s="4"/>
    </row>
    <row r="253" spans="1:15" x14ac:dyDescent="0.2">
      <c r="A253" s="31">
        <v>40006756</v>
      </c>
      <c r="B253" s="2" t="s">
        <v>2059</v>
      </c>
      <c r="C253" s="5" t="s">
        <v>7771</v>
      </c>
      <c r="D253" s="21">
        <v>3</v>
      </c>
      <c r="E253" s="21"/>
      <c r="F253" s="21" t="s">
        <v>10438</v>
      </c>
      <c r="G253" s="21"/>
      <c r="H253" s="54">
        <v>462</v>
      </c>
      <c r="I253" s="51"/>
      <c r="J253" s="27"/>
      <c r="K253" s="27"/>
      <c r="L253" s="15">
        <v>5</v>
      </c>
      <c r="M253" s="15"/>
      <c r="N253" s="4">
        <v>19</v>
      </c>
      <c r="O253" s="4"/>
    </row>
    <row r="254" spans="1:15" x14ac:dyDescent="0.2">
      <c r="A254" s="2">
        <v>40005706</v>
      </c>
      <c r="B254" s="2" t="s">
        <v>3753</v>
      </c>
      <c r="C254" s="5" t="s">
        <v>6855</v>
      </c>
      <c r="D254" s="21">
        <v>12</v>
      </c>
      <c r="E254" s="21"/>
      <c r="F254" s="21" t="s">
        <v>10438</v>
      </c>
      <c r="G254" s="21"/>
      <c r="H254" s="54">
        <v>303</v>
      </c>
      <c r="I254" s="51"/>
      <c r="J254" s="27"/>
      <c r="K254" s="27"/>
      <c r="L254" s="15"/>
      <c r="M254" s="15"/>
      <c r="N254" s="4" t="s">
        <v>10007</v>
      </c>
      <c r="O254" s="4">
        <v>100</v>
      </c>
    </row>
    <row r="255" spans="1:15" x14ac:dyDescent="0.2">
      <c r="A255" s="2">
        <v>40006750</v>
      </c>
      <c r="B255" s="2" t="s">
        <v>2053</v>
      </c>
      <c r="C255" s="5" t="s">
        <v>7765</v>
      </c>
      <c r="D255" s="21">
        <v>3</v>
      </c>
      <c r="E255" s="21"/>
      <c r="F255" s="21" t="s">
        <v>10438</v>
      </c>
      <c r="G255" s="21"/>
      <c r="H255" s="54">
        <v>1247</v>
      </c>
      <c r="I255" s="51"/>
      <c r="J255" s="27"/>
      <c r="K255" s="27"/>
      <c r="L255" s="15"/>
      <c r="M255" s="15"/>
      <c r="N255" s="4"/>
      <c r="O255" s="4">
        <v>6</v>
      </c>
    </row>
    <row r="256" spans="1:15" x14ac:dyDescent="0.2">
      <c r="A256" s="2">
        <v>40007484</v>
      </c>
      <c r="B256" s="2" t="s">
        <v>2695</v>
      </c>
      <c r="C256" s="5" t="s">
        <v>8396</v>
      </c>
      <c r="D256" s="21">
        <v>2</v>
      </c>
      <c r="E256" s="21"/>
      <c r="F256" s="21" t="s">
        <v>10438</v>
      </c>
      <c r="G256" s="21"/>
      <c r="H256" s="54">
        <v>1430</v>
      </c>
      <c r="I256" s="51"/>
      <c r="J256" s="27"/>
      <c r="K256" s="27"/>
      <c r="L256" s="15">
        <v>4</v>
      </c>
      <c r="M256" s="15">
        <v>5</v>
      </c>
      <c r="N256" s="4">
        <v>13</v>
      </c>
      <c r="O256" s="4"/>
    </row>
    <row r="257" spans="1:15" x14ac:dyDescent="0.2">
      <c r="A257" s="2">
        <v>40007445</v>
      </c>
      <c r="B257" s="2" t="s">
        <v>2663</v>
      </c>
      <c r="C257" s="5" t="s">
        <v>8362</v>
      </c>
      <c r="D257" s="21">
        <v>4</v>
      </c>
      <c r="E257" s="21"/>
      <c r="F257" s="21" t="s">
        <v>10438</v>
      </c>
      <c r="G257" s="21"/>
      <c r="H257" s="54">
        <v>1574</v>
      </c>
      <c r="I257" s="51"/>
      <c r="J257" s="27"/>
      <c r="K257" s="27"/>
      <c r="L257" s="15"/>
      <c r="M257" s="15">
        <v>2</v>
      </c>
      <c r="N257" s="4" t="s">
        <v>5292</v>
      </c>
      <c r="O257" s="4"/>
    </row>
    <row r="258" spans="1:15" x14ac:dyDescent="0.2">
      <c r="A258" s="2">
        <v>40007442</v>
      </c>
      <c r="B258" s="2" t="s">
        <v>2661</v>
      </c>
      <c r="C258" s="5" t="s">
        <v>8359</v>
      </c>
      <c r="D258" s="21">
        <v>4</v>
      </c>
      <c r="E258" s="21"/>
      <c r="F258" s="21" t="s">
        <v>10438</v>
      </c>
      <c r="G258" s="21"/>
      <c r="H258" s="54">
        <v>1452</v>
      </c>
      <c r="I258" s="51"/>
      <c r="J258" s="27"/>
      <c r="K258" s="27"/>
      <c r="L258" s="15"/>
      <c r="M258" s="15"/>
      <c r="N258" s="4">
        <v>31</v>
      </c>
      <c r="O258" s="4"/>
    </row>
    <row r="259" spans="1:15" x14ac:dyDescent="0.2">
      <c r="A259" s="2">
        <v>40007444</v>
      </c>
      <c r="B259" s="2" t="s">
        <v>2662</v>
      </c>
      <c r="C259" s="5" t="s">
        <v>8361</v>
      </c>
      <c r="D259" s="21">
        <v>7</v>
      </c>
      <c r="E259" s="21"/>
      <c r="F259" s="21" t="s">
        <v>10438</v>
      </c>
      <c r="G259" s="21"/>
      <c r="H259" s="54">
        <v>1496</v>
      </c>
      <c r="I259" s="51"/>
      <c r="J259" s="27"/>
      <c r="K259" s="27"/>
      <c r="L259" s="15"/>
      <c r="M259" s="15"/>
      <c r="N259" s="4" t="s">
        <v>10008</v>
      </c>
      <c r="O259" s="4">
        <v>18</v>
      </c>
    </row>
    <row r="260" spans="1:15" x14ac:dyDescent="0.2">
      <c r="A260" s="2">
        <v>40007446</v>
      </c>
      <c r="B260" s="2" t="s">
        <v>2664</v>
      </c>
      <c r="C260" s="5" t="s">
        <v>8363</v>
      </c>
      <c r="D260" s="21">
        <v>1</v>
      </c>
      <c r="E260" s="21"/>
      <c r="F260" s="21" t="s">
        <v>10438</v>
      </c>
      <c r="G260" s="21"/>
      <c r="H260" s="54">
        <v>1239</v>
      </c>
      <c r="I260" s="51"/>
      <c r="J260" s="27"/>
      <c r="K260" s="27"/>
      <c r="L260" s="15"/>
      <c r="M260" s="15"/>
      <c r="N260" s="4">
        <v>24</v>
      </c>
      <c r="O260" s="4"/>
    </row>
    <row r="261" spans="1:15" x14ac:dyDescent="0.2">
      <c r="A261" s="2">
        <v>40006763</v>
      </c>
      <c r="B261" s="2" t="s">
        <v>2066</v>
      </c>
      <c r="C261" s="5" t="s">
        <v>7778</v>
      </c>
      <c r="D261" s="21">
        <v>5</v>
      </c>
      <c r="E261" s="21"/>
      <c r="F261" s="21" t="s">
        <v>10438</v>
      </c>
      <c r="G261" s="21"/>
      <c r="H261" s="54">
        <v>1529</v>
      </c>
      <c r="I261" s="51"/>
      <c r="J261" s="27"/>
      <c r="K261" s="27"/>
      <c r="L261" s="15"/>
      <c r="M261" s="15"/>
      <c r="N261" s="4" t="s">
        <v>4672</v>
      </c>
      <c r="O261" s="4">
        <v>8</v>
      </c>
    </row>
    <row r="262" spans="1:15" x14ac:dyDescent="0.2">
      <c r="A262" s="2">
        <v>40007425</v>
      </c>
      <c r="B262" s="2" t="s">
        <v>2648</v>
      </c>
      <c r="C262" s="5" t="s">
        <v>8346</v>
      </c>
      <c r="D262" s="21"/>
      <c r="E262" s="21"/>
      <c r="F262" s="21" t="s">
        <v>10438</v>
      </c>
      <c r="G262" s="21"/>
      <c r="H262" s="54">
        <v>1637</v>
      </c>
      <c r="I262" s="51"/>
      <c r="J262" s="27"/>
      <c r="K262" s="27"/>
      <c r="L262" s="15"/>
      <c r="M262" s="15">
        <v>5</v>
      </c>
      <c r="N262" s="4">
        <v>6</v>
      </c>
      <c r="O262" s="4"/>
    </row>
    <row r="263" spans="1:15" x14ac:dyDescent="0.2">
      <c r="A263" s="2">
        <v>40007456</v>
      </c>
      <c r="B263" s="2" t="s">
        <v>2673</v>
      </c>
      <c r="C263" s="5" t="s">
        <v>8372</v>
      </c>
      <c r="D263" s="21">
        <v>1</v>
      </c>
      <c r="E263" s="21"/>
      <c r="F263" s="21" t="s">
        <v>10438</v>
      </c>
      <c r="G263" s="21"/>
      <c r="H263" s="54">
        <v>484</v>
      </c>
      <c r="I263" s="51"/>
      <c r="J263" s="27"/>
      <c r="K263" s="27"/>
      <c r="L263" s="15"/>
      <c r="M263" s="15"/>
      <c r="N263" s="4" t="s">
        <v>4316</v>
      </c>
      <c r="O263" s="4"/>
    </row>
    <row r="264" spans="1:15" x14ac:dyDescent="0.2">
      <c r="A264" s="2">
        <v>40007462</v>
      </c>
      <c r="B264" s="2" t="s">
        <v>2678</v>
      </c>
      <c r="C264" s="5" t="s">
        <v>8377</v>
      </c>
      <c r="D264" s="21">
        <v>66</v>
      </c>
      <c r="E264" s="21"/>
      <c r="F264" s="30">
        <v>7</v>
      </c>
      <c r="G264" s="21"/>
      <c r="H264" s="54">
        <v>627</v>
      </c>
      <c r="I264" s="51"/>
      <c r="J264" s="27"/>
      <c r="K264" s="27"/>
      <c r="L264" s="15"/>
      <c r="M264" s="15">
        <v>29</v>
      </c>
      <c r="N264" s="4" t="s">
        <v>10009</v>
      </c>
      <c r="O264" s="4">
        <v>5</v>
      </c>
    </row>
    <row r="265" spans="1:15" x14ac:dyDescent="0.2">
      <c r="A265" s="2">
        <v>40007501</v>
      </c>
      <c r="B265" s="2" t="s">
        <v>2710</v>
      </c>
      <c r="C265" s="5" t="s">
        <v>8412</v>
      </c>
      <c r="D265" s="21">
        <v>12</v>
      </c>
      <c r="E265" s="21"/>
      <c r="F265" s="21" t="s">
        <v>10438</v>
      </c>
      <c r="G265" s="21"/>
      <c r="H265" s="54">
        <v>597</v>
      </c>
      <c r="I265" s="51"/>
      <c r="J265" s="27"/>
      <c r="K265" s="27"/>
      <c r="L265" s="15"/>
      <c r="M265" s="15"/>
      <c r="N265" s="4" t="s">
        <v>4980</v>
      </c>
      <c r="O265" s="4">
        <v>36</v>
      </c>
    </row>
    <row r="266" spans="1:15" x14ac:dyDescent="0.2">
      <c r="A266" s="2">
        <v>40006366</v>
      </c>
      <c r="B266" s="2" t="s">
        <v>1729</v>
      </c>
      <c r="C266" s="5" t="s">
        <v>7439</v>
      </c>
      <c r="D266" s="21">
        <v>5</v>
      </c>
      <c r="E266" s="21"/>
      <c r="F266" s="21" t="s">
        <v>10438</v>
      </c>
      <c r="G266" s="21"/>
      <c r="H266" s="54">
        <v>715</v>
      </c>
      <c r="I266" s="51"/>
      <c r="J266" s="27"/>
      <c r="K266" s="27"/>
      <c r="L266" s="15"/>
      <c r="M266" s="15"/>
      <c r="N266" s="4" t="s">
        <v>4550</v>
      </c>
      <c r="O266" s="4"/>
    </row>
    <row r="267" spans="1:15" x14ac:dyDescent="0.2">
      <c r="A267" s="2">
        <v>40007474</v>
      </c>
      <c r="B267" s="2" t="s">
        <v>2685</v>
      </c>
      <c r="C267" s="5" t="s">
        <v>8386</v>
      </c>
      <c r="D267" s="21">
        <v>35</v>
      </c>
      <c r="E267" s="21"/>
      <c r="F267" s="30">
        <v>4</v>
      </c>
      <c r="G267" s="21"/>
      <c r="H267" s="54">
        <v>316</v>
      </c>
      <c r="I267" s="51"/>
      <c r="J267" s="27"/>
      <c r="K267" s="27"/>
      <c r="L267" s="15">
        <v>21</v>
      </c>
      <c r="M267" s="15"/>
      <c r="N267" s="4" t="s">
        <v>4972</v>
      </c>
      <c r="O267" s="4">
        <v>30</v>
      </c>
    </row>
    <row r="268" spans="1:15" x14ac:dyDescent="0.2">
      <c r="A268" s="2">
        <v>40007177</v>
      </c>
      <c r="B268" s="2" t="s">
        <v>2444</v>
      </c>
      <c r="C268" s="5" t="s">
        <v>8146</v>
      </c>
      <c r="D268" s="21">
        <v>4</v>
      </c>
      <c r="E268" s="21"/>
      <c r="F268" s="21" t="s">
        <v>10438</v>
      </c>
      <c r="G268" s="21"/>
      <c r="H268" s="54">
        <v>416</v>
      </c>
      <c r="I268" s="51"/>
      <c r="J268" s="27"/>
      <c r="K268" s="27"/>
      <c r="L268" s="15">
        <v>4</v>
      </c>
      <c r="M268" s="15"/>
      <c r="N268" s="4" t="s">
        <v>4859</v>
      </c>
      <c r="O268" s="4"/>
    </row>
    <row r="269" spans="1:15" x14ac:dyDescent="0.2">
      <c r="A269" s="2">
        <v>40007487</v>
      </c>
      <c r="B269" s="2" t="s">
        <v>2698</v>
      </c>
      <c r="C269" s="5" t="s">
        <v>8399</v>
      </c>
      <c r="D269" s="21">
        <v>2</v>
      </c>
      <c r="E269" s="21"/>
      <c r="F269" s="21" t="s">
        <v>10438</v>
      </c>
      <c r="G269" s="21"/>
      <c r="H269" s="54">
        <v>230</v>
      </c>
      <c r="I269" s="51"/>
      <c r="J269" s="27"/>
      <c r="K269" s="27"/>
      <c r="L269" s="15"/>
      <c r="M269" s="15"/>
      <c r="N269" s="4" t="s">
        <v>10010</v>
      </c>
      <c r="O269" s="4"/>
    </row>
    <row r="270" spans="1:15" x14ac:dyDescent="0.2">
      <c r="A270" s="2">
        <v>40007282</v>
      </c>
      <c r="B270" s="2" t="s">
        <v>2527</v>
      </c>
      <c r="C270" s="10" t="s">
        <v>8227</v>
      </c>
      <c r="D270" s="21">
        <v>8</v>
      </c>
      <c r="E270" s="21"/>
      <c r="F270" s="21" t="s">
        <v>10438</v>
      </c>
      <c r="G270" s="21"/>
      <c r="H270" s="54">
        <v>427</v>
      </c>
      <c r="I270" s="51"/>
      <c r="J270" s="27"/>
      <c r="K270" s="27"/>
      <c r="L270" s="15"/>
      <c r="M270" s="15"/>
      <c r="N270" s="4" t="s">
        <v>4575</v>
      </c>
      <c r="O270" s="4"/>
    </row>
    <row r="271" spans="1:15" x14ac:dyDescent="0.2">
      <c r="A271" s="2">
        <v>40006734</v>
      </c>
      <c r="B271" s="2" t="s">
        <v>2039</v>
      </c>
      <c r="C271" s="5" t="s">
        <v>7749</v>
      </c>
      <c r="D271" s="21">
        <v>2</v>
      </c>
      <c r="E271" s="21"/>
      <c r="F271" s="21" t="s">
        <v>10438</v>
      </c>
      <c r="G271" s="21"/>
      <c r="H271" s="54">
        <v>270</v>
      </c>
      <c r="I271" s="51"/>
      <c r="J271" s="27"/>
      <c r="K271" s="27"/>
      <c r="L271" s="15"/>
      <c r="M271" s="15"/>
      <c r="N271" s="4"/>
      <c r="O271" s="4">
        <v>32</v>
      </c>
    </row>
    <row r="272" spans="1:15" x14ac:dyDescent="0.2">
      <c r="A272" s="2">
        <v>40007495</v>
      </c>
      <c r="B272" s="2" t="s">
        <v>2705</v>
      </c>
      <c r="C272" s="5" t="s">
        <v>8407</v>
      </c>
      <c r="D272" s="21">
        <v>2</v>
      </c>
      <c r="E272" s="21"/>
      <c r="F272" s="21" t="s">
        <v>10438</v>
      </c>
      <c r="G272" s="21"/>
      <c r="H272" s="54">
        <v>372</v>
      </c>
      <c r="I272" s="51"/>
      <c r="J272" s="27"/>
      <c r="K272" s="27"/>
      <c r="L272" s="15"/>
      <c r="M272" s="15"/>
      <c r="N272" s="4" t="s">
        <v>4977</v>
      </c>
      <c r="O272" s="4"/>
    </row>
    <row r="273" spans="1:15" x14ac:dyDescent="0.2">
      <c r="A273" s="2">
        <v>40008255</v>
      </c>
      <c r="B273" s="2" t="s">
        <v>3763</v>
      </c>
      <c r="C273" s="5" t="s">
        <v>9062</v>
      </c>
      <c r="D273" s="21">
        <v>2</v>
      </c>
      <c r="E273" s="21"/>
      <c r="F273" s="21" t="s">
        <v>10438</v>
      </c>
      <c r="G273" s="21"/>
      <c r="H273" s="54">
        <v>269</v>
      </c>
      <c r="I273" s="51"/>
      <c r="J273" s="27"/>
      <c r="K273" s="27"/>
      <c r="L273" s="15"/>
      <c r="M273" s="15">
        <v>3</v>
      </c>
      <c r="N273" s="4" t="s">
        <v>5222</v>
      </c>
      <c r="O273" s="4"/>
    </row>
    <row r="274" spans="1:15" x14ac:dyDescent="0.2">
      <c r="A274" s="2">
        <v>40006068</v>
      </c>
      <c r="B274" s="2" t="s">
        <v>1462</v>
      </c>
      <c r="C274" s="5" t="s">
        <v>7169</v>
      </c>
      <c r="D274" s="21">
        <v>5</v>
      </c>
      <c r="E274" s="21"/>
      <c r="F274" s="21" t="s">
        <v>10438</v>
      </c>
      <c r="G274" s="21"/>
      <c r="H274" s="54">
        <v>652</v>
      </c>
      <c r="I274" s="51"/>
      <c r="J274" s="27"/>
      <c r="K274" s="27"/>
      <c r="L274" s="15"/>
      <c r="M274" s="15"/>
      <c r="N274" s="4"/>
      <c r="O274" s="4">
        <v>54</v>
      </c>
    </row>
    <row r="275" spans="1:15" x14ac:dyDescent="0.2">
      <c r="A275" s="2">
        <v>40006384</v>
      </c>
      <c r="B275" s="2" t="s">
        <v>1744</v>
      </c>
      <c r="C275" s="5" t="s">
        <v>7455</v>
      </c>
      <c r="D275" s="21">
        <v>4</v>
      </c>
      <c r="E275" s="21"/>
      <c r="F275" s="21" t="s">
        <v>10438</v>
      </c>
      <c r="G275" s="21"/>
      <c r="H275" s="54">
        <v>320</v>
      </c>
      <c r="I275" s="51"/>
      <c r="J275" s="27"/>
      <c r="K275" s="27"/>
      <c r="L275" s="15"/>
      <c r="M275" s="15"/>
      <c r="N275" s="4" t="s">
        <v>4560</v>
      </c>
      <c r="O275" s="4"/>
    </row>
    <row r="276" spans="1:15" x14ac:dyDescent="0.2">
      <c r="A276" s="2">
        <v>40007811</v>
      </c>
      <c r="B276" s="2" t="s">
        <v>2979</v>
      </c>
      <c r="C276" s="5" t="s">
        <v>8678</v>
      </c>
      <c r="D276" s="21">
        <v>17</v>
      </c>
      <c r="E276" s="21"/>
      <c r="F276" s="21" t="s">
        <v>10438</v>
      </c>
      <c r="G276" s="21"/>
      <c r="H276" s="54">
        <v>295</v>
      </c>
      <c r="I276" s="51"/>
      <c r="J276" s="27"/>
      <c r="K276" s="27"/>
      <c r="L276" s="15"/>
      <c r="M276" s="15"/>
      <c r="N276" s="4" t="s">
        <v>10011</v>
      </c>
      <c r="O276" s="4">
        <v>56</v>
      </c>
    </row>
    <row r="277" spans="1:15" x14ac:dyDescent="0.2">
      <c r="A277" s="2">
        <v>40007138</v>
      </c>
      <c r="B277" s="2" t="s">
        <v>2406</v>
      </c>
      <c r="C277" s="5" t="s">
        <v>8109</v>
      </c>
      <c r="D277" s="21">
        <v>19</v>
      </c>
      <c r="E277" s="21"/>
      <c r="F277" s="21" t="s">
        <v>10438</v>
      </c>
      <c r="G277" s="21"/>
      <c r="H277" s="54">
        <v>240</v>
      </c>
      <c r="I277" s="51"/>
      <c r="J277" s="27"/>
      <c r="K277" s="27"/>
      <c r="L277" s="15"/>
      <c r="M277" s="15"/>
      <c r="N277" s="4" t="s">
        <v>4845</v>
      </c>
      <c r="O277" s="4">
        <v>23</v>
      </c>
    </row>
    <row r="278" spans="1:15" x14ac:dyDescent="0.2">
      <c r="A278" s="2">
        <v>40010322</v>
      </c>
      <c r="B278" s="2" t="s">
        <v>3504</v>
      </c>
      <c r="C278" s="5" t="s">
        <v>9202</v>
      </c>
      <c r="D278" s="21"/>
      <c r="E278" s="21"/>
      <c r="F278" s="21" t="s">
        <v>10438</v>
      </c>
      <c r="G278" s="21"/>
      <c r="H278" s="54">
        <v>170</v>
      </c>
      <c r="I278" s="51"/>
      <c r="J278" s="27"/>
      <c r="K278" s="27"/>
      <c r="L278" s="15"/>
      <c r="M278" s="15"/>
      <c r="N278" s="4" t="s">
        <v>4562</v>
      </c>
      <c r="O278" s="4"/>
    </row>
    <row r="279" spans="1:15" x14ac:dyDescent="0.2">
      <c r="A279" s="2">
        <v>40007896</v>
      </c>
      <c r="B279" s="2" t="s">
        <v>3051</v>
      </c>
      <c r="C279" s="5" t="s">
        <v>8742</v>
      </c>
      <c r="D279" s="21">
        <v>40</v>
      </c>
      <c r="E279" s="21"/>
      <c r="F279" s="30">
        <v>1</v>
      </c>
      <c r="G279" s="21"/>
      <c r="H279" s="54">
        <v>240</v>
      </c>
      <c r="I279" s="51"/>
      <c r="J279" s="27"/>
      <c r="K279" s="27"/>
      <c r="L279" s="15"/>
      <c r="M279" s="15"/>
      <c r="N279" s="4" t="s">
        <v>5121</v>
      </c>
      <c r="O279" s="4">
        <v>2</v>
      </c>
    </row>
    <row r="280" spans="1:15" x14ac:dyDescent="0.2">
      <c r="A280" s="2">
        <v>40006986</v>
      </c>
      <c r="B280" s="2" t="s">
        <v>2273</v>
      </c>
      <c r="C280" s="5" t="s">
        <v>7981</v>
      </c>
      <c r="D280" s="21">
        <v>5</v>
      </c>
      <c r="E280" s="21"/>
      <c r="F280" s="21" t="s">
        <v>10438</v>
      </c>
      <c r="G280" s="21"/>
      <c r="H280" s="54">
        <v>234</v>
      </c>
      <c r="I280" s="51"/>
      <c r="J280" s="27"/>
      <c r="K280" s="27"/>
      <c r="L280" s="15"/>
      <c r="M280" s="15"/>
      <c r="N280" s="4" t="s">
        <v>4778</v>
      </c>
      <c r="O280" s="4">
        <v>56</v>
      </c>
    </row>
    <row r="281" spans="1:15" x14ac:dyDescent="0.2">
      <c r="A281" s="2">
        <v>40005704</v>
      </c>
      <c r="B281" s="2" t="s">
        <v>1136</v>
      </c>
      <c r="C281" s="5" t="s">
        <v>6854</v>
      </c>
      <c r="D281" s="21">
        <v>4</v>
      </c>
      <c r="E281" s="21"/>
      <c r="F281" s="21" t="s">
        <v>10438</v>
      </c>
      <c r="G281" s="21"/>
      <c r="H281" s="54">
        <v>204</v>
      </c>
      <c r="I281" s="51"/>
      <c r="J281" s="27"/>
      <c r="K281" s="27"/>
      <c r="L281" s="15"/>
      <c r="M281" s="15"/>
      <c r="N281" s="4" t="s">
        <v>4225</v>
      </c>
      <c r="O281" s="4">
        <v>100</v>
      </c>
    </row>
    <row r="282" spans="1:15" x14ac:dyDescent="0.2">
      <c r="A282" s="2">
        <v>40007449</v>
      </c>
      <c r="B282" s="2" t="s">
        <v>2667</v>
      </c>
      <c r="C282" s="5" t="s">
        <v>8366</v>
      </c>
      <c r="D282" s="21">
        <v>4</v>
      </c>
      <c r="E282" s="21"/>
      <c r="F282" s="21" t="s">
        <v>10438</v>
      </c>
      <c r="G282" s="21"/>
      <c r="H282" s="54">
        <v>784</v>
      </c>
      <c r="I282" s="51"/>
      <c r="J282" s="27"/>
      <c r="K282" s="27"/>
      <c r="L282" s="15">
        <v>1</v>
      </c>
      <c r="M282" s="15">
        <v>2</v>
      </c>
      <c r="N282" s="4">
        <v>4</v>
      </c>
      <c r="O282" s="4"/>
    </row>
    <row r="283" spans="1:15" x14ac:dyDescent="0.2">
      <c r="A283" s="2">
        <v>40007454</v>
      </c>
      <c r="B283" s="2" t="s">
        <v>2671</v>
      </c>
      <c r="C283" s="5" t="s">
        <v>8370</v>
      </c>
      <c r="D283" s="21">
        <v>14</v>
      </c>
      <c r="E283" s="21"/>
      <c r="F283" s="30">
        <v>1</v>
      </c>
      <c r="G283" s="21"/>
      <c r="H283" s="54">
        <v>489</v>
      </c>
      <c r="I283" s="51"/>
      <c r="J283" s="27"/>
      <c r="K283" s="27"/>
      <c r="L283" s="15"/>
      <c r="M283" s="15">
        <v>12</v>
      </c>
      <c r="N283" s="4">
        <v>18</v>
      </c>
      <c r="O283" s="4">
        <v>24</v>
      </c>
    </row>
    <row r="284" spans="1:15" x14ac:dyDescent="0.2">
      <c r="A284" s="2">
        <v>40007443</v>
      </c>
      <c r="B284" s="2" t="s">
        <v>3760</v>
      </c>
      <c r="C284" s="5" t="s">
        <v>8360</v>
      </c>
      <c r="D284" s="21">
        <v>6</v>
      </c>
      <c r="E284" s="21"/>
      <c r="F284" s="30">
        <v>1</v>
      </c>
      <c r="G284" s="21"/>
      <c r="H284" s="54">
        <v>380</v>
      </c>
      <c r="I284" s="51"/>
      <c r="J284" s="27"/>
      <c r="K284" s="27"/>
      <c r="L284" s="15">
        <v>5</v>
      </c>
      <c r="M284" s="15">
        <v>5</v>
      </c>
      <c r="N284" s="4" t="s">
        <v>4964</v>
      </c>
      <c r="O284" s="4"/>
    </row>
    <row r="285" spans="1:15" x14ac:dyDescent="0.2">
      <c r="A285" s="2">
        <v>40007459</v>
      </c>
      <c r="B285" s="2" t="s">
        <v>2675</v>
      </c>
      <c r="C285" s="5" t="s">
        <v>8374</v>
      </c>
      <c r="D285" s="21">
        <v>50</v>
      </c>
      <c r="E285" s="21"/>
      <c r="F285" s="30">
        <v>1</v>
      </c>
      <c r="G285" s="21"/>
      <c r="H285" s="54">
        <v>475</v>
      </c>
      <c r="I285" s="51"/>
      <c r="J285" s="27"/>
      <c r="K285" s="27"/>
      <c r="L285" s="15">
        <v>20</v>
      </c>
      <c r="M285" s="15">
        <v>30</v>
      </c>
      <c r="N285" s="4" t="s">
        <v>10012</v>
      </c>
      <c r="O285" s="4">
        <v>111</v>
      </c>
    </row>
    <row r="286" spans="1:15" x14ac:dyDescent="0.2">
      <c r="A286" s="2">
        <v>40007458</v>
      </c>
      <c r="B286" s="2" t="s">
        <v>2674</v>
      </c>
      <c r="C286" s="5" t="s">
        <v>8373</v>
      </c>
      <c r="D286" s="21">
        <v>18</v>
      </c>
      <c r="E286" s="21"/>
      <c r="F286" s="30">
        <v>1</v>
      </c>
      <c r="G286" s="21"/>
      <c r="H286" s="54">
        <v>389</v>
      </c>
      <c r="I286" s="51"/>
      <c r="J286" s="27"/>
      <c r="K286" s="27"/>
      <c r="L286" s="15"/>
      <c r="M286" s="15">
        <v>5</v>
      </c>
      <c r="N286" s="4">
        <v>17</v>
      </c>
      <c r="O286" s="4">
        <v>35</v>
      </c>
    </row>
    <row r="287" spans="1:15" x14ac:dyDescent="0.2">
      <c r="A287" s="2">
        <v>40007504</v>
      </c>
      <c r="B287" s="2" t="s">
        <v>2713</v>
      </c>
      <c r="C287" s="5" t="s">
        <v>8415</v>
      </c>
      <c r="D287" s="21">
        <v>1</v>
      </c>
      <c r="E287" s="21"/>
      <c r="F287" s="21" t="s">
        <v>10438</v>
      </c>
      <c r="G287" s="21"/>
      <c r="H287" s="54">
        <v>580</v>
      </c>
      <c r="I287" s="51"/>
      <c r="J287" s="27"/>
      <c r="K287" s="27"/>
      <c r="L287" s="15"/>
      <c r="M287" s="15"/>
      <c r="N287" s="4" t="s">
        <v>4982</v>
      </c>
      <c r="O287" s="4"/>
    </row>
    <row r="288" spans="1:15" x14ac:dyDescent="0.2">
      <c r="A288" s="2">
        <v>40010323</v>
      </c>
      <c r="B288" s="2" t="s">
        <v>5404</v>
      </c>
      <c r="C288" s="5" t="s">
        <v>9203</v>
      </c>
      <c r="D288" s="21">
        <v>8</v>
      </c>
      <c r="E288" s="21"/>
      <c r="F288" s="21" t="s">
        <v>10438</v>
      </c>
      <c r="G288" s="21"/>
      <c r="H288" s="54">
        <v>665</v>
      </c>
      <c r="I288" s="51"/>
      <c r="J288" s="27"/>
      <c r="K288" s="27"/>
      <c r="L288" s="15"/>
      <c r="M288" s="15"/>
      <c r="N288" s="4"/>
      <c r="O288" s="4">
        <v>8</v>
      </c>
    </row>
    <row r="289" spans="1:15" x14ac:dyDescent="0.2">
      <c r="A289" s="2">
        <v>40007739</v>
      </c>
      <c r="B289" s="2" t="s">
        <v>2914</v>
      </c>
      <c r="C289" s="5" t="s">
        <v>8610</v>
      </c>
      <c r="D289" s="21"/>
      <c r="E289" s="21"/>
      <c r="F289" s="21" t="s">
        <v>10438</v>
      </c>
      <c r="G289" s="21"/>
      <c r="H289" s="54">
        <v>467</v>
      </c>
      <c r="I289" s="51"/>
      <c r="J289" s="27"/>
      <c r="K289" s="27"/>
      <c r="L289" s="15"/>
      <c r="M289" s="15"/>
      <c r="N289" s="4" t="s">
        <v>10013</v>
      </c>
      <c r="O289" s="4"/>
    </row>
    <row r="290" spans="1:15" x14ac:dyDescent="0.2">
      <c r="A290" s="2">
        <v>40006732</v>
      </c>
      <c r="B290" s="2" t="s">
        <v>2037</v>
      </c>
      <c r="C290" s="5" t="s">
        <v>7747</v>
      </c>
      <c r="D290" s="21">
        <v>9</v>
      </c>
      <c r="E290" s="21"/>
      <c r="F290" s="21" t="s">
        <v>10438</v>
      </c>
      <c r="G290" s="21"/>
      <c r="H290" s="54">
        <v>232</v>
      </c>
      <c r="I290" s="51"/>
      <c r="J290" s="27"/>
      <c r="K290" s="27"/>
      <c r="L290" s="15"/>
      <c r="M290" s="15"/>
      <c r="N290" s="4">
        <v>9</v>
      </c>
      <c r="O290" s="4">
        <v>25</v>
      </c>
    </row>
    <row r="291" spans="1:15" x14ac:dyDescent="0.2">
      <c r="A291" s="2">
        <v>40007742</v>
      </c>
      <c r="B291" s="2" t="s">
        <v>2917</v>
      </c>
      <c r="C291" s="5" t="s">
        <v>8613</v>
      </c>
      <c r="D291" s="21">
        <v>104</v>
      </c>
      <c r="E291" s="21"/>
      <c r="F291" s="21" t="s">
        <v>10438</v>
      </c>
      <c r="G291" s="21"/>
      <c r="H291" s="54">
        <v>575</v>
      </c>
      <c r="I291" s="51"/>
      <c r="J291" s="27"/>
      <c r="K291" s="27"/>
      <c r="L291" s="15"/>
      <c r="M291" s="15"/>
      <c r="N291" s="4">
        <v>22</v>
      </c>
      <c r="O291" s="4">
        <v>109</v>
      </c>
    </row>
    <row r="292" spans="1:15" x14ac:dyDescent="0.2">
      <c r="A292" s="2">
        <v>40007500</v>
      </c>
      <c r="B292" s="2" t="s">
        <v>2709</v>
      </c>
      <c r="C292" s="5" t="s">
        <v>8411</v>
      </c>
      <c r="D292" s="21">
        <v>3</v>
      </c>
      <c r="E292" s="21"/>
      <c r="F292" s="21" t="s">
        <v>10438</v>
      </c>
      <c r="G292" s="21"/>
      <c r="H292" s="54">
        <v>1441</v>
      </c>
      <c r="I292" s="51"/>
      <c r="J292" s="27"/>
      <c r="K292" s="27"/>
      <c r="L292" s="15">
        <v>1</v>
      </c>
      <c r="M292" s="15">
        <v>2</v>
      </c>
      <c r="N292" s="4">
        <v>14</v>
      </c>
      <c r="O292" s="4"/>
    </row>
    <row r="293" spans="1:15" x14ac:dyDescent="0.2">
      <c r="A293" s="2">
        <v>40007753</v>
      </c>
      <c r="B293" s="2" t="s">
        <v>2927</v>
      </c>
      <c r="C293" s="5" t="s">
        <v>8624</v>
      </c>
      <c r="D293" s="21">
        <v>92</v>
      </c>
      <c r="E293" s="21"/>
      <c r="F293" s="21" t="s">
        <v>10438</v>
      </c>
      <c r="G293" s="21"/>
      <c r="H293" s="54">
        <v>557</v>
      </c>
      <c r="I293" s="51"/>
      <c r="J293" s="27"/>
      <c r="K293" s="27"/>
      <c r="L293" s="15"/>
      <c r="M293" s="15"/>
      <c r="N293" s="4">
        <v>21</v>
      </c>
      <c r="O293" s="4">
        <v>105</v>
      </c>
    </row>
    <row r="294" spans="1:15" x14ac:dyDescent="0.2">
      <c r="A294" s="2">
        <v>40008288</v>
      </c>
      <c r="B294" s="2" t="s">
        <v>3399</v>
      </c>
      <c r="C294" s="5" t="s">
        <v>9091</v>
      </c>
      <c r="D294" s="21">
        <v>5</v>
      </c>
      <c r="E294" s="21"/>
      <c r="F294" s="21" t="s">
        <v>10438</v>
      </c>
      <c r="G294" s="21"/>
      <c r="H294" s="54">
        <v>1354</v>
      </c>
      <c r="I294" s="51"/>
      <c r="J294" s="27"/>
      <c r="K294" s="27"/>
      <c r="L294" s="15"/>
      <c r="M294" s="15"/>
      <c r="N294" s="4"/>
      <c r="O294" s="4">
        <v>25</v>
      </c>
    </row>
    <row r="295" spans="1:15" x14ac:dyDescent="0.2">
      <c r="A295" s="2">
        <v>40007471</v>
      </c>
      <c r="B295" s="2" t="s">
        <v>2683</v>
      </c>
      <c r="C295" s="5" t="s">
        <v>8384</v>
      </c>
      <c r="D295" s="21">
        <v>8</v>
      </c>
      <c r="E295" s="21"/>
      <c r="F295" s="21" t="s">
        <v>10438</v>
      </c>
      <c r="G295" s="21"/>
      <c r="H295" s="54">
        <v>737</v>
      </c>
      <c r="I295" s="51"/>
      <c r="J295" s="27"/>
      <c r="K295" s="27"/>
      <c r="L295" s="15"/>
      <c r="M295" s="15"/>
      <c r="N295" s="4">
        <v>5</v>
      </c>
      <c r="O295" s="4">
        <v>5</v>
      </c>
    </row>
    <row r="296" spans="1:15" x14ac:dyDescent="0.2">
      <c r="A296" s="2">
        <v>40007441</v>
      </c>
      <c r="B296" s="2" t="s">
        <v>2660</v>
      </c>
      <c r="C296" s="5" t="s">
        <v>8358</v>
      </c>
      <c r="D296" s="21">
        <v>8</v>
      </c>
      <c r="E296" s="21"/>
      <c r="F296" s="21" t="s">
        <v>10438</v>
      </c>
      <c r="G296" s="21"/>
      <c r="H296" s="54">
        <v>639</v>
      </c>
      <c r="I296" s="51"/>
      <c r="J296" s="27"/>
      <c r="K296" s="27"/>
      <c r="L296" s="15"/>
      <c r="M296" s="15"/>
      <c r="N296" s="4" t="s">
        <v>4963</v>
      </c>
      <c r="O296" s="4">
        <v>8</v>
      </c>
    </row>
    <row r="297" spans="1:15" x14ac:dyDescent="0.2">
      <c r="A297" s="2">
        <v>40007453</v>
      </c>
      <c r="B297" s="2" t="s">
        <v>2670</v>
      </c>
      <c r="C297" s="5" t="s">
        <v>8369</v>
      </c>
      <c r="D297" s="21">
        <v>4</v>
      </c>
      <c r="E297" s="21"/>
      <c r="F297" s="21" t="s">
        <v>10438</v>
      </c>
      <c r="G297" s="21"/>
      <c r="H297" s="54">
        <v>292</v>
      </c>
      <c r="I297" s="51"/>
      <c r="J297" s="27"/>
      <c r="K297" s="27"/>
      <c r="L297" s="15"/>
      <c r="M297" s="15"/>
      <c r="N297" s="4" t="s">
        <v>4968</v>
      </c>
      <c r="O297" s="4">
        <v>38</v>
      </c>
    </row>
    <row r="298" spans="1:15" x14ac:dyDescent="0.2">
      <c r="A298" s="2">
        <v>40007439</v>
      </c>
      <c r="B298" s="2" t="s">
        <v>2658</v>
      </c>
      <c r="C298" s="5" t="s">
        <v>8356</v>
      </c>
      <c r="D298" s="21">
        <v>16</v>
      </c>
      <c r="E298" s="21"/>
      <c r="F298" s="21" t="s">
        <v>10438</v>
      </c>
      <c r="G298" s="21"/>
      <c r="H298" s="54">
        <v>551</v>
      </c>
      <c r="I298" s="51"/>
      <c r="J298" s="27"/>
      <c r="K298" s="27"/>
      <c r="L298" s="15"/>
      <c r="M298" s="15"/>
      <c r="N298" s="4" t="s">
        <v>4961</v>
      </c>
      <c r="O298" s="4">
        <v>26</v>
      </c>
    </row>
    <row r="299" spans="1:15" x14ac:dyDescent="0.2">
      <c r="A299" s="2">
        <v>40007266</v>
      </c>
      <c r="B299" s="2" t="s">
        <v>2515</v>
      </c>
      <c r="C299" s="5" t="s">
        <v>8212</v>
      </c>
      <c r="D299" s="21">
        <v>1</v>
      </c>
      <c r="E299" s="21"/>
      <c r="F299" s="21" t="s">
        <v>10438</v>
      </c>
      <c r="G299" s="21"/>
      <c r="H299" s="54">
        <v>613</v>
      </c>
      <c r="I299" s="51"/>
      <c r="J299" s="27"/>
      <c r="K299" s="27"/>
      <c r="L299" s="15"/>
      <c r="M299" s="15"/>
      <c r="N299" s="4"/>
      <c r="O299" s="4">
        <v>2</v>
      </c>
    </row>
    <row r="300" spans="1:15" x14ac:dyDescent="0.2">
      <c r="A300" s="2">
        <v>40007502</v>
      </c>
      <c r="B300" s="2" t="s">
        <v>2711</v>
      </c>
      <c r="C300" s="5" t="s">
        <v>8413</v>
      </c>
      <c r="D300" s="21">
        <v>3</v>
      </c>
      <c r="E300" s="21"/>
      <c r="F300" s="21" t="s">
        <v>10438</v>
      </c>
      <c r="G300" s="21"/>
      <c r="H300" s="54">
        <v>276</v>
      </c>
      <c r="I300" s="51"/>
      <c r="J300" s="27"/>
      <c r="K300" s="27"/>
      <c r="L300" s="15"/>
      <c r="M300" s="15"/>
      <c r="N300" s="4" t="s">
        <v>4981</v>
      </c>
      <c r="O300" s="4"/>
    </row>
    <row r="301" spans="1:15" x14ac:dyDescent="0.2">
      <c r="A301" s="2">
        <v>40007752</v>
      </c>
      <c r="B301" s="2" t="s">
        <v>2926</v>
      </c>
      <c r="C301" s="5" t="s">
        <v>8623</v>
      </c>
      <c r="D301" s="21">
        <v>27</v>
      </c>
      <c r="E301" s="21"/>
      <c r="F301" s="30">
        <v>1</v>
      </c>
      <c r="G301" s="21"/>
      <c r="H301" s="54">
        <v>297</v>
      </c>
      <c r="I301" s="51"/>
      <c r="J301" s="27"/>
      <c r="K301" s="27"/>
      <c r="L301" s="15"/>
      <c r="M301" s="15"/>
      <c r="N301" s="4" t="s">
        <v>5058</v>
      </c>
      <c r="O301" s="4">
        <v>98</v>
      </c>
    </row>
    <row r="302" spans="1:15" x14ac:dyDescent="0.2">
      <c r="A302" s="2">
        <v>40007498</v>
      </c>
      <c r="B302" s="2" t="s">
        <v>2707</v>
      </c>
      <c r="C302" s="5" t="s">
        <v>8409</v>
      </c>
      <c r="D302" s="21">
        <v>8</v>
      </c>
      <c r="E302" s="21"/>
      <c r="F302" s="21" t="s">
        <v>10438</v>
      </c>
      <c r="G302" s="21"/>
      <c r="H302" s="54">
        <v>870</v>
      </c>
      <c r="I302" s="51"/>
      <c r="J302" s="27"/>
      <c r="K302" s="27"/>
      <c r="L302" s="15"/>
      <c r="M302" s="15"/>
      <c r="N302" s="4" t="s">
        <v>4978</v>
      </c>
      <c r="O302" s="4">
        <v>37</v>
      </c>
    </row>
    <row r="303" spans="1:15" x14ac:dyDescent="0.2">
      <c r="A303" s="2">
        <v>40007215</v>
      </c>
      <c r="B303" s="2" t="s">
        <v>2474</v>
      </c>
      <c r="C303" s="5" t="s">
        <v>8175</v>
      </c>
      <c r="D303" s="21">
        <v>2</v>
      </c>
      <c r="E303" s="21"/>
      <c r="F303" s="21" t="s">
        <v>10438</v>
      </c>
      <c r="G303" s="21"/>
      <c r="H303" s="54">
        <v>327</v>
      </c>
      <c r="I303" s="51"/>
      <c r="J303" s="27"/>
      <c r="K303" s="27"/>
      <c r="L303" s="15"/>
      <c r="M303" s="15"/>
      <c r="N303" s="4" t="s">
        <v>4875</v>
      </c>
      <c r="O303" s="4"/>
    </row>
    <row r="304" spans="1:15" x14ac:dyDescent="0.2">
      <c r="A304" s="2">
        <v>40007478</v>
      </c>
      <c r="B304" s="2" t="s">
        <v>2689</v>
      </c>
      <c r="C304" s="5" t="s">
        <v>8390</v>
      </c>
      <c r="D304" s="21">
        <v>34</v>
      </c>
      <c r="E304" s="21"/>
      <c r="F304" s="21" t="s">
        <v>10438</v>
      </c>
      <c r="G304" s="21"/>
      <c r="H304" s="54">
        <v>204</v>
      </c>
      <c r="I304" s="51"/>
      <c r="J304" s="27"/>
      <c r="K304" s="27"/>
      <c r="L304" s="15"/>
      <c r="M304" s="15"/>
      <c r="N304" s="4">
        <v>15</v>
      </c>
      <c r="O304" s="4">
        <v>101</v>
      </c>
    </row>
    <row r="305" spans="1:15" x14ac:dyDescent="0.2">
      <c r="A305" s="2">
        <v>40007306</v>
      </c>
      <c r="B305" s="2" t="s">
        <v>2548</v>
      </c>
      <c r="C305" s="5" t="s">
        <v>8245</v>
      </c>
      <c r="D305" s="21">
        <v>22</v>
      </c>
      <c r="E305" s="21"/>
      <c r="F305" s="21" t="s">
        <v>10438</v>
      </c>
      <c r="G305" s="21"/>
      <c r="H305" s="54">
        <v>598</v>
      </c>
      <c r="I305" s="51"/>
      <c r="J305" s="27"/>
      <c r="K305" s="27"/>
      <c r="L305" s="15"/>
      <c r="M305" s="15"/>
      <c r="N305" s="4" t="s">
        <v>4911</v>
      </c>
      <c r="O305" s="4">
        <v>98</v>
      </c>
    </row>
    <row r="306" spans="1:15" x14ac:dyDescent="0.2">
      <c r="A306" s="2">
        <v>40007748</v>
      </c>
      <c r="B306" s="2" t="s">
        <v>2923</v>
      </c>
      <c r="C306" s="5" t="s">
        <v>8619</v>
      </c>
      <c r="D306" s="21"/>
      <c r="E306" s="21"/>
      <c r="F306" s="21" t="s">
        <v>10438</v>
      </c>
      <c r="G306" s="21"/>
      <c r="H306" s="54">
        <v>505</v>
      </c>
      <c r="I306" s="51"/>
      <c r="J306" s="27"/>
      <c r="K306" s="27"/>
      <c r="L306" s="15"/>
      <c r="M306" s="15">
        <v>5</v>
      </c>
      <c r="N306" s="4" t="s">
        <v>4968</v>
      </c>
      <c r="O306" s="4"/>
    </row>
    <row r="307" spans="1:15" x14ac:dyDescent="0.2">
      <c r="A307" s="2">
        <v>40007751</v>
      </c>
      <c r="B307" s="2" t="s">
        <v>2925</v>
      </c>
      <c r="C307" s="5" t="s">
        <v>8622</v>
      </c>
      <c r="D307" s="21">
        <v>6</v>
      </c>
      <c r="E307" s="21"/>
      <c r="F307" s="21" t="s">
        <v>10438</v>
      </c>
      <c r="G307" s="21"/>
      <c r="H307" s="54">
        <v>256</v>
      </c>
      <c r="I307" s="51"/>
      <c r="J307" s="27"/>
      <c r="K307" s="27"/>
      <c r="L307" s="15"/>
      <c r="M307" s="15"/>
      <c r="N307" s="4" t="s">
        <v>5057</v>
      </c>
      <c r="O307" s="4"/>
    </row>
    <row r="308" spans="1:15" x14ac:dyDescent="0.2">
      <c r="A308" s="2">
        <v>40006764</v>
      </c>
      <c r="B308" s="2" t="s">
        <v>2067</v>
      </c>
      <c r="C308" s="5" t="s">
        <v>7779</v>
      </c>
      <c r="D308" s="21">
        <v>2</v>
      </c>
      <c r="E308" s="21"/>
      <c r="F308" s="21" t="s">
        <v>10438</v>
      </c>
      <c r="G308" s="21"/>
      <c r="H308" s="54">
        <v>285</v>
      </c>
      <c r="I308" s="51"/>
      <c r="J308" s="27"/>
      <c r="K308" s="27"/>
      <c r="L308" s="15"/>
      <c r="M308" s="15"/>
      <c r="N308" s="4"/>
      <c r="O308" s="4">
        <v>33</v>
      </c>
    </row>
    <row r="309" spans="1:15" x14ac:dyDescent="0.2">
      <c r="A309" s="2">
        <v>40008161</v>
      </c>
      <c r="B309" s="2" t="s">
        <v>3284</v>
      </c>
      <c r="C309" s="5" t="s">
        <v>8978</v>
      </c>
      <c r="D309" s="21">
        <v>57</v>
      </c>
      <c r="E309" s="21"/>
      <c r="F309" s="30">
        <v>6</v>
      </c>
      <c r="G309" s="21"/>
      <c r="H309" s="54">
        <v>581</v>
      </c>
      <c r="I309" s="51"/>
      <c r="J309" s="27"/>
      <c r="K309" s="27"/>
      <c r="L309" s="15">
        <v>50</v>
      </c>
      <c r="M309" s="15"/>
      <c r="N309" s="4" t="s">
        <v>10014</v>
      </c>
      <c r="O309" s="4">
        <v>24</v>
      </c>
    </row>
    <row r="310" spans="1:15" x14ac:dyDescent="0.2">
      <c r="A310" s="2">
        <v>40007176</v>
      </c>
      <c r="B310" s="7" t="s">
        <v>2443</v>
      </c>
      <c r="C310" s="5" t="s">
        <v>8145</v>
      </c>
      <c r="D310" s="21"/>
      <c r="E310" s="21"/>
      <c r="F310" s="21" t="s">
        <v>10438</v>
      </c>
      <c r="G310" s="21"/>
      <c r="H310" s="54">
        <v>1689</v>
      </c>
      <c r="I310" s="51"/>
      <c r="J310" s="27"/>
      <c r="K310" s="27"/>
      <c r="L310" s="15"/>
      <c r="M310" s="15">
        <v>3</v>
      </c>
      <c r="N310" s="4">
        <v>32</v>
      </c>
      <c r="O310" s="4"/>
    </row>
    <row r="311" spans="1:15" x14ac:dyDescent="0.2">
      <c r="A311" s="2">
        <v>40008131</v>
      </c>
      <c r="B311" s="2" t="s">
        <v>3254</v>
      </c>
      <c r="C311" s="5" t="s">
        <v>8950</v>
      </c>
      <c r="D311" s="21">
        <v>1</v>
      </c>
      <c r="E311" s="21"/>
      <c r="F311" s="21" t="s">
        <v>10438</v>
      </c>
      <c r="G311" s="21"/>
      <c r="H311" s="54">
        <v>523</v>
      </c>
      <c r="I311" s="51"/>
      <c r="J311" s="27"/>
      <c r="K311" s="27"/>
      <c r="L311" s="15">
        <v>3</v>
      </c>
      <c r="M311" s="15"/>
      <c r="N311" s="4" t="s">
        <v>4797</v>
      </c>
      <c r="O311" s="4"/>
    </row>
    <row r="312" spans="1:15" x14ac:dyDescent="0.2">
      <c r="A312" s="2">
        <v>40007175</v>
      </c>
      <c r="B312" s="2" t="s">
        <v>2442</v>
      </c>
      <c r="C312" s="10" t="s">
        <v>8144</v>
      </c>
      <c r="D312" s="21">
        <v>13</v>
      </c>
      <c r="E312" s="21"/>
      <c r="F312" s="21" t="s">
        <v>10438</v>
      </c>
      <c r="G312" s="21"/>
      <c r="H312" s="54">
        <v>739</v>
      </c>
      <c r="I312" s="51"/>
      <c r="J312" s="27"/>
      <c r="K312" s="27"/>
      <c r="L312" s="15"/>
      <c r="M312" s="15"/>
      <c r="N312" s="4">
        <v>31</v>
      </c>
      <c r="O312" s="4">
        <v>31</v>
      </c>
    </row>
    <row r="313" spans="1:15" x14ac:dyDescent="0.2">
      <c r="A313" s="2">
        <v>40005666</v>
      </c>
      <c r="B313" s="2" t="s">
        <v>1103</v>
      </c>
      <c r="C313" s="5" t="s">
        <v>6821</v>
      </c>
      <c r="D313" s="21">
        <v>14</v>
      </c>
      <c r="E313" s="21"/>
      <c r="F313" s="21" t="s">
        <v>10438</v>
      </c>
      <c r="G313" s="21"/>
      <c r="H313" s="54">
        <v>826</v>
      </c>
      <c r="I313" s="51"/>
      <c r="J313" s="27"/>
      <c r="K313" s="27"/>
      <c r="L313" s="15"/>
      <c r="M313" s="15"/>
      <c r="N313" s="4">
        <v>8</v>
      </c>
      <c r="O313" s="4">
        <v>7</v>
      </c>
    </row>
    <row r="314" spans="1:15" x14ac:dyDescent="0.2">
      <c r="A314" s="2">
        <v>40007320</v>
      </c>
      <c r="B314" s="2" t="s">
        <v>2560</v>
      </c>
      <c r="C314" s="5" t="s">
        <v>8254</v>
      </c>
      <c r="D314" s="21">
        <v>6</v>
      </c>
      <c r="E314" s="21"/>
      <c r="F314" s="21" t="s">
        <v>10438</v>
      </c>
      <c r="G314" s="21"/>
      <c r="H314" s="54">
        <v>1473</v>
      </c>
      <c r="I314" s="51"/>
      <c r="J314" s="27"/>
      <c r="K314" s="27"/>
      <c r="L314" s="15"/>
      <c r="M314" s="15"/>
      <c r="N314" s="4">
        <v>29</v>
      </c>
      <c r="O314" s="4"/>
    </row>
    <row r="315" spans="1:15" x14ac:dyDescent="0.2">
      <c r="A315" s="2">
        <v>40007148</v>
      </c>
      <c r="B315" s="2" t="s">
        <v>2416</v>
      </c>
      <c r="C315" s="5" t="s">
        <v>8118</v>
      </c>
      <c r="D315" s="21">
        <v>1</v>
      </c>
      <c r="E315" s="21"/>
      <c r="F315" s="21" t="s">
        <v>10438</v>
      </c>
      <c r="G315" s="21"/>
      <c r="H315" s="54">
        <v>818</v>
      </c>
      <c r="I315" s="51"/>
      <c r="J315" s="27"/>
      <c r="K315" s="27"/>
      <c r="L315" s="15"/>
      <c r="M315" s="15">
        <v>1</v>
      </c>
      <c r="N315" s="4" t="s">
        <v>4280</v>
      </c>
      <c r="O315" s="4">
        <v>22</v>
      </c>
    </row>
    <row r="316" spans="1:15" x14ac:dyDescent="0.2">
      <c r="A316" s="2">
        <v>40010362</v>
      </c>
      <c r="B316" s="2" t="s">
        <v>5405</v>
      </c>
      <c r="C316" s="5" t="s">
        <v>9211</v>
      </c>
      <c r="D316" s="21">
        <v>3</v>
      </c>
      <c r="E316" s="21"/>
      <c r="F316" s="21" t="s">
        <v>10438</v>
      </c>
      <c r="G316" s="21"/>
      <c r="H316" s="54">
        <v>623</v>
      </c>
      <c r="I316" s="51"/>
      <c r="J316" s="27"/>
      <c r="K316" s="27"/>
      <c r="L316" s="15"/>
      <c r="M316" s="15">
        <v>2</v>
      </c>
      <c r="N316" s="4">
        <v>37</v>
      </c>
      <c r="O316" s="4"/>
    </row>
    <row r="317" spans="1:15" x14ac:dyDescent="0.2">
      <c r="A317" s="2">
        <v>40005832</v>
      </c>
      <c r="B317" s="2" t="s">
        <v>1251</v>
      </c>
      <c r="C317" s="10" t="s">
        <v>6963</v>
      </c>
      <c r="D317" s="21">
        <v>26</v>
      </c>
      <c r="E317" s="21"/>
      <c r="F317" s="30">
        <v>1</v>
      </c>
      <c r="G317" s="21"/>
      <c r="H317" s="54">
        <v>621</v>
      </c>
      <c r="I317" s="51"/>
      <c r="J317" s="27"/>
      <c r="K317" s="27"/>
      <c r="L317" s="15"/>
      <c r="M317" s="15">
        <v>5</v>
      </c>
      <c r="N317" s="4" t="s">
        <v>10015</v>
      </c>
      <c r="O317" s="4">
        <v>35</v>
      </c>
    </row>
    <row r="318" spans="1:15" x14ac:dyDescent="0.2">
      <c r="A318" s="2">
        <v>40007819</v>
      </c>
      <c r="B318" s="2" t="s">
        <v>2984</v>
      </c>
      <c r="C318" s="5" t="s">
        <v>8683</v>
      </c>
      <c r="D318" s="21">
        <v>4</v>
      </c>
      <c r="E318" s="21"/>
      <c r="F318" s="21" t="s">
        <v>10438</v>
      </c>
      <c r="G318" s="21"/>
      <c r="H318" s="54">
        <v>524</v>
      </c>
      <c r="I318" s="51"/>
      <c r="J318" s="27"/>
      <c r="K318" s="27"/>
      <c r="L318" s="15"/>
      <c r="M318" s="15">
        <v>1</v>
      </c>
      <c r="N318" s="4">
        <v>33</v>
      </c>
      <c r="O318" s="4">
        <v>68</v>
      </c>
    </row>
    <row r="319" spans="1:15" x14ac:dyDescent="0.2">
      <c r="A319" s="2">
        <v>40006733</v>
      </c>
      <c r="B319" s="2" t="s">
        <v>2038</v>
      </c>
      <c r="C319" s="5" t="s">
        <v>7748</v>
      </c>
      <c r="D319" s="21">
        <v>5</v>
      </c>
      <c r="E319" s="21"/>
      <c r="F319" s="21" t="s">
        <v>10438</v>
      </c>
      <c r="G319" s="21"/>
      <c r="H319" s="54">
        <v>540</v>
      </c>
      <c r="I319" s="51"/>
      <c r="J319" s="27"/>
      <c r="K319" s="27"/>
      <c r="L319" s="15"/>
      <c r="M319" s="15"/>
      <c r="N319" s="4"/>
      <c r="O319" s="4">
        <v>67</v>
      </c>
    </row>
    <row r="320" spans="1:15" x14ac:dyDescent="0.2">
      <c r="A320" s="2">
        <v>40007317</v>
      </c>
      <c r="B320" s="2" t="s">
        <v>2559</v>
      </c>
      <c r="C320" s="5" t="s">
        <v>8253</v>
      </c>
      <c r="D320" s="21">
        <v>2</v>
      </c>
      <c r="E320" s="21"/>
      <c r="F320" s="30">
        <v>1</v>
      </c>
      <c r="G320" s="21"/>
      <c r="H320" s="54">
        <v>337</v>
      </c>
      <c r="I320" s="51"/>
      <c r="J320" s="27"/>
      <c r="K320" s="27"/>
      <c r="L320" s="15"/>
      <c r="M320" s="15"/>
      <c r="N320" s="4" t="s">
        <v>4914</v>
      </c>
      <c r="O320" s="4"/>
    </row>
    <row r="321" spans="1:15" x14ac:dyDescent="0.2">
      <c r="A321" s="2">
        <v>40006246</v>
      </c>
      <c r="B321" s="2" t="s">
        <v>1623</v>
      </c>
      <c r="C321" s="5" t="s">
        <v>7327</v>
      </c>
      <c r="D321" s="21">
        <v>3</v>
      </c>
      <c r="E321" s="21"/>
      <c r="F321" s="21" t="s">
        <v>10438</v>
      </c>
      <c r="G321" s="21"/>
      <c r="H321" s="54">
        <v>398</v>
      </c>
      <c r="I321" s="51"/>
      <c r="J321" s="27"/>
      <c r="K321" s="27"/>
      <c r="L321" s="15"/>
      <c r="M321" s="15"/>
      <c r="N321" s="4" t="s">
        <v>4119</v>
      </c>
      <c r="O321" s="4"/>
    </row>
    <row r="322" spans="1:15" x14ac:dyDescent="0.2">
      <c r="A322" s="2">
        <v>40007144</v>
      </c>
      <c r="B322" s="2" t="s">
        <v>2412</v>
      </c>
      <c r="C322" s="5" t="s">
        <v>8114</v>
      </c>
      <c r="D322" s="21">
        <v>16</v>
      </c>
      <c r="E322" s="21"/>
      <c r="F322" s="21" t="s">
        <v>10438</v>
      </c>
      <c r="G322" s="21"/>
      <c r="H322" s="54">
        <v>189</v>
      </c>
      <c r="I322" s="51"/>
      <c r="J322" s="27"/>
      <c r="K322" s="27"/>
      <c r="L322" s="15"/>
      <c r="M322" s="15"/>
      <c r="N322" s="4" t="s">
        <v>4846</v>
      </c>
      <c r="O322" s="4">
        <v>73</v>
      </c>
    </row>
    <row r="323" spans="1:15" x14ac:dyDescent="0.2">
      <c r="A323" s="2">
        <v>40007958</v>
      </c>
      <c r="B323" s="2" t="s">
        <v>3108</v>
      </c>
      <c r="C323" s="5" t="s">
        <v>8803</v>
      </c>
      <c r="D323" s="21">
        <v>3</v>
      </c>
      <c r="E323" s="21"/>
      <c r="F323" s="21" t="s">
        <v>10438</v>
      </c>
      <c r="G323" s="21"/>
      <c r="H323" s="54">
        <v>370</v>
      </c>
      <c r="I323" s="51"/>
      <c r="J323" s="27"/>
      <c r="K323" s="27"/>
      <c r="L323" s="15"/>
      <c r="M323" s="15"/>
      <c r="N323" s="4"/>
      <c r="O323" s="4">
        <v>73</v>
      </c>
    </row>
    <row r="324" spans="1:15" x14ac:dyDescent="0.2">
      <c r="A324" s="2">
        <v>40008100</v>
      </c>
      <c r="B324" s="2" t="s">
        <v>3227</v>
      </c>
      <c r="C324" s="5" t="s">
        <v>8923</v>
      </c>
      <c r="D324" s="21">
        <v>5</v>
      </c>
      <c r="E324" s="21"/>
      <c r="F324" s="21" t="s">
        <v>10438</v>
      </c>
      <c r="G324" s="21"/>
      <c r="H324" s="54">
        <v>284</v>
      </c>
      <c r="I324" s="51"/>
      <c r="J324" s="27"/>
      <c r="K324" s="27"/>
      <c r="L324" s="15"/>
      <c r="M324" s="15"/>
      <c r="N324" s="4" t="s">
        <v>5195</v>
      </c>
      <c r="O324" s="4"/>
    </row>
    <row r="325" spans="1:15" x14ac:dyDescent="0.2">
      <c r="A325" s="2">
        <v>40006126</v>
      </c>
      <c r="B325" s="2" t="s">
        <v>1517</v>
      </c>
      <c r="C325" s="5" t="s">
        <v>7222</v>
      </c>
      <c r="D325" s="21">
        <v>4</v>
      </c>
      <c r="E325" s="21"/>
      <c r="F325" s="21" t="s">
        <v>10438</v>
      </c>
      <c r="G325" s="21"/>
      <c r="H325" s="54">
        <v>250</v>
      </c>
      <c r="I325" s="51"/>
      <c r="J325" s="27"/>
      <c r="K325" s="27"/>
      <c r="L325" s="15"/>
      <c r="M325" s="15"/>
      <c r="N325" s="4" t="s">
        <v>4430</v>
      </c>
      <c r="O325" s="4"/>
    </row>
    <row r="326" spans="1:15" x14ac:dyDescent="0.2">
      <c r="A326" s="2">
        <v>40005665</v>
      </c>
      <c r="B326" s="2" t="s">
        <v>1102</v>
      </c>
      <c r="C326" s="5" t="s">
        <v>6820</v>
      </c>
      <c r="D326" s="21">
        <v>16</v>
      </c>
      <c r="E326" s="21"/>
      <c r="F326" s="21" t="s">
        <v>10438</v>
      </c>
      <c r="G326" s="21"/>
      <c r="H326" s="54">
        <v>225</v>
      </c>
      <c r="I326" s="51"/>
      <c r="J326" s="27"/>
      <c r="K326" s="27"/>
      <c r="L326" s="15"/>
      <c r="M326" s="15"/>
      <c r="N326" s="4" t="s">
        <v>4204</v>
      </c>
      <c r="O326" s="4">
        <v>67</v>
      </c>
    </row>
    <row r="327" spans="1:15" x14ac:dyDescent="0.2">
      <c r="A327" s="2">
        <v>40006215</v>
      </c>
      <c r="B327" s="2" t="s">
        <v>1598</v>
      </c>
      <c r="C327" s="5" t="s">
        <v>7305</v>
      </c>
      <c r="D327" s="21">
        <v>2</v>
      </c>
      <c r="E327" s="21"/>
      <c r="F327" s="21" t="s">
        <v>10438</v>
      </c>
      <c r="G327" s="21"/>
      <c r="H327" s="54">
        <v>217</v>
      </c>
      <c r="I327" s="51"/>
      <c r="J327" s="27"/>
      <c r="K327" s="27"/>
      <c r="L327" s="15">
        <v>6</v>
      </c>
      <c r="M327" s="15">
        <v>2</v>
      </c>
      <c r="N327" s="4" t="s">
        <v>4476</v>
      </c>
      <c r="O327" s="4"/>
    </row>
    <row r="328" spans="1:15" x14ac:dyDescent="0.2">
      <c r="A328" s="2">
        <v>40006589</v>
      </c>
      <c r="B328" s="2" t="s">
        <v>1926</v>
      </c>
      <c r="C328" s="5" t="s">
        <v>7634</v>
      </c>
      <c r="D328" s="21">
        <v>59</v>
      </c>
      <c r="E328" s="21"/>
      <c r="F328" s="30">
        <v>8</v>
      </c>
      <c r="G328" s="21"/>
      <c r="H328" s="54">
        <v>263</v>
      </c>
      <c r="I328" s="51"/>
      <c r="J328" s="27"/>
      <c r="K328" s="27"/>
      <c r="L328" s="15">
        <v>30</v>
      </c>
      <c r="M328" s="15">
        <v>15</v>
      </c>
      <c r="N328" s="4" t="s">
        <v>4631</v>
      </c>
      <c r="O328" s="4"/>
    </row>
    <row r="329" spans="1:15" x14ac:dyDescent="0.2">
      <c r="A329" s="2">
        <v>40005847</v>
      </c>
      <c r="B329" s="2" t="s">
        <v>1264</v>
      </c>
      <c r="C329" s="5" t="s">
        <v>6977</v>
      </c>
      <c r="D329" s="21">
        <v>21</v>
      </c>
      <c r="E329" s="21"/>
      <c r="F329" s="30">
        <v>1</v>
      </c>
      <c r="G329" s="21"/>
      <c r="H329" s="54">
        <v>270</v>
      </c>
      <c r="I329" s="51"/>
      <c r="J329" s="27"/>
      <c r="K329" s="27"/>
      <c r="L329" s="15"/>
      <c r="M329" s="15"/>
      <c r="N329" s="4" t="s">
        <v>4289</v>
      </c>
      <c r="O329" s="4">
        <v>67</v>
      </c>
    </row>
    <row r="330" spans="1:15" x14ac:dyDescent="0.2">
      <c r="A330" s="2">
        <v>40007131</v>
      </c>
      <c r="B330" s="2" t="s">
        <v>2399</v>
      </c>
      <c r="C330" s="5" t="s">
        <v>8103</v>
      </c>
      <c r="D330" s="21">
        <v>10</v>
      </c>
      <c r="E330" s="21"/>
      <c r="F330" s="30">
        <v>2</v>
      </c>
      <c r="G330" s="21"/>
      <c r="H330" s="54">
        <v>255</v>
      </c>
      <c r="I330" s="51"/>
      <c r="J330" s="27"/>
      <c r="K330" s="27"/>
      <c r="L330" s="15"/>
      <c r="M330" s="15">
        <v>12</v>
      </c>
      <c r="N330" s="4" t="s">
        <v>4839</v>
      </c>
      <c r="O330" s="4"/>
    </row>
    <row r="331" spans="1:15" x14ac:dyDescent="0.2">
      <c r="A331" s="2">
        <v>40007859</v>
      </c>
      <c r="B331" s="2" t="s">
        <v>3016</v>
      </c>
      <c r="C331" s="5" t="s">
        <v>8716</v>
      </c>
      <c r="D331" s="21">
        <v>3</v>
      </c>
      <c r="E331" s="21"/>
      <c r="F331" s="21" t="s">
        <v>10438</v>
      </c>
      <c r="G331" s="21"/>
      <c r="H331" s="54">
        <v>829</v>
      </c>
      <c r="I331" s="51"/>
      <c r="J331" s="27"/>
      <c r="K331" s="27"/>
      <c r="L331" s="15"/>
      <c r="M331" s="15"/>
      <c r="N331" s="4"/>
      <c r="O331" s="4">
        <v>25</v>
      </c>
    </row>
    <row r="332" spans="1:15" x14ac:dyDescent="0.2">
      <c r="A332" s="2">
        <v>40005790</v>
      </c>
      <c r="B332" s="2" t="s">
        <v>1214</v>
      </c>
      <c r="C332" s="5" t="s">
        <v>6927</v>
      </c>
      <c r="D332" s="21">
        <v>4</v>
      </c>
      <c r="E332" s="21"/>
      <c r="F332" s="21" t="s">
        <v>10438</v>
      </c>
      <c r="G332" s="21"/>
      <c r="H332" s="54">
        <v>755</v>
      </c>
      <c r="I332" s="51"/>
      <c r="J332" s="27"/>
      <c r="K332" s="27"/>
      <c r="L332" s="15"/>
      <c r="M332" s="15"/>
      <c r="N332" s="4" t="s">
        <v>4263</v>
      </c>
      <c r="O332" s="4"/>
    </row>
    <row r="333" spans="1:15" x14ac:dyDescent="0.2">
      <c r="A333" s="2">
        <v>40008231</v>
      </c>
      <c r="B333" s="2" t="s">
        <v>3350</v>
      </c>
      <c r="C333" s="5" t="s">
        <v>9042</v>
      </c>
      <c r="D333" s="21">
        <v>5</v>
      </c>
      <c r="E333" s="21"/>
      <c r="F333" s="21" t="s">
        <v>10438</v>
      </c>
      <c r="G333" s="21"/>
      <c r="H333" s="54">
        <v>602</v>
      </c>
      <c r="I333" s="51"/>
      <c r="J333" s="27"/>
      <c r="K333" s="27"/>
      <c r="L333" s="15"/>
      <c r="M333" s="15"/>
      <c r="N333" s="4"/>
      <c r="O333" s="4">
        <v>8</v>
      </c>
    </row>
    <row r="334" spans="1:15" x14ac:dyDescent="0.2">
      <c r="A334" s="2">
        <v>40010954</v>
      </c>
      <c r="B334" s="2" t="s">
        <v>3574</v>
      </c>
      <c r="C334" s="5" t="s">
        <v>9293</v>
      </c>
      <c r="D334" s="21">
        <v>1</v>
      </c>
      <c r="E334" s="21"/>
      <c r="F334" s="21" t="s">
        <v>10438</v>
      </c>
      <c r="G334" s="21"/>
      <c r="H334" s="54">
        <v>741</v>
      </c>
      <c r="I334" s="51"/>
      <c r="J334" s="27"/>
      <c r="K334" s="27"/>
      <c r="L334" s="15"/>
      <c r="M334" s="15"/>
      <c r="N334" s="4">
        <v>11</v>
      </c>
      <c r="O334" s="4"/>
    </row>
    <row r="335" spans="1:15" x14ac:dyDescent="0.2">
      <c r="A335" s="2">
        <v>40006884</v>
      </c>
      <c r="B335" s="2" t="s">
        <v>2179</v>
      </c>
      <c r="C335" s="5" t="s">
        <v>7888</v>
      </c>
      <c r="D335" s="21">
        <v>3</v>
      </c>
      <c r="E335" s="21"/>
      <c r="F335" s="21" t="s">
        <v>10438</v>
      </c>
      <c r="G335" s="21"/>
      <c r="H335" s="54">
        <v>386</v>
      </c>
      <c r="I335" s="51"/>
      <c r="J335" s="27"/>
      <c r="K335" s="27"/>
      <c r="L335" s="15"/>
      <c r="M335" s="15"/>
      <c r="N335" s="4" t="s">
        <v>4730</v>
      </c>
      <c r="O335" s="4"/>
    </row>
    <row r="336" spans="1:15" x14ac:dyDescent="0.2">
      <c r="A336" s="2">
        <v>40005619</v>
      </c>
      <c r="B336" s="2" t="s">
        <v>1062</v>
      </c>
      <c r="C336" s="5" t="s">
        <v>6790</v>
      </c>
      <c r="D336" s="21">
        <v>17</v>
      </c>
      <c r="E336" s="21"/>
      <c r="F336" s="21" t="s">
        <v>10438</v>
      </c>
      <c r="G336" s="21"/>
      <c r="H336" s="54">
        <v>364</v>
      </c>
      <c r="I336" s="51"/>
      <c r="J336" s="27"/>
      <c r="K336" s="27"/>
      <c r="L336" s="15"/>
      <c r="M336" s="15"/>
      <c r="N336" s="4" t="s">
        <v>4177</v>
      </c>
      <c r="O336" s="4"/>
    </row>
    <row r="337" spans="1:15" x14ac:dyDescent="0.2">
      <c r="A337" s="2">
        <v>40005957</v>
      </c>
      <c r="B337" s="7" t="s">
        <v>1364</v>
      </c>
      <c r="C337" s="5" t="s">
        <v>7070</v>
      </c>
      <c r="D337" s="21">
        <v>1</v>
      </c>
      <c r="E337" s="21"/>
      <c r="F337" s="21" t="s">
        <v>10438</v>
      </c>
      <c r="G337" s="21"/>
      <c r="H337" s="54">
        <v>584</v>
      </c>
      <c r="I337" s="51"/>
      <c r="J337" s="27"/>
      <c r="K337" s="27"/>
      <c r="L337" s="15"/>
      <c r="M337" s="15"/>
      <c r="N337" s="4">
        <v>29</v>
      </c>
      <c r="O337" s="4"/>
    </row>
    <row r="338" spans="1:15" x14ac:dyDescent="0.2">
      <c r="A338" s="2">
        <v>40005600</v>
      </c>
      <c r="B338" s="2" t="s">
        <v>1044</v>
      </c>
      <c r="C338" s="5" t="s">
        <v>6772</v>
      </c>
      <c r="D338" s="21">
        <v>9</v>
      </c>
      <c r="E338" s="21"/>
      <c r="F338" s="21" t="s">
        <v>10438</v>
      </c>
      <c r="G338" s="21"/>
      <c r="H338" s="54">
        <v>377</v>
      </c>
      <c r="I338" s="51"/>
      <c r="J338" s="27"/>
      <c r="K338" s="27"/>
      <c r="L338" s="15"/>
      <c r="M338" s="15"/>
      <c r="N338" s="4">
        <v>20</v>
      </c>
      <c r="O338" s="4">
        <v>18</v>
      </c>
    </row>
    <row r="339" spans="1:15" x14ac:dyDescent="0.2">
      <c r="A339" s="2">
        <v>40006874</v>
      </c>
      <c r="B339" s="2" t="s">
        <v>2169</v>
      </c>
      <c r="C339" s="5" t="s">
        <v>7878</v>
      </c>
      <c r="D339" s="21">
        <v>1</v>
      </c>
      <c r="E339" s="21"/>
      <c r="F339" s="21" t="s">
        <v>10438</v>
      </c>
      <c r="G339" s="21"/>
      <c r="H339" s="54">
        <v>528</v>
      </c>
      <c r="I339" s="51"/>
      <c r="J339" s="27"/>
      <c r="K339" s="27"/>
      <c r="L339" s="15"/>
      <c r="M339" s="15"/>
      <c r="N339" s="4" t="s">
        <v>4725</v>
      </c>
      <c r="O339" s="4"/>
    </row>
    <row r="340" spans="1:15" x14ac:dyDescent="0.2">
      <c r="A340" s="2">
        <v>40006499</v>
      </c>
      <c r="B340" s="2" t="s">
        <v>1850</v>
      </c>
      <c r="C340" s="5" t="s">
        <v>7557</v>
      </c>
      <c r="D340" s="21">
        <v>35</v>
      </c>
      <c r="E340" s="21"/>
      <c r="F340" s="30">
        <v>3</v>
      </c>
      <c r="G340" s="21"/>
      <c r="H340" s="54">
        <v>227</v>
      </c>
      <c r="I340" s="51"/>
      <c r="J340" s="27"/>
      <c r="K340" s="27"/>
      <c r="L340" s="15"/>
      <c r="M340" s="15">
        <v>20</v>
      </c>
      <c r="N340" s="4" t="s">
        <v>10016</v>
      </c>
      <c r="O340" s="4">
        <v>28</v>
      </c>
    </row>
    <row r="341" spans="1:15" x14ac:dyDescent="0.2">
      <c r="A341" s="2">
        <v>40005910</v>
      </c>
      <c r="B341" s="2" t="s">
        <v>1321</v>
      </c>
      <c r="C341" s="5" t="s">
        <v>5505</v>
      </c>
      <c r="D341" s="21">
        <v>22</v>
      </c>
      <c r="E341" s="21"/>
      <c r="F341" s="30">
        <v>2</v>
      </c>
      <c r="G341" s="21"/>
      <c r="H341" s="54">
        <v>228</v>
      </c>
      <c r="I341" s="51"/>
      <c r="J341" s="27"/>
      <c r="K341" s="27"/>
      <c r="L341" s="15">
        <v>20</v>
      </c>
      <c r="M341" s="15"/>
      <c r="N341" s="4" t="s">
        <v>5499</v>
      </c>
      <c r="O341" s="4">
        <v>98</v>
      </c>
    </row>
    <row r="342" spans="1:15" x14ac:dyDescent="0.2">
      <c r="A342" s="2">
        <v>40005231</v>
      </c>
      <c r="B342" s="2" t="s">
        <v>757</v>
      </c>
      <c r="C342" s="5" t="s">
        <v>6471</v>
      </c>
      <c r="D342" s="21">
        <v>2</v>
      </c>
      <c r="E342" s="21"/>
      <c r="F342" s="21" t="s">
        <v>10438</v>
      </c>
      <c r="G342" s="21"/>
      <c r="H342" s="54">
        <v>275</v>
      </c>
      <c r="I342" s="51"/>
      <c r="J342" s="27"/>
      <c r="K342" s="27"/>
      <c r="L342" s="15"/>
      <c r="M342" s="15"/>
      <c r="N342" s="4" t="s">
        <v>4562</v>
      </c>
      <c r="O342" s="4"/>
    </row>
    <row r="343" spans="1:15" x14ac:dyDescent="0.2">
      <c r="A343" s="2">
        <v>40006897</v>
      </c>
      <c r="B343" s="2" t="s">
        <v>2192</v>
      </c>
      <c r="C343" s="5" t="s">
        <v>7901</v>
      </c>
      <c r="D343" s="21">
        <v>8</v>
      </c>
      <c r="E343" s="21"/>
      <c r="F343" s="21" t="s">
        <v>10438</v>
      </c>
      <c r="G343" s="21"/>
      <c r="H343" s="54">
        <v>114</v>
      </c>
      <c r="I343" s="51"/>
      <c r="J343" s="27"/>
      <c r="K343" s="27"/>
      <c r="L343" s="15"/>
      <c r="M343" s="15"/>
      <c r="N343" s="4">
        <v>18</v>
      </c>
      <c r="O343" s="4">
        <v>18</v>
      </c>
    </row>
    <row r="344" spans="1:15" x14ac:dyDescent="0.2">
      <c r="A344" s="2">
        <v>40005414</v>
      </c>
      <c r="B344" s="2" t="s">
        <v>890</v>
      </c>
      <c r="C344" s="5" t="s">
        <v>6613</v>
      </c>
      <c r="D344" s="21">
        <v>4</v>
      </c>
      <c r="E344" s="21"/>
      <c r="F344" s="30">
        <v>1</v>
      </c>
      <c r="G344" s="21"/>
      <c r="H344" s="54">
        <v>257</v>
      </c>
      <c r="I344" s="51"/>
      <c r="J344" s="27"/>
      <c r="K344" s="27"/>
      <c r="L344" s="15"/>
      <c r="M344" s="15"/>
      <c r="N344" s="4">
        <v>21</v>
      </c>
      <c r="O344" s="4"/>
    </row>
    <row r="345" spans="1:15" x14ac:dyDescent="0.2">
      <c r="A345" s="2">
        <v>40006054</v>
      </c>
      <c r="B345" s="2" t="s">
        <v>3754</v>
      </c>
      <c r="C345" s="5" t="s">
        <v>7155</v>
      </c>
      <c r="D345" s="21"/>
      <c r="E345" s="21"/>
      <c r="F345" s="21" t="s">
        <v>10438</v>
      </c>
      <c r="G345" s="21"/>
      <c r="H345" s="54">
        <v>702</v>
      </c>
      <c r="I345" s="51"/>
      <c r="J345" s="27"/>
      <c r="K345" s="27"/>
      <c r="L345" s="15">
        <v>6</v>
      </c>
      <c r="M345" s="15">
        <v>7</v>
      </c>
      <c r="N345" s="4">
        <v>32</v>
      </c>
      <c r="O345" s="4"/>
    </row>
    <row r="346" spans="1:15" x14ac:dyDescent="0.2">
      <c r="A346" s="2">
        <v>40005262</v>
      </c>
      <c r="B346" s="2" t="s">
        <v>777</v>
      </c>
      <c r="C346" s="5" t="s">
        <v>6492</v>
      </c>
      <c r="D346" s="21">
        <v>2</v>
      </c>
      <c r="E346" s="21"/>
      <c r="F346" s="21" t="s">
        <v>10438</v>
      </c>
      <c r="G346" s="21"/>
      <c r="H346" s="54">
        <v>307</v>
      </c>
      <c r="I346" s="51"/>
      <c r="J346" s="27"/>
      <c r="K346" s="27"/>
      <c r="L346" s="15"/>
      <c r="M346" s="15"/>
      <c r="N346" s="4" t="s">
        <v>4024</v>
      </c>
      <c r="O346" s="4"/>
    </row>
    <row r="347" spans="1:15" x14ac:dyDescent="0.2">
      <c r="A347" s="2">
        <v>40007055</v>
      </c>
      <c r="B347" s="2" t="s">
        <v>2332</v>
      </c>
      <c r="C347" s="5" t="s">
        <v>8041</v>
      </c>
      <c r="D347" s="21">
        <v>2</v>
      </c>
      <c r="E347" s="21"/>
      <c r="F347" s="21" t="s">
        <v>10438</v>
      </c>
      <c r="G347" s="21"/>
      <c r="H347" s="54">
        <v>212</v>
      </c>
      <c r="I347" s="51"/>
      <c r="J347" s="27"/>
      <c r="K347" s="27"/>
      <c r="L347" s="15"/>
      <c r="M347" s="15"/>
      <c r="N347" s="4" t="s">
        <v>4809</v>
      </c>
      <c r="O347" s="4"/>
    </row>
    <row r="348" spans="1:15" x14ac:dyDescent="0.2">
      <c r="A348" s="2">
        <v>40006498</v>
      </c>
      <c r="B348" s="2" t="s">
        <v>1849</v>
      </c>
      <c r="C348" s="5" t="s">
        <v>7556</v>
      </c>
      <c r="D348" s="21">
        <v>15</v>
      </c>
      <c r="E348" s="21"/>
      <c r="F348" s="21" t="s">
        <v>10438</v>
      </c>
      <c r="G348" s="21"/>
      <c r="H348" s="54">
        <v>534</v>
      </c>
      <c r="I348" s="51"/>
      <c r="J348" s="27"/>
      <c r="K348" s="27"/>
      <c r="L348" s="15">
        <v>8</v>
      </c>
      <c r="M348" s="15"/>
      <c r="N348" s="4">
        <v>25</v>
      </c>
      <c r="O348" s="4"/>
    </row>
    <row r="349" spans="1:15" x14ac:dyDescent="0.2">
      <c r="A349" s="2">
        <v>40006500</v>
      </c>
      <c r="B349" s="2" t="s">
        <v>1851</v>
      </c>
      <c r="C349" s="5" t="s">
        <v>7558</v>
      </c>
      <c r="D349" s="21">
        <v>3</v>
      </c>
      <c r="E349" s="21"/>
      <c r="F349" s="21" t="s">
        <v>10438</v>
      </c>
      <c r="G349" s="21"/>
      <c r="H349" s="54">
        <v>340</v>
      </c>
      <c r="I349" s="51"/>
      <c r="J349" s="27"/>
      <c r="K349" s="27"/>
      <c r="L349" s="15"/>
      <c r="M349" s="15"/>
      <c r="N349" s="4">
        <v>12</v>
      </c>
      <c r="O349" s="4"/>
    </row>
    <row r="350" spans="1:15" x14ac:dyDescent="0.2">
      <c r="A350" s="2">
        <v>40007599</v>
      </c>
      <c r="B350" s="2" t="s">
        <v>2793</v>
      </c>
      <c r="C350" s="5" t="s">
        <v>8492</v>
      </c>
      <c r="D350" s="21">
        <v>17</v>
      </c>
      <c r="E350" s="21"/>
      <c r="F350" s="30">
        <v>2</v>
      </c>
      <c r="G350" s="21"/>
      <c r="H350" s="54">
        <v>428</v>
      </c>
      <c r="I350" s="51"/>
      <c r="J350" s="27"/>
      <c r="K350" s="27"/>
      <c r="L350" s="15"/>
      <c r="M350" s="15">
        <v>5</v>
      </c>
      <c r="N350" s="4">
        <v>16</v>
      </c>
      <c r="O350" s="4">
        <v>36</v>
      </c>
    </row>
    <row r="351" spans="1:15" x14ac:dyDescent="0.2">
      <c r="A351" s="2">
        <v>40005795</v>
      </c>
      <c r="B351" s="2" t="s">
        <v>1218</v>
      </c>
      <c r="C351" s="5" t="s">
        <v>6931</v>
      </c>
      <c r="D351" s="21">
        <v>2</v>
      </c>
      <c r="E351" s="21"/>
      <c r="F351" s="21" t="s">
        <v>10438</v>
      </c>
      <c r="G351" s="21"/>
      <c r="H351" s="54">
        <v>1375</v>
      </c>
      <c r="I351" s="51"/>
      <c r="J351" s="27"/>
      <c r="K351" s="27"/>
      <c r="L351" s="15"/>
      <c r="M351" s="15"/>
      <c r="N351" s="4"/>
      <c r="O351" s="4">
        <v>13</v>
      </c>
    </row>
    <row r="352" spans="1:15" x14ac:dyDescent="0.2">
      <c r="A352" s="2">
        <v>40007654</v>
      </c>
      <c r="B352" s="2" t="s">
        <v>2835</v>
      </c>
      <c r="C352" s="5" t="s">
        <v>8534</v>
      </c>
      <c r="D352" s="21">
        <v>3</v>
      </c>
      <c r="E352" s="21"/>
      <c r="F352" s="21" t="s">
        <v>10438</v>
      </c>
      <c r="G352" s="21"/>
      <c r="H352" s="54">
        <v>583</v>
      </c>
      <c r="I352" s="51"/>
      <c r="J352" s="27"/>
      <c r="K352" s="27"/>
      <c r="L352" s="15"/>
      <c r="M352" s="15"/>
      <c r="N352" s="4"/>
      <c r="O352" s="4">
        <v>9</v>
      </c>
    </row>
    <row r="353" spans="1:15" x14ac:dyDescent="0.2">
      <c r="A353" s="2">
        <v>40007745</v>
      </c>
      <c r="B353" s="2" t="s">
        <v>2920</v>
      </c>
      <c r="C353" s="5" t="s">
        <v>8616</v>
      </c>
      <c r="D353" s="21"/>
      <c r="E353" s="21"/>
      <c r="F353" s="21" t="s">
        <v>10438</v>
      </c>
      <c r="G353" s="21"/>
      <c r="H353" s="54">
        <v>367</v>
      </c>
      <c r="I353" s="51"/>
      <c r="J353" s="27"/>
      <c r="K353" s="27"/>
      <c r="L353" s="15"/>
      <c r="M353" s="15"/>
      <c r="N353" s="4" t="s">
        <v>5056</v>
      </c>
      <c r="O353" s="4"/>
    </row>
    <row r="354" spans="1:15" x14ac:dyDescent="0.2">
      <c r="A354" s="2">
        <v>40007592</v>
      </c>
      <c r="B354" s="2" t="s">
        <v>2787</v>
      </c>
      <c r="C354" s="5" t="s">
        <v>8486</v>
      </c>
      <c r="D354" s="21">
        <v>8</v>
      </c>
      <c r="E354" s="21"/>
      <c r="F354" s="21" t="s">
        <v>10438</v>
      </c>
      <c r="G354" s="21"/>
      <c r="H354" s="54">
        <v>459</v>
      </c>
      <c r="I354" s="51"/>
      <c r="J354" s="27"/>
      <c r="K354" s="27"/>
      <c r="L354" s="15"/>
      <c r="M354" s="15"/>
      <c r="N354" s="4" t="s">
        <v>5009</v>
      </c>
      <c r="O354" s="4">
        <v>13</v>
      </c>
    </row>
    <row r="355" spans="1:15" x14ac:dyDescent="0.2">
      <c r="A355" s="2">
        <v>10019292</v>
      </c>
      <c r="B355" s="2" t="s">
        <v>489</v>
      </c>
      <c r="C355" s="5" t="s">
        <v>6103</v>
      </c>
      <c r="D355" s="21">
        <v>5</v>
      </c>
      <c r="E355" s="21"/>
      <c r="F355" s="21" t="s">
        <v>10438</v>
      </c>
      <c r="G355" s="21"/>
      <c r="H355" s="54">
        <v>747</v>
      </c>
      <c r="I355" s="51"/>
      <c r="J355" s="27"/>
      <c r="K355" s="27"/>
      <c r="L355" s="15"/>
      <c r="M355" s="15"/>
      <c r="N355" s="4">
        <v>13</v>
      </c>
      <c r="O355" s="4"/>
    </row>
    <row r="356" spans="1:15" x14ac:dyDescent="0.2">
      <c r="A356" s="2">
        <v>40005700</v>
      </c>
      <c r="B356" s="2" t="s">
        <v>1132</v>
      </c>
      <c r="C356" s="5" t="s">
        <v>6850</v>
      </c>
      <c r="D356" s="21">
        <v>1</v>
      </c>
      <c r="E356" s="21"/>
      <c r="F356" s="21" t="s">
        <v>10438</v>
      </c>
      <c r="G356" s="21"/>
      <c r="H356" s="54">
        <v>1126</v>
      </c>
      <c r="I356" s="51"/>
      <c r="J356" s="27"/>
      <c r="K356" s="27"/>
      <c r="L356" s="15"/>
      <c r="M356" s="15">
        <v>2</v>
      </c>
      <c r="N356" s="4">
        <v>37</v>
      </c>
      <c r="O356" s="4"/>
    </row>
    <row r="357" spans="1:15" x14ac:dyDescent="0.2">
      <c r="A357" s="2">
        <v>40008056</v>
      </c>
      <c r="B357" s="2" t="s">
        <v>3189</v>
      </c>
      <c r="C357" s="10" t="s">
        <v>8884</v>
      </c>
      <c r="D357" s="21">
        <v>23</v>
      </c>
      <c r="E357" s="21"/>
      <c r="F357" s="30">
        <v>3</v>
      </c>
      <c r="G357" s="21"/>
      <c r="H357" s="54">
        <v>557</v>
      </c>
      <c r="I357" s="51"/>
      <c r="J357" s="27"/>
      <c r="K357" s="27"/>
      <c r="L357" s="15"/>
      <c r="M357" s="15">
        <v>13</v>
      </c>
      <c r="N357" s="4" t="s">
        <v>10017</v>
      </c>
      <c r="O357" s="4">
        <v>55</v>
      </c>
    </row>
    <row r="358" spans="1:15" x14ac:dyDescent="0.2">
      <c r="A358" s="2">
        <v>40008242</v>
      </c>
      <c r="B358" s="2" t="s">
        <v>3359</v>
      </c>
      <c r="C358" s="5" t="s">
        <v>9051</v>
      </c>
      <c r="D358" s="21">
        <v>28</v>
      </c>
      <c r="E358" s="21"/>
      <c r="F358" s="21" t="s">
        <v>10438</v>
      </c>
      <c r="G358" s="21"/>
      <c r="H358" s="54">
        <v>265</v>
      </c>
      <c r="I358" s="51"/>
      <c r="J358" s="27"/>
      <c r="K358" s="27"/>
      <c r="L358" s="15">
        <v>20</v>
      </c>
      <c r="M358" s="15"/>
      <c r="N358" s="4" t="s">
        <v>10018</v>
      </c>
      <c r="O358" s="4"/>
    </row>
    <row r="359" spans="1:15" x14ac:dyDescent="0.2">
      <c r="A359" s="2">
        <v>40006249</v>
      </c>
      <c r="B359" s="2" t="s">
        <v>1626</v>
      </c>
      <c r="C359" s="5" t="s">
        <v>7330</v>
      </c>
      <c r="D359" s="21">
        <v>2</v>
      </c>
      <c r="E359" s="21"/>
      <c r="F359" s="21" t="s">
        <v>10438</v>
      </c>
      <c r="G359" s="21"/>
      <c r="H359" s="54">
        <v>1018</v>
      </c>
      <c r="I359" s="51"/>
      <c r="J359" s="27"/>
      <c r="K359" s="27"/>
      <c r="L359" s="15"/>
      <c r="M359" s="15"/>
      <c r="N359" s="4" t="s">
        <v>4487</v>
      </c>
      <c r="O359" s="4">
        <v>99</v>
      </c>
    </row>
    <row r="360" spans="1:15" x14ac:dyDescent="0.2">
      <c r="A360" s="2">
        <v>40007107</v>
      </c>
      <c r="B360" s="2" t="s">
        <v>3831</v>
      </c>
      <c r="C360" s="5" t="s">
        <v>8083</v>
      </c>
      <c r="D360" s="21">
        <v>8</v>
      </c>
      <c r="E360" s="21"/>
      <c r="F360" s="30">
        <v>1</v>
      </c>
      <c r="G360" s="21"/>
      <c r="H360" s="54">
        <v>332</v>
      </c>
      <c r="I360" s="51"/>
      <c r="J360" s="27"/>
      <c r="K360" s="27"/>
      <c r="L360" s="15"/>
      <c r="M360" s="15"/>
      <c r="N360" s="4" t="s">
        <v>3971</v>
      </c>
      <c r="O360" s="4">
        <v>34</v>
      </c>
    </row>
    <row r="361" spans="1:15" x14ac:dyDescent="0.2">
      <c r="A361" s="2">
        <v>40007744</v>
      </c>
      <c r="B361" s="2" t="s">
        <v>2919</v>
      </c>
      <c r="C361" s="5" t="s">
        <v>8615</v>
      </c>
      <c r="D361" s="21">
        <v>41</v>
      </c>
      <c r="E361" s="21"/>
      <c r="F361" s="21" t="s">
        <v>10438</v>
      </c>
      <c r="G361" s="21"/>
      <c r="H361" s="54">
        <v>315</v>
      </c>
      <c r="I361" s="51"/>
      <c r="J361" s="27"/>
      <c r="K361" s="27"/>
      <c r="L361" s="15"/>
      <c r="M361" s="15"/>
      <c r="N361" s="4" t="s">
        <v>5055</v>
      </c>
      <c r="O361" s="4">
        <v>3</v>
      </c>
    </row>
    <row r="362" spans="1:15" x14ac:dyDescent="0.2">
      <c r="A362" s="2">
        <v>40005289</v>
      </c>
      <c r="B362" s="2" t="s">
        <v>789</v>
      </c>
      <c r="C362" s="5" t="s">
        <v>6506</v>
      </c>
      <c r="D362" s="21">
        <v>2</v>
      </c>
      <c r="E362" s="21"/>
      <c r="F362" s="21" t="s">
        <v>10438</v>
      </c>
      <c r="G362" s="21"/>
      <c r="H362" s="54">
        <v>727</v>
      </c>
      <c r="I362" s="51"/>
      <c r="J362" s="27"/>
      <c r="K362" s="27"/>
      <c r="L362" s="15"/>
      <c r="M362" s="15"/>
      <c r="N362" s="4"/>
      <c r="O362" s="4">
        <v>13</v>
      </c>
    </row>
    <row r="363" spans="1:15" x14ac:dyDescent="0.2">
      <c r="A363" s="2">
        <v>40008244</v>
      </c>
      <c r="B363" s="2" t="s">
        <v>3361</v>
      </c>
      <c r="C363" s="5" t="s">
        <v>9053</v>
      </c>
      <c r="D363" s="21">
        <v>23</v>
      </c>
      <c r="E363" s="21"/>
      <c r="F363" s="21" t="s">
        <v>10438</v>
      </c>
      <c r="G363" s="21"/>
      <c r="H363" s="54">
        <v>314</v>
      </c>
      <c r="I363" s="51"/>
      <c r="J363" s="27"/>
      <c r="K363" s="27"/>
      <c r="L363" s="15"/>
      <c r="M363" s="15"/>
      <c r="N363" s="4" t="s">
        <v>10019</v>
      </c>
      <c r="O363" s="4">
        <v>23</v>
      </c>
    </row>
    <row r="364" spans="1:15" x14ac:dyDescent="0.2">
      <c r="A364" s="2">
        <v>10039715</v>
      </c>
      <c r="B364" s="2" t="s">
        <v>5457</v>
      </c>
      <c r="C364" s="5" t="s">
        <v>6375</v>
      </c>
      <c r="D364" s="21">
        <v>1</v>
      </c>
      <c r="E364" s="21"/>
      <c r="F364" s="21" t="s">
        <v>10438</v>
      </c>
      <c r="G364" s="21"/>
      <c r="H364" s="54">
        <v>841</v>
      </c>
      <c r="I364" s="51"/>
      <c r="J364" s="27"/>
      <c r="K364" s="27"/>
      <c r="L364" s="15"/>
      <c r="M364" s="15"/>
      <c r="N364" s="4"/>
      <c r="O364" s="4">
        <v>2</v>
      </c>
    </row>
    <row r="365" spans="1:15" x14ac:dyDescent="0.2">
      <c r="A365" s="2">
        <v>40005793</v>
      </c>
      <c r="B365" s="2" t="s">
        <v>1216</v>
      </c>
      <c r="C365" s="5" t="s">
        <v>6929</v>
      </c>
      <c r="D365" s="21">
        <v>1</v>
      </c>
      <c r="E365" s="21"/>
      <c r="F365" s="21" t="s">
        <v>10438</v>
      </c>
      <c r="G365" s="21"/>
      <c r="H365" s="54">
        <v>1030</v>
      </c>
      <c r="I365" s="51"/>
      <c r="J365" s="27"/>
      <c r="K365" s="27"/>
      <c r="L365" s="15"/>
      <c r="M365" s="15"/>
      <c r="N365" s="4" t="s">
        <v>4264</v>
      </c>
      <c r="O365" s="4"/>
    </row>
    <row r="366" spans="1:15" x14ac:dyDescent="0.2">
      <c r="A366" s="2">
        <v>40005820</v>
      </c>
      <c r="B366" s="2" t="s">
        <v>1240</v>
      </c>
      <c r="C366" s="5" t="s">
        <v>6952</v>
      </c>
      <c r="D366" s="21">
        <v>1</v>
      </c>
      <c r="E366" s="21"/>
      <c r="F366" s="21" t="s">
        <v>10438</v>
      </c>
      <c r="G366" s="21"/>
      <c r="H366" s="54">
        <v>340</v>
      </c>
      <c r="I366" s="51"/>
      <c r="J366" s="27"/>
      <c r="K366" s="27"/>
      <c r="L366" s="15"/>
      <c r="M366" s="15"/>
      <c r="N366" s="4" t="s">
        <v>4278</v>
      </c>
      <c r="O366" s="4"/>
    </row>
    <row r="367" spans="1:15" x14ac:dyDescent="0.2">
      <c r="A367" s="2">
        <v>40011328</v>
      </c>
      <c r="B367" s="2" t="s">
        <v>3929</v>
      </c>
      <c r="C367" s="5" t="s">
        <v>9375</v>
      </c>
      <c r="D367" s="21">
        <v>7</v>
      </c>
      <c r="E367" s="21"/>
      <c r="F367" s="21" t="s">
        <v>10438</v>
      </c>
      <c r="G367" s="21"/>
      <c r="H367" s="54">
        <v>471</v>
      </c>
      <c r="I367" s="51"/>
      <c r="J367" s="27"/>
      <c r="K367" s="27"/>
      <c r="L367" s="15"/>
      <c r="M367" s="15"/>
      <c r="N367" s="4" t="s">
        <v>3986</v>
      </c>
      <c r="O367" s="4"/>
    </row>
    <row r="368" spans="1:15" x14ac:dyDescent="0.2">
      <c r="A368" s="2">
        <v>40008243</v>
      </c>
      <c r="B368" s="2" t="s">
        <v>3360</v>
      </c>
      <c r="C368" s="5" t="s">
        <v>9052</v>
      </c>
      <c r="D368" s="21">
        <v>17</v>
      </c>
      <c r="E368" s="21"/>
      <c r="F368" s="30">
        <v>3</v>
      </c>
      <c r="G368" s="21"/>
      <c r="H368" s="54">
        <v>354</v>
      </c>
      <c r="I368" s="51"/>
      <c r="J368" s="27"/>
      <c r="K368" s="27"/>
      <c r="L368" s="15">
        <v>15</v>
      </c>
      <c r="M368" s="15">
        <v>15</v>
      </c>
      <c r="N368" s="4" t="s">
        <v>10020</v>
      </c>
      <c r="O368" s="4">
        <v>1</v>
      </c>
    </row>
    <row r="369" spans="1:15" x14ac:dyDescent="0.2">
      <c r="A369" s="2">
        <v>40005450</v>
      </c>
      <c r="B369" s="2" t="s">
        <v>923</v>
      </c>
      <c r="C369" s="5" t="s">
        <v>6645</v>
      </c>
      <c r="D369" s="21">
        <v>1</v>
      </c>
      <c r="E369" s="21"/>
      <c r="F369" s="21" t="s">
        <v>10438</v>
      </c>
      <c r="G369" s="21"/>
      <c r="H369" s="54">
        <v>322</v>
      </c>
      <c r="I369" s="51"/>
      <c r="J369" s="27"/>
      <c r="K369" s="27"/>
      <c r="L369" s="15">
        <v>2</v>
      </c>
      <c r="M369" s="15"/>
      <c r="N369" s="4" t="s">
        <v>4112</v>
      </c>
      <c r="O369" s="4"/>
    </row>
    <row r="370" spans="1:15" x14ac:dyDescent="0.2">
      <c r="A370" s="2">
        <v>40010226</v>
      </c>
      <c r="B370" s="2" t="s">
        <v>3426</v>
      </c>
      <c r="C370" s="5" t="s">
        <v>9120</v>
      </c>
      <c r="D370" s="21">
        <v>2</v>
      </c>
      <c r="E370" s="21"/>
      <c r="F370" s="21" t="s">
        <v>10438</v>
      </c>
      <c r="G370" s="21"/>
      <c r="H370" s="54">
        <v>440</v>
      </c>
      <c r="I370" s="51"/>
      <c r="J370" s="27"/>
      <c r="K370" s="27"/>
      <c r="L370" s="15"/>
      <c r="M370" s="15"/>
      <c r="N370" s="4" t="s">
        <v>5241</v>
      </c>
      <c r="O370" s="4"/>
    </row>
    <row r="371" spans="1:15" x14ac:dyDescent="0.2">
      <c r="A371" s="2">
        <v>40005271</v>
      </c>
      <c r="B371" s="2" t="s">
        <v>780</v>
      </c>
      <c r="C371" s="5" t="s">
        <v>6497</v>
      </c>
      <c r="D371" s="21">
        <v>3</v>
      </c>
      <c r="E371" s="21"/>
      <c r="F371" s="30">
        <v>1</v>
      </c>
      <c r="G371" s="21"/>
      <c r="H371" s="54">
        <v>555</v>
      </c>
      <c r="I371" s="51"/>
      <c r="J371" s="27"/>
      <c r="K371" s="27"/>
      <c r="L371" s="15"/>
      <c r="M371" s="15"/>
      <c r="N371" s="4">
        <v>27</v>
      </c>
      <c r="O371" s="4"/>
    </row>
    <row r="372" spans="1:15" x14ac:dyDescent="0.2">
      <c r="A372" s="2">
        <v>40005168</v>
      </c>
      <c r="B372" s="2" t="s">
        <v>715</v>
      </c>
      <c r="C372" s="5" t="s">
        <v>6429</v>
      </c>
      <c r="D372" s="21">
        <v>2</v>
      </c>
      <c r="E372" s="21"/>
      <c r="F372" s="21" t="s">
        <v>10438</v>
      </c>
      <c r="G372" s="21"/>
      <c r="H372" s="54">
        <v>260</v>
      </c>
      <c r="I372" s="51"/>
      <c r="J372" s="27"/>
      <c r="K372" s="27"/>
      <c r="L372" s="15"/>
      <c r="M372" s="15"/>
      <c r="N372" s="4" t="s">
        <v>3986</v>
      </c>
      <c r="O372" s="4">
        <v>57</v>
      </c>
    </row>
    <row r="373" spans="1:15" x14ac:dyDescent="0.2">
      <c r="A373" s="2">
        <v>40005332</v>
      </c>
      <c r="B373" s="2" t="s">
        <v>819</v>
      </c>
      <c r="C373" s="5" t="s">
        <v>6536</v>
      </c>
      <c r="D373" s="21">
        <v>2</v>
      </c>
      <c r="E373" s="21"/>
      <c r="F373" s="21" t="s">
        <v>10438</v>
      </c>
      <c r="G373" s="21"/>
      <c r="H373" s="54">
        <v>318</v>
      </c>
      <c r="I373" s="51"/>
      <c r="J373" s="27"/>
      <c r="K373" s="27"/>
      <c r="L373" s="15"/>
      <c r="M373" s="15"/>
      <c r="N373" s="4" t="s">
        <v>4057</v>
      </c>
      <c r="O373" s="4"/>
    </row>
    <row r="374" spans="1:15" x14ac:dyDescent="0.2">
      <c r="A374" s="2">
        <v>40007597</v>
      </c>
      <c r="B374" s="2" t="s">
        <v>2791</v>
      </c>
      <c r="C374" s="5" t="s">
        <v>8490</v>
      </c>
      <c r="D374" s="21">
        <v>4</v>
      </c>
      <c r="E374" s="21"/>
      <c r="F374" s="21" t="s">
        <v>10438</v>
      </c>
      <c r="G374" s="21"/>
      <c r="H374" s="54">
        <v>232</v>
      </c>
      <c r="I374" s="51"/>
      <c r="J374" s="27"/>
      <c r="K374" s="27"/>
      <c r="L374" s="15"/>
      <c r="M374" s="15"/>
      <c r="N374" s="4"/>
      <c r="O374" s="4">
        <v>6</v>
      </c>
    </row>
    <row r="375" spans="1:15" x14ac:dyDescent="0.2">
      <c r="A375" s="2">
        <v>40005652</v>
      </c>
      <c r="B375" s="2" t="s">
        <v>1091</v>
      </c>
      <c r="C375" s="5" t="s">
        <v>6810</v>
      </c>
      <c r="D375" s="21">
        <v>1</v>
      </c>
      <c r="E375" s="21"/>
      <c r="F375" s="21" t="s">
        <v>10438</v>
      </c>
      <c r="G375" s="21"/>
      <c r="H375" s="54">
        <v>102</v>
      </c>
      <c r="I375" s="51"/>
      <c r="J375" s="27"/>
      <c r="K375" s="27"/>
      <c r="L375" s="15"/>
      <c r="M375" s="15"/>
      <c r="N375" s="4" t="s">
        <v>4193</v>
      </c>
      <c r="O375" s="4"/>
    </row>
    <row r="376" spans="1:15" x14ac:dyDescent="0.2">
      <c r="A376" s="2">
        <v>40005830</v>
      </c>
      <c r="B376" s="2" t="s">
        <v>1249</v>
      </c>
      <c r="C376" s="5" t="s">
        <v>6961</v>
      </c>
      <c r="D376" s="21">
        <v>10</v>
      </c>
      <c r="E376" s="21"/>
      <c r="F376" s="21" t="s">
        <v>10438</v>
      </c>
      <c r="G376" s="21"/>
      <c r="H376" s="54">
        <v>1470</v>
      </c>
      <c r="I376" s="51"/>
      <c r="J376" s="27"/>
      <c r="K376" s="27"/>
      <c r="L376" s="15"/>
      <c r="M376" s="15"/>
      <c r="N376" s="4">
        <v>4</v>
      </c>
      <c r="O376" s="4">
        <v>3</v>
      </c>
    </row>
    <row r="377" spans="1:15" x14ac:dyDescent="0.2">
      <c r="A377" s="2">
        <v>10018528</v>
      </c>
      <c r="B377" s="2" t="s">
        <v>205</v>
      </c>
      <c r="C377" s="5" t="s">
        <v>5760</v>
      </c>
      <c r="D377" s="21">
        <v>9</v>
      </c>
      <c r="E377" s="21"/>
      <c r="F377" s="21" t="s">
        <v>10438</v>
      </c>
      <c r="G377" s="21"/>
      <c r="H377" s="54">
        <v>724</v>
      </c>
      <c r="I377" s="51"/>
      <c r="J377" s="27"/>
      <c r="K377" s="27"/>
      <c r="L377" s="15"/>
      <c r="M377" s="15"/>
      <c r="N377" s="4" t="s">
        <v>10021</v>
      </c>
      <c r="O377" s="4">
        <v>3</v>
      </c>
    </row>
    <row r="378" spans="1:15" x14ac:dyDescent="0.2">
      <c r="A378" s="2">
        <v>40005448</v>
      </c>
      <c r="B378" s="2" t="s">
        <v>921</v>
      </c>
      <c r="C378" s="5" t="s">
        <v>6643</v>
      </c>
      <c r="D378" s="21">
        <v>3</v>
      </c>
      <c r="E378" s="21"/>
      <c r="F378" s="21" t="s">
        <v>10438</v>
      </c>
      <c r="G378" s="21"/>
      <c r="H378" s="54">
        <v>512</v>
      </c>
      <c r="I378" s="51"/>
      <c r="J378" s="27"/>
      <c r="K378" s="27"/>
      <c r="L378" s="15"/>
      <c r="M378" s="15"/>
      <c r="N378" s="4">
        <v>34</v>
      </c>
      <c r="O378" s="4"/>
    </row>
    <row r="379" spans="1:15" x14ac:dyDescent="0.2">
      <c r="A379" s="2">
        <v>40006449</v>
      </c>
      <c r="B379" s="2" t="s">
        <v>1806</v>
      </c>
      <c r="C379" s="5" t="s">
        <v>7513</v>
      </c>
      <c r="D379" s="21">
        <v>1</v>
      </c>
      <c r="E379" s="21"/>
      <c r="F379" s="21" t="s">
        <v>10438</v>
      </c>
      <c r="G379" s="21"/>
      <c r="H379" s="54">
        <v>354</v>
      </c>
      <c r="I379" s="51"/>
      <c r="J379" s="27"/>
      <c r="K379" s="27"/>
      <c r="L379" s="15"/>
      <c r="M379" s="15"/>
      <c r="N379" s="4" t="s">
        <v>4602</v>
      </c>
      <c r="O379" s="4"/>
    </row>
    <row r="380" spans="1:15" x14ac:dyDescent="0.2">
      <c r="A380" s="2">
        <v>40006761</v>
      </c>
      <c r="B380" s="2" t="s">
        <v>2064</v>
      </c>
      <c r="C380" s="5" t="s">
        <v>7776</v>
      </c>
      <c r="D380" s="21">
        <v>3</v>
      </c>
      <c r="E380" s="21"/>
      <c r="F380" s="21" t="s">
        <v>10438</v>
      </c>
      <c r="G380" s="21"/>
      <c r="H380" s="54">
        <v>525</v>
      </c>
      <c r="I380" s="51"/>
      <c r="J380" s="27"/>
      <c r="K380" s="27"/>
      <c r="L380" s="15"/>
      <c r="M380" s="15"/>
      <c r="N380" s="4"/>
      <c r="O380" s="4">
        <v>25</v>
      </c>
    </row>
    <row r="381" spans="1:15" x14ac:dyDescent="0.2">
      <c r="A381" s="2">
        <v>40007467</v>
      </c>
      <c r="B381" s="2" t="s">
        <v>2681</v>
      </c>
      <c r="C381" s="5" t="s">
        <v>8382</v>
      </c>
      <c r="D381" s="21">
        <v>13</v>
      </c>
      <c r="E381" s="21"/>
      <c r="F381" s="21" t="s">
        <v>10438</v>
      </c>
      <c r="G381" s="21"/>
      <c r="H381" s="54">
        <v>260</v>
      </c>
      <c r="I381" s="51"/>
      <c r="J381" s="27"/>
      <c r="K381" s="27"/>
      <c r="L381" s="15"/>
      <c r="M381" s="15"/>
      <c r="N381" s="4" t="s">
        <v>10022</v>
      </c>
      <c r="O381" s="4">
        <v>105</v>
      </c>
    </row>
    <row r="382" spans="1:15" x14ac:dyDescent="0.2">
      <c r="A382" s="2">
        <v>40006386</v>
      </c>
      <c r="B382" s="2" t="s">
        <v>1746</v>
      </c>
      <c r="C382" s="5" t="s">
        <v>7457</v>
      </c>
      <c r="D382" s="21">
        <v>3</v>
      </c>
      <c r="E382" s="21"/>
      <c r="F382" s="21" t="s">
        <v>10438</v>
      </c>
      <c r="G382" s="21"/>
      <c r="H382" s="54">
        <v>571</v>
      </c>
      <c r="I382" s="51"/>
      <c r="J382" s="27"/>
      <c r="K382" s="27"/>
      <c r="L382" s="15"/>
      <c r="M382" s="15"/>
      <c r="N382" s="4" t="s">
        <v>4562</v>
      </c>
      <c r="O382" s="4"/>
    </row>
    <row r="383" spans="1:15" x14ac:dyDescent="0.2">
      <c r="A383" s="2">
        <v>40006961</v>
      </c>
      <c r="B383" s="2" t="s">
        <v>2252</v>
      </c>
      <c r="C383" s="5" t="s">
        <v>7958</v>
      </c>
      <c r="D383" s="21">
        <v>1</v>
      </c>
      <c r="E383" s="21"/>
      <c r="F383" s="21" t="s">
        <v>10438</v>
      </c>
      <c r="G383" s="21"/>
      <c r="H383" s="54">
        <v>778</v>
      </c>
      <c r="I383" s="51"/>
      <c r="J383" s="27"/>
      <c r="K383" s="27"/>
      <c r="L383" s="15"/>
      <c r="M383" s="15"/>
      <c r="N383" s="4" t="s">
        <v>3986</v>
      </c>
      <c r="O383" s="4">
        <v>40</v>
      </c>
    </row>
    <row r="384" spans="1:15" x14ac:dyDescent="0.2">
      <c r="A384" s="2">
        <v>40005362</v>
      </c>
      <c r="B384" s="2" t="s">
        <v>844</v>
      </c>
      <c r="C384" s="5" t="s">
        <v>6563</v>
      </c>
      <c r="D384" s="21">
        <v>5</v>
      </c>
      <c r="E384" s="21"/>
      <c r="F384" s="21" t="s">
        <v>10438</v>
      </c>
      <c r="G384" s="21"/>
      <c r="H384" s="54">
        <v>331</v>
      </c>
      <c r="I384" s="51"/>
      <c r="J384" s="27"/>
      <c r="K384" s="27"/>
      <c r="L384" s="15"/>
      <c r="M384" s="15"/>
      <c r="N384" s="4" t="s">
        <v>4074</v>
      </c>
      <c r="O384" s="4"/>
    </row>
    <row r="385" spans="1:15" x14ac:dyDescent="0.2">
      <c r="A385" s="2">
        <v>40005669</v>
      </c>
      <c r="B385" s="2" t="s">
        <v>1106</v>
      </c>
      <c r="C385" s="5" t="s">
        <v>6824</v>
      </c>
      <c r="D385" s="21">
        <v>13</v>
      </c>
      <c r="E385" s="21"/>
      <c r="F385" s="21" t="s">
        <v>10438</v>
      </c>
      <c r="G385" s="21"/>
      <c r="H385" s="54">
        <v>328</v>
      </c>
      <c r="I385" s="51"/>
      <c r="J385" s="27"/>
      <c r="K385" s="27"/>
      <c r="L385" s="15"/>
      <c r="M385" s="15"/>
      <c r="N385" s="4" t="s">
        <v>4206</v>
      </c>
      <c r="O385" s="4">
        <v>73</v>
      </c>
    </row>
    <row r="386" spans="1:15" x14ac:dyDescent="0.2">
      <c r="A386" s="2">
        <v>40005668</v>
      </c>
      <c r="B386" s="2" t="s">
        <v>1105</v>
      </c>
      <c r="C386" s="5" t="s">
        <v>6823</v>
      </c>
      <c r="D386" s="21">
        <v>19</v>
      </c>
      <c r="E386" s="21"/>
      <c r="F386" s="30">
        <v>1</v>
      </c>
      <c r="G386" s="21"/>
      <c r="H386" s="54">
        <v>346</v>
      </c>
      <c r="I386" s="51"/>
      <c r="J386" s="27"/>
      <c r="K386" s="27"/>
      <c r="L386" s="15"/>
      <c r="M386" s="15"/>
      <c r="N386" s="4" t="s">
        <v>10023</v>
      </c>
      <c r="O386" s="4"/>
    </row>
    <row r="387" spans="1:15" x14ac:dyDescent="0.2">
      <c r="A387" s="2">
        <v>40011398</v>
      </c>
      <c r="B387" s="2" t="s">
        <v>5407</v>
      </c>
      <c r="C387" s="5" t="s">
        <v>9380</v>
      </c>
      <c r="D387" s="21">
        <v>2</v>
      </c>
      <c r="E387" s="21"/>
      <c r="F387" s="21" t="s">
        <v>10438</v>
      </c>
      <c r="G387" s="21"/>
      <c r="H387" s="54">
        <v>871</v>
      </c>
      <c r="I387" s="51"/>
      <c r="J387" s="27"/>
      <c r="K387" s="27"/>
      <c r="L387" s="15"/>
      <c r="M387" s="15"/>
      <c r="N387" s="4"/>
      <c r="O387" s="4">
        <v>100</v>
      </c>
    </row>
    <row r="388" spans="1:15" x14ac:dyDescent="0.2">
      <c r="A388" s="2">
        <v>40005823</v>
      </c>
      <c r="B388" s="2" t="s">
        <v>1243</v>
      </c>
      <c r="C388" s="5" t="s">
        <v>6955</v>
      </c>
      <c r="D388" s="21">
        <v>6</v>
      </c>
      <c r="E388" s="21"/>
      <c r="F388" s="21" t="s">
        <v>10438</v>
      </c>
      <c r="G388" s="21"/>
      <c r="H388" s="54">
        <v>350</v>
      </c>
      <c r="I388" s="51"/>
      <c r="J388" s="27"/>
      <c r="K388" s="27"/>
      <c r="L388" s="15"/>
      <c r="M388" s="15"/>
      <c r="N388" s="4">
        <v>17</v>
      </c>
      <c r="O388" s="4">
        <v>38</v>
      </c>
    </row>
    <row r="389" spans="1:15" x14ac:dyDescent="0.2">
      <c r="A389" s="2">
        <v>40005944</v>
      </c>
      <c r="B389" s="2" t="s">
        <v>1351</v>
      </c>
      <c r="C389" s="5" t="s">
        <v>7057</v>
      </c>
      <c r="D389" s="21">
        <v>3</v>
      </c>
      <c r="E389" s="21"/>
      <c r="F389" s="21" t="s">
        <v>10438</v>
      </c>
      <c r="G389" s="21"/>
      <c r="H389" s="54">
        <v>714</v>
      </c>
      <c r="I389" s="51"/>
      <c r="J389" s="27"/>
      <c r="K389" s="27"/>
      <c r="L389" s="15"/>
      <c r="M389" s="15"/>
      <c r="N389" s="4" t="s">
        <v>4331</v>
      </c>
      <c r="O389" s="4">
        <v>60</v>
      </c>
    </row>
    <row r="390" spans="1:15" x14ac:dyDescent="0.2">
      <c r="A390" s="2">
        <v>40008265</v>
      </c>
      <c r="B390" s="2" t="s">
        <v>3378</v>
      </c>
      <c r="C390" s="5" t="s">
        <v>9071</v>
      </c>
      <c r="D390" s="21">
        <v>22</v>
      </c>
      <c r="E390" s="21"/>
      <c r="F390" s="30">
        <v>3</v>
      </c>
      <c r="G390" s="21"/>
      <c r="H390" s="54">
        <v>233</v>
      </c>
      <c r="I390" s="51"/>
      <c r="J390" s="27"/>
      <c r="K390" s="27"/>
      <c r="L390" s="15">
        <v>21</v>
      </c>
      <c r="M390" s="15">
        <v>21</v>
      </c>
      <c r="N390" s="4" t="s">
        <v>10024</v>
      </c>
      <c r="O390" s="4">
        <v>27</v>
      </c>
    </row>
    <row r="391" spans="1:15" x14ac:dyDescent="0.2">
      <c r="A391" s="2">
        <v>40007747</v>
      </c>
      <c r="B391" s="2" t="s">
        <v>2922</v>
      </c>
      <c r="C391" s="5" t="s">
        <v>8618</v>
      </c>
      <c r="D391" s="21">
        <v>4</v>
      </c>
      <c r="E391" s="21"/>
      <c r="F391" s="21" t="s">
        <v>10438</v>
      </c>
      <c r="G391" s="21"/>
      <c r="H391" s="54">
        <v>491</v>
      </c>
      <c r="I391" s="51"/>
      <c r="J391" s="27"/>
      <c r="K391" s="27"/>
      <c r="L391" s="15"/>
      <c r="M391" s="15"/>
      <c r="N391" s="4" t="s">
        <v>4927</v>
      </c>
      <c r="O391" s="4">
        <v>60</v>
      </c>
    </row>
    <row r="392" spans="1:15" x14ac:dyDescent="0.2">
      <c r="A392" s="2">
        <v>40005357</v>
      </c>
      <c r="B392" s="2" t="s">
        <v>841</v>
      </c>
      <c r="C392" s="5" t="s">
        <v>6559</v>
      </c>
      <c r="D392" s="21">
        <v>1</v>
      </c>
      <c r="E392" s="21"/>
      <c r="F392" s="30">
        <v>1</v>
      </c>
      <c r="G392" s="21"/>
      <c r="H392" s="54">
        <v>546</v>
      </c>
      <c r="I392" s="51"/>
      <c r="J392" s="27"/>
      <c r="K392" s="27"/>
      <c r="L392" s="15"/>
      <c r="M392" s="15">
        <v>3</v>
      </c>
      <c r="N392" s="4" t="s">
        <v>4070</v>
      </c>
      <c r="O392" s="4"/>
    </row>
    <row r="393" spans="1:15" x14ac:dyDescent="0.2">
      <c r="A393" s="2">
        <v>40007150</v>
      </c>
      <c r="B393" s="2" t="s">
        <v>2418</v>
      </c>
      <c r="C393" s="5" t="s">
        <v>8120</v>
      </c>
      <c r="D393" s="21">
        <v>7</v>
      </c>
      <c r="E393" s="21"/>
      <c r="F393" s="21" t="s">
        <v>10438</v>
      </c>
      <c r="G393" s="21"/>
      <c r="H393" s="54">
        <v>1186</v>
      </c>
      <c r="I393" s="51"/>
      <c r="J393" s="27"/>
      <c r="K393" s="27"/>
      <c r="L393" s="15"/>
      <c r="M393" s="15"/>
      <c r="N393" s="4">
        <v>11</v>
      </c>
      <c r="O393" s="4"/>
    </row>
    <row r="394" spans="1:15" x14ac:dyDescent="0.2">
      <c r="A394" s="2">
        <v>40007140</v>
      </c>
      <c r="B394" s="2" t="s">
        <v>2408</v>
      </c>
      <c r="C394" s="5" t="s">
        <v>8111</v>
      </c>
      <c r="D394" s="21">
        <v>10</v>
      </c>
      <c r="E394" s="21"/>
      <c r="F394" s="21" t="s">
        <v>10438</v>
      </c>
      <c r="G394" s="21"/>
      <c r="H394" s="54">
        <v>1035</v>
      </c>
      <c r="I394" s="51"/>
      <c r="J394" s="27"/>
      <c r="K394" s="27"/>
      <c r="L394" s="15"/>
      <c r="M394" s="15"/>
      <c r="N394" s="4"/>
      <c r="O394" s="4">
        <v>89</v>
      </c>
    </row>
    <row r="395" spans="1:15" x14ac:dyDescent="0.2">
      <c r="A395" s="2">
        <v>40006831</v>
      </c>
      <c r="B395" s="2" t="s">
        <v>2130</v>
      </c>
      <c r="C395" s="5" t="s">
        <v>7838</v>
      </c>
      <c r="D395" s="21">
        <v>2</v>
      </c>
      <c r="E395" s="21"/>
      <c r="F395" s="21" t="s">
        <v>10438</v>
      </c>
      <c r="G395" s="21"/>
      <c r="H395" s="54">
        <v>131</v>
      </c>
      <c r="I395" s="51"/>
      <c r="J395" s="27"/>
      <c r="K395" s="27"/>
      <c r="L395" s="15"/>
      <c r="M395" s="15"/>
      <c r="N395" s="4" t="s">
        <v>4703</v>
      </c>
      <c r="O395" s="4"/>
    </row>
    <row r="396" spans="1:15" x14ac:dyDescent="0.2">
      <c r="A396" s="2">
        <v>40006767</v>
      </c>
      <c r="B396" s="2" t="s">
        <v>2070</v>
      </c>
      <c r="C396" s="5" t="s">
        <v>7782</v>
      </c>
      <c r="D396" s="21">
        <v>5</v>
      </c>
      <c r="E396" s="21"/>
      <c r="F396" s="21" t="s">
        <v>10438</v>
      </c>
      <c r="G396" s="21"/>
      <c r="H396" s="54">
        <v>385</v>
      </c>
      <c r="I396" s="51"/>
      <c r="J396" s="27"/>
      <c r="K396" s="27"/>
      <c r="L396" s="15"/>
      <c r="M396" s="15"/>
      <c r="N396" s="4"/>
      <c r="O396" s="4">
        <v>26</v>
      </c>
    </row>
    <row r="397" spans="1:15" x14ac:dyDescent="0.2">
      <c r="A397" s="2">
        <v>40005446</v>
      </c>
      <c r="B397" s="2" t="s">
        <v>919</v>
      </c>
      <c r="C397" s="5" t="s">
        <v>6641</v>
      </c>
      <c r="D397" s="21">
        <v>5</v>
      </c>
      <c r="E397" s="21"/>
      <c r="F397" s="21" t="s">
        <v>10438</v>
      </c>
      <c r="G397" s="21"/>
      <c r="H397" s="54">
        <v>414</v>
      </c>
      <c r="I397" s="51"/>
      <c r="J397" s="27"/>
      <c r="K397" s="27"/>
      <c r="L397" s="15"/>
      <c r="M397" s="15"/>
      <c r="N397" s="4"/>
      <c r="O397" s="4">
        <v>73</v>
      </c>
    </row>
    <row r="398" spans="1:15" x14ac:dyDescent="0.2">
      <c r="A398" s="2">
        <v>40007229</v>
      </c>
      <c r="B398" s="2" t="s">
        <v>2485</v>
      </c>
      <c r="C398" s="5" t="s">
        <v>8187</v>
      </c>
      <c r="D398" s="21">
        <v>9</v>
      </c>
      <c r="E398" s="21"/>
      <c r="F398" s="21" t="s">
        <v>10438</v>
      </c>
      <c r="G398" s="21"/>
      <c r="H398" s="54">
        <v>269</v>
      </c>
      <c r="I398" s="51"/>
      <c r="J398" s="27"/>
      <c r="K398" s="27"/>
      <c r="L398" s="15"/>
      <c r="M398" s="15"/>
      <c r="N398" s="4" t="s">
        <v>10025</v>
      </c>
      <c r="O398" s="4"/>
    </row>
    <row r="399" spans="1:15" x14ac:dyDescent="0.2">
      <c r="A399" s="2">
        <v>40007468</v>
      </c>
      <c r="B399" s="2" t="s">
        <v>2682</v>
      </c>
      <c r="C399" s="10" t="s">
        <v>8383</v>
      </c>
      <c r="D399" s="21">
        <v>22</v>
      </c>
      <c r="E399" s="21"/>
      <c r="F399" s="30">
        <v>2</v>
      </c>
      <c r="G399" s="21"/>
      <c r="H399" s="54">
        <v>627</v>
      </c>
      <c r="I399" s="51"/>
      <c r="J399" s="27"/>
      <c r="K399" s="27"/>
      <c r="L399" s="15">
        <v>10</v>
      </c>
      <c r="M399" s="15">
        <v>3</v>
      </c>
      <c r="N399" s="4" t="s">
        <v>3986</v>
      </c>
      <c r="O399" s="4">
        <v>101</v>
      </c>
    </row>
    <row r="400" spans="1:15" x14ac:dyDescent="0.2">
      <c r="A400" s="2">
        <v>40006836</v>
      </c>
      <c r="B400" s="2" t="s">
        <v>2134</v>
      </c>
      <c r="C400" s="5" t="s">
        <v>7843</v>
      </c>
      <c r="D400" s="21">
        <v>7</v>
      </c>
      <c r="E400" s="21"/>
      <c r="F400" s="21" t="s">
        <v>10438</v>
      </c>
      <c r="G400" s="21"/>
      <c r="H400" s="54">
        <v>808</v>
      </c>
      <c r="I400" s="51"/>
      <c r="J400" s="27"/>
      <c r="K400" s="27"/>
      <c r="L400" s="15"/>
      <c r="M400" s="15"/>
      <c r="N400" s="4" t="s">
        <v>4706</v>
      </c>
      <c r="O400" s="4">
        <v>99</v>
      </c>
    </row>
    <row r="401" spans="1:15" x14ac:dyDescent="0.2">
      <c r="A401" s="2">
        <v>40010321</v>
      </c>
      <c r="B401" s="2" t="s">
        <v>3853</v>
      </c>
      <c r="C401" s="5" t="s">
        <v>9201</v>
      </c>
      <c r="D401" s="21"/>
      <c r="E401" s="21"/>
      <c r="F401" s="21" t="s">
        <v>10438</v>
      </c>
      <c r="G401" s="21"/>
      <c r="H401" s="54">
        <v>891</v>
      </c>
      <c r="I401" s="51"/>
      <c r="J401" s="27"/>
      <c r="K401" s="27"/>
      <c r="L401" s="15"/>
      <c r="M401" s="15"/>
      <c r="N401" s="4" t="s">
        <v>10026</v>
      </c>
      <c r="O401" s="4"/>
    </row>
    <row r="402" spans="1:15" x14ac:dyDescent="0.2">
      <c r="A402" s="2">
        <v>40008253</v>
      </c>
      <c r="B402" s="2" t="s">
        <v>3370</v>
      </c>
      <c r="C402" s="5" t="s">
        <v>9061</v>
      </c>
      <c r="D402" s="21">
        <v>38</v>
      </c>
      <c r="E402" s="21"/>
      <c r="F402" s="21" t="s">
        <v>10438</v>
      </c>
      <c r="G402" s="21"/>
      <c r="H402" s="54">
        <v>766</v>
      </c>
      <c r="I402" s="51"/>
      <c r="J402" s="27"/>
      <c r="K402" s="27"/>
      <c r="L402" s="15"/>
      <c r="M402" s="15"/>
      <c r="N402" s="4"/>
      <c r="O402" s="4">
        <v>4</v>
      </c>
    </row>
    <row r="403" spans="1:15" x14ac:dyDescent="0.2">
      <c r="A403" s="2">
        <v>40006263</v>
      </c>
      <c r="B403" s="2" t="s">
        <v>1639</v>
      </c>
      <c r="C403" s="5" t="s">
        <v>7344</v>
      </c>
      <c r="D403" s="21">
        <v>7</v>
      </c>
      <c r="E403" s="21"/>
      <c r="F403" s="30">
        <v>1</v>
      </c>
      <c r="G403" s="21"/>
      <c r="H403" s="54">
        <v>617</v>
      </c>
      <c r="I403" s="51"/>
      <c r="J403" s="27"/>
      <c r="K403" s="27"/>
      <c r="L403" s="15"/>
      <c r="M403" s="15">
        <v>5</v>
      </c>
      <c r="N403" s="4" t="s">
        <v>10027</v>
      </c>
      <c r="O403" s="4"/>
    </row>
    <row r="404" spans="1:15" x14ac:dyDescent="0.2">
      <c r="A404" s="2">
        <v>40007455</v>
      </c>
      <c r="B404" s="2" t="s">
        <v>2672</v>
      </c>
      <c r="C404" s="5" t="s">
        <v>8371</v>
      </c>
      <c r="D404" s="21">
        <v>1</v>
      </c>
      <c r="E404" s="21"/>
      <c r="F404" s="21" t="s">
        <v>10438</v>
      </c>
      <c r="G404" s="21"/>
      <c r="H404" s="54">
        <v>1222</v>
      </c>
      <c r="I404" s="51"/>
      <c r="J404" s="27"/>
      <c r="K404" s="27"/>
      <c r="L404" s="15"/>
      <c r="M404" s="15"/>
      <c r="N404" s="4" t="s">
        <v>3986</v>
      </c>
      <c r="O404" s="4">
        <v>40</v>
      </c>
    </row>
    <row r="405" spans="1:15" x14ac:dyDescent="0.2">
      <c r="A405" s="2">
        <v>40005870</v>
      </c>
      <c r="B405" s="2" t="s">
        <v>1286</v>
      </c>
      <c r="C405" s="5" t="s">
        <v>6997</v>
      </c>
      <c r="D405" s="21">
        <v>4</v>
      </c>
      <c r="E405" s="21"/>
      <c r="F405" s="21" t="s">
        <v>10438</v>
      </c>
      <c r="G405" s="21"/>
      <c r="H405" s="54">
        <v>1135</v>
      </c>
      <c r="I405" s="51"/>
      <c r="J405" s="27"/>
      <c r="K405" s="27"/>
      <c r="L405" s="15"/>
      <c r="M405" s="15"/>
      <c r="N405" s="4"/>
      <c r="O405" s="4">
        <v>52</v>
      </c>
    </row>
    <row r="406" spans="1:15" x14ac:dyDescent="0.2">
      <c r="A406" s="2">
        <v>40010984</v>
      </c>
      <c r="B406" s="2" t="s">
        <v>3865</v>
      </c>
      <c r="C406" s="5" t="s">
        <v>9314</v>
      </c>
      <c r="D406" s="21">
        <v>2</v>
      </c>
      <c r="E406" s="21"/>
      <c r="F406" s="21" t="s">
        <v>10438</v>
      </c>
      <c r="G406" s="21"/>
      <c r="H406" s="54">
        <v>149</v>
      </c>
      <c r="I406" s="51"/>
      <c r="J406" s="27"/>
      <c r="K406" s="27"/>
      <c r="L406" s="15"/>
      <c r="M406" s="15"/>
      <c r="N406" s="4"/>
      <c r="O406" s="4" t="s">
        <v>10088</v>
      </c>
    </row>
    <row r="407" spans="1:15" x14ac:dyDescent="0.2">
      <c r="A407" s="2">
        <v>10018294</v>
      </c>
      <c r="B407" s="2" t="s">
        <v>146</v>
      </c>
      <c r="C407" s="5" t="s">
        <v>5686</v>
      </c>
      <c r="D407" s="21"/>
      <c r="E407" s="21"/>
      <c r="F407" s="21" t="s">
        <v>10438</v>
      </c>
      <c r="G407" s="21"/>
      <c r="H407" s="54">
        <v>45</v>
      </c>
      <c r="I407" s="51"/>
      <c r="J407" s="27"/>
      <c r="K407" s="27"/>
      <c r="L407" s="15"/>
      <c r="M407" s="15"/>
      <c r="N407" s="4">
        <v>83</v>
      </c>
      <c r="O407" s="4"/>
    </row>
    <row r="408" spans="1:15" x14ac:dyDescent="0.2">
      <c r="A408" s="2">
        <v>10018616</v>
      </c>
      <c r="B408" s="2" t="s">
        <v>238</v>
      </c>
      <c r="C408" s="5" t="s">
        <v>5800</v>
      </c>
      <c r="D408" s="21"/>
      <c r="E408" s="21"/>
      <c r="F408" s="21" t="s">
        <v>10438</v>
      </c>
      <c r="G408" s="21"/>
      <c r="H408" s="54">
        <v>81</v>
      </c>
      <c r="I408" s="51"/>
      <c r="J408" s="27"/>
      <c r="K408" s="27"/>
      <c r="L408" s="15"/>
      <c r="M408" s="15"/>
      <c r="N408" s="4">
        <v>54</v>
      </c>
      <c r="O408" s="4"/>
    </row>
    <row r="409" spans="1:15" x14ac:dyDescent="0.2">
      <c r="A409" s="2">
        <v>10018307</v>
      </c>
      <c r="B409" s="2" t="s">
        <v>149</v>
      </c>
      <c r="C409" s="5" t="s">
        <v>5689</v>
      </c>
      <c r="D409" s="21"/>
      <c r="E409" s="21"/>
      <c r="F409" s="21" t="s">
        <v>10438</v>
      </c>
      <c r="G409" s="21"/>
      <c r="H409" s="54">
        <v>60</v>
      </c>
      <c r="I409" s="51"/>
      <c r="J409" s="27"/>
      <c r="K409" s="27"/>
      <c r="L409" s="15"/>
      <c r="M409" s="15"/>
      <c r="N409" s="4">
        <v>83</v>
      </c>
      <c r="O409" s="4"/>
    </row>
    <row r="410" spans="1:15" x14ac:dyDescent="0.2">
      <c r="A410" s="2">
        <v>10018309</v>
      </c>
      <c r="B410" s="2" t="s">
        <v>150</v>
      </c>
      <c r="C410" s="5" t="s">
        <v>5690</v>
      </c>
      <c r="D410" s="21"/>
      <c r="E410" s="21"/>
      <c r="F410" s="21" t="s">
        <v>10438</v>
      </c>
      <c r="G410" s="21"/>
      <c r="H410" s="54">
        <v>45</v>
      </c>
      <c r="I410" s="51"/>
      <c r="J410" s="27"/>
      <c r="K410" s="27"/>
      <c r="L410" s="15"/>
      <c r="M410" s="15"/>
      <c r="N410" s="4">
        <v>54</v>
      </c>
      <c r="O410" s="4"/>
    </row>
    <row r="411" spans="1:15" x14ac:dyDescent="0.2">
      <c r="A411" s="2">
        <v>10018311</v>
      </c>
      <c r="B411" s="2" t="s">
        <v>152</v>
      </c>
      <c r="C411" s="5" t="s">
        <v>5692</v>
      </c>
      <c r="D411" s="21">
        <v>2</v>
      </c>
      <c r="E411" s="21"/>
      <c r="F411" s="21" t="s">
        <v>10438</v>
      </c>
      <c r="G411" s="21"/>
      <c r="H411" s="54">
        <v>114</v>
      </c>
      <c r="I411" s="51"/>
      <c r="J411" s="27"/>
      <c r="K411" s="27"/>
      <c r="L411" s="15"/>
      <c r="M411" s="15"/>
      <c r="N411" s="4">
        <v>65</v>
      </c>
      <c r="O411" s="4"/>
    </row>
    <row r="412" spans="1:15" x14ac:dyDescent="0.2">
      <c r="A412" s="2">
        <v>10018822</v>
      </c>
      <c r="B412" s="2" t="s">
        <v>333</v>
      </c>
      <c r="C412" s="5" t="s">
        <v>5916</v>
      </c>
      <c r="D412" s="21"/>
      <c r="E412" s="21"/>
      <c r="F412" s="21" t="s">
        <v>10438</v>
      </c>
      <c r="G412" s="21"/>
      <c r="H412" s="54">
        <v>104</v>
      </c>
      <c r="I412" s="51"/>
      <c r="J412" s="27"/>
      <c r="K412" s="27"/>
      <c r="L412" s="15"/>
      <c r="M412" s="15"/>
      <c r="N412" s="4">
        <v>55</v>
      </c>
      <c r="O412" s="4"/>
    </row>
    <row r="413" spans="1:15" x14ac:dyDescent="0.2">
      <c r="A413" s="2">
        <v>10018820</v>
      </c>
      <c r="B413" s="2" t="s">
        <v>332</v>
      </c>
      <c r="C413" s="5" t="s">
        <v>5915</v>
      </c>
      <c r="D413" s="21">
        <v>5</v>
      </c>
      <c r="E413" s="21"/>
      <c r="F413" s="21" t="s">
        <v>10438</v>
      </c>
      <c r="G413" s="21"/>
      <c r="H413" s="54">
        <v>42</v>
      </c>
      <c r="I413" s="51"/>
      <c r="J413" s="27"/>
      <c r="K413" s="27"/>
      <c r="L413" s="15"/>
      <c r="M413" s="15"/>
      <c r="N413" s="4">
        <v>55</v>
      </c>
      <c r="O413" s="4"/>
    </row>
    <row r="414" spans="1:15" x14ac:dyDescent="0.2">
      <c r="A414" s="2">
        <v>10018317</v>
      </c>
      <c r="B414" s="2" t="s">
        <v>154</v>
      </c>
      <c r="C414" s="5" t="s">
        <v>5694</v>
      </c>
      <c r="D414" s="21">
        <v>5</v>
      </c>
      <c r="E414" s="21"/>
      <c r="F414" s="21" t="s">
        <v>10438</v>
      </c>
      <c r="G414" s="21"/>
      <c r="H414" s="54">
        <v>60</v>
      </c>
      <c r="I414" s="51"/>
      <c r="J414" s="27"/>
      <c r="K414" s="27"/>
      <c r="L414" s="15"/>
      <c r="M414" s="15"/>
      <c r="N414" s="4"/>
      <c r="O414" s="4"/>
    </row>
    <row r="415" spans="1:15" x14ac:dyDescent="0.2">
      <c r="A415" s="2">
        <v>10019090</v>
      </c>
      <c r="B415" s="2" t="s">
        <v>425</v>
      </c>
      <c r="C415" s="5" t="s">
        <v>6027</v>
      </c>
      <c r="D415" s="21">
        <v>14</v>
      </c>
      <c r="E415" s="21"/>
      <c r="F415" s="21" t="s">
        <v>10438</v>
      </c>
      <c r="G415" s="21"/>
      <c r="H415" s="54">
        <v>55</v>
      </c>
      <c r="I415" s="51"/>
      <c r="J415" s="27"/>
      <c r="K415" s="27"/>
      <c r="L415" s="15"/>
      <c r="M415" s="15"/>
      <c r="N415" s="4">
        <v>54</v>
      </c>
      <c r="O415" s="4"/>
    </row>
    <row r="416" spans="1:15" x14ac:dyDescent="0.2">
      <c r="A416" s="2">
        <v>40007132</v>
      </c>
      <c r="B416" s="2" t="s">
        <v>2400</v>
      </c>
      <c r="C416" s="5" t="s">
        <v>8104</v>
      </c>
      <c r="D416" s="21">
        <v>5</v>
      </c>
      <c r="E416" s="21"/>
      <c r="F416" s="21" t="s">
        <v>10438</v>
      </c>
      <c r="G416" s="21"/>
      <c r="H416" s="54">
        <v>194</v>
      </c>
      <c r="I416" s="51"/>
      <c r="J416" s="27"/>
      <c r="K416" s="27"/>
      <c r="L416" s="15"/>
      <c r="M416" s="15"/>
      <c r="N416" s="4" t="s">
        <v>4840</v>
      </c>
      <c r="O416" s="4"/>
    </row>
    <row r="417" spans="1:15" x14ac:dyDescent="0.2">
      <c r="A417" s="2">
        <v>40006348</v>
      </c>
      <c r="B417" s="2" t="s">
        <v>1712</v>
      </c>
      <c r="C417" s="5" t="s">
        <v>7421</v>
      </c>
      <c r="D417" s="21">
        <v>19</v>
      </c>
      <c r="E417" s="21"/>
      <c r="F417" s="30">
        <v>1</v>
      </c>
      <c r="G417" s="21"/>
      <c r="H417" s="54">
        <v>18</v>
      </c>
      <c r="I417" s="51"/>
      <c r="J417" s="27"/>
      <c r="K417" s="27"/>
      <c r="L417" s="15"/>
      <c r="M417" s="15"/>
      <c r="N417" s="4" t="s">
        <v>4539</v>
      </c>
      <c r="O417" s="4" t="s">
        <v>10318</v>
      </c>
    </row>
    <row r="418" spans="1:15" x14ac:dyDescent="0.2">
      <c r="A418" s="2">
        <v>40007378</v>
      </c>
      <c r="B418" s="2" t="s">
        <v>2606</v>
      </c>
      <c r="C418" s="5" t="s">
        <v>8304</v>
      </c>
      <c r="D418" s="21">
        <v>1</v>
      </c>
      <c r="E418" s="21"/>
      <c r="F418" s="21" t="s">
        <v>10438</v>
      </c>
      <c r="G418" s="21"/>
      <c r="H418" s="54">
        <v>36</v>
      </c>
      <c r="I418" s="51"/>
      <c r="J418" s="27"/>
      <c r="K418" s="27"/>
      <c r="L418" s="15"/>
      <c r="M418" s="15"/>
      <c r="N418" s="4" t="s">
        <v>4934</v>
      </c>
      <c r="O418" s="4"/>
    </row>
    <row r="419" spans="1:15" x14ac:dyDescent="0.2">
      <c r="A419" s="2">
        <v>40007989</v>
      </c>
      <c r="B419" s="2" t="s">
        <v>3131</v>
      </c>
      <c r="C419" s="5" t="s">
        <v>8829</v>
      </c>
      <c r="D419" s="21">
        <v>12</v>
      </c>
      <c r="E419" s="21"/>
      <c r="F419" s="21" t="s">
        <v>10438</v>
      </c>
      <c r="G419" s="21"/>
      <c r="H419" s="54">
        <v>327</v>
      </c>
      <c r="I419" s="51"/>
      <c r="J419" s="27"/>
      <c r="K419" s="27"/>
      <c r="L419" s="15">
        <v>10</v>
      </c>
      <c r="M419" s="15">
        <v>8</v>
      </c>
      <c r="N419" s="4">
        <v>104</v>
      </c>
      <c r="O419" s="4"/>
    </row>
    <row r="420" spans="1:15" x14ac:dyDescent="0.2">
      <c r="A420" s="2">
        <v>40005330</v>
      </c>
      <c r="B420" s="2" t="s">
        <v>818</v>
      </c>
      <c r="C420" s="5" t="s">
        <v>6535</v>
      </c>
      <c r="D420" s="21">
        <v>2</v>
      </c>
      <c r="E420" s="21"/>
      <c r="F420" s="21" t="s">
        <v>10438</v>
      </c>
      <c r="G420" s="21"/>
      <c r="H420" s="54">
        <v>14</v>
      </c>
      <c r="I420" s="51"/>
      <c r="J420" s="27"/>
      <c r="K420" s="27"/>
      <c r="L420" s="15"/>
      <c r="M420" s="15"/>
      <c r="N420" s="4" t="s">
        <v>4056</v>
      </c>
      <c r="O420" s="4"/>
    </row>
    <row r="421" spans="1:15" x14ac:dyDescent="0.2">
      <c r="A421" s="2">
        <v>40007730</v>
      </c>
      <c r="B421" s="2" t="s">
        <v>2905</v>
      </c>
      <c r="C421" s="5" t="s">
        <v>8602</v>
      </c>
      <c r="D421" s="21">
        <v>1</v>
      </c>
      <c r="E421" s="21"/>
      <c r="F421" s="21" t="s">
        <v>10438</v>
      </c>
      <c r="G421" s="21"/>
      <c r="H421" s="54">
        <v>3</v>
      </c>
      <c r="I421" s="51"/>
      <c r="J421" s="27"/>
      <c r="K421" s="27"/>
      <c r="L421" s="15"/>
      <c r="M421" s="15"/>
      <c r="N421" s="4" t="s">
        <v>4688</v>
      </c>
      <c r="O421" s="4"/>
    </row>
    <row r="422" spans="1:15" x14ac:dyDescent="0.2">
      <c r="A422" s="2">
        <v>40007603</v>
      </c>
      <c r="B422" s="2" t="s">
        <v>2796</v>
      </c>
      <c r="C422" s="5" t="s">
        <v>8495</v>
      </c>
      <c r="D422" s="21">
        <v>1</v>
      </c>
      <c r="E422" s="21"/>
      <c r="F422" s="21" t="s">
        <v>10438</v>
      </c>
      <c r="G422" s="21"/>
      <c r="H422" s="54">
        <v>36</v>
      </c>
      <c r="I422" s="51"/>
      <c r="J422" s="27"/>
      <c r="K422" s="27"/>
      <c r="L422" s="15"/>
      <c r="M422" s="15"/>
      <c r="N422" s="4" t="s">
        <v>4335</v>
      </c>
      <c r="O422" s="4"/>
    </row>
    <row r="423" spans="1:15" x14ac:dyDescent="0.2">
      <c r="A423" s="2">
        <v>40007522</v>
      </c>
      <c r="B423" s="2" t="s">
        <v>2727</v>
      </c>
      <c r="C423" s="5" t="s">
        <v>8430</v>
      </c>
      <c r="D423" s="21">
        <v>11</v>
      </c>
      <c r="E423" s="21"/>
      <c r="F423" s="30">
        <v>2</v>
      </c>
      <c r="G423" s="21"/>
      <c r="H423" s="54">
        <v>6</v>
      </c>
      <c r="I423" s="51"/>
      <c r="J423" s="27"/>
      <c r="K423" s="27"/>
      <c r="L423" s="15"/>
      <c r="M423" s="15">
        <v>8</v>
      </c>
      <c r="N423" s="4" t="s">
        <v>4222</v>
      </c>
      <c r="O423" s="4"/>
    </row>
    <row r="424" spans="1:15" x14ac:dyDescent="0.2">
      <c r="A424" s="2">
        <v>40005952</v>
      </c>
      <c r="B424" s="2" t="s">
        <v>1359</v>
      </c>
      <c r="C424" s="5" t="s">
        <v>7065</v>
      </c>
      <c r="D424" s="21">
        <v>9</v>
      </c>
      <c r="E424" s="21"/>
      <c r="F424" s="21" t="s">
        <v>10438</v>
      </c>
      <c r="G424" s="21"/>
      <c r="H424" s="54">
        <v>15</v>
      </c>
      <c r="I424" s="51"/>
      <c r="J424" s="27"/>
      <c r="K424" s="27"/>
      <c r="L424" s="15"/>
      <c r="M424" s="15"/>
      <c r="N424" s="4"/>
      <c r="O424" s="4">
        <v>78</v>
      </c>
    </row>
    <row r="425" spans="1:15" x14ac:dyDescent="0.2">
      <c r="A425" s="2">
        <v>40006847</v>
      </c>
      <c r="B425" s="2" t="s">
        <v>2145</v>
      </c>
      <c r="C425" s="5" t="s">
        <v>7854</v>
      </c>
      <c r="D425" s="21">
        <v>25</v>
      </c>
      <c r="E425" s="21"/>
      <c r="F425" s="21" t="s">
        <v>10438</v>
      </c>
      <c r="G425" s="21"/>
      <c r="H425" s="54">
        <v>14</v>
      </c>
      <c r="I425" s="51"/>
      <c r="J425" s="27"/>
      <c r="K425" s="27"/>
      <c r="L425" s="15"/>
      <c r="M425" s="15"/>
      <c r="N425" s="4"/>
      <c r="O425" s="4" t="s">
        <v>10129</v>
      </c>
    </row>
    <row r="426" spans="1:15" x14ac:dyDescent="0.2">
      <c r="A426" s="2">
        <v>40011142</v>
      </c>
      <c r="B426" s="2" t="s">
        <v>3708</v>
      </c>
      <c r="C426" s="5" t="s">
        <v>9322</v>
      </c>
      <c r="D426" s="21">
        <v>3</v>
      </c>
      <c r="E426" s="21"/>
      <c r="F426" s="21" t="s">
        <v>10438</v>
      </c>
      <c r="G426" s="21"/>
      <c r="H426" s="54">
        <v>9</v>
      </c>
      <c r="I426" s="51"/>
      <c r="J426" s="27"/>
      <c r="K426" s="27"/>
      <c r="L426" s="15"/>
      <c r="M426" s="15"/>
      <c r="N426" s="4" t="s">
        <v>5283</v>
      </c>
      <c r="O426" s="4"/>
    </row>
    <row r="427" spans="1:15" x14ac:dyDescent="0.2">
      <c r="A427" s="2">
        <v>40007869</v>
      </c>
      <c r="B427" s="2" t="s">
        <v>3025</v>
      </c>
      <c r="C427" s="5" t="s">
        <v>8724</v>
      </c>
      <c r="D427" s="21">
        <v>3</v>
      </c>
      <c r="E427" s="21"/>
      <c r="F427" s="21" t="s">
        <v>10438</v>
      </c>
      <c r="G427" s="21"/>
      <c r="H427" s="54">
        <v>9</v>
      </c>
      <c r="I427" s="51"/>
      <c r="J427" s="27"/>
      <c r="K427" s="27"/>
      <c r="L427" s="15"/>
      <c r="M427" s="15"/>
      <c r="N427" s="4"/>
      <c r="O427" s="4" t="s">
        <v>10441</v>
      </c>
    </row>
    <row r="428" spans="1:15" x14ac:dyDescent="0.2">
      <c r="A428" s="2">
        <v>40005614</v>
      </c>
      <c r="B428" s="2" t="s">
        <v>1057</v>
      </c>
      <c r="C428" s="5" t="s">
        <v>6785</v>
      </c>
      <c r="D428" s="21">
        <v>3</v>
      </c>
      <c r="E428" s="21"/>
      <c r="F428" s="21" t="s">
        <v>10438</v>
      </c>
      <c r="G428" s="21"/>
      <c r="H428" s="54">
        <v>14</v>
      </c>
      <c r="I428" s="51"/>
      <c r="J428" s="27"/>
      <c r="K428" s="27"/>
      <c r="L428" s="15"/>
      <c r="M428" s="15"/>
      <c r="N428" s="4"/>
      <c r="O428" s="4">
        <v>92</v>
      </c>
    </row>
    <row r="429" spans="1:15" x14ac:dyDescent="0.2">
      <c r="A429" s="2">
        <v>40005526</v>
      </c>
      <c r="B429" s="2" t="s">
        <v>990</v>
      </c>
      <c r="C429" s="5" t="s">
        <v>6712</v>
      </c>
      <c r="D429" s="21">
        <v>1</v>
      </c>
      <c r="E429" s="21"/>
      <c r="F429" s="21" t="s">
        <v>10438</v>
      </c>
      <c r="G429" s="21"/>
      <c r="H429" s="54">
        <v>20</v>
      </c>
      <c r="I429" s="51"/>
      <c r="J429" s="27"/>
      <c r="K429" s="27"/>
      <c r="L429" s="15"/>
      <c r="M429" s="15"/>
      <c r="N429" s="4"/>
      <c r="O429" s="4" t="s">
        <v>10371</v>
      </c>
    </row>
    <row r="430" spans="1:15" x14ac:dyDescent="0.2">
      <c r="A430" s="2">
        <v>40005865</v>
      </c>
      <c r="B430" s="2" t="s">
        <v>1281</v>
      </c>
      <c r="C430" s="5" t="s">
        <v>6992</v>
      </c>
      <c r="D430" s="21">
        <v>3</v>
      </c>
      <c r="E430" s="21"/>
      <c r="F430" s="21" t="s">
        <v>10438</v>
      </c>
      <c r="G430" s="21"/>
      <c r="H430" s="54">
        <v>30</v>
      </c>
      <c r="I430" s="51"/>
      <c r="J430" s="27"/>
      <c r="K430" s="27"/>
      <c r="L430" s="15"/>
      <c r="M430" s="15"/>
      <c r="N430" s="4" t="s">
        <v>10461</v>
      </c>
      <c r="O430" s="4"/>
    </row>
    <row r="431" spans="1:15" x14ac:dyDescent="0.2">
      <c r="A431" s="2">
        <v>40005517</v>
      </c>
      <c r="B431" s="2" t="s">
        <v>981</v>
      </c>
      <c r="C431" s="5" t="s">
        <v>6703</v>
      </c>
      <c r="D431" s="21">
        <v>1</v>
      </c>
      <c r="E431" s="21"/>
      <c r="F431" s="21" t="s">
        <v>10438</v>
      </c>
      <c r="G431" s="21"/>
      <c r="H431" s="54">
        <v>18</v>
      </c>
      <c r="I431" s="51"/>
      <c r="J431" s="27"/>
      <c r="K431" s="27"/>
      <c r="L431" s="15"/>
      <c r="M431" s="15"/>
      <c r="N431" s="4" t="s">
        <v>4137</v>
      </c>
      <c r="O431" s="4"/>
    </row>
    <row r="432" spans="1:15" x14ac:dyDescent="0.2">
      <c r="A432" s="2">
        <v>40005890</v>
      </c>
      <c r="B432" s="2" t="s">
        <v>1306</v>
      </c>
      <c r="C432" s="5" t="s">
        <v>7016</v>
      </c>
      <c r="D432" s="21">
        <v>5</v>
      </c>
      <c r="E432" s="21"/>
      <c r="F432" s="21" t="s">
        <v>10438</v>
      </c>
      <c r="G432" s="21"/>
      <c r="H432" s="54">
        <v>6</v>
      </c>
      <c r="I432" s="51"/>
      <c r="J432" s="27"/>
      <c r="K432" s="27"/>
      <c r="L432" s="15"/>
      <c r="M432" s="15"/>
      <c r="N432" s="4" t="s">
        <v>4307</v>
      </c>
      <c r="O432" s="4"/>
    </row>
    <row r="433" spans="1:15" x14ac:dyDescent="0.2">
      <c r="A433" s="2">
        <v>40005889</v>
      </c>
      <c r="B433" s="2" t="s">
        <v>1305</v>
      </c>
      <c r="C433" s="5" t="s">
        <v>7015</v>
      </c>
      <c r="D433" s="21">
        <v>9</v>
      </c>
      <c r="E433" s="21"/>
      <c r="F433" s="21" t="s">
        <v>10438</v>
      </c>
      <c r="G433" s="21"/>
      <c r="H433" s="54">
        <v>7</v>
      </c>
      <c r="I433" s="51"/>
      <c r="J433" s="27"/>
      <c r="K433" s="27"/>
      <c r="L433" s="15"/>
      <c r="M433" s="15"/>
      <c r="N433" s="4"/>
      <c r="O433" s="4" t="s">
        <v>4020</v>
      </c>
    </row>
    <row r="434" spans="1:15" x14ac:dyDescent="0.2">
      <c r="A434" s="2">
        <v>40006317</v>
      </c>
      <c r="B434" s="2" t="s">
        <v>1684</v>
      </c>
      <c r="C434" s="5" t="s">
        <v>7394</v>
      </c>
      <c r="D434" s="21">
        <v>9</v>
      </c>
      <c r="E434" s="21"/>
      <c r="F434" s="21" t="s">
        <v>10438</v>
      </c>
      <c r="G434" s="21"/>
      <c r="H434" s="54">
        <v>2</v>
      </c>
      <c r="I434" s="51"/>
      <c r="J434" s="27"/>
      <c r="K434" s="27"/>
      <c r="L434" s="15"/>
      <c r="M434" s="15"/>
      <c r="N434" s="4"/>
      <c r="O434" s="4">
        <v>92</v>
      </c>
    </row>
    <row r="435" spans="1:15" x14ac:dyDescent="0.2">
      <c r="A435" s="2">
        <v>40010293</v>
      </c>
      <c r="B435" s="2" t="s">
        <v>3483</v>
      </c>
      <c r="C435" s="5" t="s">
        <v>9177</v>
      </c>
      <c r="D435" s="21">
        <v>26</v>
      </c>
      <c r="E435" s="21"/>
      <c r="F435" s="21" t="s">
        <v>10438</v>
      </c>
      <c r="G435" s="21"/>
      <c r="H435" s="54">
        <v>3</v>
      </c>
      <c r="I435" s="51"/>
      <c r="J435" s="27"/>
      <c r="K435" s="27"/>
      <c r="L435" s="15"/>
      <c r="M435" s="15"/>
      <c r="N435" s="4" t="s">
        <v>5264</v>
      </c>
      <c r="O435" s="4"/>
    </row>
    <row r="436" spans="1:15" x14ac:dyDescent="0.2">
      <c r="A436" s="2">
        <v>40010570</v>
      </c>
      <c r="B436" s="2" t="s">
        <v>3553</v>
      </c>
      <c r="C436" s="5" t="s">
        <v>9267</v>
      </c>
      <c r="D436" s="21">
        <v>3</v>
      </c>
      <c r="E436" s="21"/>
      <c r="F436" s="21" t="s">
        <v>10438</v>
      </c>
      <c r="G436" s="21"/>
      <c r="H436" s="54">
        <v>14</v>
      </c>
      <c r="I436" s="51"/>
      <c r="J436" s="27"/>
      <c r="K436" s="27"/>
      <c r="L436" s="15"/>
      <c r="M436" s="15"/>
      <c r="N436" s="4" t="s">
        <v>4939</v>
      </c>
      <c r="O436" s="4"/>
    </row>
    <row r="437" spans="1:15" x14ac:dyDescent="0.2">
      <c r="A437" s="2">
        <v>40008010</v>
      </c>
      <c r="B437" s="2" t="s">
        <v>3150</v>
      </c>
      <c r="C437" s="5" t="s">
        <v>8845</v>
      </c>
      <c r="D437" s="21">
        <v>11</v>
      </c>
      <c r="E437" s="21"/>
      <c r="F437" s="21" t="s">
        <v>10438</v>
      </c>
      <c r="G437" s="21"/>
      <c r="H437" s="54">
        <v>46</v>
      </c>
      <c r="I437" s="51"/>
      <c r="J437" s="27"/>
      <c r="K437" s="27"/>
      <c r="L437" s="15"/>
      <c r="M437" s="15"/>
      <c r="N437" s="4" t="s">
        <v>5045</v>
      </c>
      <c r="O437" s="4"/>
    </row>
    <row r="438" spans="1:15" x14ac:dyDescent="0.2">
      <c r="A438" s="2">
        <v>40005434</v>
      </c>
      <c r="B438" s="2" t="s">
        <v>5428</v>
      </c>
      <c r="C438" s="5" t="s">
        <v>6631</v>
      </c>
      <c r="D438" s="21">
        <v>6</v>
      </c>
      <c r="E438" s="21"/>
      <c r="F438" s="21" t="s">
        <v>10438</v>
      </c>
      <c r="G438" s="21"/>
      <c r="H438" s="54">
        <v>56</v>
      </c>
      <c r="I438" s="51"/>
      <c r="J438" s="27"/>
      <c r="K438" s="27"/>
      <c r="L438" s="15"/>
      <c r="M438" s="15"/>
      <c r="N438" s="4"/>
      <c r="O438" s="4" t="s">
        <v>10237</v>
      </c>
    </row>
    <row r="439" spans="1:15" x14ac:dyDescent="0.2">
      <c r="A439" s="2">
        <v>40006905</v>
      </c>
      <c r="B439" s="2" t="s">
        <v>2200</v>
      </c>
      <c r="C439" s="5" t="s">
        <v>7909</v>
      </c>
      <c r="D439" s="21">
        <v>9</v>
      </c>
      <c r="E439" s="21"/>
      <c r="F439" s="30">
        <v>2</v>
      </c>
      <c r="G439" s="21"/>
      <c r="H439" s="54">
        <v>63</v>
      </c>
      <c r="I439" s="51"/>
      <c r="J439" s="27"/>
      <c r="K439" s="27"/>
      <c r="L439" s="15"/>
      <c r="M439" s="15"/>
      <c r="N439" s="4" t="s">
        <v>4738</v>
      </c>
      <c r="O439" s="4"/>
    </row>
    <row r="440" spans="1:15" x14ac:dyDescent="0.2">
      <c r="A440" s="2">
        <v>40008290</v>
      </c>
      <c r="B440" s="2" t="s">
        <v>3401</v>
      </c>
      <c r="C440" s="5" t="s">
        <v>9093</v>
      </c>
      <c r="D440" s="21">
        <v>35</v>
      </c>
      <c r="E440" s="21"/>
      <c r="F440" s="30">
        <v>1</v>
      </c>
      <c r="G440" s="21"/>
      <c r="H440" s="54">
        <v>22</v>
      </c>
      <c r="I440" s="51"/>
      <c r="J440" s="27"/>
      <c r="K440" s="27"/>
      <c r="L440" s="15"/>
      <c r="M440" s="15">
        <v>18</v>
      </c>
      <c r="N440" s="4" t="s">
        <v>3973</v>
      </c>
      <c r="O440" s="4"/>
    </row>
    <row r="441" spans="1:15" x14ac:dyDescent="0.2">
      <c r="A441" s="2">
        <v>40008292</v>
      </c>
      <c r="B441" s="2" t="s">
        <v>3403</v>
      </c>
      <c r="C441" s="5" t="s">
        <v>9095</v>
      </c>
      <c r="D441" s="21">
        <v>44</v>
      </c>
      <c r="E441" s="21"/>
      <c r="F441" s="21" t="s">
        <v>10438</v>
      </c>
      <c r="G441" s="21"/>
      <c r="H441" s="54">
        <v>49</v>
      </c>
      <c r="I441" s="51"/>
      <c r="J441" s="27"/>
      <c r="K441" s="27"/>
      <c r="L441" s="15"/>
      <c r="M441" s="15"/>
      <c r="N441" s="4" t="s">
        <v>4110</v>
      </c>
      <c r="O441" s="4"/>
    </row>
    <row r="442" spans="1:15" x14ac:dyDescent="0.2">
      <c r="A442" s="2">
        <v>40003868</v>
      </c>
      <c r="B442" s="2" t="s">
        <v>697</v>
      </c>
      <c r="C442" s="5" t="s">
        <v>6411</v>
      </c>
      <c r="D442" s="21">
        <v>71</v>
      </c>
      <c r="E442" s="21"/>
      <c r="F442" s="30">
        <v>7</v>
      </c>
      <c r="G442" s="21"/>
      <c r="H442" s="54">
        <v>37</v>
      </c>
      <c r="I442" s="51"/>
      <c r="J442" s="27"/>
      <c r="K442" s="27"/>
      <c r="L442" s="15"/>
      <c r="M442" s="15"/>
      <c r="N442" s="4" t="s">
        <v>5088</v>
      </c>
      <c r="O442" s="4"/>
    </row>
    <row r="443" spans="1:15" x14ac:dyDescent="0.2">
      <c r="A443" s="2">
        <v>40005245</v>
      </c>
      <c r="B443" s="7" t="s">
        <v>10666</v>
      </c>
      <c r="C443" s="5" t="s">
        <v>6480</v>
      </c>
      <c r="D443" s="21">
        <v>5</v>
      </c>
      <c r="E443" s="21"/>
      <c r="F443" s="21" t="s">
        <v>10438</v>
      </c>
      <c r="G443" s="21"/>
      <c r="H443" s="54">
        <v>27</v>
      </c>
      <c r="I443" s="51"/>
      <c r="J443" s="27"/>
      <c r="K443" s="27"/>
      <c r="L443" s="15"/>
      <c r="M443" s="15"/>
      <c r="N443" s="4" t="s">
        <v>4373</v>
      </c>
      <c r="O443" s="4"/>
    </row>
    <row r="444" spans="1:15" x14ac:dyDescent="0.2">
      <c r="A444" s="2">
        <v>40007816</v>
      </c>
      <c r="B444" s="7" t="s">
        <v>10421</v>
      </c>
      <c r="C444" s="5" t="s">
        <v>8680</v>
      </c>
      <c r="D444" s="21">
        <v>182</v>
      </c>
      <c r="E444" s="21"/>
      <c r="F444" s="21" t="s">
        <v>10438</v>
      </c>
      <c r="G444" s="21"/>
      <c r="H444" s="54">
        <v>81</v>
      </c>
      <c r="I444" s="51"/>
      <c r="J444" s="27"/>
      <c r="K444" s="27"/>
      <c r="L444" s="15"/>
      <c r="M444" s="15"/>
      <c r="N444" s="4" t="s">
        <v>4373</v>
      </c>
      <c r="O444" s="4"/>
    </row>
    <row r="445" spans="1:15" x14ac:dyDescent="0.2">
      <c r="A445" s="2">
        <v>40007647</v>
      </c>
      <c r="B445" s="2" t="s">
        <v>2830</v>
      </c>
      <c r="C445" s="5" t="s">
        <v>8530</v>
      </c>
      <c r="D445" s="21">
        <v>31</v>
      </c>
      <c r="E445" s="21"/>
      <c r="F445" s="21" t="s">
        <v>10438</v>
      </c>
      <c r="G445" s="21"/>
      <c r="H445" s="54">
        <v>15</v>
      </c>
      <c r="I445" s="51"/>
      <c r="J445" s="27"/>
      <c r="K445" s="27"/>
      <c r="L445" s="15"/>
      <c r="M445" s="15"/>
      <c r="N445" s="4" t="s">
        <v>5088</v>
      </c>
      <c r="O445" s="4"/>
    </row>
    <row r="446" spans="1:15" x14ac:dyDescent="0.2">
      <c r="A446" s="2">
        <v>40005246</v>
      </c>
      <c r="B446" s="2" t="s">
        <v>767</v>
      </c>
      <c r="C446" s="5" t="s">
        <v>6481</v>
      </c>
      <c r="D446" s="21">
        <v>9</v>
      </c>
      <c r="E446" s="21"/>
      <c r="F446" s="21" t="s">
        <v>10438</v>
      </c>
      <c r="G446" s="21"/>
      <c r="H446" s="54">
        <v>95</v>
      </c>
      <c r="I446" s="51"/>
      <c r="J446" s="27"/>
      <c r="K446" s="27"/>
      <c r="L446" s="15"/>
      <c r="M446" s="15"/>
      <c r="N446" s="4" t="s">
        <v>4794</v>
      </c>
      <c r="O446" s="4"/>
    </row>
    <row r="447" spans="1:15" x14ac:dyDescent="0.2">
      <c r="A447" s="2">
        <v>40007028</v>
      </c>
      <c r="B447" s="7" t="s">
        <v>2307</v>
      </c>
      <c r="C447" s="5" t="s">
        <v>8017</v>
      </c>
      <c r="D447" s="21">
        <v>1</v>
      </c>
      <c r="E447" s="21"/>
      <c r="F447" s="21" t="s">
        <v>10438</v>
      </c>
      <c r="G447" s="21"/>
      <c r="H447" s="54">
        <v>133</v>
      </c>
      <c r="I447" s="51"/>
      <c r="J447" s="27"/>
      <c r="K447" s="27"/>
      <c r="L447" s="15"/>
      <c r="M447" s="15"/>
      <c r="N447" s="4" t="s">
        <v>10443</v>
      </c>
      <c r="O447" s="4"/>
    </row>
    <row r="448" spans="1:15" x14ac:dyDescent="0.2">
      <c r="A448" s="2">
        <v>40007829</v>
      </c>
      <c r="B448" s="2" t="s">
        <v>2990</v>
      </c>
      <c r="C448" s="5" t="s">
        <v>8689</v>
      </c>
      <c r="D448" s="21">
        <v>241</v>
      </c>
      <c r="E448" s="21"/>
      <c r="F448" s="30">
        <v>1</v>
      </c>
      <c r="G448" s="21"/>
      <c r="H448" s="54">
        <v>14</v>
      </c>
      <c r="I448" s="51"/>
      <c r="J448" s="27"/>
      <c r="K448" s="27"/>
      <c r="L448" s="15"/>
      <c r="M448" s="15"/>
      <c r="N448" s="4" t="s">
        <v>4815</v>
      </c>
      <c r="O448" s="4"/>
    </row>
    <row r="449" spans="1:15" x14ac:dyDescent="0.2">
      <c r="A449" s="2">
        <v>40006853</v>
      </c>
      <c r="B449" s="2" t="s">
        <v>2151</v>
      </c>
      <c r="C449" s="5" t="s">
        <v>7860</v>
      </c>
      <c r="D449" s="21">
        <v>69</v>
      </c>
      <c r="E449" s="21"/>
      <c r="F449" s="30">
        <v>5</v>
      </c>
      <c r="G449" s="21"/>
      <c r="H449" s="54">
        <v>21</v>
      </c>
      <c r="I449" s="51"/>
      <c r="J449" s="27"/>
      <c r="K449" s="27"/>
      <c r="L449" s="15">
        <v>50</v>
      </c>
      <c r="M449" s="15"/>
      <c r="N449" s="4" t="s">
        <v>4937</v>
      </c>
      <c r="O449" s="4"/>
    </row>
    <row r="450" spans="1:15" x14ac:dyDescent="0.2">
      <c r="A450" s="2">
        <v>40007822</v>
      </c>
      <c r="B450" s="2" t="s">
        <v>2986</v>
      </c>
      <c r="C450" s="5" t="s">
        <v>8685</v>
      </c>
      <c r="D450" s="21">
        <v>55</v>
      </c>
      <c r="E450" s="21"/>
      <c r="F450" s="21" t="s">
        <v>10438</v>
      </c>
      <c r="G450" s="21"/>
      <c r="H450" s="54">
        <v>55</v>
      </c>
      <c r="I450" s="51"/>
      <c r="J450" s="27"/>
      <c r="K450" s="27"/>
      <c r="L450" s="15"/>
      <c r="M450" s="15"/>
      <c r="N450" s="4" t="s">
        <v>4110</v>
      </c>
      <c r="O450" s="4"/>
    </row>
    <row r="451" spans="1:15" x14ac:dyDescent="0.2">
      <c r="A451" s="2">
        <v>40007818</v>
      </c>
      <c r="B451" s="2" t="s">
        <v>2983</v>
      </c>
      <c r="C451" s="5" t="s">
        <v>8682</v>
      </c>
      <c r="D451" s="21">
        <v>46</v>
      </c>
      <c r="E451" s="21"/>
      <c r="F451" s="30">
        <v>1</v>
      </c>
      <c r="G451" s="21"/>
      <c r="H451" s="54">
        <v>31</v>
      </c>
      <c r="I451" s="51"/>
      <c r="J451" s="27"/>
      <c r="K451" s="27"/>
      <c r="L451" s="15"/>
      <c r="M451" s="15"/>
      <c r="N451" s="4" t="s">
        <v>4679</v>
      </c>
      <c r="O451" s="4"/>
    </row>
    <row r="452" spans="1:15" x14ac:dyDescent="0.2">
      <c r="A452" s="2">
        <v>40007606</v>
      </c>
      <c r="B452" s="2" t="s">
        <v>5400</v>
      </c>
      <c r="C452" s="5" t="s">
        <v>8496</v>
      </c>
      <c r="D452" s="21">
        <v>20</v>
      </c>
      <c r="E452" s="21"/>
      <c r="F452" s="30">
        <v>1</v>
      </c>
      <c r="G452" s="21"/>
      <c r="H452" s="54">
        <v>44</v>
      </c>
      <c r="I452" s="51"/>
      <c r="J452" s="27"/>
      <c r="K452" s="27"/>
      <c r="L452" s="15">
        <v>30</v>
      </c>
      <c r="M452" s="15">
        <v>24</v>
      </c>
      <c r="N452" s="4" t="s">
        <v>4731</v>
      </c>
      <c r="O452" s="4"/>
    </row>
    <row r="453" spans="1:15" x14ac:dyDescent="0.2">
      <c r="A453" s="2">
        <v>40007807</v>
      </c>
      <c r="B453" s="2" t="s">
        <v>2976</v>
      </c>
      <c r="C453" s="5" t="s">
        <v>8675</v>
      </c>
      <c r="D453" s="21">
        <v>2</v>
      </c>
      <c r="E453" s="21"/>
      <c r="F453" s="21" t="s">
        <v>10438</v>
      </c>
      <c r="G453" s="21"/>
      <c r="H453" s="54">
        <v>49</v>
      </c>
      <c r="I453" s="51"/>
      <c r="J453" s="27"/>
      <c r="K453" s="27"/>
      <c r="L453" s="15"/>
      <c r="M453" s="15">
        <v>20</v>
      </c>
      <c r="N453" s="4" t="s">
        <v>4318</v>
      </c>
      <c r="O453" s="4"/>
    </row>
    <row r="454" spans="1:15" x14ac:dyDescent="0.2">
      <c r="A454" s="2">
        <v>40010371</v>
      </c>
      <c r="B454" s="7" t="s">
        <v>5434</v>
      </c>
      <c r="C454" s="5" t="s">
        <v>9218</v>
      </c>
      <c r="D454" s="21"/>
      <c r="E454" s="21"/>
      <c r="F454" s="21" t="s">
        <v>10438</v>
      </c>
      <c r="G454" s="21"/>
      <c r="H454" s="54">
        <v>24</v>
      </c>
      <c r="I454" s="51"/>
      <c r="J454" s="27"/>
      <c r="K454" s="27"/>
      <c r="L454" s="15"/>
      <c r="M454" s="15"/>
      <c r="N454" s="4" t="s">
        <v>4713</v>
      </c>
      <c r="O454" s="4"/>
    </row>
    <row r="455" spans="1:15" x14ac:dyDescent="0.2">
      <c r="A455" s="2">
        <v>40010958</v>
      </c>
      <c r="B455" s="2" t="s">
        <v>3577</v>
      </c>
      <c r="C455" s="5" t="s">
        <v>9297</v>
      </c>
      <c r="D455" s="21">
        <v>77</v>
      </c>
      <c r="E455" s="21"/>
      <c r="F455" s="30">
        <v>10</v>
      </c>
      <c r="G455" s="21"/>
      <c r="H455" s="54">
        <v>29</v>
      </c>
      <c r="I455" s="51"/>
      <c r="J455" s="27"/>
      <c r="K455" s="27"/>
      <c r="L455" s="15"/>
      <c r="M455" s="15">
        <v>30</v>
      </c>
      <c r="N455" s="4" t="s">
        <v>4713</v>
      </c>
      <c r="O455" s="4"/>
    </row>
    <row r="456" spans="1:15" x14ac:dyDescent="0.2">
      <c r="A456" s="2">
        <v>40006885</v>
      </c>
      <c r="B456" s="2" t="s">
        <v>2180</v>
      </c>
      <c r="C456" s="5" t="s">
        <v>7889</v>
      </c>
      <c r="D456" s="21">
        <v>96</v>
      </c>
      <c r="E456" s="21"/>
      <c r="F456" s="30">
        <v>1</v>
      </c>
      <c r="G456" s="21"/>
      <c r="H456" s="54">
        <v>26</v>
      </c>
      <c r="I456" s="51"/>
      <c r="J456" s="27"/>
      <c r="K456" s="27"/>
      <c r="L456" s="15"/>
      <c r="M456" s="15"/>
      <c r="N456" s="4" t="s">
        <v>3973</v>
      </c>
      <c r="O456" s="4"/>
    </row>
    <row r="457" spans="1:15" x14ac:dyDescent="0.2">
      <c r="A457" s="2">
        <v>40006845</v>
      </c>
      <c r="B457" s="2" t="s">
        <v>2143</v>
      </c>
      <c r="C457" s="5" t="s">
        <v>7852</v>
      </c>
      <c r="D457" s="21">
        <v>6</v>
      </c>
      <c r="E457" s="21"/>
      <c r="F457" s="30">
        <v>2</v>
      </c>
      <c r="G457" s="21"/>
      <c r="H457" s="54">
        <v>16</v>
      </c>
      <c r="I457" s="51"/>
      <c r="J457" s="27"/>
      <c r="K457" s="27"/>
      <c r="L457" s="15"/>
      <c r="M457" s="15"/>
      <c r="N457" s="4"/>
      <c r="O457" s="4"/>
    </row>
    <row r="458" spans="1:15" x14ac:dyDescent="0.2">
      <c r="A458" s="2">
        <v>40007067</v>
      </c>
      <c r="B458" s="2" t="s">
        <v>2342</v>
      </c>
      <c r="C458" s="5" t="s">
        <v>5513</v>
      </c>
      <c r="D458" s="21">
        <v>30</v>
      </c>
      <c r="E458" s="21"/>
      <c r="F458" s="30">
        <v>7</v>
      </c>
      <c r="G458" s="21"/>
      <c r="H458" s="54">
        <v>25</v>
      </c>
      <c r="I458" s="51"/>
      <c r="J458" s="27"/>
      <c r="K458" s="27"/>
      <c r="L458" s="15">
        <v>50</v>
      </c>
      <c r="M458" s="15">
        <v>50</v>
      </c>
      <c r="N458" s="4" t="s">
        <v>5090</v>
      </c>
      <c r="O458" s="4"/>
    </row>
    <row r="459" spans="1:15" x14ac:dyDescent="0.2">
      <c r="A459" s="2">
        <v>40007630</v>
      </c>
      <c r="B459" s="2" t="s">
        <v>2817</v>
      </c>
      <c r="C459" s="5" t="s">
        <v>8517</v>
      </c>
      <c r="D459" s="21">
        <v>63</v>
      </c>
      <c r="E459" s="21"/>
      <c r="F459" s="21" t="s">
        <v>10438</v>
      </c>
      <c r="G459" s="21"/>
      <c r="H459" s="54">
        <v>102</v>
      </c>
      <c r="I459" s="51"/>
      <c r="J459" s="27"/>
      <c r="K459" s="27"/>
      <c r="L459" s="15"/>
      <c r="M459" s="15"/>
      <c r="N459" s="4" t="s">
        <v>10444</v>
      </c>
      <c r="O459" s="4"/>
    </row>
    <row r="460" spans="1:15" x14ac:dyDescent="0.2">
      <c r="A460" s="2">
        <v>40005681</v>
      </c>
      <c r="B460" s="2" t="s">
        <v>1115</v>
      </c>
      <c r="C460" s="5" t="s">
        <v>6833</v>
      </c>
      <c r="D460" s="21">
        <v>13</v>
      </c>
      <c r="E460" s="21"/>
      <c r="F460" s="21" t="s">
        <v>10438</v>
      </c>
      <c r="G460" s="21"/>
      <c r="H460" s="54">
        <v>96</v>
      </c>
      <c r="I460" s="51"/>
      <c r="J460" s="27"/>
      <c r="K460" s="27"/>
      <c r="L460" s="15"/>
      <c r="M460" s="15"/>
      <c r="N460" s="4" t="s">
        <v>10714</v>
      </c>
      <c r="O460" s="4"/>
    </row>
    <row r="461" spans="1:15" x14ac:dyDescent="0.2">
      <c r="A461" s="2">
        <v>40011239</v>
      </c>
      <c r="B461" s="2" t="s">
        <v>3730</v>
      </c>
      <c r="C461" s="5" t="s">
        <v>9366</v>
      </c>
      <c r="D461" s="21">
        <v>4</v>
      </c>
      <c r="E461" s="21"/>
      <c r="F461" s="21" t="s">
        <v>10438</v>
      </c>
      <c r="G461" s="21"/>
      <c r="H461" s="54">
        <v>125</v>
      </c>
      <c r="I461" s="51"/>
      <c r="J461" s="27"/>
      <c r="K461" s="27"/>
      <c r="L461" s="15"/>
      <c r="M461" s="15"/>
      <c r="N461" s="4" t="s">
        <v>5288</v>
      </c>
      <c r="O461" s="4"/>
    </row>
    <row r="462" spans="1:15" x14ac:dyDescent="0.2">
      <c r="A462" s="2">
        <v>40005348</v>
      </c>
      <c r="B462" s="2" t="s">
        <v>833</v>
      </c>
      <c r="C462" s="5" t="s">
        <v>6551</v>
      </c>
      <c r="D462" s="21"/>
      <c r="E462" s="21"/>
      <c r="F462" s="21" t="s">
        <v>10438</v>
      </c>
      <c r="G462" s="21"/>
      <c r="H462" s="54">
        <v>28</v>
      </c>
      <c r="I462" s="51"/>
      <c r="J462" s="27"/>
      <c r="K462" s="27"/>
      <c r="L462" s="15"/>
      <c r="M462" s="15"/>
      <c r="N462" s="4" t="s">
        <v>4064</v>
      </c>
      <c r="O462" s="4"/>
    </row>
    <row r="463" spans="1:15" x14ac:dyDescent="0.2">
      <c r="A463" s="2">
        <v>40005969</v>
      </c>
      <c r="B463" s="2" t="s">
        <v>1374</v>
      </c>
      <c r="C463" s="5" t="s">
        <v>7080</v>
      </c>
      <c r="D463" s="21">
        <v>1</v>
      </c>
      <c r="E463" s="21"/>
      <c r="F463" s="21" t="s">
        <v>10438</v>
      </c>
      <c r="G463" s="21"/>
      <c r="H463" s="54">
        <v>107</v>
      </c>
      <c r="I463" s="51"/>
      <c r="J463" s="27"/>
      <c r="K463" s="27"/>
      <c r="L463" s="15"/>
      <c r="M463" s="15"/>
      <c r="N463" s="4" t="s">
        <v>4340</v>
      </c>
      <c r="O463" s="4"/>
    </row>
    <row r="464" spans="1:15" x14ac:dyDescent="0.2">
      <c r="A464" s="2">
        <v>40006771</v>
      </c>
      <c r="B464" s="2" t="s">
        <v>2073</v>
      </c>
      <c r="C464" s="5">
        <v>960102131</v>
      </c>
      <c r="D464" s="21">
        <v>1</v>
      </c>
      <c r="E464" s="21"/>
      <c r="F464" s="21" t="s">
        <v>10438</v>
      </c>
      <c r="G464" s="21"/>
      <c r="H464" s="54">
        <v>204</v>
      </c>
      <c r="I464" s="51"/>
      <c r="J464" s="27"/>
      <c r="K464" s="27"/>
      <c r="L464" s="15"/>
      <c r="M464" s="15"/>
      <c r="N464" s="4" t="s">
        <v>4525</v>
      </c>
      <c r="O464" s="4"/>
    </row>
    <row r="465" spans="1:15" x14ac:dyDescent="0.2">
      <c r="A465" s="2">
        <v>40006848</v>
      </c>
      <c r="B465" s="2" t="s">
        <v>2146</v>
      </c>
      <c r="C465" s="5" t="s">
        <v>7855</v>
      </c>
      <c r="D465" s="21">
        <v>2</v>
      </c>
      <c r="E465" s="21"/>
      <c r="F465" s="21" t="s">
        <v>10438</v>
      </c>
      <c r="G465" s="21"/>
      <c r="H465" s="54">
        <v>33</v>
      </c>
      <c r="I465" s="51"/>
      <c r="J465" s="27"/>
      <c r="K465" s="27"/>
      <c r="L465" s="15"/>
      <c r="M465" s="15"/>
      <c r="N465" s="4" t="s">
        <v>3984</v>
      </c>
      <c r="O465" s="4"/>
    </row>
    <row r="466" spans="1:15" x14ac:dyDescent="0.2">
      <c r="A466" s="2">
        <v>10019207</v>
      </c>
      <c r="B466" s="2" t="s">
        <v>3793</v>
      </c>
      <c r="C466" s="5" t="s">
        <v>6068</v>
      </c>
      <c r="D466" s="21">
        <v>1</v>
      </c>
      <c r="E466" s="21"/>
      <c r="F466" s="21" t="s">
        <v>10438</v>
      </c>
      <c r="G466" s="21"/>
      <c r="H466" s="54">
        <v>672</v>
      </c>
      <c r="I466" s="51"/>
      <c r="J466" s="27"/>
      <c r="K466" s="27"/>
      <c r="L466" s="15"/>
      <c r="M466" s="15"/>
      <c r="N466" s="4">
        <v>81</v>
      </c>
      <c r="O466" s="4"/>
    </row>
    <row r="467" spans="1:15" x14ac:dyDescent="0.2">
      <c r="A467" s="2">
        <v>10019208</v>
      </c>
      <c r="B467" s="2" t="s">
        <v>3794</v>
      </c>
      <c r="C467" s="5" t="s">
        <v>6069</v>
      </c>
      <c r="D467" s="21"/>
      <c r="E467" s="21"/>
      <c r="F467" s="21" t="s">
        <v>10438</v>
      </c>
      <c r="G467" s="21"/>
      <c r="H467" s="54">
        <v>586</v>
      </c>
      <c r="I467" s="51"/>
      <c r="J467" s="27"/>
      <c r="K467" s="27"/>
      <c r="L467" s="15"/>
      <c r="M467" s="15"/>
      <c r="N467" s="4">
        <v>81</v>
      </c>
      <c r="O467" s="4"/>
    </row>
    <row r="468" spans="1:15" x14ac:dyDescent="0.2">
      <c r="A468" s="2">
        <v>10019136</v>
      </c>
      <c r="B468" s="2" t="s">
        <v>3641</v>
      </c>
      <c r="C468" s="5" t="s">
        <v>6044</v>
      </c>
      <c r="D468" s="21"/>
      <c r="E468" s="21"/>
      <c r="F468" s="21" t="s">
        <v>10438</v>
      </c>
      <c r="G468" s="21"/>
      <c r="H468" s="54">
        <v>606</v>
      </c>
      <c r="I468" s="51"/>
      <c r="J468" s="27"/>
      <c r="K468" s="27"/>
      <c r="L468" s="15"/>
      <c r="M468" s="15"/>
      <c r="N468" s="4">
        <v>81</v>
      </c>
      <c r="O468" s="4"/>
    </row>
    <row r="469" spans="1:15" x14ac:dyDescent="0.2">
      <c r="A469" s="2">
        <v>10019209</v>
      </c>
      <c r="B469" s="2" t="s">
        <v>460</v>
      </c>
      <c r="C469" s="5" t="s">
        <v>6070</v>
      </c>
      <c r="D469" s="21">
        <v>10</v>
      </c>
      <c r="E469" s="21"/>
      <c r="F469" s="21" t="s">
        <v>10438</v>
      </c>
      <c r="G469" s="21"/>
      <c r="H469" s="54">
        <v>800</v>
      </c>
      <c r="I469" s="51"/>
      <c r="J469" s="27"/>
      <c r="K469" s="27"/>
      <c r="L469" s="15"/>
      <c r="M469" s="15"/>
      <c r="N469" s="4">
        <v>81</v>
      </c>
      <c r="O469" s="4"/>
    </row>
    <row r="470" spans="1:15" x14ac:dyDescent="0.2">
      <c r="A470" s="2">
        <v>10018100</v>
      </c>
      <c r="B470" s="2" t="s">
        <v>72</v>
      </c>
      <c r="C470" s="5" t="s">
        <v>5605</v>
      </c>
      <c r="D470" s="21">
        <v>8</v>
      </c>
      <c r="E470" s="21"/>
      <c r="F470" s="21" t="s">
        <v>10438</v>
      </c>
      <c r="G470" s="21"/>
      <c r="H470" s="54">
        <v>500</v>
      </c>
      <c r="I470" s="51"/>
      <c r="J470" s="27"/>
      <c r="K470" s="27"/>
      <c r="L470" s="15"/>
      <c r="M470" s="15"/>
      <c r="N470" s="4">
        <v>81</v>
      </c>
      <c r="O470" s="4"/>
    </row>
    <row r="471" spans="1:15" x14ac:dyDescent="0.2">
      <c r="A471" s="2">
        <v>10019236</v>
      </c>
      <c r="B471" s="2" t="s">
        <v>466</v>
      </c>
      <c r="C471" s="5" t="s">
        <v>6078</v>
      </c>
      <c r="D471" s="21">
        <v>2</v>
      </c>
      <c r="E471" s="21">
        <v>2</v>
      </c>
      <c r="F471" s="21" t="s">
        <v>10438</v>
      </c>
      <c r="G471" s="21">
        <v>1</v>
      </c>
      <c r="H471" s="54">
        <v>16220</v>
      </c>
      <c r="I471" s="51">
        <v>12980</v>
      </c>
      <c r="J471" s="27">
        <v>2</v>
      </c>
      <c r="K471" s="27">
        <v>2</v>
      </c>
      <c r="L471" s="15"/>
      <c r="M471" s="15"/>
      <c r="N471" s="4"/>
      <c r="O471" s="4" t="s">
        <v>10462</v>
      </c>
    </row>
    <row r="472" spans="1:15" x14ac:dyDescent="0.2">
      <c r="A472" s="2">
        <v>40007908</v>
      </c>
      <c r="B472" s="2" t="s">
        <v>3063</v>
      </c>
      <c r="C472" s="5" t="s">
        <v>8754</v>
      </c>
      <c r="D472" s="21">
        <v>2</v>
      </c>
      <c r="E472" s="21"/>
      <c r="F472" s="21" t="s">
        <v>10438</v>
      </c>
      <c r="G472" s="21"/>
      <c r="H472" s="54">
        <v>2002</v>
      </c>
      <c r="I472" s="51"/>
      <c r="J472" s="27"/>
      <c r="K472" s="27"/>
      <c r="L472" s="15"/>
      <c r="M472" s="15"/>
      <c r="N472" s="4"/>
      <c r="O472" s="4">
        <v>39</v>
      </c>
    </row>
    <row r="473" spans="1:15" x14ac:dyDescent="0.2">
      <c r="A473" s="2">
        <v>40010311</v>
      </c>
      <c r="B473" s="2" t="s">
        <v>3497</v>
      </c>
      <c r="C473" s="5" t="s">
        <v>9192</v>
      </c>
      <c r="D473" s="21">
        <v>2</v>
      </c>
      <c r="E473" s="21"/>
      <c r="F473" s="21" t="s">
        <v>10438</v>
      </c>
      <c r="G473" s="21"/>
      <c r="H473" s="54">
        <v>365</v>
      </c>
      <c r="I473" s="51"/>
      <c r="J473" s="27"/>
      <c r="K473" s="27"/>
      <c r="L473" s="15"/>
      <c r="M473" s="15"/>
      <c r="N473" s="4"/>
      <c r="O473" s="4" t="s">
        <v>10102</v>
      </c>
    </row>
    <row r="474" spans="1:15" x14ac:dyDescent="0.2">
      <c r="A474" s="2">
        <v>40006559</v>
      </c>
      <c r="B474" s="2" t="s">
        <v>1899</v>
      </c>
      <c r="C474" s="5" t="s">
        <v>7607</v>
      </c>
      <c r="D474" s="21">
        <v>1</v>
      </c>
      <c r="E474" s="21"/>
      <c r="F474" s="21" t="s">
        <v>10438</v>
      </c>
      <c r="G474" s="21"/>
      <c r="H474" s="54">
        <v>615</v>
      </c>
      <c r="I474" s="51"/>
      <c r="J474" s="27"/>
      <c r="K474" s="27"/>
      <c r="L474" s="15"/>
      <c r="M474" s="15"/>
      <c r="N474" s="4"/>
      <c r="O474" s="4" t="s">
        <v>10371</v>
      </c>
    </row>
    <row r="475" spans="1:15" x14ac:dyDescent="0.2">
      <c r="A475" s="2">
        <v>40010582</v>
      </c>
      <c r="B475" s="2" t="s">
        <v>3559</v>
      </c>
      <c r="C475" s="5" t="s">
        <v>9276</v>
      </c>
      <c r="D475" s="21">
        <v>2</v>
      </c>
      <c r="E475" s="21"/>
      <c r="F475" s="21" t="s">
        <v>10438</v>
      </c>
      <c r="G475" s="21"/>
      <c r="H475" s="54">
        <v>1127</v>
      </c>
      <c r="I475" s="51"/>
      <c r="J475" s="27"/>
      <c r="K475" s="27"/>
      <c r="L475" s="15"/>
      <c r="M475" s="15"/>
      <c r="N475" s="4" t="s">
        <v>4139</v>
      </c>
      <c r="O475" s="4"/>
    </row>
    <row r="476" spans="1:15" x14ac:dyDescent="0.2">
      <c r="A476" s="2">
        <v>40010276</v>
      </c>
      <c r="B476" s="2" t="s">
        <v>3467</v>
      </c>
      <c r="C476" s="5" t="s">
        <v>9161</v>
      </c>
      <c r="D476" s="21">
        <v>1</v>
      </c>
      <c r="E476" s="21"/>
      <c r="F476" s="21" t="s">
        <v>10438</v>
      </c>
      <c r="G476" s="21"/>
      <c r="H476" s="54">
        <v>1239</v>
      </c>
      <c r="I476" s="51"/>
      <c r="J476" s="27"/>
      <c r="K476" s="27"/>
      <c r="L476" s="15"/>
      <c r="M476" s="15"/>
      <c r="N476" s="4"/>
      <c r="O476" s="4" t="s">
        <v>5117</v>
      </c>
    </row>
    <row r="477" spans="1:15" x14ac:dyDescent="0.2">
      <c r="A477" s="2">
        <v>40007253</v>
      </c>
      <c r="B477" s="2" t="s">
        <v>2504</v>
      </c>
      <c r="C477" s="5" t="s">
        <v>8200</v>
      </c>
      <c r="D477" s="21">
        <v>4</v>
      </c>
      <c r="E477" s="21"/>
      <c r="F477" s="21" t="s">
        <v>10438</v>
      </c>
      <c r="G477" s="21"/>
      <c r="H477" s="54">
        <v>41</v>
      </c>
      <c r="I477" s="51"/>
      <c r="J477" s="27"/>
      <c r="K477" s="27"/>
      <c r="L477" s="15"/>
      <c r="M477" s="15"/>
      <c r="N477" s="4" t="s">
        <v>4892</v>
      </c>
      <c r="O477" s="4"/>
    </row>
    <row r="478" spans="1:15" x14ac:dyDescent="0.2">
      <c r="A478" s="2">
        <v>40006957</v>
      </c>
      <c r="B478" s="2" t="s">
        <v>2248</v>
      </c>
      <c r="C478" s="5" t="s">
        <v>7954</v>
      </c>
      <c r="D478" s="21">
        <v>4</v>
      </c>
      <c r="E478" s="21"/>
      <c r="F478" s="21" t="s">
        <v>10438</v>
      </c>
      <c r="G478" s="21"/>
      <c r="H478" s="54">
        <v>23</v>
      </c>
      <c r="I478" s="51"/>
      <c r="J478" s="27"/>
      <c r="K478" s="27"/>
      <c r="L478" s="15"/>
      <c r="M478" s="15"/>
      <c r="N478" s="4"/>
      <c r="O478" s="4" t="s">
        <v>10167</v>
      </c>
    </row>
    <row r="479" spans="1:15" x14ac:dyDescent="0.2">
      <c r="A479" s="2">
        <v>40006654</v>
      </c>
      <c r="B479" s="2" t="s">
        <v>1980</v>
      </c>
      <c r="C479" s="5" t="s">
        <v>7689</v>
      </c>
      <c r="D479" s="21">
        <v>6</v>
      </c>
      <c r="E479" s="21"/>
      <c r="F479" s="21" t="s">
        <v>10438</v>
      </c>
      <c r="G479" s="21"/>
      <c r="H479" s="54">
        <v>115</v>
      </c>
      <c r="I479" s="51"/>
      <c r="J479" s="27"/>
      <c r="K479" s="27"/>
      <c r="L479" s="15"/>
      <c r="M479" s="15"/>
      <c r="N479" s="4"/>
      <c r="O479" s="4"/>
    </row>
    <row r="480" spans="1:15" x14ac:dyDescent="0.2">
      <c r="A480" s="2">
        <v>40006650</v>
      </c>
      <c r="B480" s="2" t="s">
        <v>1979</v>
      </c>
      <c r="C480" s="5" t="s">
        <v>7688</v>
      </c>
      <c r="D480" s="21">
        <v>1</v>
      </c>
      <c r="E480" s="21"/>
      <c r="F480" s="21" t="s">
        <v>10438</v>
      </c>
      <c r="G480" s="21"/>
      <c r="H480" s="54">
        <v>148</v>
      </c>
      <c r="I480" s="51"/>
      <c r="J480" s="27"/>
      <c r="K480" s="27"/>
      <c r="L480" s="15"/>
      <c r="M480" s="15"/>
      <c r="N480" s="4"/>
      <c r="O480" s="4">
        <v>88</v>
      </c>
    </row>
    <row r="481" spans="1:15" x14ac:dyDescent="0.2">
      <c r="A481" s="2">
        <v>40007184</v>
      </c>
      <c r="B481" s="2" t="s">
        <v>2450</v>
      </c>
      <c r="C481" s="5" t="s">
        <v>8153</v>
      </c>
      <c r="D481" s="21">
        <v>1</v>
      </c>
      <c r="E481" s="21"/>
      <c r="F481" s="21" t="s">
        <v>10438</v>
      </c>
      <c r="G481" s="21"/>
      <c r="H481" s="54">
        <v>235</v>
      </c>
      <c r="I481" s="51"/>
      <c r="J481" s="27"/>
      <c r="K481" s="27"/>
      <c r="L481" s="15"/>
      <c r="M481" s="15"/>
      <c r="N481" s="4" t="s">
        <v>4544</v>
      </c>
      <c r="O481" s="4"/>
    </row>
    <row r="482" spans="1:15" x14ac:dyDescent="0.2">
      <c r="A482" s="2">
        <v>40007169</v>
      </c>
      <c r="B482" s="2" t="s">
        <v>2436</v>
      </c>
      <c r="C482" s="5" t="s">
        <v>8138</v>
      </c>
      <c r="D482" s="21">
        <v>11</v>
      </c>
      <c r="E482" s="21"/>
      <c r="F482" s="30">
        <v>2</v>
      </c>
      <c r="G482" s="21"/>
      <c r="H482" s="54">
        <v>108</v>
      </c>
      <c r="I482" s="51"/>
      <c r="J482" s="27"/>
      <c r="K482" s="27"/>
      <c r="L482" s="15"/>
      <c r="M482" s="15"/>
      <c r="N482" s="4" t="s">
        <v>4856</v>
      </c>
      <c r="O482" s="4">
        <v>43</v>
      </c>
    </row>
    <row r="483" spans="1:15" x14ac:dyDescent="0.2">
      <c r="A483" s="2">
        <v>40006691</v>
      </c>
      <c r="B483" s="2" t="s">
        <v>2009</v>
      </c>
      <c r="C483" s="5" t="s">
        <v>7718</v>
      </c>
      <c r="D483" s="21">
        <v>4</v>
      </c>
      <c r="E483" s="21"/>
      <c r="F483" s="21" t="s">
        <v>10438</v>
      </c>
      <c r="G483" s="21"/>
      <c r="H483" s="54">
        <v>266</v>
      </c>
      <c r="I483" s="51"/>
      <c r="J483" s="27"/>
      <c r="K483" s="27"/>
      <c r="L483" s="15"/>
      <c r="M483" s="15"/>
      <c r="N483" s="4"/>
      <c r="O483" s="4">
        <v>43</v>
      </c>
    </row>
    <row r="484" spans="1:15" x14ac:dyDescent="0.2">
      <c r="A484" s="2">
        <v>40005475</v>
      </c>
      <c r="B484" s="2" t="s">
        <v>946</v>
      </c>
      <c r="C484" s="5" t="s">
        <v>6668</v>
      </c>
      <c r="D484" s="21">
        <v>1</v>
      </c>
      <c r="E484" s="21"/>
      <c r="F484" s="21" t="s">
        <v>10438</v>
      </c>
      <c r="G484" s="21"/>
      <c r="H484" s="54">
        <v>38</v>
      </c>
      <c r="I484" s="51"/>
      <c r="J484" s="27"/>
      <c r="K484" s="27"/>
      <c r="L484" s="15"/>
      <c r="M484" s="15"/>
      <c r="N484" s="4"/>
      <c r="O484" s="4" t="s">
        <v>10371</v>
      </c>
    </row>
    <row r="485" spans="1:15" x14ac:dyDescent="0.2">
      <c r="A485" s="2">
        <v>40007849</v>
      </c>
      <c r="B485" s="2" t="s">
        <v>3006</v>
      </c>
      <c r="C485" s="5" t="s">
        <v>8707</v>
      </c>
      <c r="D485" s="21">
        <v>7</v>
      </c>
      <c r="E485" s="21"/>
      <c r="F485" s="21" t="s">
        <v>10438</v>
      </c>
      <c r="G485" s="21"/>
      <c r="H485" s="54">
        <v>34</v>
      </c>
      <c r="I485" s="51"/>
      <c r="J485" s="27"/>
      <c r="K485" s="27"/>
      <c r="L485" s="15"/>
      <c r="M485" s="15"/>
      <c r="N485" s="4"/>
      <c r="O485" s="4">
        <v>92</v>
      </c>
    </row>
    <row r="486" spans="1:15" x14ac:dyDescent="0.2">
      <c r="A486" s="2">
        <v>40011411</v>
      </c>
      <c r="B486" s="2" t="s">
        <v>5307</v>
      </c>
      <c r="C486" s="5" t="s">
        <v>9391</v>
      </c>
      <c r="D486" s="21"/>
      <c r="E486" s="21"/>
      <c r="F486" s="21" t="s">
        <v>10438</v>
      </c>
      <c r="G486" s="21"/>
      <c r="H486" s="54">
        <v>138</v>
      </c>
      <c r="I486" s="51"/>
      <c r="J486" s="27"/>
      <c r="K486" s="27"/>
      <c r="L486" s="15"/>
      <c r="M486" s="15"/>
      <c r="N486" s="4" t="s">
        <v>3986</v>
      </c>
      <c r="O486" s="4"/>
    </row>
    <row r="487" spans="1:15" x14ac:dyDescent="0.2">
      <c r="A487" s="2">
        <v>40007355</v>
      </c>
      <c r="B487" s="2" t="s">
        <v>2588</v>
      </c>
      <c r="C487" s="5" t="s">
        <v>8286</v>
      </c>
      <c r="D487" s="21">
        <v>4</v>
      </c>
      <c r="E487" s="21"/>
      <c r="F487" s="21" t="s">
        <v>10438</v>
      </c>
      <c r="G487" s="21"/>
      <c r="H487" s="54">
        <v>775</v>
      </c>
      <c r="I487" s="51"/>
      <c r="J487" s="27"/>
      <c r="K487" s="27"/>
      <c r="L487" s="15"/>
      <c r="M487" s="15"/>
      <c r="N487" s="4"/>
      <c r="O487" s="4">
        <v>74</v>
      </c>
    </row>
    <row r="488" spans="1:15" x14ac:dyDescent="0.2">
      <c r="A488" s="2">
        <v>40007024</v>
      </c>
      <c r="B488" s="2" t="s">
        <v>2305</v>
      </c>
      <c r="C488" s="5" t="s">
        <v>8015</v>
      </c>
      <c r="D488" s="21">
        <v>16</v>
      </c>
      <c r="E488" s="21"/>
      <c r="F488" s="21" t="s">
        <v>10438</v>
      </c>
      <c r="G488" s="21"/>
      <c r="H488" s="54">
        <v>149</v>
      </c>
      <c r="I488" s="51"/>
      <c r="J488" s="27"/>
      <c r="K488" s="27"/>
      <c r="L488" s="15"/>
      <c r="M488" s="15"/>
      <c r="N488" s="4" t="s">
        <v>10028</v>
      </c>
      <c r="O488" s="4">
        <v>21</v>
      </c>
    </row>
    <row r="489" spans="1:15" x14ac:dyDescent="0.2">
      <c r="A489" s="2">
        <v>40007659</v>
      </c>
      <c r="B489" s="7" t="s">
        <v>5401</v>
      </c>
      <c r="C489" s="5" t="s">
        <v>8539</v>
      </c>
      <c r="D489" s="21">
        <v>6</v>
      </c>
      <c r="E489" s="21"/>
      <c r="F489" s="21" t="s">
        <v>10438</v>
      </c>
      <c r="G489" s="21"/>
      <c r="H489" s="54">
        <v>38</v>
      </c>
      <c r="I489" s="51"/>
      <c r="J489" s="27"/>
      <c r="K489" s="27"/>
      <c r="L489" s="15"/>
      <c r="M489" s="15">
        <v>4</v>
      </c>
      <c r="N489" s="4" t="s">
        <v>4924</v>
      </c>
      <c r="O489" s="4"/>
    </row>
    <row r="490" spans="1:15" x14ac:dyDescent="0.2">
      <c r="A490" s="2">
        <v>10018790</v>
      </c>
      <c r="B490" s="2" t="s">
        <v>315</v>
      </c>
      <c r="C490" s="5" t="s">
        <v>5898</v>
      </c>
      <c r="D490" s="21">
        <v>2</v>
      </c>
      <c r="E490" s="21"/>
      <c r="F490" s="21" t="s">
        <v>10438</v>
      </c>
      <c r="G490" s="21"/>
      <c r="H490" s="54">
        <v>408</v>
      </c>
      <c r="I490" s="51"/>
      <c r="J490" s="27"/>
      <c r="K490" s="27"/>
      <c r="L490" s="15"/>
      <c r="M490" s="15"/>
      <c r="N490" s="4"/>
      <c r="O490" s="4">
        <v>64</v>
      </c>
    </row>
    <row r="491" spans="1:15" x14ac:dyDescent="0.2">
      <c r="A491" s="2">
        <v>40007397</v>
      </c>
      <c r="B491" s="2" t="s">
        <v>2623</v>
      </c>
      <c r="C491" s="5" t="s">
        <v>8321</v>
      </c>
      <c r="D491" s="21">
        <v>1</v>
      </c>
      <c r="E491" s="21"/>
      <c r="F491" s="21" t="s">
        <v>10438</v>
      </c>
      <c r="G491" s="21"/>
      <c r="H491" s="54">
        <v>368</v>
      </c>
      <c r="I491" s="51"/>
      <c r="J491" s="27"/>
      <c r="K491" s="27"/>
      <c r="L491" s="15"/>
      <c r="M491" s="15"/>
      <c r="N491" s="4"/>
      <c r="O491" s="4">
        <v>84</v>
      </c>
    </row>
    <row r="492" spans="1:15" x14ac:dyDescent="0.2">
      <c r="A492" s="2">
        <v>40005184</v>
      </c>
      <c r="B492" s="2" t="s">
        <v>728</v>
      </c>
      <c r="C492" s="5" t="s">
        <v>6441</v>
      </c>
      <c r="D492" s="21">
        <v>1</v>
      </c>
      <c r="E492" s="21"/>
      <c r="F492" s="21" t="s">
        <v>10438</v>
      </c>
      <c r="G492" s="21"/>
      <c r="H492" s="54">
        <v>528</v>
      </c>
      <c r="I492" s="51"/>
      <c r="J492" s="27"/>
      <c r="K492" s="27"/>
      <c r="L492" s="15"/>
      <c r="M492" s="15"/>
      <c r="N492" s="4"/>
      <c r="O492" s="4">
        <v>85</v>
      </c>
    </row>
    <row r="493" spans="1:15" x14ac:dyDescent="0.2">
      <c r="A493" s="2">
        <v>40007345</v>
      </c>
      <c r="B493" s="2" t="s">
        <v>2580</v>
      </c>
      <c r="C493" s="5" t="s">
        <v>8277</v>
      </c>
      <c r="D493" s="21">
        <v>1</v>
      </c>
      <c r="E493" s="21"/>
      <c r="F493" s="21" t="s">
        <v>10438</v>
      </c>
      <c r="G493" s="21"/>
      <c r="H493" s="54">
        <v>87</v>
      </c>
      <c r="I493" s="51"/>
      <c r="J493" s="27"/>
      <c r="K493" s="27"/>
      <c r="L493" s="15"/>
      <c r="M493" s="15"/>
      <c r="N493" s="4" t="s">
        <v>4272</v>
      </c>
      <c r="O493" s="4">
        <v>83</v>
      </c>
    </row>
    <row r="494" spans="1:15" x14ac:dyDescent="0.2">
      <c r="A494" s="2">
        <v>40006485</v>
      </c>
      <c r="B494" s="2" t="s">
        <v>1837</v>
      </c>
      <c r="C494" s="5" t="s">
        <v>7545</v>
      </c>
      <c r="D494" s="21">
        <v>3</v>
      </c>
      <c r="E494" s="21"/>
      <c r="F494" s="21" t="s">
        <v>10438</v>
      </c>
      <c r="G494" s="21"/>
      <c r="H494" s="54">
        <v>91</v>
      </c>
      <c r="I494" s="51"/>
      <c r="J494" s="27"/>
      <c r="K494" s="27"/>
      <c r="L494" s="15"/>
      <c r="M494" s="15"/>
      <c r="N494" s="4"/>
      <c r="O494" s="4">
        <v>92</v>
      </c>
    </row>
    <row r="495" spans="1:15" x14ac:dyDescent="0.2">
      <c r="A495" s="2">
        <v>40006208</v>
      </c>
      <c r="B495" s="2" t="s">
        <v>1591</v>
      </c>
      <c r="C495" s="5" t="s">
        <v>7298</v>
      </c>
      <c r="D495" s="21"/>
      <c r="E495" s="21"/>
      <c r="F495" s="21" t="s">
        <v>10438</v>
      </c>
      <c r="G495" s="21"/>
      <c r="H495" s="54">
        <v>107</v>
      </c>
      <c r="I495" s="51"/>
      <c r="J495" s="27"/>
      <c r="K495" s="27"/>
      <c r="L495" s="15">
        <v>2</v>
      </c>
      <c r="M495" s="15"/>
      <c r="N495" s="4" t="s">
        <v>4474</v>
      </c>
      <c r="O495" s="4"/>
    </row>
    <row r="496" spans="1:15" x14ac:dyDescent="0.2">
      <c r="A496" s="2">
        <v>40011561</v>
      </c>
      <c r="B496" s="2" t="s">
        <v>5450</v>
      </c>
      <c r="C496" s="5" t="s">
        <v>9398</v>
      </c>
      <c r="D496" s="21">
        <v>1</v>
      </c>
      <c r="E496" s="21"/>
      <c r="F496" s="21" t="s">
        <v>10438</v>
      </c>
      <c r="G496" s="21"/>
      <c r="H496" s="54">
        <v>109</v>
      </c>
      <c r="I496" s="51"/>
      <c r="J496" s="27"/>
      <c r="K496" s="27"/>
      <c r="L496" s="15"/>
      <c r="M496" s="15"/>
      <c r="N496" s="4"/>
      <c r="O496" s="4">
        <v>65</v>
      </c>
    </row>
    <row r="497" spans="1:15" x14ac:dyDescent="0.2">
      <c r="A497" s="2">
        <v>40005205</v>
      </c>
      <c r="B497" s="2" t="s">
        <v>743</v>
      </c>
      <c r="C497" s="5" t="s">
        <v>6456</v>
      </c>
      <c r="D497" s="21">
        <v>1</v>
      </c>
      <c r="E497" s="21"/>
      <c r="F497" s="21" t="s">
        <v>10438</v>
      </c>
      <c r="G497" s="21"/>
      <c r="H497" s="54">
        <v>147</v>
      </c>
      <c r="I497" s="51"/>
      <c r="J497" s="27"/>
      <c r="K497" s="27"/>
      <c r="L497" s="15"/>
      <c r="M497" s="15"/>
      <c r="N497" s="4"/>
      <c r="O497" s="4">
        <v>74</v>
      </c>
    </row>
    <row r="498" spans="1:15" x14ac:dyDescent="0.2">
      <c r="A498" s="2">
        <v>40010981</v>
      </c>
      <c r="B498" s="2" t="s">
        <v>3591</v>
      </c>
      <c r="C498" s="5" t="s">
        <v>9311</v>
      </c>
      <c r="D498" s="21"/>
      <c r="E498" s="21"/>
      <c r="F498" s="21" t="s">
        <v>10438</v>
      </c>
      <c r="G498" s="21"/>
      <c r="H498" s="54">
        <v>135</v>
      </c>
      <c r="I498" s="51"/>
      <c r="J498" s="27"/>
      <c r="K498" s="27"/>
      <c r="L498" s="15"/>
      <c r="M498" s="15"/>
      <c r="N498" s="4"/>
      <c r="O498" s="4" t="s">
        <v>4813</v>
      </c>
    </row>
    <row r="499" spans="1:15" x14ac:dyDescent="0.2">
      <c r="A499" s="2">
        <v>40011402</v>
      </c>
      <c r="B499" s="2" t="s">
        <v>5409</v>
      </c>
      <c r="C499" s="5" t="s">
        <v>9384</v>
      </c>
      <c r="D499" s="21">
        <v>2</v>
      </c>
      <c r="E499" s="21"/>
      <c r="F499" s="21" t="s">
        <v>10438</v>
      </c>
      <c r="G499" s="21"/>
      <c r="H499" s="54">
        <v>402</v>
      </c>
      <c r="I499" s="51"/>
      <c r="J499" s="27"/>
      <c r="K499" s="27"/>
      <c r="L499" s="15"/>
      <c r="M499" s="15"/>
      <c r="N499" s="4"/>
      <c r="O499" s="4">
        <v>100</v>
      </c>
    </row>
    <row r="500" spans="1:15" x14ac:dyDescent="0.2">
      <c r="A500" s="2">
        <v>40010982</v>
      </c>
      <c r="B500" s="2" t="s">
        <v>3912</v>
      </c>
      <c r="C500" s="5" t="s">
        <v>9312</v>
      </c>
      <c r="D500" s="21"/>
      <c r="E500" s="21"/>
      <c r="F500" s="21" t="s">
        <v>10438</v>
      </c>
      <c r="G500" s="21"/>
      <c r="H500" s="54">
        <v>7</v>
      </c>
      <c r="I500" s="51"/>
      <c r="J500" s="27"/>
      <c r="K500" s="27"/>
      <c r="L500" s="15"/>
      <c r="M500" s="15"/>
      <c r="N500" s="4" t="s">
        <v>5314</v>
      </c>
      <c r="O500" s="4"/>
    </row>
    <row r="501" spans="1:15" x14ac:dyDescent="0.2">
      <c r="A501" s="2">
        <v>40006988</v>
      </c>
      <c r="B501" s="2" t="s">
        <v>2275</v>
      </c>
      <c r="C501" s="5" t="s">
        <v>7983</v>
      </c>
      <c r="D501" s="21">
        <v>2</v>
      </c>
      <c r="E501" s="21"/>
      <c r="F501" s="21" t="s">
        <v>10438</v>
      </c>
      <c r="G501" s="21"/>
      <c r="H501" s="54">
        <v>55</v>
      </c>
      <c r="I501" s="51"/>
      <c r="J501" s="27"/>
      <c r="K501" s="27"/>
      <c r="L501" s="15"/>
      <c r="M501" s="15"/>
      <c r="N501" s="4"/>
      <c r="O501" s="4">
        <v>75</v>
      </c>
    </row>
    <row r="502" spans="1:15" x14ac:dyDescent="0.2">
      <c r="A502" s="2">
        <v>40007364</v>
      </c>
      <c r="B502" s="2" t="s">
        <v>2595</v>
      </c>
      <c r="C502" s="5" t="s">
        <v>8294</v>
      </c>
      <c r="D502" s="21">
        <v>4</v>
      </c>
      <c r="E502" s="21"/>
      <c r="F502" s="21" t="s">
        <v>10438</v>
      </c>
      <c r="G502" s="21"/>
      <c r="H502" s="54">
        <v>144</v>
      </c>
      <c r="I502" s="51"/>
      <c r="J502" s="27"/>
      <c r="K502" s="27"/>
      <c r="L502" s="15"/>
      <c r="M502" s="15"/>
      <c r="N502" s="4" t="s">
        <v>4163</v>
      </c>
      <c r="O502" s="4"/>
    </row>
    <row r="503" spans="1:15" x14ac:dyDescent="0.2">
      <c r="A503" s="2">
        <v>40010263</v>
      </c>
      <c r="B503" s="2" t="s">
        <v>3456</v>
      </c>
      <c r="C503" s="5" t="s">
        <v>9150</v>
      </c>
      <c r="D503" s="21">
        <v>2</v>
      </c>
      <c r="E503" s="21"/>
      <c r="F503" s="21" t="s">
        <v>10438</v>
      </c>
      <c r="G503" s="21"/>
      <c r="H503" s="54">
        <v>130</v>
      </c>
      <c r="I503" s="51"/>
      <c r="J503" s="27"/>
      <c r="K503" s="27"/>
      <c r="L503" s="15"/>
      <c r="M503" s="15"/>
      <c r="N503" s="4" t="s">
        <v>4222</v>
      </c>
      <c r="O503" s="4"/>
    </row>
    <row r="504" spans="1:15" x14ac:dyDescent="0.2">
      <c r="A504" s="2">
        <v>40006486</v>
      </c>
      <c r="B504" s="2" t="s">
        <v>1838</v>
      </c>
      <c r="C504" s="5" t="s">
        <v>7546</v>
      </c>
      <c r="D504" s="21">
        <v>6</v>
      </c>
      <c r="E504" s="21"/>
      <c r="F504" s="21" t="s">
        <v>10438</v>
      </c>
      <c r="G504" s="21"/>
      <c r="H504" s="54">
        <v>92</v>
      </c>
      <c r="I504" s="51"/>
      <c r="J504" s="27"/>
      <c r="K504" s="27"/>
      <c r="L504" s="15"/>
      <c r="M504" s="15"/>
      <c r="N504" s="4" t="s">
        <v>4259</v>
      </c>
      <c r="O504" s="4"/>
    </row>
    <row r="505" spans="1:15" x14ac:dyDescent="0.2">
      <c r="A505" s="2">
        <v>40006582</v>
      </c>
      <c r="B505" s="2" t="s">
        <v>1919</v>
      </c>
      <c r="C505" s="5" t="s">
        <v>7627</v>
      </c>
      <c r="D505" s="21">
        <v>2</v>
      </c>
      <c r="E505" s="21"/>
      <c r="F505" s="21" t="s">
        <v>10438</v>
      </c>
      <c r="G505" s="21"/>
      <c r="H505" s="54">
        <v>70</v>
      </c>
      <c r="I505" s="51"/>
      <c r="J505" s="27"/>
      <c r="K505" s="27"/>
      <c r="L505" s="15"/>
      <c r="M505" s="15"/>
      <c r="N505" s="4"/>
      <c r="O505" s="4" t="s">
        <v>10371</v>
      </c>
    </row>
    <row r="506" spans="1:15" x14ac:dyDescent="0.2">
      <c r="A506" s="2">
        <v>10018974</v>
      </c>
      <c r="B506" s="2" t="s">
        <v>390</v>
      </c>
      <c r="C506" s="5" t="s">
        <v>5987</v>
      </c>
      <c r="D506" s="21">
        <v>5</v>
      </c>
      <c r="E506" s="21"/>
      <c r="F506" s="21" t="s">
        <v>10438</v>
      </c>
      <c r="G506" s="21"/>
      <c r="H506" s="54">
        <v>1346</v>
      </c>
      <c r="I506" s="51"/>
      <c r="J506" s="27"/>
      <c r="K506" s="27"/>
      <c r="L506" s="15"/>
      <c r="M506" s="15">
        <v>5</v>
      </c>
      <c r="N506" s="4">
        <v>84</v>
      </c>
      <c r="O506" s="4"/>
    </row>
    <row r="507" spans="1:15" x14ac:dyDescent="0.2">
      <c r="A507" s="2">
        <v>10019504</v>
      </c>
      <c r="B507" s="2" t="s">
        <v>532</v>
      </c>
      <c r="C507" s="5" t="s">
        <v>6153</v>
      </c>
      <c r="D507" s="21">
        <v>5</v>
      </c>
      <c r="E507" s="21"/>
      <c r="F507" s="21" t="s">
        <v>10438</v>
      </c>
      <c r="G507" s="21"/>
      <c r="H507" s="54">
        <v>2365</v>
      </c>
      <c r="I507" s="51"/>
      <c r="J507" s="27"/>
      <c r="K507" s="27"/>
      <c r="L507" s="15"/>
      <c r="M507" s="15"/>
      <c r="N507" s="4">
        <v>84</v>
      </c>
      <c r="O507" s="4"/>
    </row>
    <row r="508" spans="1:15" x14ac:dyDescent="0.2">
      <c r="A508" s="2">
        <v>40005853</v>
      </c>
      <c r="B508" s="2" t="s">
        <v>1269</v>
      </c>
      <c r="C508" s="5" t="s">
        <v>6980</v>
      </c>
      <c r="D508" s="21">
        <v>16</v>
      </c>
      <c r="E508" s="21"/>
      <c r="F508" s="21" t="s">
        <v>10438</v>
      </c>
      <c r="G508" s="21"/>
      <c r="H508" s="54">
        <v>1678</v>
      </c>
      <c r="I508" s="51"/>
      <c r="J508" s="27"/>
      <c r="K508" s="27"/>
      <c r="L508" s="15"/>
      <c r="M508" s="15"/>
      <c r="N508" s="4">
        <v>86</v>
      </c>
      <c r="O508" s="4">
        <v>107</v>
      </c>
    </row>
    <row r="509" spans="1:15" x14ac:dyDescent="0.2">
      <c r="A509" s="2">
        <v>10018950</v>
      </c>
      <c r="B509" s="2" t="s">
        <v>380</v>
      </c>
      <c r="C509" s="5" t="s">
        <v>5977</v>
      </c>
      <c r="D509" s="21">
        <v>2</v>
      </c>
      <c r="E509" s="21"/>
      <c r="F509" s="21" t="s">
        <v>10438</v>
      </c>
      <c r="G509" s="21"/>
      <c r="H509" s="54">
        <v>1360</v>
      </c>
      <c r="I509" s="51"/>
      <c r="J509" s="27"/>
      <c r="K509" s="27"/>
      <c r="L509" s="15"/>
      <c r="M509" s="15"/>
      <c r="N509" s="4">
        <v>84</v>
      </c>
      <c r="O509" s="4"/>
    </row>
    <row r="510" spans="1:15" x14ac:dyDescent="0.2">
      <c r="A510" s="2">
        <v>10018670</v>
      </c>
      <c r="B510" s="2" t="s">
        <v>263</v>
      </c>
      <c r="C510" s="5" t="s">
        <v>5831</v>
      </c>
      <c r="D510" s="21">
        <v>39</v>
      </c>
      <c r="E510" s="21"/>
      <c r="F510" s="21" t="s">
        <v>10438</v>
      </c>
      <c r="G510" s="21"/>
      <c r="H510" s="54">
        <v>787</v>
      </c>
      <c r="I510" s="51"/>
      <c r="J510" s="27"/>
      <c r="K510" s="27"/>
      <c r="L510" s="15"/>
      <c r="M510" s="15"/>
      <c r="N510" s="4">
        <v>85</v>
      </c>
      <c r="O510" s="4">
        <v>102</v>
      </c>
    </row>
    <row r="511" spans="1:15" x14ac:dyDescent="0.2">
      <c r="A511" s="2">
        <v>10043023</v>
      </c>
      <c r="B511" s="2" t="s">
        <v>5491</v>
      </c>
      <c r="C511" s="5" t="s">
        <v>9446</v>
      </c>
      <c r="D511" s="21">
        <v>26</v>
      </c>
      <c r="E511" s="21"/>
      <c r="F511" s="21" t="s">
        <v>10438</v>
      </c>
      <c r="G511" s="21"/>
      <c r="H511" s="54">
        <v>512</v>
      </c>
      <c r="I511" s="51"/>
      <c r="J511" s="27"/>
      <c r="K511" s="27"/>
      <c r="L511" s="15"/>
      <c r="M511" s="15"/>
      <c r="N511" s="4"/>
      <c r="O511" s="4"/>
    </row>
    <row r="512" spans="1:15" x14ac:dyDescent="0.2">
      <c r="A512" s="2">
        <v>10019044</v>
      </c>
      <c r="B512" s="2" t="s">
        <v>413</v>
      </c>
      <c r="C512" s="5" t="s">
        <v>6017</v>
      </c>
      <c r="D512" s="21"/>
      <c r="E512" s="21"/>
      <c r="F512" s="21" t="s">
        <v>10438</v>
      </c>
      <c r="G512" s="21"/>
      <c r="H512" s="54">
        <v>607</v>
      </c>
      <c r="I512" s="51"/>
      <c r="J512" s="27"/>
      <c r="K512" s="27"/>
      <c r="L512" s="15"/>
      <c r="M512" s="15"/>
      <c r="N512" s="4">
        <v>84</v>
      </c>
      <c r="O512" s="4"/>
    </row>
    <row r="513" spans="1:15" x14ac:dyDescent="0.2">
      <c r="A513" s="2">
        <v>10018960</v>
      </c>
      <c r="B513" s="2" t="s">
        <v>385</v>
      </c>
      <c r="C513" s="5" t="s">
        <v>5982</v>
      </c>
      <c r="D513" s="21">
        <v>14</v>
      </c>
      <c r="E513" s="21"/>
      <c r="F513" s="21" t="s">
        <v>10438</v>
      </c>
      <c r="G513" s="21"/>
      <c r="H513" s="54">
        <v>2547</v>
      </c>
      <c r="I513" s="51"/>
      <c r="J513" s="27"/>
      <c r="K513" s="27"/>
      <c r="L513" s="15"/>
      <c r="M513" s="15"/>
      <c r="N513" s="4">
        <v>85</v>
      </c>
      <c r="O513" s="4"/>
    </row>
    <row r="514" spans="1:15" x14ac:dyDescent="0.2">
      <c r="A514" s="2">
        <v>10018160</v>
      </c>
      <c r="B514" s="2" t="s">
        <v>85</v>
      </c>
      <c r="C514" s="5" t="s">
        <v>5622</v>
      </c>
      <c r="D514" s="21">
        <v>20</v>
      </c>
      <c r="E514" s="21"/>
      <c r="F514" s="21" t="s">
        <v>10438</v>
      </c>
      <c r="G514" s="21"/>
      <c r="H514" s="54">
        <v>1208</v>
      </c>
      <c r="I514" s="51"/>
      <c r="J514" s="27"/>
      <c r="K514" s="27"/>
      <c r="L514" s="15"/>
      <c r="M514" s="15">
        <v>30</v>
      </c>
      <c r="N514" s="4">
        <v>84</v>
      </c>
      <c r="O514" s="4">
        <v>107</v>
      </c>
    </row>
    <row r="515" spans="1:15" x14ac:dyDescent="0.2">
      <c r="A515" s="2">
        <v>10018157</v>
      </c>
      <c r="B515" s="2" t="s">
        <v>83</v>
      </c>
      <c r="C515" s="10" t="s">
        <v>5620</v>
      </c>
      <c r="D515" s="21">
        <v>43</v>
      </c>
      <c r="E515" s="21"/>
      <c r="F515" s="21" t="s">
        <v>10438</v>
      </c>
      <c r="G515" s="21"/>
      <c r="H515" s="54">
        <v>1601</v>
      </c>
      <c r="I515" s="51"/>
      <c r="J515" s="27"/>
      <c r="K515" s="27"/>
      <c r="L515" s="15"/>
      <c r="M515" s="15">
        <v>80</v>
      </c>
      <c r="N515" s="4">
        <v>84</v>
      </c>
      <c r="O515" s="4">
        <v>107</v>
      </c>
    </row>
    <row r="516" spans="1:15" x14ac:dyDescent="0.2">
      <c r="A516" s="2">
        <v>10018638</v>
      </c>
      <c r="B516" s="2" t="s">
        <v>5351</v>
      </c>
      <c r="C516" s="5" t="s">
        <v>5812</v>
      </c>
      <c r="D516" s="21">
        <v>20</v>
      </c>
      <c r="E516" s="21"/>
      <c r="F516" s="21" t="s">
        <v>10438</v>
      </c>
      <c r="G516" s="21"/>
      <c r="H516" s="54">
        <v>2130</v>
      </c>
      <c r="I516" s="51"/>
      <c r="J516" s="27"/>
      <c r="K516" s="27"/>
      <c r="L516" s="15">
        <v>40</v>
      </c>
      <c r="M516" s="15">
        <v>30</v>
      </c>
      <c r="N516" s="4">
        <v>85</v>
      </c>
      <c r="O516" s="4"/>
    </row>
    <row r="517" spans="1:15" x14ac:dyDescent="0.2">
      <c r="A517" s="2">
        <v>10018907</v>
      </c>
      <c r="B517" s="2" t="s">
        <v>3723</v>
      </c>
      <c r="C517" s="5" t="s">
        <v>5953</v>
      </c>
      <c r="D517" s="21">
        <v>30</v>
      </c>
      <c r="E517" s="21"/>
      <c r="F517" s="21" t="s">
        <v>10438</v>
      </c>
      <c r="G517" s="21"/>
      <c r="H517" s="54">
        <v>2546</v>
      </c>
      <c r="I517" s="51"/>
      <c r="J517" s="27"/>
      <c r="K517" s="27"/>
      <c r="L517" s="15"/>
      <c r="M517" s="15">
        <v>20</v>
      </c>
      <c r="N517" s="4">
        <v>86</v>
      </c>
      <c r="O517" s="4"/>
    </row>
    <row r="518" spans="1:15" x14ac:dyDescent="0.2">
      <c r="A518" s="2">
        <v>10018905</v>
      </c>
      <c r="B518" s="2" t="s">
        <v>3744</v>
      </c>
      <c r="C518" s="5" t="s">
        <v>5951</v>
      </c>
      <c r="D518" s="21">
        <v>28</v>
      </c>
      <c r="E518" s="21"/>
      <c r="F518" s="21" t="s">
        <v>10438</v>
      </c>
      <c r="G518" s="21"/>
      <c r="H518" s="54">
        <v>3282</v>
      </c>
      <c r="I518" s="51"/>
      <c r="J518" s="27"/>
      <c r="K518" s="27"/>
      <c r="L518" s="15"/>
      <c r="M518" s="15">
        <v>5</v>
      </c>
      <c r="N518" s="4">
        <v>85</v>
      </c>
      <c r="O518" s="4"/>
    </row>
    <row r="519" spans="1:15" x14ac:dyDescent="0.2">
      <c r="A519" s="2">
        <v>10019470</v>
      </c>
      <c r="B519" s="2" t="s">
        <v>524</v>
      </c>
      <c r="C519" s="5" t="s">
        <v>6144</v>
      </c>
      <c r="D519" s="21">
        <v>1</v>
      </c>
      <c r="E519" s="21"/>
      <c r="F519" s="21" t="s">
        <v>10438</v>
      </c>
      <c r="G519" s="21"/>
      <c r="H519" s="54">
        <v>3125</v>
      </c>
      <c r="I519" s="51"/>
      <c r="J519" s="27"/>
      <c r="K519" s="27"/>
      <c r="L519" s="15"/>
      <c r="M519" s="15"/>
      <c r="N519" s="4"/>
      <c r="O519" s="4" t="s">
        <v>5091</v>
      </c>
    </row>
    <row r="520" spans="1:15" x14ac:dyDescent="0.2">
      <c r="A520" s="2">
        <v>10019148</v>
      </c>
      <c r="B520" s="2" t="s">
        <v>3630</v>
      </c>
      <c r="C520" s="5" t="s">
        <v>6050</v>
      </c>
      <c r="D520" s="21">
        <v>26</v>
      </c>
      <c r="E520" s="21"/>
      <c r="F520" s="21" t="s">
        <v>10438</v>
      </c>
      <c r="G520" s="21"/>
      <c r="H520" s="54">
        <v>1035</v>
      </c>
      <c r="I520" s="51"/>
      <c r="J520" s="27"/>
      <c r="K520" s="27"/>
      <c r="L520" s="15"/>
      <c r="M520" s="15"/>
      <c r="N520" s="4">
        <v>87</v>
      </c>
      <c r="O520" s="4">
        <v>102</v>
      </c>
    </row>
    <row r="521" spans="1:15" x14ac:dyDescent="0.2">
      <c r="A521" s="2">
        <v>10019856</v>
      </c>
      <c r="B521" s="2" t="s">
        <v>601</v>
      </c>
      <c r="C521" s="5" t="s">
        <v>6237</v>
      </c>
      <c r="D521" s="21">
        <v>3</v>
      </c>
      <c r="E521" s="21"/>
      <c r="F521" s="21" t="s">
        <v>10438</v>
      </c>
      <c r="G521" s="21"/>
      <c r="H521" s="54">
        <v>748</v>
      </c>
      <c r="I521" s="51"/>
      <c r="J521" s="27"/>
      <c r="K521" s="27"/>
      <c r="L521" s="15">
        <v>5</v>
      </c>
      <c r="M521" s="15">
        <v>5</v>
      </c>
      <c r="N521" s="4">
        <v>86</v>
      </c>
      <c r="O521" s="4"/>
    </row>
    <row r="522" spans="1:15" x14ac:dyDescent="0.2">
      <c r="A522" s="2">
        <v>40006666</v>
      </c>
      <c r="B522" s="2" t="s">
        <v>1991</v>
      </c>
      <c r="C522" s="5" t="s">
        <v>7700</v>
      </c>
      <c r="D522" s="21">
        <v>10</v>
      </c>
      <c r="E522" s="21"/>
      <c r="F522" s="21" t="s">
        <v>10438</v>
      </c>
      <c r="G522" s="21"/>
      <c r="H522" s="54">
        <v>1816</v>
      </c>
      <c r="I522" s="51"/>
      <c r="J522" s="27"/>
      <c r="K522" s="27"/>
      <c r="L522" s="15"/>
      <c r="M522" s="15"/>
      <c r="N522" s="4"/>
      <c r="O522" s="4" t="s">
        <v>5091</v>
      </c>
    </row>
    <row r="523" spans="1:15" x14ac:dyDescent="0.2">
      <c r="A523" s="2">
        <v>10019213</v>
      </c>
      <c r="B523" s="2" t="s">
        <v>463</v>
      </c>
      <c r="C523" s="5" t="s">
        <v>6073</v>
      </c>
      <c r="D523" s="21">
        <v>5</v>
      </c>
      <c r="E523" s="21"/>
      <c r="F523" s="21" t="s">
        <v>10438</v>
      </c>
      <c r="G523" s="21"/>
      <c r="H523" s="54">
        <v>375</v>
      </c>
      <c r="I523" s="51"/>
      <c r="J523" s="27"/>
      <c r="K523" s="27"/>
      <c r="L523" s="15"/>
      <c r="M523" s="15"/>
      <c r="N523" s="4">
        <v>86</v>
      </c>
      <c r="O523" s="4"/>
    </row>
    <row r="524" spans="1:15" x14ac:dyDescent="0.2">
      <c r="A524" s="2">
        <v>40005453</v>
      </c>
      <c r="B524" s="2" t="s">
        <v>926</v>
      </c>
      <c r="C524" s="5" t="s">
        <v>6648</v>
      </c>
      <c r="D524" s="21">
        <v>1</v>
      </c>
      <c r="E524" s="21"/>
      <c r="F524" s="21" t="s">
        <v>10438</v>
      </c>
      <c r="G524" s="21"/>
      <c r="H524" s="54">
        <v>91</v>
      </c>
      <c r="I524" s="51"/>
      <c r="J524" s="27"/>
      <c r="K524" s="27"/>
      <c r="L524" s="15"/>
      <c r="M524" s="15"/>
      <c r="N524" s="4"/>
      <c r="O524" s="4" t="s">
        <v>10371</v>
      </c>
    </row>
    <row r="525" spans="1:15" x14ac:dyDescent="0.2">
      <c r="A525" s="2">
        <v>40006773</v>
      </c>
      <c r="B525" s="2" t="s">
        <v>2074</v>
      </c>
      <c r="C525" s="5" t="s">
        <v>7786</v>
      </c>
      <c r="D525" s="21">
        <v>3</v>
      </c>
      <c r="E525" s="21"/>
      <c r="F525" s="21" t="s">
        <v>10438</v>
      </c>
      <c r="G525" s="21"/>
      <c r="H525" s="54">
        <v>245</v>
      </c>
      <c r="I525" s="51"/>
      <c r="J525" s="27"/>
      <c r="K525" s="27"/>
      <c r="L525" s="15"/>
      <c r="M525" s="15"/>
      <c r="N525" s="4" t="s">
        <v>4678</v>
      </c>
      <c r="O525" s="4"/>
    </row>
    <row r="526" spans="1:15" x14ac:dyDescent="0.2">
      <c r="A526" s="2">
        <v>10018513</v>
      </c>
      <c r="B526" s="2" t="s">
        <v>197</v>
      </c>
      <c r="C526" s="5" t="s">
        <v>5752</v>
      </c>
      <c r="D526" s="21">
        <v>21</v>
      </c>
      <c r="E526" s="21"/>
      <c r="F526" s="21" t="s">
        <v>10438</v>
      </c>
      <c r="G526" s="21"/>
      <c r="H526" s="54">
        <v>86</v>
      </c>
      <c r="I526" s="51"/>
      <c r="J526" s="27"/>
      <c r="K526" s="27"/>
      <c r="L526" s="15"/>
      <c r="M526" s="15"/>
      <c r="N526" s="4"/>
      <c r="O526" s="4" t="s">
        <v>10319</v>
      </c>
    </row>
    <row r="527" spans="1:15" x14ac:dyDescent="0.2">
      <c r="A527" s="2">
        <v>10018776</v>
      </c>
      <c r="B527" s="2" t="s">
        <v>3724</v>
      </c>
      <c r="C527" s="5" t="s">
        <v>5889</v>
      </c>
      <c r="D527" s="21">
        <v>9</v>
      </c>
      <c r="E527" s="21"/>
      <c r="F527" s="21" t="s">
        <v>10438</v>
      </c>
      <c r="G527" s="21"/>
      <c r="H527" s="54">
        <v>3647</v>
      </c>
      <c r="I527" s="51"/>
      <c r="J527" s="27"/>
      <c r="K527" s="27"/>
      <c r="L527" s="15">
        <v>8</v>
      </c>
      <c r="M527" s="15">
        <v>15</v>
      </c>
      <c r="N527" s="4">
        <v>86</v>
      </c>
      <c r="O527" s="4"/>
    </row>
    <row r="528" spans="1:15" x14ac:dyDescent="0.2">
      <c r="A528" s="2">
        <v>10019621</v>
      </c>
      <c r="B528" s="2" t="s">
        <v>559</v>
      </c>
      <c r="C528" s="5" t="s">
        <v>6186</v>
      </c>
      <c r="D528" s="21">
        <v>2</v>
      </c>
      <c r="E528" s="21"/>
      <c r="F528" s="21" t="s">
        <v>10438</v>
      </c>
      <c r="G528" s="21"/>
      <c r="H528" s="54">
        <v>401</v>
      </c>
      <c r="I528" s="51"/>
      <c r="J528" s="27"/>
      <c r="K528" s="27"/>
      <c r="L528" s="15">
        <v>5</v>
      </c>
      <c r="M528" s="15">
        <v>5</v>
      </c>
      <c r="N528" s="4">
        <v>78</v>
      </c>
      <c r="O528" s="4"/>
    </row>
    <row r="529" spans="1:15" x14ac:dyDescent="0.2">
      <c r="A529" s="2">
        <v>40006017</v>
      </c>
      <c r="B529" s="2" t="s">
        <v>1421</v>
      </c>
      <c r="C529" s="5" t="s">
        <v>7122</v>
      </c>
      <c r="D529" s="21">
        <v>2</v>
      </c>
      <c r="E529" s="21"/>
      <c r="F529" s="21" t="s">
        <v>10438</v>
      </c>
      <c r="G529" s="21"/>
      <c r="H529" s="54">
        <v>79</v>
      </c>
      <c r="I529" s="51"/>
      <c r="J529" s="27"/>
      <c r="K529" s="27"/>
      <c r="L529" s="15"/>
      <c r="M529" s="15"/>
      <c r="N529" s="4" t="s">
        <v>4062</v>
      </c>
      <c r="O529" s="4"/>
    </row>
    <row r="530" spans="1:15" x14ac:dyDescent="0.2">
      <c r="A530" s="2">
        <v>40006794</v>
      </c>
      <c r="B530" s="2" t="s">
        <v>2093</v>
      </c>
      <c r="C530" s="5" t="s">
        <v>7802</v>
      </c>
      <c r="D530" s="21">
        <v>2</v>
      </c>
      <c r="E530" s="21"/>
      <c r="F530" s="21" t="s">
        <v>10438</v>
      </c>
      <c r="G530" s="21"/>
      <c r="H530" s="54">
        <v>5</v>
      </c>
      <c r="I530" s="51"/>
      <c r="J530" s="27"/>
      <c r="K530" s="27"/>
      <c r="L530" s="15"/>
      <c r="M530" s="15"/>
      <c r="N530" s="4" t="s">
        <v>4687</v>
      </c>
      <c r="O530" s="4"/>
    </row>
    <row r="531" spans="1:15" x14ac:dyDescent="0.2">
      <c r="A531" s="2">
        <v>40006787</v>
      </c>
      <c r="B531" s="2" t="s">
        <v>2087</v>
      </c>
      <c r="C531" s="10" t="s">
        <v>10076</v>
      </c>
      <c r="D531" s="21">
        <v>78</v>
      </c>
      <c r="E531" s="21"/>
      <c r="F531" s="30">
        <v>12</v>
      </c>
      <c r="G531" s="21"/>
      <c r="H531" s="54">
        <v>16</v>
      </c>
      <c r="I531" s="51"/>
      <c r="J531" s="27"/>
      <c r="K531" s="27"/>
      <c r="L531" s="15"/>
      <c r="M531" s="15">
        <v>30</v>
      </c>
      <c r="N531" s="4" t="s">
        <v>4019</v>
      </c>
      <c r="O531" s="4"/>
    </row>
    <row r="532" spans="1:15" x14ac:dyDescent="0.2">
      <c r="A532" s="2">
        <v>40007826</v>
      </c>
      <c r="B532" s="2" t="s">
        <v>2988</v>
      </c>
      <c r="C532" s="10" t="s">
        <v>8687</v>
      </c>
      <c r="D532" s="21">
        <v>69</v>
      </c>
      <c r="E532" s="21"/>
      <c r="F532" s="21" t="s">
        <v>10438</v>
      </c>
      <c r="G532" s="21"/>
      <c r="H532" s="54">
        <v>81</v>
      </c>
      <c r="I532" s="51"/>
      <c r="J532" s="27"/>
      <c r="K532" s="27"/>
      <c r="L532" s="15"/>
      <c r="M532" s="15"/>
      <c r="N532" s="4" t="s">
        <v>4794</v>
      </c>
      <c r="O532" s="4"/>
    </row>
    <row r="533" spans="1:15" x14ac:dyDescent="0.2">
      <c r="A533" s="2">
        <v>40005397</v>
      </c>
      <c r="B533" s="2" t="s">
        <v>874</v>
      </c>
      <c r="C533" s="10" t="s">
        <v>6596</v>
      </c>
      <c r="D533" s="21">
        <v>1</v>
      </c>
      <c r="E533" s="21"/>
      <c r="F533" s="21" t="s">
        <v>10438</v>
      </c>
      <c r="G533" s="21"/>
      <c r="H533" s="54">
        <v>62</v>
      </c>
      <c r="I533" s="51"/>
      <c r="J533" s="27"/>
      <c r="K533" s="27"/>
      <c r="L533" s="15"/>
      <c r="M533" s="15"/>
      <c r="N533" s="4" t="s">
        <v>4099</v>
      </c>
      <c r="O533" s="4"/>
    </row>
    <row r="534" spans="1:15" x14ac:dyDescent="0.2">
      <c r="A534" s="2">
        <v>40007973</v>
      </c>
      <c r="B534" s="2" t="s">
        <v>3121</v>
      </c>
      <c r="C534" s="5" t="s">
        <v>8817</v>
      </c>
      <c r="D534" s="21">
        <v>3</v>
      </c>
      <c r="E534" s="21"/>
      <c r="F534" s="21" t="s">
        <v>10438</v>
      </c>
      <c r="G534" s="21"/>
      <c r="H534" s="54">
        <v>21</v>
      </c>
      <c r="I534" s="51"/>
      <c r="J534" s="27"/>
      <c r="K534" s="27"/>
      <c r="L534" s="15"/>
      <c r="M534" s="15"/>
      <c r="N534" s="4" t="s">
        <v>4110</v>
      </c>
      <c r="O534" s="4"/>
    </row>
    <row r="535" spans="1:15" x14ac:dyDescent="0.2">
      <c r="A535" s="2">
        <v>40007808</v>
      </c>
      <c r="B535" s="7" t="s">
        <v>2977</v>
      </c>
      <c r="C535" s="5" t="s">
        <v>8676</v>
      </c>
      <c r="D535" s="21">
        <v>19</v>
      </c>
      <c r="E535" s="21"/>
      <c r="F535" s="30">
        <v>9</v>
      </c>
      <c r="G535" s="21"/>
      <c r="H535" s="54">
        <v>23</v>
      </c>
      <c r="I535" s="51"/>
      <c r="J535" s="27"/>
      <c r="K535" s="27"/>
      <c r="L535" s="15"/>
      <c r="M535" s="15">
        <v>50</v>
      </c>
      <c r="N535" s="4" t="s">
        <v>4126</v>
      </c>
      <c r="O535" s="4"/>
    </row>
    <row r="536" spans="1:15" x14ac:dyDescent="0.2">
      <c r="A536" s="2">
        <v>40007812</v>
      </c>
      <c r="B536" s="7" t="s">
        <v>2980</v>
      </c>
      <c r="C536" s="10" t="s">
        <v>10075</v>
      </c>
      <c r="D536" s="21">
        <v>63</v>
      </c>
      <c r="E536" s="21"/>
      <c r="F536" s="21" t="s">
        <v>10438</v>
      </c>
      <c r="G536" s="21"/>
      <c r="H536" s="54">
        <v>18</v>
      </c>
      <c r="I536" s="51"/>
      <c r="J536" s="27"/>
      <c r="K536" s="27"/>
      <c r="L536" s="15"/>
      <c r="M536" s="15"/>
      <c r="N536" s="4" t="s">
        <v>4679</v>
      </c>
      <c r="O536" s="4"/>
    </row>
    <row r="537" spans="1:15" x14ac:dyDescent="0.2">
      <c r="A537" s="2">
        <v>40006775</v>
      </c>
      <c r="B537" s="2" t="s">
        <v>2075</v>
      </c>
      <c r="C537" s="5" t="s">
        <v>7787</v>
      </c>
      <c r="D537" s="21">
        <v>152</v>
      </c>
      <c r="E537" s="21"/>
      <c r="F537" s="21" t="s">
        <v>10438</v>
      </c>
      <c r="G537" s="21"/>
      <c r="H537" s="54">
        <v>13</v>
      </c>
      <c r="I537" s="51"/>
      <c r="J537" s="27"/>
      <c r="K537" s="27"/>
      <c r="L537" s="15"/>
      <c r="M537" s="15"/>
      <c r="N537" s="4" t="s">
        <v>4122</v>
      </c>
      <c r="O537" s="4"/>
    </row>
    <row r="538" spans="1:15" x14ac:dyDescent="0.2">
      <c r="A538" s="2">
        <v>40007810</v>
      </c>
      <c r="B538" s="2" t="s">
        <v>2978</v>
      </c>
      <c r="C538" s="5" t="s">
        <v>8677</v>
      </c>
      <c r="D538" s="21">
        <v>67</v>
      </c>
      <c r="E538" s="21"/>
      <c r="F538" s="21" t="s">
        <v>10438</v>
      </c>
      <c r="G538" s="21"/>
      <c r="H538" s="54">
        <v>110</v>
      </c>
      <c r="I538" s="51"/>
      <c r="J538" s="27"/>
      <c r="K538" s="27"/>
      <c r="L538" s="15"/>
      <c r="M538" s="15"/>
      <c r="N538" s="4" t="s">
        <v>4039</v>
      </c>
      <c r="O538" s="4"/>
    </row>
    <row r="539" spans="1:15" x14ac:dyDescent="0.2">
      <c r="A539" s="2">
        <v>40006248</v>
      </c>
      <c r="B539" s="2" t="s">
        <v>1625</v>
      </c>
      <c r="C539" s="5" t="s">
        <v>7329</v>
      </c>
      <c r="D539" s="21">
        <v>6</v>
      </c>
      <c r="E539" s="21"/>
      <c r="F539" s="21" t="s">
        <v>10438</v>
      </c>
      <c r="G539" s="21"/>
      <c r="H539" s="54">
        <v>57</v>
      </c>
      <c r="I539" s="51"/>
      <c r="J539" s="27"/>
      <c r="K539" s="27"/>
      <c r="L539" s="15"/>
      <c r="M539" s="15"/>
      <c r="N539" s="4" t="s">
        <v>4039</v>
      </c>
      <c r="O539" s="4"/>
    </row>
    <row r="540" spans="1:15" x14ac:dyDescent="0.2">
      <c r="A540" s="2">
        <v>40007828</v>
      </c>
      <c r="B540" s="2" t="s">
        <v>2989</v>
      </c>
      <c r="C540" s="5" t="s">
        <v>8688</v>
      </c>
      <c r="D540" s="21">
        <v>21</v>
      </c>
      <c r="E540" s="21"/>
      <c r="F540" s="21" t="s">
        <v>10438</v>
      </c>
      <c r="G540" s="21"/>
      <c r="H540" s="54">
        <v>107</v>
      </c>
      <c r="I540" s="51"/>
      <c r="J540" s="27"/>
      <c r="K540" s="27"/>
      <c r="L540" s="15"/>
      <c r="M540" s="15"/>
      <c r="N540" s="4" t="s">
        <v>5089</v>
      </c>
      <c r="O540" s="4"/>
    </row>
    <row r="541" spans="1:15" x14ac:dyDescent="0.2">
      <c r="A541" s="2">
        <v>40008077</v>
      </c>
      <c r="B541" s="2" t="s">
        <v>3207</v>
      </c>
      <c r="C541" s="5" t="s">
        <v>8903</v>
      </c>
      <c r="D541" s="21">
        <v>89</v>
      </c>
      <c r="E541" s="21"/>
      <c r="F541" s="21" t="s">
        <v>10438</v>
      </c>
      <c r="G541" s="21"/>
      <c r="H541" s="54">
        <v>127</v>
      </c>
      <c r="I541" s="51"/>
      <c r="J541" s="27"/>
      <c r="K541" s="27"/>
      <c r="L541" s="15"/>
      <c r="M541" s="15"/>
      <c r="N541" s="4" t="s">
        <v>10444</v>
      </c>
      <c r="O541" s="4"/>
    </row>
    <row r="542" spans="1:15" x14ac:dyDescent="0.2">
      <c r="A542" s="2">
        <v>40007934</v>
      </c>
      <c r="B542" s="2" t="s">
        <v>3087</v>
      </c>
      <c r="C542" s="5" t="s">
        <v>8780</v>
      </c>
      <c r="D542" s="21"/>
      <c r="E542" s="21"/>
      <c r="F542" s="21" t="s">
        <v>10438</v>
      </c>
      <c r="G542" s="21"/>
      <c r="H542" s="54">
        <v>20</v>
      </c>
      <c r="I542" s="51"/>
      <c r="J542" s="27"/>
      <c r="K542" s="27"/>
      <c r="L542" s="15"/>
      <c r="M542" s="15"/>
      <c r="N542" s="4" t="s">
        <v>5137</v>
      </c>
      <c r="O542" s="4"/>
    </row>
    <row r="543" spans="1:15" x14ac:dyDescent="0.2">
      <c r="A543" s="2">
        <v>40007506</v>
      </c>
      <c r="B543" s="2" t="s">
        <v>2714</v>
      </c>
      <c r="C543" s="5" t="s">
        <v>8417</v>
      </c>
      <c r="D543" s="21">
        <v>18</v>
      </c>
      <c r="E543" s="21"/>
      <c r="F543" s="21" t="s">
        <v>10438</v>
      </c>
      <c r="G543" s="21"/>
      <c r="H543" s="54">
        <v>82</v>
      </c>
      <c r="I543" s="51"/>
      <c r="J543" s="27"/>
      <c r="K543" s="27"/>
      <c r="L543" s="15"/>
      <c r="M543" s="15"/>
      <c r="N543" s="4" t="s">
        <v>4983</v>
      </c>
      <c r="O543" s="4"/>
    </row>
    <row r="544" spans="1:15" x14ac:dyDescent="0.2">
      <c r="A544" s="2">
        <v>40007090</v>
      </c>
      <c r="B544" s="2" t="s">
        <v>2363</v>
      </c>
      <c r="C544" s="5" t="s">
        <v>8069</v>
      </c>
      <c r="D544" s="21">
        <v>19</v>
      </c>
      <c r="E544" s="21"/>
      <c r="F544" s="21" t="s">
        <v>10438</v>
      </c>
      <c r="G544" s="21"/>
      <c r="H544" s="54">
        <v>47</v>
      </c>
      <c r="I544" s="51"/>
      <c r="J544" s="27"/>
      <c r="K544" s="27"/>
      <c r="L544" s="15"/>
      <c r="M544" s="15"/>
      <c r="N544" s="4" t="s">
        <v>10715</v>
      </c>
      <c r="O544" s="4"/>
    </row>
    <row r="545" spans="1:15" x14ac:dyDescent="0.2">
      <c r="A545" s="2">
        <v>40008139</v>
      </c>
      <c r="B545" s="2" t="s">
        <v>3262</v>
      </c>
      <c r="C545" s="5" t="s">
        <v>8958</v>
      </c>
      <c r="D545" s="21">
        <v>20</v>
      </c>
      <c r="E545" s="21"/>
      <c r="F545" s="21" t="s">
        <v>10438</v>
      </c>
      <c r="G545" s="21"/>
      <c r="H545" s="54">
        <v>62</v>
      </c>
      <c r="I545" s="51"/>
      <c r="J545" s="27"/>
      <c r="K545" s="27"/>
      <c r="L545" s="15"/>
      <c r="M545" s="15"/>
      <c r="N545" s="4" t="s">
        <v>4371</v>
      </c>
      <c r="O545" s="4"/>
    </row>
    <row r="546" spans="1:15" x14ac:dyDescent="0.2">
      <c r="A546" s="2">
        <v>40005982</v>
      </c>
      <c r="B546" s="2" t="s">
        <v>1387</v>
      </c>
      <c r="C546" s="5" t="s">
        <v>7093</v>
      </c>
      <c r="D546" s="21">
        <v>3</v>
      </c>
      <c r="E546" s="21"/>
      <c r="F546" s="21" t="s">
        <v>10438</v>
      </c>
      <c r="G546" s="21"/>
      <c r="H546" s="54">
        <v>65</v>
      </c>
      <c r="I546" s="51"/>
      <c r="J546" s="27"/>
      <c r="K546" s="27"/>
      <c r="L546" s="15"/>
      <c r="M546" s="15"/>
      <c r="N546" s="4" t="s">
        <v>4350</v>
      </c>
      <c r="O546" s="4"/>
    </row>
    <row r="547" spans="1:15" x14ac:dyDescent="0.2">
      <c r="A547" s="2">
        <v>40005215</v>
      </c>
      <c r="B547" s="2" t="s">
        <v>753</v>
      </c>
      <c r="C547" s="5" t="s">
        <v>6466</v>
      </c>
      <c r="D547" s="21">
        <v>2</v>
      </c>
      <c r="E547" s="21"/>
      <c r="F547" s="21" t="s">
        <v>10438</v>
      </c>
      <c r="G547" s="21"/>
      <c r="H547" s="54">
        <v>72</v>
      </c>
      <c r="I547" s="51"/>
      <c r="J547" s="27"/>
      <c r="K547" s="27"/>
      <c r="L547" s="15"/>
      <c r="M547" s="15"/>
      <c r="N547" s="4" t="s">
        <v>4012</v>
      </c>
      <c r="O547" s="4"/>
    </row>
    <row r="548" spans="1:15" x14ac:dyDescent="0.2">
      <c r="A548" s="2">
        <v>40010269</v>
      </c>
      <c r="B548" s="2" t="s">
        <v>3460</v>
      </c>
      <c r="C548" s="5" t="s">
        <v>9154</v>
      </c>
      <c r="D548" s="21">
        <v>9</v>
      </c>
      <c r="E548" s="21"/>
      <c r="F548" s="21" t="s">
        <v>10438</v>
      </c>
      <c r="G548" s="21"/>
      <c r="H548" s="54">
        <v>66</v>
      </c>
      <c r="I548" s="51"/>
      <c r="J548" s="27"/>
      <c r="K548" s="27"/>
      <c r="L548" s="15"/>
      <c r="M548" s="15"/>
      <c r="N548" s="4" t="s">
        <v>5255</v>
      </c>
      <c r="O548" s="4"/>
    </row>
    <row r="549" spans="1:15" x14ac:dyDescent="0.2">
      <c r="A549" s="2">
        <v>40007269</v>
      </c>
      <c r="B549" s="2" t="s">
        <v>2517</v>
      </c>
      <c r="C549" s="5" t="s">
        <v>8214</v>
      </c>
      <c r="D549" s="21">
        <v>1</v>
      </c>
      <c r="E549" s="21"/>
      <c r="F549" s="21" t="s">
        <v>10438</v>
      </c>
      <c r="G549" s="21"/>
      <c r="H549" s="54">
        <v>50</v>
      </c>
      <c r="I549" s="51"/>
      <c r="J549" s="27"/>
      <c r="K549" s="27"/>
      <c r="L549" s="15"/>
      <c r="M549" s="15"/>
      <c r="N549" s="4" t="s">
        <v>4898</v>
      </c>
      <c r="O549" s="4"/>
    </row>
    <row r="550" spans="1:15" x14ac:dyDescent="0.2">
      <c r="A550" s="2">
        <v>40006974</v>
      </c>
      <c r="B550" s="2" t="s">
        <v>2263</v>
      </c>
      <c r="C550" s="5" t="s">
        <v>7969</v>
      </c>
      <c r="D550" s="21">
        <v>2</v>
      </c>
      <c r="E550" s="21"/>
      <c r="F550" s="21" t="s">
        <v>10438</v>
      </c>
      <c r="G550" s="21"/>
      <c r="H550" s="54">
        <v>67</v>
      </c>
      <c r="I550" s="51"/>
      <c r="J550" s="27"/>
      <c r="K550" s="27"/>
      <c r="L550" s="15"/>
      <c r="M550" s="15"/>
      <c r="N550" s="4" t="s">
        <v>10716</v>
      </c>
      <c r="O550" s="4"/>
    </row>
    <row r="551" spans="1:15" x14ac:dyDescent="0.2">
      <c r="A551" s="2">
        <v>40007650</v>
      </c>
      <c r="B551" s="2" t="s">
        <v>2832</v>
      </c>
      <c r="C551" s="5" t="s">
        <v>8531</v>
      </c>
      <c r="D551" s="21">
        <v>7</v>
      </c>
      <c r="E551" s="21"/>
      <c r="F551" s="21" t="s">
        <v>10438</v>
      </c>
      <c r="G551" s="21"/>
      <c r="H551" s="54">
        <v>113</v>
      </c>
      <c r="I551" s="51"/>
      <c r="J551" s="27"/>
      <c r="K551" s="27"/>
      <c r="L551" s="15"/>
      <c r="M551" s="15"/>
      <c r="N551" s="4" t="s">
        <v>5023</v>
      </c>
      <c r="O551" s="4"/>
    </row>
    <row r="552" spans="1:15" x14ac:dyDescent="0.2">
      <c r="A552" s="2">
        <v>40006915</v>
      </c>
      <c r="B552" s="2" t="s">
        <v>2210</v>
      </c>
      <c r="C552" s="5" t="s">
        <v>7919</v>
      </c>
      <c r="D552" s="21">
        <v>3</v>
      </c>
      <c r="E552" s="21"/>
      <c r="F552" s="21" t="s">
        <v>10438</v>
      </c>
      <c r="G552" s="21"/>
      <c r="H552" s="54">
        <v>59</v>
      </c>
      <c r="I552" s="51"/>
      <c r="J552" s="27"/>
      <c r="K552" s="27"/>
      <c r="L552" s="15"/>
      <c r="M552" s="15"/>
      <c r="N552" s="4" t="s">
        <v>4344</v>
      </c>
      <c r="O552" s="4"/>
    </row>
    <row r="553" spans="1:15" x14ac:dyDescent="0.2">
      <c r="A553" s="2">
        <v>40005310</v>
      </c>
      <c r="B553" s="2" t="s">
        <v>802</v>
      </c>
      <c r="C553" s="5" t="s">
        <v>6519</v>
      </c>
      <c r="D553" s="21">
        <v>3</v>
      </c>
      <c r="E553" s="21"/>
      <c r="F553" s="21" t="s">
        <v>10438</v>
      </c>
      <c r="G553" s="21"/>
      <c r="H553" s="54">
        <v>38.01</v>
      </c>
      <c r="I553" s="51"/>
      <c r="J553" s="27"/>
      <c r="K553" s="27"/>
      <c r="L553" s="15"/>
      <c r="M553" s="15"/>
      <c r="N553" s="4" t="s">
        <v>4043</v>
      </c>
      <c r="O553" s="4"/>
    </row>
    <row r="554" spans="1:15" x14ac:dyDescent="0.2">
      <c r="A554" s="2">
        <v>40005583</v>
      </c>
      <c r="B554" s="2" t="s">
        <v>1032</v>
      </c>
      <c r="C554" s="5" t="s">
        <v>6758</v>
      </c>
      <c r="D554" s="21">
        <v>1</v>
      </c>
      <c r="E554" s="21"/>
      <c r="F554" s="21" t="s">
        <v>10438</v>
      </c>
      <c r="G554" s="21"/>
      <c r="H554" s="54">
        <v>32</v>
      </c>
      <c r="I554" s="51"/>
      <c r="J554" s="27"/>
      <c r="K554" s="27"/>
      <c r="L554" s="15"/>
      <c r="M554" s="15"/>
      <c r="N554" s="4" t="s">
        <v>4158</v>
      </c>
      <c r="O554" s="4"/>
    </row>
    <row r="555" spans="1:15" x14ac:dyDescent="0.2">
      <c r="A555" s="2">
        <v>40010256</v>
      </c>
      <c r="B555" s="2" t="s">
        <v>3450</v>
      </c>
      <c r="C555" s="5" t="s">
        <v>9144</v>
      </c>
      <c r="D555" s="21">
        <v>4</v>
      </c>
      <c r="E555" s="21"/>
      <c r="F555" s="21" t="s">
        <v>10438</v>
      </c>
      <c r="G555" s="21"/>
      <c r="H555" s="54">
        <v>34</v>
      </c>
      <c r="I555" s="51"/>
      <c r="J555" s="27"/>
      <c r="K555" s="27"/>
      <c r="L555" s="15">
        <v>8</v>
      </c>
      <c r="M555" s="15"/>
      <c r="N555" s="4" t="s">
        <v>5253</v>
      </c>
      <c r="O555" s="4"/>
    </row>
    <row r="556" spans="1:15" x14ac:dyDescent="0.2">
      <c r="A556" s="2">
        <v>40007508</v>
      </c>
      <c r="B556" s="2" t="s">
        <v>2716</v>
      </c>
      <c r="C556" s="5" t="s">
        <v>8419</v>
      </c>
      <c r="D556" s="21">
        <v>2</v>
      </c>
      <c r="E556" s="21"/>
      <c r="F556" s="21" t="s">
        <v>10438</v>
      </c>
      <c r="G556" s="21"/>
      <c r="H556" s="54">
        <v>33</v>
      </c>
      <c r="I556" s="51"/>
      <c r="J556" s="27"/>
      <c r="K556" s="27"/>
      <c r="L556" s="15"/>
      <c r="M556" s="15"/>
      <c r="N556" s="4" t="s">
        <v>4791</v>
      </c>
      <c r="O556" s="4"/>
    </row>
    <row r="557" spans="1:15" x14ac:dyDescent="0.2">
      <c r="A557" s="2">
        <v>40006882</v>
      </c>
      <c r="B557" s="2" t="s">
        <v>2177</v>
      </c>
      <c r="C557" s="5" t="s">
        <v>7886</v>
      </c>
      <c r="D557" s="21">
        <v>6</v>
      </c>
      <c r="E557" s="21"/>
      <c r="F557" s="21" t="s">
        <v>10438</v>
      </c>
      <c r="G557" s="21"/>
      <c r="H557" s="54">
        <v>24</v>
      </c>
      <c r="I557" s="51"/>
      <c r="J557" s="27"/>
      <c r="K557" s="27"/>
      <c r="L557" s="15"/>
      <c r="M557" s="15"/>
      <c r="N557" s="4"/>
      <c r="O557" s="4" t="s">
        <v>10213</v>
      </c>
    </row>
    <row r="558" spans="1:15" x14ac:dyDescent="0.2">
      <c r="A558" s="2">
        <v>40005325</v>
      </c>
      <c r="B558" s="2" t="s">
        <v>814</v>
      </c>
      <c r="C558" s="5" t="s">
        <v>6531</v>
      </c>
      <c r="D558" s="21">
        <v>4</v>
      </c>
      <c r="E558" s="21"/>
      <c r="F558" s="21" t="s">
        <v>10438</v>
      </c>
      <c r="G558" s="21"/>
      <c r="H558" s="54">
        <v>38</v>
      </c>
      <c r="I558" s="51"/>
      <c r="J558" s="27"/>
      <c r="K558" s="27"/>
      <c r="L558" s="15"/>
      <c r="M558" s="15"/>
      <c r="N558" s="4" t="s">
        <v>4053</v>
      </c>
      <c r="O558" s="4"/>
    </row>
    <row r="559" spans="1:15" x14ac:dyDescent="0.2">
      <c r="A559" s="2">
        <v>40006558</v>
      </c>
      <c r="B559" s="2" t="s">
        <v>1898</v>
      </c>
      <c r="C559" s="5" t="s">
        <v>7606</v>
      </c>
      <c r="D559" s="21">
        <v>7</v>
      </c>
      <c r="E559" s="21"/>
      <c r="F559" s="21" t="s">
        <v>10438</v>
      </c>
      <c r="G559" s="21"/>
      <c r="H559" s="54">
        <v>127</v>
      </c>
      <c r="I559" s="51"/>
      <c r="J559" s="27"/>
      <c r="K559" s="27"/>
      <c r="L559" s="15"/>
      <c r="M559" s="15"/>
      <c r="N559" s="4"/>
      <c r="O559" s="4" t="s">
        <v>10371</v>
      </c>
    </row>
    <row r="560" spans="1:15" x14ac:dyDescent="0.2">
      <c r="A560" s="2">
        <v>40007629</v>
      </c>
      <c r="B560" s="2" t="s">
        <v>2816</v>
      </c>
      <c r="C560" s="5" t="s">
        <v>8516</v>
      </c>
      <c r="D560" s="21">
        <v>1</v>
      </c>
      <c r="E560" s="21"/>
      <c r="F560" s="21" t="s">
        <v>10438</v>
      </c>
      <c r="G560" s="21"/>
      <c r="H560" s="54">
        <v>912</v>
      </c>
      <c r="I560" s="51"/>
      <c r="J560" s="27"/>
      <c r="K560" s="27"/>
      <c r="L560" s="15"/>
      <c r="M560" s="15"/>
      <c r="N560" s="4"/>
      <c r="O560" s="4" t="s">
        <v>10184</v>
      </c>
    </row>
    <row r="561" spans="1:15" x14ac:dyDescent="0.2">
      <c r="A561" s="2">
        <v>40006464</v>
      </c>
      <c r="B561" s="2" t="s">
        <v>1818</v>
      </c>
      <c r="C561" s="5" t="s">
        <v>7526</v>
      </c>
      <c r="D561" s="21">
        <v>1</v>
      </c>
      <c r="E561" s="21"/>
      <c r="F561" s="21" t="s">
        <v>10438</v>
      </c>
      <c r="G561" s="21"/>
      <c r="H561" s="54">
        <v>18</v>
      </c>
      <c r="I561" s="51"/>
      <c r="J561" s="27"/>
      <c r="K561" s="27"/>
      <c r="L561" s="15"/>
      <c r="M561" s="15"/>
      <c r="N561" s="4" t="s">
        <v>4609</v>
      </c>
      <c r="O561" s="4"/>
    </row>
    <row r="562" spans="1:15" x14ac:dyDescent="0.2">
      <c r="A562" s="2">
        <v>40006588</v>
      </c>
      <c r="B562" s="2" t="s">
        <v>1925</v>
      </c>
      <c r="C562" s="5" t="s">
        <v>7633</v>
      </c>
      <c r="D562" s="21">
        <v>2</v>
      </c>
      <c r="E562" s="21"/>
      <c r="F562" s="21" t="s">
        <v>10438</v>
      </c>
      <c r="G562" s="21"/>
      <c r="H562" s="54">
        <v>117</v>
      </c>
      <c r="I562" s="51"/>
      <c r="J562" s="27"/>
      <c r="K562" s="27"/>
      <c r="L562" s="15"/>
      <c r="M562" s="15"/>
      <c r="N562" s="4"/>
      <c r="O562" s="4" t="s">
        <v>10371</v>
      </c>
    </row>
    <row r="563" spans="1:15" x14ac:dyDescent="0.2">
      <c r="A563" s="2">
        <v>40005214</v>
      </c>
      <c r="B563" s="2" t="s">
        <v>752</v>
      </c>
      <c r="C563" s="5" t="s">
        <v>6465</v>
      </c>
      <c r="D563" s="21">
        <v>2</v>
      </c>
      <c r="E563" s="21"/>
      <c r="F563" s="21" t="s">
        <v>10438</v>
      </c>
      <c r="G563" s="21"/>
      <c r="H563" s="54">
        <v>82</v>
      </c>
      <c r="I563" s="51"/>
      <c r="J563" s="27"/>
      <c r="K563" s="27"/>
      <c r="L563" s="15"/>
      <c r="M563" s="15"/>
      <c r="N563" s="4" t="s">
        <v>4008</v>
      </c>
      <c r="O563" s="4"/>
    </row>
    <row r="564" spans="1:15" x14ac:dyDescent="0.2">
      <c r="A564" s="2">
        <v>40006826</v>
      </c>
      <c r="B564" s="2" t="s">
        <v>2125</v>
      </c>
      <c r="C564" s="5" t="s">
        <v>7833</v>
      </c>
      <c r="D564" s="21">
        <v>5</v>
      </c>
      <c r="E564" s="21"/>
      <c r="F564" s="21" t="s">
        <v>10438</v>
      </c>
      <c r="G564" s="21"/>
      <c r="H564" s="54">
        <v>190</v>
      </c>
      <c r="I564" s="51"/>
      <c r="J564" s="27"/>
      <c r="K564" s="27"/>
      <c r="L564" s="15"/>
      <c r="M564" s="15"/>
      <c r="N564" s="4" t="s">
        <v>4699</v>
      </c>
      <c r="O564" s="4"/>
    </row>
    <row r="565" spans="1:15" x14ac:dyDescent="0.2">
      <c r="A565" s="2">
        <v>40005452</v>
      </c>
      <c r="B565" s="2" t="s">
        <v>925</v>
      </c>
      <c r="C565" s="10" t="s">
        <v>6647</v>
      </c>
      <c r="D565" s="21">
        <v>4</v>
      </c>
      <c r="E565" s="21"/>
      <c r="F565" s="21" t="s">
        <v>10438</v>
      </c>
      <c r="G565" s="21"/>
      <c r="H565" s="54">
        <v>120</v>
      </c>
      <c r="I565" s="51"/>
      <c r="J565" s="27"/>
      <c r="K565" s="27"/>
      <c r="L565" s="15"/>
      <c r="M565" s="15"/>
      <c r="N565" s="4" t="s">
        <v>4677</v>
      </c>
      <c r="O565" s="4"/>
    </row>
    <row r="566" spans="1:15" x14ac:dyDescent="0.2">
      <c r="A566" s="2">
        <v>40006835</v>
      </c>
      <c r="B566" s="2" t="s">
        <v>3813</v>
      </c>
      <c r="C566" s="5" t="s">
        <v>7842</v>
      </c>
      <c r="D566" s="21">
        <v>3</v>
      </c>
      <c r="E566" s="21"/>
      <c r="F566" s="21" t="s">
        <v>10438</v>
      </c>
      <c r="G566" s="21"/>
      <c r="H566" s="54">
        <v>74</v>
      </c>
      <c r="I566" s="51"/>
      <c r="J566" s="27"/>
      <c r="K566" s="27"/>
      <c r="L566" s="15"/>
      <c r="M566" s="15"/>
      <c r="N566" s="4" t="s">
        <v>4705</v>
      </c>
      <c r="O566" s="4"/>
    </row>
    <row r="567" spans="1:15" x14ac:dyDescent="0.2">
      <c r="A567" s="2">
        <v>40006869</v>
      </c>
      <c r="B567" s="2" t="s">
        <v>2165</v>
      </c>
      <c r="C567" s="5" t="s">
        <v>7874</v>
      </c>
      <c r="D567" s="21">
        <v>2</v>
      </c>
      <c r="E567" s="21"/>
      <c r="F567" s="21" t="s">
        <v>10438</v>
      </c>
      <c r="G567" s="21"/>
      <c r="H567" s="54">
        <v>67</v>
      </c>
      <c r="I567" s="51"/>
      <c r="J567" s="27"/>
      <c r="K567" s="27"/>
      <c r="L567" s="15"/>
      <c r="M567" s="15">
        <v>4</v>
      </c>
      <c r="N567" s="4" t="s">
        <v>4723</v>
      </c>
      <c r="O567" s="4"/>
    </row>
    <row r="568" spans="1:15" x14ac:dyDescent="0.2">
      <c r="A568" s="2">
        <v>40010404</v>
      </c>
      <c r="B568" s="2" t="s">
        <v>3541</v>
      </c>
      <c r="C568" s="5" t="s">
        <v>9245</v>
      </c>
      <c r="D568" s="21"/>
      <c r="E568" s="21"/>
      <c r="F568" s="21" t="s">
        <v>10438</v>
      </c>
      <c r="G568" s="21"/>
      <c r="H568" s="54">
        <v>23</v>
      </c>
      <c r="I568" s="51"/>
      <c r="J568" s="27"/>
      <c r="K568" s="27"/>
      <c r="L568" s="15">
        <v>3</v>
      </c>
      <c r="M568" s="15"/>
      <c r="N568" s="4" t="s">
        <v>4521</v>
      </c>
      <c r="O568" s="4"/>
    </row>
    <row r="569" spans="1:15" x14ac:dyDescent="0.2">
      <c r="A569" s="2">
        <v>40006743</v>
      </c>
      <c r="B569" s="2" t="s">
        <v>2048</v>
      </c>
      <c r="C569" s="5" t="s">
        <v>7758</v>
      </c>
      <c r="D569" s="21">
        <v>6</v>
      </c>
      <c r="E569" s="21"/>
      <c r="F569" s="21" t="s">
        <v>10438</v>
      </c>
      <c r="G569" s="21"/>
      <c r="H569" s="54">
        <v>107</v>
      </c>
      <c r="I569" s="51"/>
      <c r="J569" s="27"/>
      <c r="K569" s="27"/>
      <c r="L569" s="15"/>
      <c r="M569" s="15"/>
      <c r="N569" s="4" t="s">
        <v>4663</v>
      </c>
      <c r="O569" s="4"/>
    </row>
    <row r="570" spans="1:15" x14ac:dyDescent="0.2">
      <c r="A570" s="2">
        <v>40010282</v>
      </c>
      <c r="B570" s="2" t="s">
        <v>3473</v>
      </c>
      <c r="C570" s="5" t="s">
        <v>9167</v>
      </c>
      <c r="D570" s="21">
        <v>2</v>
      </c>
      <c r="E570" s="21"/>
      <c r="F570" s="21" t="s">
        <v>10438</v>
      </c>
      <c r="G570" s="21"/>
      <c r="H570" s="54">
        <v>593</v>
      </c>
      <c r="I570" s="51"/>
      <c r="J570" s="27"/>
      <c r="K570" s="27"/>
      <c r="L570" s="15"/>
      <c r="M570" s="15"/>
      <c r="N570" s="4" t="s">
        <v>5258</v>
      </c>
      <c r="O570" s="4"/>
    </row>
    <row r="571" spans="1:15" x14ac:dyDescent="0.2">
      <c r="A571" s="2">
        <v>40005380</v>
      </c>
      <c r="B571" s="2" t="s">
        <v>858</v>
      </c>
      <c r="C571" s="5" t="s">
        <v>6580</v>
      </c>
      <c r="D571" s="21">
        <v>1</v>
      </c>
      <c r="E571" s="21"/>
      <c r="F571" s="21" t="s">
        <v>10438</v>
      </c>
      <c r="G571" s="21"/>
      <c r="H571" s="54">
        <v>62</v>
      </c>
      <c r="I571" s="51"/>
      <c r="J571" s="27"/>
      <c r="K571" s="27"/>
      <c r="L571" s="15"/>
      <c r="M571" s="15"/>
      <c r="N571" s="4" t="s">
        <v>4086</v>
      </c>
      <c r="O571" s="4"/>
    </row>
    <row r="572" spans="1:15" x14ac:dyDescent="0.2">
      <c r="A572" s="2">
        <v>40005880</v>
      </c>
      <c r="B572" s="2" t="s">
        <v>1296</v>
      </c>
      <c r="C572" s="5" t="s">
        <v>7006</v>
      </c>
      <c r="D572" s="21">
        <v>9</v>
      </c>
      <c r="E572" s="21"/>
      <c r="F572" s="21" t="s">
        <v>10438</v>
      </c>
      <c r="G572" s="21"/>
      <c r="H572" s="54">
        <v>27</v>
      </c>
      <c r="I572" s="51"/>
      <c r="J572" s="27"/>
      <c r="K572" s="27"/>
      <c r="L572" s="15"/>
      <c r="M572" s="15"/>
      <c r="N572" s="4"/>
      <c r="O572" s="4" t="s">
        <v>10217</v>
      </c>
    </row>
    <row r="573" spans="1:15" x14ac:dyDescent="0.2">
      <c r="A573" s="2">
        <v>40005806</v>
      </c>
      <c r="B573" s="2" t="s">
        <v>1228</v>
      </c>
      <c r="C573" s="5" t="s">
        <v>6941</v>
      </c>
      <c r="D573" s="21">
        <v>9</v>
      </c>
      <c r="E573" s="21"/>
      <c r="F573" s="21" t="s">
        <v>10438</v>
      </c>
      <c r="G573" s="21"/>
      <c r="H573" s="54">
        <v>30</v>
      </c>
      <c r="I573" s="51"/>
      <c r="J573" s="27"/>
      <c r="K573" s="27"/>
      <c r="L573" s="15"/>
      <c r="M573" s="15"/>
      <c r="N573" s="4"/>
      <c r="O573" s="4" t="s">
        <v>10314</v>
      </c>
    </row>
    <row r="574" spans="1:15" x14ac:dyDescent="0.2">
      <c r="A574" s="2">
        <v>40005878</v>
      </c>
      <c r="B574" s="2" t="s">
        <v>1294</v>
      </c>
      <c r="C574" s="5" t="s">
        <v>7004</v>
      </c>
      <c r="D574" s="21">
        <v>7</v>
      </c>
      <c r="E574" s="21"/>
      <c r="F574" s="21" t="s">
        <v>10438</v>
      </c>
      <c r="G574" s="21"/>
      <c r="H574" s="54">
        <v>22</v>
      </c>
      <c r="I574" s="51"/>
      <c r="J574" s="27"/>
      <c r="K574" s="27"/>
      <c r="L574" s="15"/>
      <c r="M574" s="15"/>
      <c r="N574" s="4"/>
      <c r="O574" s="4" t="s">
        <v>10182</v>
      </c>
    </row>
    <row r="575" spans="1:15" x14ac:dyDescent="0.2">
      <c r="A575" s="2">
        <v>40007635</v>
      </c>
      <c r="B575" s="2" t="s">
        <v>2822</v>
      </c>
      <c r="C575" s="5" t="s">
        <v>8521</v>
      </c>
      <c r="D575" s="21">
        <v>13</v>
      </c>
      <c r="E575" s="21"/>
      <c r="F575" s="21" t="s">
        <v>10438</v>
      </c>
      <c r="G575" s="21"/>
      <c r="H575" s="54">
        <v>33</v>
      </c>
      <c r="I575" s="51"/>
      <c r="J575" s="27"/>
      <c r="K575" s="27"/>
      <c r="L575" s="15"/>
      <c r="M575" s="15"/>
      <c r="N575" s="4" t="s">
        <v>3998</v>
      </c>
      <c r="O575" s="4"/>
    </row>
    <row r="576" spans="1:15" x14ac:dyDescent="0.2">
      <c r="A576" s="2">
        <v>40005879</v>
      </c>
      <c r="B576" s="2" t="s">
        <v>1295</v>
      </c>
      <c r="C576" s="5" t="s">
        <v>7005</v>
      </c>
      <c r="D576" s="21">
        <v>17</v>
      </c>
      <c r="E576" s="21"/>
      <c r="F576" s="21" t="s">
        <v>10438</v>
      </c>
      <c r="G576" s="21"/>
      <c r="H576" s="54">
        <v>19</v>
      </c>
      <c r="I576" s="51"/>
      <c r="J576" s="27"/>
      <c r="K576" s="27"/>
      <c r="L576" s="15"/>
      <c r="M576" s="15"/>
      <c r="N576" s="4" t="s">
        <v>4302</v>
      </c>
      <c r="O576" s="4" t="s">
        <v>10164</v>
      </c>
    </row>
    <row r="577" spans="1:15" x14ac:dyDescent="0.2">
      <c r="A577" s="2">
        <v>40011240</v>
      </c>
      <c r="B577" s="2" t="s">
        <v>3867</v>
      </c>
      <c r="C577" s="5" t="s">
        <v>9367</v>
      </c>
      <c r="D577" s="21">
        <v>1</v>
      </c>
      <c r="E577" s="21"/>
      <c r="F577" s="21" t="s">
        <v>10438</v>
      </c>
      <c r="G577" s="21"/>
      <c r="H577" s="54">
        <v>49</v>
      </c>
      <c r="I577" s="51"/>
      <c r="J577" s="27"/>
      <c r="K577" s="27"/>
      <c r="L577" s="15"/>
      <c r="M577" s="15"/>
      <c r="N577" s="4" t="s">
        <v>5288</v>
      </c>
      <c r="O577" s="4"/>
    </row>
    <row r="578" spans="1:15" x14ac:dyDescent="0.2">
      <c r="A578" s="2">
        <v>40008230</v>
      </c>
      <c r="B578" s="2" t="s">
        <v>3349</v>
      </c>
      <c r="C578" s="5" t="s">
        <v>9041</v>
      </c>
      <c r="D578" s="21">
        <v>6</v>
      </c>
      <c r="E578" s="21"/>
      <c r="F578" s="21" t="s">
        <v>10438</v>
      </c>
      <c r="G578" s="21"/>
      <c r="H578" s="54">
        <v>118</v>
      </c>
      <c r="I578" s="51"/>
      <c r="J578" s="27"/>
      <c r="K578" s="27"/>
      <c r="L578" s="15"/>
      <c r="M578" s="15"/>
      <c r="N578" s="4"/>
      <c r="O578" s="4" t="s">
        <v>10200</v>
      </c>
    </row>
    <row r="579" spans="1:15" x14ac:dyDescent="0.2">
      <c r="A579" s="2">
        <v>40006903</v>
      </c>
      <c r="B579" s="2" t="s">
        <v>2198</v>
      </c>
      <c r="C579" s="5" t="s">
        <v>7907</v>
      </c>
      <c r="D579" s="21">
        <v>2</v>
      </c>
      <c r="E579" s="21"/>
      <c r="F579" s="21" t="s">
        <v>10438</v>
      </c>
      <c r="G579" s="21"/>
      <c r="H579" s="54">
        <v>129</v>
      </c>
      <c r="I579" s="51"/>
      <c r="J579" s="27"/>
      <c r="K579" s="27"/>
      <c r="L579" s="15"/>
      <c r="M579" s="15"/>
      <c r="N579" s="4" t="s">
        <v>4240</v>
      </c>
      <c r="O579" s="4"/>
    </row>
    <row r="580" spans="1:15" x14ac:dyDescent="0.2">
      <c r="A580" s="2">
        <v>40005609</v>
      </c>
      <c r="B580" s="2" t="s">
        <v>1053</v>
      </c>
      <c r="C580" s="5" t="s">
        <v>6781</v>
      </c>
      <c r="D580" s="21">
        <v>3</v>
      </c>
      <c r="E580" s="21"/>
      <c r="F580" s="21" t="s">
        <v>10438</v>
      </c>
      <c r="G580" s="21"/>
      <c r="H580" s="54">
        <v>25</v>
      </c>
      <c r="I580" s="51"/>
      <c r="J580" s="27"/>
      <c r="K580" s="27"/>
      <c r="L580" s="15"/>
      <c r="M580" s="15"/>
      <c r="N580" s="4"/>
      <c r="O580" s="4">
        <v>78</v>
      </c>
    </row>
    <row r="581" spans="1:15" x14ac:dyDescent="0.2">
      <c r="A581" s="2">
        <v>40005594</v>
      </c>
      <c r="B581" s="2" t="s">
        <v>3752</v>
      </c>
      <c r="C581" s="5" t="s">
        <v>6768</v>
      </c>
      <c r="D581" s="21"/>
      <c r="E581" s="21"/>
      <c r="F581" s="21" t="s">
        <v>10438</v>
      </c>
      <c r="G581" s="21"/>
      <c r="H581" s="54">
        <v>192</v>
      </c>
      <c r="I581" s="51"/>
      <c r="J581" s="27"/>
      <c r="K581" s="27"/>
      <c r="L581" s="15"/>
      <c r="M581" s="15"/>
      <c r="N581" s="4" t="s">
        <v>4163</v>
      </c>
      <c r="O581" s="4" t="s">
        <v>10320</v>
      </c>
    </row>
    <row r="582" spans="1:15" x14ac:dyDescent="0.2">
      <c r="A582" s="2">
        <v>40008036</v>
      </c>
      <c r="B582" s="2" t="s">
        <v>3175</v>
      </c>
      <c r="C582" s="5" t="s">
        <v>8868</v>
      </c>
      <c r="D582" s="21">
        <v>8</v>
      </c>
      <c r="E582" s="21"/>
      <c r="F582" s="21" t="s">
        <v>10438</v>
      </c>
      <c r="G582" s="21"/>
      <c r="H582" s="54">
        <v>113</v>
      </c>
      <c r="I582" s="51"/>
      <c r="J582" s="27"/>
      <c r="K582" s="27"/>
      <c r="L582" s="15"/>
      <c r="M582" s="15"/>
      <c r="N582" s="4"/>
      <c r="O582" s="4">
        <v>43</v>
      </c>
    </row>
    <row r="583" spans="1:15" x14ac:dyDescent="0.2">
      <c r="A583" s="2">
        <v>40007562</v>
      </c>
      <c r="B583" s="2" t="s">
        <v>2761</v>
      </c>
      <c r="C583" s="5" t="s">
        <v>8462</v>
      </c>
      <c r="D583" s="21"/>
      <c r="E583" s="21"/>
      <c r="F583" s="21" t="s">
        <v>10438</v>
      </c>
      <c r="G583" s="21"/>
      <c r="H583" s="54">
        <v>80</v>
      </c>
      <c r="I583" s="51"/>
      <c r="J583" s="27"/>
      <c r="K583" s="27"/>
      <c r="L583" s="15"/>
      <c r="M583" s="15"/>
      <c r="N583" s="4" t="s">
        <v>4999</v>
      </c>
      <c r="O583" s="4"/>
    </row>
    <row r="584" spans="1:15" x14ac:dyDescent="0.2">
      <c r="A584" s="2">
        <v>40006000</v>
      </c>
      <c r="B584" s="2" t="s">
        <v>1405</v>
      </c>
      <c r="C584" s="5" t="s">
        <v>7111</v>
      </c>
      <c r="D584" s="21">
        <v>1</v>
      </c>
      <c r="E584" s="21"/>
      <c r="F584" s="30">
        <v>1</v>
      </c>
      <c r="G584" s="21"/>
      <c r="H584" s="54">
        <v>20</v>
      </c>
      <c r="I584" s="51"/>
      <c r="J584" s="27"/>
      <c r="K584" s="27"/>
      <c r="L584" s="15">
        <v>1</v>
      </c>
      <c r="M584" s="15"/>
      <c r="N584" s="4" t="s">
        <v>4362</v>
      </c>
      <c r="O584" s="4"/>
    </row>
    <row r="585" spans="1:15" x14ac:dyDescent="0.2">
      <c r="A585" s="2">
        <v>40005981</v>
      </c>
      <c r="B585" s="2" t="s">
        <v>1386</v>
      </c>
      <c r="C585" s="5" t="s">
        <v>7092</v>
      </c>
      <c r="D585" s="21">
        <v>2</v>
      </c>
      <c r="E585" s="21"/>
      <c r="F585" s="21" t="s">
        <v>10438</v>
      </c>
      <c r="G585" s="21"/>
      <c r="H585" s="54">
        <v>7</v>
      </c>
      <c r="I585" s="51"/>
      <c r="J585" s="27"/>
      <c r="K585" s="27"/>
      <c r="L585" s="15"/>
      <c r="M585" s="15"/>
      <c r="N585" s="4" t="s">
        <v>4349</v>
      </c>
      <c r="O585" s="4"/>
    </row>
    <row r="586" spans="1:15" x14ac:dyDescent="0.2">
      <c r="A586" s="2">
        <v>40010957</v>
      </c>
      <c r="B586" s="2" t="s">
        <v>3576</v>
      </c>
      <c r="C586" s="5" t="s">
        <v>9296</v>
      </c>
      <c r="D586" s="21">
        <v>5</v>
      </c>
      <c r="E586" s="21"/>
      <c r="F586" s="21" t="s">
        <v>10438</v>
      </c>
      <c r="G586" s="21"/>
      <c r="H586" s="54">
        <v>27</v>
      </c>
      <c r="I586" s="51"/>
      <c r="J586" s="27"/>
      <c r="K586" s="27"/>
      <c r="L586" s="15"/>
      <c r="M586" s="15"/>
      <c r="N586" s="4" t="s">
        <v>4493</v>
      </c>
      <c r="O586" s="4"/>
    </row>
    <row r="587" spans="1:15" x14ac:dyDescent="0.2">
      <c r="A587" s="2">
        <v>40005311</v>
      </c>
      <c r="B587" s="2" t="s">
        <v>803</v>
      </c>
      <c r="C587" s="5" t="s">
        <v>6520</v>
      </c>
      <c r="D587" s="21">
        <v>1</v>
      </c>
      <c r="E587" s="21"/>
      <c r="F587" s="21" t="s">
        <v>10438</v>
      </c>
      <c r="G587" s="21"/>
      <c r="H587" s="54">
        <v>15.99</v>
      </c>
      <c r="I587" s="51"/>
      <c r="J587" s="27"/>
      <c r="K587" s="27"/>
      <c r="L587" s="15"/>
      <c r="M587" s="15"/>
      <c r="N587" s="4" t="s">
        <v>4044</v>
      </c>
      <c r="O587" s="4"/>
    </row>
    <row r="588" spans="1:15" x14ac:dyDescent="0.2">
      <c r="A588" s="2">
        <v>40007016</v>
      </c>
      <c r="B588" s="2" t="s">
        <v>2298</v>
      </c>
      <c r="C588" s="5" t="s">
        <v>8007</v>
      </c>
      <c r="D588" s="21">
        <v>34</v>
      </c>
      <c r="E588" s="21"/>
      <c r="F588" s="21" t="s">
        <v>10438</v>
      </c>
      <c r="G588" s="21"/>
      <c r="H588" s="54">
        <v>4</v>
      </c>
      <c r="I588" s="51"/>
      <c r="J588" s="27"/>
      <c r="K588" s="27"/>
      <c r="L588" s="15"/>
      <c r="M588" s="15"/>
      <c r="N588" s="4" t="s">
        <v>4791</v>
      </c>
      <c r="O588" s="4"/>
    </row>
    <row r="589" spans="1:15" x14ac:dyDescent="0.2">
      <c r="A589" s="2">
        <v>40005584</v>
      </c>
      <c r="B589" s="2" t="s">
        <v>1033</v>
      </c>
      <c r="C589" s="5" t="s">
        <v>6759</v>
      </c>
      <c r="D589" s="21">
        <v>16</v>
      </c>
      <c r="E589" s="21"/>
      <c r="F589" s="21" t="s">
        <v>10438</v>
      </c>
      <c r="G589" s="21"/>
      <c r="H589" s="54">
        <v>8</v>
      </c>
      <c r="I589" s="51"/>
      <c r="J589" s="27"/>
      <c r="K589" s="27"/>
      <c r="L589" s="15"/>
      <c r="M589" s="15"/>
      <c r="N589" s="4" t="s">
        <v>4159</v>
      </c>
      <c r="O589" s="4"/>
    </row>
    <row r="590" spans="1:15" x14ac:dyDescent="0.2">
      <c r="A590" s="2">
        <v>40006796</v>
      </c>
      <c r="B590" s="2" t="s">
        <v>2095</v>
      </c>
      <c r="C590" s="5" t="s">
        <v>7804</v>
      </c>
      <c r="D590" s="21">
        <v>1</v>
      </c>
      <c r="E590" s="21"/>
      <c r="F590" s="21" t="s">
        <v>10438</v>
      </c>
      <c r="G590" s="21"/>
      <c r="H590" s="54">
        <v>11</v>
      </c>
      <c r="I590" s="51"/>
      <c r="J590" s="27"/>
      <c r="K590" s="27"/>
      <c r="L590" s="15"/>
      <c r="M590" s="15"/>
      <c r="N590" s="4" t="s">
        <v>4632</v>
      </c>
      <c r="O590" s="4"/>
    </row>
    <row r="591" spans="1:15" x14ac:dyDescent="0.2">
      <c r="A591" s="2">
        <v>40006382</v>
      </c>
      <c r="B591" s="2" t="s">
        <v>1742</v>
      </c>
      <c r="C591" s="5" t="s">
        <v>7453</v>
      </c>
      <c r="D591" s="21">
        <v>7</v>
      </c>
      <c r="E591" s="21"/>
      <c r="F591" s="21" t="s">
        <v>10438</v>
      </c>
      <c r="G591" s="21"/>
      <c r="H591" s="54">
        <v>24</v>
      </c>
      <c r="I591" s="51"/>
      <c r="J591" s="27"/>
      <c r="K591" s="27"/>
      <c r="L591" s="15"/>
      <c r="M591" s="15"/>
      <c r="N591" s="4" t="s">
        <v>4558</v>
      </c>
      <c r="O591" s="4"/>
    </row>
    <row r="592" spans="1:15" x14ac:dyDescent="0.2">
      <c r="A592" s="2">
        <v>40006388</v>
      </c>
      <c r="B592" s="2" t="s">
        <v>1748</v>
      </c>
      <c r="C592" s="5" t="s">
        <v>7459</v>
      </c>
      <c r="D592" s="21">
        <v>4</v>
      </c>
      <c r="E592" s="21"/>
      <c r="F592" s="21" t="s">
        <v>10438</v>
      </c>
      <c r="G592" s="21"/>
      <c r="H592" s="54">
        <v>24</v>
      </c>
      <c r="I592" s="51"/>
      <c r="J592" s="27"/>
      <c r="K592" s="27"/>
      <c r="L592" s="15"/>
      <c r="M592" s="15"/>
      <c r="N592" s="4" t="s">
        <v>4563</v>
      </c>
      <c r="O592" s="4"/>
    </row>
    <row r="593" spans="1:15" x14ac:dyDescent="0.2">
      <c r="A593" s="2">
        <v>40006930</v>
      </c>
      <c r="B593" s="2" t="s">
        <v>2223</v>
      </c>
      <c r="C593" s="5" t="s">
        <v>7932</v>
      </c>
      <c r="D593" s="21">
        <v>8</v>
      </c>
      <c r="E593" s="21"/>
      <c r="F593" s="21" t="s">
        <v>10438</v>
      </c>
      <c r="G593" s="21"/>
      <c r="H593" s="54">
        <v>26</v>
      </c>
      <c r="I593" s="51"/>
      <c r="J593" s="27"/>
      <c r="K593" s="27"/>
      <c r="L593" s="15"/>
      <c r="M593" s="15"/>
      <c r="N593" s="4" t="s">
        <v>4750</v>
      </c>
      <c r="O593" s="4"/>
    </row>
    <row r="594" spans="1:15" x14ac:dyDescent="0.2">
      <c r="A594" s="2">
        <v>40007740</v>
      </c>
      <c r="B594" s="2" t="s">
        <v>2915</v>
      </c>
      <c r="C594" s="5" t="s">
        <v>8611</v>
      </c>
      <c r="D594" s="21">
        <v>3</v>
      </c>
      <c r="E594" s="21"/>
      <c r="F594" s="21" t="s">
        <v>10438</v>
      </c>
      <c r="G594" s="21"/>
      <c r="H594" s="54">
        <v>20</v>
      </c>
      <c r="I594" s="51"/>
      <c r="J594" s="27"/>
      <c r="K594" s="27"/>
      <c r="L594" s="15"/>
      <c r="M594" s="15"/>
      <c r="N594" s="4" t="s">
        <v>5054</v>
      </c>
      <c r="O594" s="4"/>
    </row>
    <row r="595" spans="1:15" x14ac:dyDescent="0.2">
      <c r="A595" s="2">
        <v>40007158</v>
      </c>
      <c r="B595" s="2" t="s">
        <v>2426</v>
      </c>
      <c r="C595" s="5" t="s">
        <v>8128</v>
      </c>
      <c r="D595" s="21">
        <v>8</v>
      </c>
      <c r="E595" s="21"/>
      <c r="F595" s="21" t="s">
        <v>10438</v>
      </c>
      <c r="G595" s="21"/>
      <c r="H595" s="54">
        <v>21</v>
      </c>
      <c r="I595" s="51"/>
      <c r="J595" s="27"/>
      <c r="K595" s="27"/>
      <c r="L595" s="15"/>
      <c r="M595" s="15"/>
      <c r="N595" s="4" t="s">
        <v>3984</v>
      </c>
      <c r="O595" s="4"/>
    </row>
    <row r="596" spans="1:15" x14ac:dyDescent="0.2">
      <c r="A596" s="2">
        <v>40008310</v>
      </c>
      <c r="B596" s="2" t="s">
        <v>3417</v>
      </c>
      <c r="C596" s="5" t="s">
        <v>9111</v>
      </c>
      <c r="D596" s="21">
        <v>10</v>
      </c>
      <c r="E596" s="21"/>
      <c r="F596" s="21" t="s">
        <v>10438</v>
      </c>
      <c r="G596" s="21"/>
      <c r="H596" s="54">
        <v>7</v>
      </c>
      <c r="I596" s="51"/>
      <c r="J596" s="27"/>
      <c r="K596" s="27"/>
      <c r="L596" s="15"/>
      <c r="M596" s="15"/>
      <c r="N596" s="4"/>
      <c r="O596" s="4">
        <v>87</v>
      </c>
    </row>
    <row r="597" spans="1:15" x14ac:dyDescent="0.2">
      <c r="A597" s="2">
        <v>40007305</v>
      </c>
      <c r="B597" s="2" t="s">
        <v>2547</v>
      </c>
      <c r="C597" s="5" t="s">
        <v>8244</v>
      </c>
      <c r="D597" s="21">
        <v>10</v>
      </c>
      <c r="E597" s="21"/>
      <c r="F597" s="21" t="s">
        <v>10438</v>
      </c>
      <c r="G597" s="21"/>
      <c r="H597" s="54">
        <v>23</v>
      </c>
      <c r="I597" s="51"/>
      <c r="J597" s="27"/>
      <c r="K597" s="27"/>
      <c r="L597" s="15"/>
      <c r="M597" s="15"/>
      <c r="N597" s="4" t="s">
        <v>4910</v>
      </c>
      <c r="O597" s="4"/>
    </row>
    <row r="598" spans="1:15" x14ac:dyDescent="0.2">
      <c r="A598" s="2">
        <v>40007356</v>
      </c>
      <c r="B598" s="2" t="s">
        <v>3695</v>
      </c>
      <c r="C598" s="5" t="s">
        <v>8287</v>
      </c>
      <c r="D598" s="21">
        <v>10</v>
      </c>
      <c r="E598" s="21"/>
      <c r="F598" s="30">
        <v>1</v>
      </c>
      <c r="G598" s="21"/>
      <c r="H598" s="54">
        <v>37</v>
      </c>
      <c r="I598" s="51"/>
      <c r="J598" s="27"/>
      <c r="K598" s="27"/>
      <c r="L598" s="15"/>
      <c r="M598" s="15">
        <v>1</v>
      </c>
      <c r="N598" s="4" t="s">
        <v>4814</v>
      </c>
      <c r="O598" s="4"/>
    </row>
    <row r="599" spans="1:15" x14ac:dyDescent="0.2">
      <c r="A599" s="2">
        <v>10020134</v>
      </c>
      <c r="B599" s="2" t="s">
        <v>5376</v>
      </c>
      <c r="C599" s="5" t="s">
        <v>6332</v>
      </c>
      <c r="D599" s="21">
        <v>1</v>
      </c>
      <c r="E599" s="21"/>
      <c r="F599" s="21" t="s">
        <v>10438</v>
      </c>
      <c r="G599" s="21"/>
      <c r="H599" s="54">
        <v>3430</v>
      </c>
      <c r="I599" s="51">
        <v>3090</v>
      </c>
      <c r="J599" s="27">
        <v>4</v>
      </c>
      <c r="K599" s="27"/>
      <c r="L599" s="15">
        <v>5</v>
      </c>
      <c r="M599" s="15">
        <v>5</v>
      </c>
      <c r="N599" s="4"/>
      <c r="O599" s="4" t="s">
        <v>10455</v>
      </c>
    </row>
    <row r="600" spans="1:15" x14ac:dyDescent="0.2">
      <c r="A600" s="2">
        <v>10020135</v>
      </c>
      <c r="B600" s="2" t="s">
        <v>3615</v>
      </c>
      <c r="C600" s="5" t="s">
        <v>6333</v>
      </c>
      <c r="D600" s="21">
        <v>5</v>
      </c>
      <c r="E600" s="21"/>
      <c r="F600" s="21" t="s">
        <v>10438</v>
      </c>
      <c r="G600" s="21"/>
      <c r="H600" s="54">
        <v>5515</v>
      </c>
      <c r="I600" s="51">
        <v>4690</v>
      </c>
      <c r="J600" s="27"/>
      <c r="K600" s="27"/>
      <c r="L600" s="15"/>
      <c r="M600" s="15">
        <v>2</v>
      </c>
      <c r="N600" s="4"/>
      <c r="O600" s="4" t="s">
        <v>10455</v>
      </c>
    </row>
    <row r="601" spans="1:15" x14ac:dyDescent="0.2">
      <c r="A601" s="2">
        <v>40007202</v>
      </c>
      <c r="B601" s="2" t="s">
        <v>2466</v>
      </c>
      <c r="C601" s="5">
        <v>226213330</v>
      </c>
      <c r="D601" s="21">
        <v>3</v>
      </c>
      <c r="E601" s="21"/>
      <c r="F601" s="21" t="s">
        <v>10438</v>
      </c>
      <c r="G601" s="21"/>
      <c r="H601" s="54">
        <v>174</v>
      </c>
      <c r="I601" s="51"/>
      <c r="J601" s="27"/>
      <c r="K601" s="27"/>
      <c r="L601" s="15"/>
      <c r="M601" s="15"/>
      <c r="N601" s="4" t="s">
        <v>4872</v>
      </c>
      <c r="O601" s="4"/>
    </row>
    <row r="602" spans="1:15" x14ac:dyDescent="0.2">
      <c r="A602" s="2">
        <v>40007127</v>
      </c>
      <c r="B602" s="2" t="s">
        <v>2395</v>
      </c>
      <c r="C602" s="5" t="s">
        <v>8100</v>
      </c>
      <c r="D602" s="21">
        <v>7</v>
      </c>
      <c r="E602" s="21"/>
      <c r="F602" s="21" t="s">
        <v>10438</v>
      </c>
      <c r="G602" s="21"/>
      <c r="H602" s="54">
        <v>24</v>
      </c>
      <c r="I602" s="51"/>
      <c r="J602" s="27"/>
      <c r="K602" s="27"/>
      <c r="L602" s="15"/>
      <c r="M602" s="15"/>
      <c r="N602" s="4" t="s">
        <v>4135</v>
      </c>
      <c r="O602" s="4"/>
    </row>
    <row r="603" spans="1:15" x14ac:dyDescent="0.2">
      <c r="A603" s="2">
        <v>40005656</v>
      </c>
      <c r="B603" s="2" t="s">
        <v>1094</v>
      </c>
      <c r="C603" s="5" t="s">
        <v>6813</v>
      </c>
      <c r="D603" s="21">
        <v>4</v>
      </c>
      <c r="E603" s="21"/>
      <c r="F603" s="21" t="s">
        <v>10438</v>
      </c>
      <c r="G603" s="21"/>
      <c r="H603" s="54">
        <v>17</v>
      </c>
      <c r="I603" s="51"/>
      <c r="J603" s="27"/>
      <c r="K603" s="27"/>
      <c r="L603" s="15"/>
      <c r="M603" s="15"/>
      <c r="N603" s="4" t="s">
        <v>10463</v>
      </c>
      <c r="O603" s="4"/>
    </row>
    <row r="604" spans="1:15" x14ac:dyDescent="0.2">
      <c r="A604" s="2">
        <v>10019097</v>
      </c>
      <c r="B604" s="2" t="s">
        <v>428</v>
      </c>
      <c r="C604" s="5" t="s">
        <v>6030</v>
      </c>
      <c r="D604" s="21">
        <v>3</v>
      </c>
      <c r="E604" s="21"/>
      <c r="F604" s="21" t="s">
        <v>10438</v>
      </c>
      <c r="G604" s="21"/>
      <c r="H604" s="54">
        <v>700</v>
      </c>
      <c r="I604" s="51"/>
      <c r="J604" s="27"/>
      <c r="K604" s="27"/>
      <c r="L604" s="15"/>
      <c r="M604" s="15">
        <v>5</v>
      </c>
      <c r="N604" s="4">
        <v>99</v>
      </c>
      <c r="O604" s="4"/>
    </row>
    <row r="605" spans="1:15" x14ac:dyDescent="0.2">
      <c r="A605" s="2">
        <v>10019372</v>
      </c>
      <c r="B605" s="2" t="s">
        <v>505</v>
      </c>
      <c r="C605" s="5" t="s">
        <v>6124</v>
      </c>
      <c r="D605" s="21">
        <v>5</v>
      </c>
      <c r="E605" s="21"/>
      <c r="F605" s="21" t="s">
        <v>10438</v>
      </c>
      <c r="G605" s="21"/>
      <c r="H605" s="54">
        <v>168</v>
      </c>
      <c r="I605" s="51"/>
      <c r="J605" s="27"/>
      <c r="K605" s="27"/>
      <c r="L605" s="15"/>
      <c r="M605" s="15"/>
      <c r="N605" s="4">
        <v>76</v>
      </c>
      <c r="O605" s="4"/>
    </row>
    <row r="606" spans="1:15" x14ac:dyDescent="0.2">
      <c r="A606" s="2">
        <v>10019570</v>
      </c>
      <c r="B606" s="2" t="s">
        <v>548</v>
      </c>
      <c r="C606" s="5" t="s">
        <v>6173</v>
      </c>
      <c r="D606" s="21">
        <v>14</v>
      </c>
      <c r="E606" s="21"/>
      <c r="F606" s="21" t="s">
        <v>10438</v>
      </c>
      <c r="G606" s="21"/>
      <c r="H606" s="54">
        <v>280</v>
      </c>
      <c r="I606" s="51"/>
      <c r="J606" s="27"/>
      <c r="K606" s="27"/>
      <c r="L606" s="15"/>
      <c r="M606" s="15"/>
      <c r="N606" s="4">
        <v>110</v>
      </c>
      <c r="O606" s="4"/>
    </row>
    <row r="607" spans="1:15" x14ac:dyDescent="0.2">
      <c r="A607" s="2">
        <v>40010409</v>
      </c>
      <c r="B607" s="2" t="s">
        <v>3544</v>
      </c>
      <c r="C607" s="5" t="s">
        <v>9248</v>
      </c>
      <c r="D607" s="21">
        <v>3</v>
      </c>
      <c r="E607" s="21"/>
      <c r="F607" s="21" t="s">
        <v>10438</v>
      </c>
      <c r="G607" s="21"/>
      <c r="H607" s="54">
        <v>31</v>
      </c>
      <c r="I607" s="51"/>
      <c r="J607" s="27"/>
      <c r="K607" s="27"/>
      <c r="L607" s="15"/>
      <c r="M607" s="15"/>
      <c r="N607" s="4" t="s">
        <v>4643</v>
      </c>
      <c r="O607" s="4"/>
    </row>
    <row r="608" spans="1:15" x14ac:dyDescent="0.2">
      <c r="A608" s="2">
        <v>40006154</v>
      </c>
      <c r="B608" s="2" t="s">
        <v>1543</v>
      </c>
      <c r="C608" s="5" t="s">
        <v>7247</v>
      </c>
      <c r="D608" s="21">
        <v>10</v>
      </c>
      <c r="E608" s="21"/>
      <c r="F608" s="21" t="s">
        <v>10438</v>
      </c>
      <c r="G608" s="21"/>
      <c r="H608" s="54">
        <v>5</v>
      </c>
      <c r="I608" s="51"/>
      <c r="J608" s="27"/>
      <c r="K608" s="27"/>
      <c r="L608" s="15"/>
      <c r="M608" s="15"/>
      <c r="N608" s="4" t="s">
        <v>4441</v>
      </c>
      <c r="O608" s="4"/>
    </row>
    <row r="609" spans="1:15" x14ac:dyDescent="0.2">
      <c r="A609" s="2">
        <v>10018214</v>
      </c>
      <c r="B609" s="2" t="s">
        <v>109</v>
      </c>
      <c r="C609" s="5" t="s">
        <v>5646</v>
      </c>
      <c r="D609" s="21">
        <v>18</v>
      </c>
      <c r="E609" s="21"/>
      <c r="F609" s="21" t="s">
        <v>10438</v>
      </c>
      <c r="G609" s="21"/>
      <c r="H609" s="54">
        <v>7</v>
      </c>
      <c r="I609" s="51"/>
      <c r="J609" s="27"/>
      <c r="K609" s="27"/>
      <c r="L609" s="15"/>
      <c r="M609" s="15"/>
      <c r="N609" s="4" t="s">
        <v>3940</v>
      </c>
      <c r="O609" s="4"/>
    </row>
    <row r="610" spans="1:15" x14ac:dyDescent="0.2">
      <c r="A610" s="2">
        <v>40006828</v>
      </c>
      <c r="B610" s="2" t="s">
        <v>2127</v>
      </c>
      <c r="C610" s="5" t="s">
        <v>7835</v>
      </c>
      <c r="D610" s="21">
        <v>10</v>
      </c>
      <c r="E610" s="21"/>
      <c r="F610" s="21" t="s">
        <v>10438</v>
      </c>
      <c r="G610" s="21"/>
      <c r="H610" s="54">
        <v>29</v>
      </c>
      <c r="I610" s="51"/>
      <c r="J610" s="27"/>
      <c r="K610" s="27"/>
      <c r="L610" s="15"/>
      <c r="M610" s="15"/>
      <c r="N610" s="4" t="s">
        <v>4700</v>
      </c>
      <c r="O610" s="4"/>
    </row>
    <row r="611" spans="1:15" x14ac:dyDescent="0.2">
      <c r="A611" s="2">
        <v>40005419</v>
      </c>
      <c r="B611" s="2" t="s">
        <v>895</v>
      </c>
      <c r="C611" s="5" t="s">
        <v>6618</v>
      </c>
      <c r="D611" s="21">
        <v>2</v>
      </c>
      <c r="E611" s="21"/>
      <c r="F611" s="21" t="s">
        <v>10438</v>
      </c>
      <c r="G611" s="21"/>
      <c r="H611" s="54">
        <v>12</v>
      </c>
      <c r="I611" s="51"/>
      <c r="J611" s="27"/>
      <c r="K611" s="27"/>
      <c r="L611" s="15"/>
      <c r="M611" s="15"/>
      <c r="N611" s="4" t="s">
        <v>4111</v>
      </c>
      <c r="O611" s="4"/>
    </row>
    <row r="612" spans="1:15" x14ac:dyDescent="0.2">
      <c r="A612" s="2">
        <v>40010270</v>
      </c>
      <c r="B612" s="2" t="s">
        <v>3461</v>
      </c>
      <c r="C612" s="5" t="s">
        <v>9155</v>
      </c>
      <c r="D612" s="21">
        <v>4</v>
      </c>
      <c r="E612" s="21"/>
      <c r="F612" s="21" t="s">
        <v>10438</v>
      </c>
      <c r="G612" s="21"/>
      <c r="H612" s="54">
        <v>21</v>
      </c>
      <c r="I612" s="51"/>
      <c r="J612" s="27"/>
      <c r="K612" s="27"/>
      <c r="L612" s="15"/>
      <c r="M612" s="15"/>
      <c r="N612" s="4" t="s">
        <v>4872</v>
      </c>
      <c r="O612" s="4"/>
    </row>
    <row r="613" spans="1:15" x14ac:dyDescent="0.2">
      <c r="A613" s="2">
        <v>40011138</v>
      </c>
      <c r="B613" s="2" t="s">
        <v>3703</v>
      </c>
      <c r="C613" s="5" t="s">
        <v>9318</v>
      </c>
      <c r="D613" s="21">
        <v>2</v>
      </c>
      <c r="E613" s="21"/>
      <c r="F613" s="21" t="s">
        <v>10438</v>
      </c>
      <c r="G613" s="21"/>
      <c r="H613" s="54">
        <v>17</v>
      </c>
      <c r="I613" s="51"/>
      <c r="J613" s="27"/>
      <c r="K613" s="27"/>
      <c r="L613" s="15"/>
      <c r="M613" s="15"/>
      <c r="N613" s="4" t="s">
        <v>4692</v>
      </c>
      <c r="O613" s="4"/>
    </row>
    <row r="614" spans="1:15" x14ac:dyDescent="0.2">
      <c r="A614" s="2">
        <v>10018454</v>
      </c>
      <c r="B614" s="2" t="s">
        <v>3674</v>
      </c>
      <c r="C614" s="5" t="s">
        <v>5729</v>
      </c>
      <c r="D614" s="21"/>
      <c r="E614" s="21"/>
      <c r="F614" s="21" t="s">
        <v>10438</v>
      </c>
      <c r="G614" s="21"/>
      <c r="H614" s="54">
        <v>105</v>
      </c>
      <c r="I614" s="51"/>
      <c r="J614" s="27"/>
      <c r="K614" s="27"/>
      <c r="L614" s="15"/>
      <c r="M614" s="15">
        <v>4</v>
      </c>
      <c r="N614" s="4">
        <v>82</v>
      </c>
      <c r="O614" s="4"/>
    </row>
    <row r="615" spans="1:15" x14ac:dyDescent="0.2">
      <c r="A615" s="2">
        <v>10018456</v>
      </c>
      <c r="B615" s="2" t="s">
        <v>3675</v>
      </c>
      <c r="C615" s="5" t="s">
        <v>5731</v>
      </c>
      <c r="D615" s="21"/>
      <c r="E615" s="21"/>
      <c r="F615" s="21" t="s">
        <v>10438</v>
      </c>
      <c r="G615" s="21"/>
      <c r="H615" s="54">
        <v>170</v>
      </c>
      <c r="I615" s="51"/>
      <c r="J615" s="27"/>
      <c r="K615" s="27"/>
      <c r="L615" s="15"/>
      <c r="M615" s="15">
        <v>2</v>
      </c>
      <c r="N615" s="4">
        <v>83</v>
      </c>
      <c r="O615" s="4"/>
    </row>
    <row r="616" spans="1:15" x14ac:dyDescent="0.2">
      <c r="A616" s="2">
        <v>40006032</v>
      </c>
      <c r="B616" s="2" t="s">
        <v>1433</v>
      </c>
      <c r="C616" s="5" t="s">
        <v>7135</v>
      </c>
      <c r="D616" s="21">
        <v>2</v>
      </c>
      <c r="E616" s="21"/>
      <c r="F616" s="21" t="s">
        <v>10438</v>
      </c>
      <c r="G616" s="21"/>
      <c r="H616" s="54">
        <v>12</v>
      </c>
      <c r="I616" s="51"/>
      <c r="J616" s="27"/>
      <c r="K616" s="27"/>
      <c r="L616" s="15"/>
      <c r="M616" s="15"/>
      <c r="N616" s="4" t="s">
        <v>4230</v>
      </c>
      <c r="O616" s="4"/>
    </row>
    <row r="617" spans="1:15" x14ac:dyDescent="0.2">
      <c r="A617" s="2">
        <v>40005618</v>
      </c>
      <c r="B617" s="2" t="s">
        <v>1061</v>
      </c>
      <c r="C617" s="5" t="s">
        <v>6789</v>
      </c>
      <c r="D617" s="21">
        <v>5</v>
      </c>
      <c r="E617" s="21"/>
      <c r="F617" s="21" t="s">
        <v>10438</v>
      </c>
      <c r="G617" s="21"/>
      <c r="H617" s="54">
        <v>109</v>
      </c>
      <c r="I617" s="51"/>
      <c r="J617" s="27"/>
      <c r="K617" s="27"/>
      <c r="L617" s="15"/>
      <c r="M617" s="15"/>
      <c r="N617" s="4"/>
      <c r="O617" s="4">
        <v>92</v>
      </c>
    </row>
    <row r="618" spans="1:15" x14ac:dyDescent="0.2">
      <c r="A618" s="2">
        <v>40005612</v>
      </c>
      <c r="B618" s="2" t="s">
        <v>1055</v>
      </c>
      <c r="C618" s="5" t="s">
        <v>6783</v>
      </c>
      <c r="D618" s="21">
        <v>6</v>
      </c>
      <c r="E618" s="21"/>
      <c r="F618" s="21" t="s">
        <v>10438</v>
      </c>
      <c r="G618" s="21"/>
      <c r="H618" s="54">
        <v>210</v>
      </c>
      <c r="I618" s="51"/>
      <c r="J618" s="27"/>
      <c r="K618" s="27"/>
      <c r="L618" s="15"/>
      <c r="M618" s="15"/>
      <c r="N618" s="4"/>
      <c r="O618" s="4" t="s">
        <v>10321</v>
      </c>
    </row>
    <row r="619" spans="1:15" x14ac:dyDescent="0.2">
      <c r="A619" s="2">
        <v>40007237</v>
      </c>
      <c r="B619" s="2" t="s">
        <v>2493</v>
      </c>
      <c r="C619" s="5" t="s">
        <v>8193</v>
      </c>
      <c r="D619" s="21">
        <v>1</v>
      </c>
      <c r="E619" s="21"/>
      <c r="F619" s="21" t="s">
        <v>10438</v>
      </c>
      <c r="G619" s="21"/>
      <c r="H619" s="54">
        <v>425</v>
      </c>
      <c r="I619" s="51"/>
      <c r="J619" s="27"/>
      <c r="K619" s="27"/>
      <c r="L619" s="15"/>
      <c r="M619" s="15"/>
      <c r="N619" s="4"/>
      <c r="O619" s="4">
        <v>75</v>
      </c>
    </row>
    <row r="620" spans="1:15" x14ac:dyDescent="0.2">
      <c r="A620" s="2">
        <v>40006093</v>
      </c>
      <c r="B620" s="2" t="s">
        <v>1484</v>
      </c>
      <c r="C620" s="5" t="s">
        <v>7190</v>
      </c>
      <c r="D620" s="21"/>
      <c r="E620" s="21"/>
      <c r="F620" s="21" t="s">
        <v>10438</v>
      </c>
      <c r="G620" s="21"/>
      <c r="H620" s="54">
        <v>62</v>
      </c>
      <c r="I620" s="51"/>
      <c r="J620" s="27"/>
      <c r="K620" s="27"/>
      <c r="L620" s="15"/>
      <c r="M620" s="15"/>
      <c r="N620" s="4"/>
      <c r="O620" s="4" t="s">
        <v>10112</v>
      </c>
    </row>
    <row r="621" spans="1:15" x14ac:dyDescent="0.2">
      <c r="A621" s="2">
        <v>40008196</v>
      </c>
      <c r="B621" s="9" t="s">
        <v>3681</v>
      </c>
      <c r="C621" s="5" t="s">
        <v>9438</v>
      </c>
      <c r="D621" s="21"/>
      <c r="E621" s="21"/>
      <c r="F621" s="21" t="s">
        <v>10438</v>
      </c>
      <c r="G621" s="21"/>
      <c r="H621" s="54">
        <v>310</v>
      </c>
      <c r="I621" s="51"/>
      <c r="J621" s="27"/>
      <c r="K621" s="27"/>
      <c r="L621" s="15">
        <v>4</v>
      </c>
      <c r="M621" s="15">
        <v>4</v>
      </c>
      <c r="N621" s="4" t="s">
        <v>4604</v>
      </c>
      <c r="O621" s="4" t="s">
        <v>10322</v>
      </c>
    </row>
    <row r="622" spans="1:15" x14ac:dyDescent="0.2">
      <c r="A622" s="2">
        <v>40007519</v>
      </c>
      <c r="B622" s="2" t="s">
        <v>2725</v>
      </c>
      <c r="C622" s="5" t="s">
        <v>8428</v>
      </c>
      <c r="D622" s="21">
        <v>4</v>
      </c>
      <c r="E622" s="21"/>
      <c r="F622" s="21" t="s">
        <v>10438</v>
      </c>
      <c r="G622" s="21"/>
      <c r="H622" s="54">
        <v>226</v>
      </c>
      <c r="I622" s="51"/>
      <c r="J622" s="27"/>
      <c r="K622" s="27"/>
      <c r="L622" s="15"/>
      <c r="M622" s="15"/>
      <c r="N622" s="4" t="s">
        <v>3986</v>
      </c>
      <c r="O622" s="4">
        <v>84</v>
      </c>
    </row>
    <row r="623" spans="1:15" x14ac:dyDescent="0.2">
      <c r="A623" s="2">
        <v>40008101</v>
      </c>
      <c r="B623" s="2" t="s">
        <v>3228</v>
      </c>
      <c r="C623" s="5" t="s">
        <v>8924</v>
      </c>
      <c r="D623" s="21">
        <v>1</v>
      </c>
      <c r="E623" s="21"/>
      <c r="F623" s="21" t="s">
        <v>10438</v>
      </c>
      <c r="G623" s="21"/>
      <c r="H623" s="54">
        <v>1608</v>
      </c>
      <c r="I623" s="51"/>
      <c r="J623" s="27"/>
      <c r="K623" s="27"/>
      <c r="L623" s="15"/>
      <c r="M623" s="15"/>
      <c r="N623" s="4"/>
      <c r="O623" s="4">
        <v>51</v>
      </c>
    </row>
    <row r="624" spans="1:15" x14ac:dyDescent="0.2">
      <c r="A624" s="2">
        <v>40006371</v>
      </c>
      <c r="B624" s="2" t="s">
        <v>1731</v>
      </c>
      <c r="C624" s="5" t="s">
        <v>7442</v>
      </c>
      <c r="D624" s="21">
        <v>1</v>
      </c>
      <c r="E624" s="21"/>
      <c r="F624" s="21" t="s">
        <v>10438</v>
      </c>
      <c r="G624" s="21"/>
      <c r="H624" s="54">
        <v>984</v>
      </c>
      <c r="I624" s="51"/>
      <c r="J624" s="27"/>
      <c r="K624" s="27"/>
      <c r="L624" s="15"/>
      <c r="M624" s="15"/>
      <c r="N624" s="4"/>
      <c r="O624" s="4">
        <v>87</v>
      </c>
    </row>
    <row r="625" spans="1:15" x14ac:dyDescent="0.2">
      <c r="A625" s="2">
        <v>40011333</v>
      </c>
      <c r="B625" s="2" t="s">
        <v>3926</v>
      </c>
      <c r="C625" s="5" t="s">
        <v>9377</v>
      </c>
      <c r="D625" s="21">
        <v>1</v>
      </c>
      <c r="E625" s="21"/>
      <c r="F625" s="21" t="s">
        <v>10438</v>
      </c>
      <c r="G625" s="21"/>
      <c r="H625" s="54">
        <v>41</v>
      </c>
      <c r="I625" s="51"/>
      <c r="J625" s="27"/>
      <c r="K625" s="27"/>
      <c r="L625" s="15"/>
      <c r="M625" s="15"/>
      <c r="N625" s="4" t="s">
        <v>5314</v>
      </c>
      <c r="O625" s="4"/>
    </row>
    <row r="626" spans="1:15" x14ac:dyDescent="0.2">
      <c r="A626" s="2">
        <v>40005376</v>
      </c>
      <c r="B626" s="2" t="s">
        <v>855</v>
      </c>
      <c r="C626" s="5" t="s">
        <v>6577</v>
      </c>
      <c r="D626" s="21">
        <v>1</v>
      </c>
      <c r="E626" s="21"/>
      <c r="F626" s="21" t="s">
        <v>10438</v>
      </c>
      <c r="G626" s="21"/>
      <c r="H626" s="54">
        <v>39</v>
      </c>
      <c r="I626" s="51"/>
      <c r="J626" s="27"/>
      <c r="K626" s="27"/>
      <c r="L626" s="15"/>
      <c r="M626" s="15"/>
      <c r="N626" s="4" t="s">
        <v>4082</v>
      </c>
      <c r="O626" s="4"/>
    </row>
    <row r="627" spans="1:15" x14ac:dyDescent="0.2">
      <c r="A627" s="2">
        <v>40010801</v>
      </c>
      <c r="B627" s="2" t="s">
        <v>3573</v>
      </c>
      <c r="C627" s="5">
        <v>671014610</v>
      </c>
      <c r="D627" s="21">
        <v>5</v>
      </c>
      <c r="E627" s="21"/>
      <c r="F627" s="21" t="s">
        <v>10438</v>
      </c>
      <c r="G627" s="21"/>
      <c r="H627" s="54">
        <v>282</v>
      </c>
      <c r="I627" s="51"/>
      <c r="J627" s="27"/>
      <c r="K627" s="27"/>
      <c r="L627" s="15"/>
      <c r="M627" s="15"/>
      <c r="N627" s="4" t="s">
        <v>3986</v>
      </c>
      <c r="O627" s="4"/>
    </row>
    <row r="628" spans="1:15" x14ac:dyDescent="0.2">
      <c r="A628" s="2">
        <v>10019846</v>
      </c>
      <c r="B628" s="2" t="s">
        <v>3626</v>
      </c>
      <c r="C628" s="5" t="s">
        <v>6233</v>
      </c>
      <c r="D628" s="21">
        <v>6</v>
      </c>
      <c r="E628" s="21"/>
      <c r="F628" s="21" t="s">
        <v>10438</v>
      </c>
      <c r="G628" s="21"/>
      <c r="H628" s="54">
        <v>45</v>
      </c>
      <c r="I628" s="51"/>
      <c r="J628" s="27"/>
      <c r="K628" s="27"/>
      <c r="L628" s="15">
        <v>15</v>
      </c>
      <c r="M628" s="15">
        <v>6</v>
      </c>
      <c r="N628" s="4" t="s">
        <v>3937</v>
      </c>
      <c r="O628" s="4"/>
    </row>
    <row r="629" spans="1:15" x14ac:dyDescent="0.2">
      <c r="A629" s="2">
        <v>40005343</v>
      </c>
      <c r="B629" s="2" t="s">
        <v>829</v>
      </c>
      <c r="C629" s="5" t="s">
        <v>6547</v>
      </c>
      <c r="D629" s="21">
        <v>3</v>
      </c>
      <c r="E629" s="21"/>
      <c r="F629" s="21" t="s">
        <v>10438</v>
      </c>
      <c r="G629" s="21"/>
      <c r="H629" s="54">
        <v>86</v>
      </c>
      <c r="I629" s="51"/>
      <c r="J629" s="27"/>
      <c r="K629" s="27"/>
      <c r="L629" s="15"/>
      <c r="M629" s="15"/>
      <c r="N629" s="4"/>
      <c r="O629" s="4">
        <v>65</v>
      </c>
    </row>
    <row r="630" spans="1:15" x14ac:dyDescent="0.2">
      <c r="A630" s="2">
        <v>40007122</v>
      </c>
      <c r="B630" s="2" t="s">
        <v>2390</v>
      </c>
      <c r="C630" s="5" t="s">
        <v>8096</v>
      </c>
      <c r="D630" s="21">
        <v>4</v>
      </c>
      <c r="E630" s="21"/>
      <c r="F630" s="21" t="s">
        <v>10438</v>
      </c>
      <c r="G630" s="21"/>
      <c r="H630" s="54">
        <v>210</v>
      </c>
      <c r="I630" s="51"/>
      <c r="J630" s="27"/>
      <c r="K630" s="27"/>
      <c r="L630" s="15"/>
      <c r="M630" s="15"/>
      <c r="N630" s="4" t="s">
        <v>3998</v>
      </c>
      <c r="O630" s="4"/>
    </row>
    <row r="631" spans="1:15" x14ac:dyDescent="0.2">
      <c r="A631" s="2">
        <v>40007608</v>
      </c>
      <c r="B631" s="2" t="s">
        <v>2798</v>
      </c>
      <c r="C631" s="5" t="s">
        <v>8498</v>
      </c>
      <c r="D631" s="21">
        <v>4</v>
      </c>
      <c r="E631" s="21"/>
      <c r="F631" s="21" t="s">
        <v>10438</v>
      </c>
      <c r="G631" s="21"/>
      <c r="H631" s="54">
        <v>129</v>
      </c>
      <c r="I631" s="51"/>
      <c r="J631" s="27"/>
      <c r="K631" s="27"/>
      <c r="L631" s="15"/>
      <c r="M631" s="15"/>
      <c r="N631" s="4" t="s">
        <v>4099</v>
      </c>
      <c r="O631" s="4"/>
    </row>
    <row r="632" spans="1:15" x14ac:dyDescent="0.2">
      <c r="A632" s="2">
        <v>40007944</v>
      </c>
      <c r="B632" s="2" t="s">
        <v>3097</v>
      </c>
      <c r="C632" s="5" t="s">
        <v>8789</v>
      </c>
      <c r="D632" s="21">
        <v>1</v>
      </c>
      <c r="E632" s="21"/>
      <c r="F632" s="21" t="s">
        <v>10438</v>
      </c>
      <c r="G632" s="21"/>
      <c r="H632" s="54">
        <v>3</v>
      </c>
      <c r="I632" s="51"/>
      <c r="J632" s="27"/>
      <c r="K632" s="27"/>
      <c r="L632" s="15"/>
      <c r="M632" s="15"/>
      <c r="N632" s="4" t="s">
        <v>4545</v>
      </c>
      <c r="O632" s="4"/>
    </row>
    <row r="633" spans="1:15" x14ac:dyDescent="0.2">
      <c r="A633" s="2">
        <v>40005854</v>
      </c>
      <c r="B633" s="2" t="s">
        <v>1270</v>
      </c>
      <c r="C633" s="5" t="s">
        <v>6981</v>
      </c>
      <c r="D633" s="21">
        <v>1</v>
      </c>
      <c r="E633" s="21"/>
      <c r="F633" s="21" t="s">
        <v>10438</v>
      </c>
      <c r="G633" s="21"/>
      <c r="H633" s="54">
        <v>15</v>
      </c>
      <c r="I633" s="51"/>
      <c r="J633" s="27"/>
      <c r="K633" s="27"/>
      <c r="L633" s="15"/>
      <c r="M633" s="15"/>
      <c r="N633" s="4" t="s">
        <v>4064</v>
      </c>
      <c r="O633" s="4"/>
    </row>
    <row r="634" spans="1:15" x14ac:dyDescent="0.2">
      <c r="A634" s="2">
        <v>40005903</v>
      </c>
      <c r="B634" s="2" t="s">
        <v>1316</v>
      </c>
      <c r="C634" s="5">
        <v>671015252</v>
      </c>
      <c r="D634" s="21">
        <v>1</v>
      </c>
      <c r="E634" s="21"/>
      <c r="F634" s="21" t="s">
        <v>10438</v>
      </c>
      <c r="G634" s="21"/>
      <c r="H634" s="54">
        <v>125</v>
      </c>
      <c r="I634" s="51"/>
      <c r="J634" s="27"/>
      <c r="K634" s="27"/>
      <c r="L634" s="15"/>
      <c r="M634" s="15"/>
      <c r="N634" s="4" t="s">
        <v>4312</v>
      </c>
      <c r="O634" s="4"/>
    </row>
    <row r="635" spans="1:15" x14ac:dyDescent="0.2">
      <c r="A635" s="2">
        <v>40007359</v>
      </c>
      <c r="B635" s="2" t="s">
        <v>2591</v>
      </c>
      <c r="C635" s="5" t="s">
        <v>8290</v>
      </c>
      <c r="D635" s="21">
        <v>1</v>
      </c>
      <c r="E635" s="21"/>
      <c r="F635" s="21" t="s">
        <v>10438</v>
      </c>
      <c r="G635" s="21"/>
      <c r="H635" s="54">
        <v>321</v>
      </c>
      <c r="I635" s="51"/>
      <c r="J635" s="27"/>
      <c r="K635" s="27"/>
      <c r="L635" s="15"/>
      <c r="M635" s="15"/>
      <c r="N635" s="4" t="s">
        <v>4929</v>
      </c>
      <c r="O635" s="4"/>
    </row>
    <row r="636" spans="1:15" x14ac:dyDescent="0.2">
      <c r="A636" s="2">
        <v>10019046</v>
      </c>
      <c r="B636" s="2" t="s">
        <v>414</v>
      </c>
      <c r="C636" s="5" t="s">
        <v>6018</v>
      </c>
      <c r="D636" s="21">
        <v>21</v>
      </c>
      <c r="E636" s="21">
        <v>21</v>
      </c>
      <c r="F636" s="21" t="s">
        <v>10438</v>
      </c>
      <c r="G636" s="21">
        <v>6</v>
      </c>
      <c r="H636" s="54">
        <v>1480</v>
      </c>
      <c r="I636" s="51">
        <v>1335</v>
      </c>
      <c r="J636" s="27">
        <v>4</v>
      </c>
      <c r="K636" s="27">
        <v>4</v>
      </c>
      <c r="L636" s="15">
        <v>20</v>
      </c>
      <c r="M636" s="15">
        <v>20</v>
      </c>
      <c r="N636" s="4" t="s">
        <v>3934</v>
      </c>
      <c r="O636" s="4" t="s">
        <v>10456</v>
      </c>
    </row>
    <row r="637" spans="1:15" x14ac:dyDescent="0.2">
      <c r="A637" s="2">
        <v>10019144</v>
      </c>
      <c r="B637" s="2" t="s">
        <v>442</v>
      </c>
      <c r="C637" s="5" t="s">
        <v>6047</v>
      </c>
      <c r="D637" s="21">
        <v>21</v>
      </c>
      <c r="E637" s="21"/>
      <c r="F637" s="30" t="s">
        <v>10438</v>
      </c>
      <c r="G637" s="21"/>
      <c r="H637" s="54">
        <v>1590</v>
      </c>
      <c r="I637" s="51">
        <v>1435</v>
      </c>
      <c r="J637" s="27">
        <v>24</v>
      </c>
      <c r="K637" s="27"/>
      <c r="L637" s="15">
        <v>50</v>
      </c>
      <c r="M637" s="15">
        <v>34</v>
      </c>
      <c r="N637" s="4" t="s">
        <v>3934</v>
      </c>
      <c r="O637" s="4" t="s">
        <v>10456</v>
      </c>
    </row>
    <row r="638" spans="1:15" x14ac:dyDescent="0.2">
      <c r="A638" s="2">
        <v>40007874</v>
      </c>
      <c r="B638" s="2" t="s">
        <v>3030</v>
      </c>
      <c r="C638" s="5">
        <v>119.256</v>
      </c>
      <c r="D638" s="21">
        <v>2</v>
      </c>
      <c r="E638" s="21"/>
      <c r="F638" s="21" t="s">
        <v>10438</v>
      </c>
      <c r="G638" s="21"/>
      <c r="H638" s="54">
        <v>850</v>
      </c>
      <c r="I638" s="51"/>
      <c r="J638" s="27"/>
      <c r="K638" s="27"/>
      <c r="L638" s="15"/>
      <c r="M638" s="15"/>
      <c r="N638" s="4" t="s">
        <v>5027</v>
      </c>
      <c r="O638" s="4"/>
    </row>
    <row r="639" spans="1:15" x14ac:dyDescent="0.2">
      <c r="A639" s="2">
        <v>40007871</v>
      </c>
      <c r="B639" s="2" t="s">
        <v>3027</v>
      </c>
      <c r="C639" s="5">
        <v>128.14699999999999</v>
      </c>
      <c r="D639" s="21">
        <v>3</v>
      </c>
      <c r="E639" s="21"/>
      <c r="F639" s="21" t="s">
        <v>10438</v>
      </c>
      <c r="G639" s="21"/>
      <c r="H639" s="54">
        <v>635</v>
      </c>
      <c r="I639" s="51"/>
      <c r="J639" s="27"/>
      <c r="K639" s="27"/>
      <c r="L639" s="15"/>
      <c r="M639" s="15"/>
      <c r="N639" s="4"/>
      <c r="O639" s="4" t="s">
        <v>10174</v>
      </c>
    </row>
    <row r="640" spans="1:15" x14ac:dyDescent="0.2">
      <c r="A640" s="2">
        <v>40006463</v>
      </c>
      <c r="B640" s="2" t="s">
        <v>1817</v>
      </c>
      <c r="C640" s="5" t="s">
        <v>7525</v>
      </c>
      <c r="D640" s="21">
        <v>8</v>
      </c>
      <c r="E640" s="21"/>
      <c r="F640" s="21" t="s">
        <v>10438</v>
      </c>
      <c r="G640" s="21"/>
      <c r="H640" s="54">
        <v>316</v>
      </c>
      <c r="I640" s="51"/>
      <c r="J640" s="27"/>
      <c r="K640" s="27"/>
      <c r="L640" s="15"/>
      <c r="M640" s="15"/>
      <c r="N640" s="4">
        <v>75</v>
      </c>
      <c r="O640" s="4"/>
    </row>
    <row r="641" spans="1:15" x14ac:dyDescent="0.2">
      <c r="A641" s="2">
        <v>10018597</v>
      </c>
      <c r="B641" s="2" t="s">
        <v>228</v>
      </c>
      <c r="C641" s="5" t="s">
        <v>5789</v>
      </c>
      <c r="D641" s="21">
        <v>2</v>
      </c>
      <c r="E641" s="21"/>
      <c r="F641" s="21" t="s">
        <v>10438</v>
      </c>
      <c r="G641" s="21"/>
      <c r="H641" s="54">
        <v>520</v>
      </c>
      <c r="I641" s="51"/>
      <c r="J641" s="27"/>
      <c r="K641" s="27"/>
      <c r="L641" s="15"/>
      <c r="M641" s="15"/>
      <c r="N641" s="4"/>
      <c r="O641" s="4" t="s">
        <v>10323</v>
      </c>
    </row>
    <row r="642" spans="1:15" x14ac:dyDescent="0.2">
      <c r="A642" s="2">
        <v>10019013</v>
      </c>
      <c r="B642" s="2" t="s">
        <v>401</v>
      </c>
      <c r="C642" s="5" t="s">
        <v>6004</v>
      </c>
      <c r="D642" s="21">
        <v>1</v>
      </c>
      <c r="E642" s="21"/>
      <c r="F642" s="21" t="s">
        <v>10438</v>
      </c>
      <c r="G642" s="21"/>
      <c r="H642" s="54">
        <v>10680</v>
      </c>
      <c r="I642" s="51">
        <v>5340</v>
      </c>
      <c r="J642" s="27"/>
      <c r="K642" s="27"/>
      <c r="L642" s="15"/>
      <c r="M642" s="15"/>
      <c r="N642" s="4"/>
      <c r="O642" s="4"/>
    </row>
    <row r="643" spans="1:15" x14ac:dyDescent="0.2">
      <c r="A643" s="2">
        <v>40006013</v>
      </c>
      <c r="B643" s="2" t="s">
        <v>1418</v>
      </c>
      <c r="C643" s="5" t="s">
        <v>5322</v>
      </c>
      <c r="D643" s="21">
        <v>2</v>
      </c>
      <c r="E643" s="21"/>
      <c r="F643" s="21" t="s">
        <v>10438</v>
      </c>
      <c r="G643" s="21"/>
      <c r="H643" s="54">
        <v>10</v>
      </c>
      <c r="I643" s="51"/>
      <c r="J643" s="27"/>
      <c r="K643" s="27"/>
      <c r="L643" s="15"/>
      <c r="M643" s="15"/>
      <c r="N643" s="4" t="s">
        <v>4244</v>
      </c>
      <c r="O643" s="4"/>
    </row>
    <row r="644" spans="1:15" x14ac:dyDescent="0.2">
      <c r="A644" s="2">
        <v>40007620</v>
      </c>
      <c r="B644" s="2" t="s">
        <v>2807</v>
      </c>
      <c r="C644" s="5" t="s">
        <v>8507</v>
      </c>
      <c r="D644" s="21">
        <v>4</v>
      </c>
      <c r="E644" s="21"/>
      <c r="F644" s="21" t="s">
        <v>10438</v>
      </c>
      <c r="G644" s="21"/>
      <c r="H644" s="54">
        <v>128</v>
      </c>
      <c r="I644" s="51"/>
      <c r="J644" s="27"/>
      <c r="K644" s="27"/>
      <c r="L644" s="15">
        <v>2</v>
      </c>
      <c r="M644" s="15"/>
      <c r="N644" s="4" t="s">
        <v>10464</v>
      </c>
      <c r="O644" s="4">
        <v>83</v>
      </c>
    </row>
    <row r="645" spans="1:15" x14ac:dyDescent="0.2">
      <c r="A645" s="2">
        <v>40006129</v>
      </c>
      <c r="B645" s="2" t="s">
        <v>1520</v>
      </c>
      <c r="C645" s="5" t="s">
        <v>7225</v>
      </c>
      <c r="D645" s="21">
        <v>5</v>
      </c>
      <c r="E645" s="21"/>
      <c r="F645" s="21" t="s">
        <v>10438</v>
      </c>
      <c r="G645" s="21"/>
      <c r="H645" s="54">
        <v>8</v>
      </c>
      <c r="I645" s="51"/>
      <c r="J645" s="27"/>
      <c r="K645" s="27"/>
      <c r="L645" s="15"/>
      <c r="M645" s="15"/>
      <c r="N645" s="4" t="s">
        <v>4432</v>
      </c>
      <c r="O645" s="4"/>
    </row>
    <row r="646" spans="1:15" x14ac:dyDescent="0.2">
      <c r="A646" s="2">
        <v>40005385</v>
      </c>
      <c r="B646" s="2" t="s">
        <v>862</v>
      </c>
      <c r="C646" s="5" t="s">
        <v>6584</v>
      </c>
      <c r="D646" s="21">
        <v>3</v>
      </c>
      <c r="E646" s="21"/>
      <c r="F646" s="21" t="s">
        <v>10438</v>
      </c>
      <c r="G646" s="21"/>
      <c r="H646" s="54">
        <v>91</v>
      </c>
      <c r="I646" s="51"/>
      <c r="J646" s="27"/>
      <c r="K646" s="27"/>
      <c r="L646" s="15"/>
      <c r="M646" s="15"/>
      <c r="N646" s="4" t="s">
        <v>4089</v>
      </c>
      <c r="O646" s="4" t="s">
        <v>10152</v>
      </c>
    </row>
    <row r="647" spans="1:15" x14ac:dyDescent="0.2">
      <c r="A647" s="2">
        <v>40007949</v>
      </c>
      <c r="B647" s="2" t="s">
        <v>3100</v>
      </c>
      <c r="C647" s="5" t="s">
        <v>8794</v>
      </c>
      <c r="D647" s="21">
        <v>9</v>
      </c>
      <c r="E647" s="21"/>
      <c r="F647" s="21" t="s">
        <v>10438</v>
      </c>
      <c r="G647" s="21"/>
      <c r="H647" s="54">
        <v>46</v>
      </c>
      <c r="I647" s="51"/>
      <c r="J647" s="27"/>
      <c r="K647" s="27"/>
      <c r="L647" s="15"/>
      <c r="M647" s="15"/>
      <c r="N647" s="4"/>
      <c r="O647" s="4">
        <v>89</v>
      </c>
    </row>
    <row r="648" spans="1:15" x14ac:dyDescent="0.2">
      <c r="A648" s="2">
        <v>40008034</v>
      </c>
      <c r="B648" s="2" t="s">
        <v>3173</v>
      </c>
      <c r="C648" s="5" t="s">
        <v>8867</v>
      </c>
      <c r="D648" s="21">
        <v>18</v>
      </c>
      <c r="E648" s="21"/>
      <c r="F648" s="21" t="s">
        <v>10438</v>
      </c>
      <c r="G648" s="21"/>
      <c r="H648" s="54">
        <v>326.04000000000002</v>
      </c>
      <c r="I648" s="51"/>
      <c r="J648" s="27"/>
      <c r="K648" s="27"/>
      <c r="L648" s="15"/>
      <c r="M648" s="15"/>
      <c r="N648" s="4" t="s">
        <v>5171</v>
      </c>
      <c r="O648" s="4"/>
    </row>
    <row r="649" spans="1:15" x14ac:dyDescent="0.2">
      <c r="A649" s="2">
        <v>40007104</v>
      </c>
      <c r="B649" s="2" t="s">
        <v>2375</v>
      </c>
      <c r="C649" s="5" t="s">
        <v>8080</v>
      </c>
      <c r="D649" s="21">
        <v>1</v>
      </c>
      <c r="E649" s="21"/>
      <c r="F649" s="21" t="s">
        <v>10438</v>
      </c>
      <c r="G649" s="21"/>
      <c r="H649" s="54">
        <v>50</v>
      </c>
      <c r="I649" s="51"/>
      <c r="J649" s="27"/>
      <c r="K649" s="27"/>
      <c r="L649" s="15"/>
      <c r="M649" s="15">
        <v>3</v>
      </c>
      <c r="N649" s="4" t="s">
        <v>4829</v>
      </c>
      <c r="O649" s="4"/>
    </row>
    <row r="650" spans="1:15" x14ac:dyDescent="0.2">
      <c r="A650" s="2">
        <v>40008171</v>
      </c>
      <c r="B650" s="2" t="s">
        <v>3294</v>
      </c>
      <c r="C650" s="5" t="s">
        <v>8987</v>
      </c>
      <c r="D650" s="21">
        <v>11</v>
      </c>
      <c r="E650" s="21"/>
      <c r="F650" s="21" t="s">
        <v>10438</v>
      </c>
      <c r="G650" s="21"/>
      <c r="H650" s="54">
        <v>35</v>
      </c>
      <c r="I650" s="51"/>
      <c r="J650" s="27"/>
      <c r="K650" s="27"/>
      <c r="L650" s="15"/>
      <c r="M650" s="15"/>
      <c r="N650" s="4"/>
      <c r="O650" s="4">
        <v>84</v>
      </c>
    </row>
    <row r="651" spans="1:15" x14ac:dyDescent="0.2">
      <c r="A651" s="2">
        <v>40005838</v>
      </c>
      <c r="B651" s="2" t="s">
        <v>1257</v>
      </c>
      <c r="C651" s="5" t="s">
        <v>6969</v>
      </c>
      <c r="D651" s="21">
        <v>12</v>
      </c>
      <c r="E651" s="21"/>
      <c r="F651" s="21" t="s">
        <v>10438</v>
      </c>
      <c r="G651" s="21"/>
      <c r="H651" s="54">
        <v>84</v>
      </c>
      <c r="I651" s="51"/>
      <c r="J651" s="27"/>
      <c r="K651" s="27"/>
      <c r="L651" s="15"/>
      <c r="M651" s="15"/>
      <c r="N651" s="4" t="s">
        <v>4287</v>
      </c>
      <c r="O651" s="4"/>
    </row>
    <row r="652" spans="1:15" x14ac:dyDescent="0.2">
      <c r="A652" s="2">
        <v>40005454</v>
      </c>
      <c r="B652" s="2" t="s">
        <v>927</v>
      </c>
      <c r="C652" s="5" t="s">
        <v>6649</v>
      </c>
      <c r="D652" s="21">
        <v>2</v>
      </c>
      <c r="E652" s="21"/>
      <c r="F652" s="21" t="s">
        <v>10438</v>
      </c>
      <c r="G652" s="21"/>
      <c r="H652" s="54">
        <v>98</v>
      </c>
      <c r="I652" s="51"/>
      <c r="J652" s="27"/>
      <c r="K652" s="27"/>
      <c r="L652" s="15"/>
      <c r="M652" s="15"/>
      <c r="N652" s="4" t="s">
        <v>4120</v>
      </c>
      <c r="O652" s="4"/>
    </row>
    <row r="653" spans="1:15" x14ac:dyDescent="0.2">
      <c r="A653" s="2">
        <v>10019746</v>
      </c>
      <c r="B653" s="2" t="s">
        <v>3662</v>
      </c>
      <c r="C653" s="5" t="s">
        <v>6211</v>
      </c>
      <c r="D653" s="21">
        <v>13</v>
      </c>
      <c r="E653" s="21"/>
      <c r="F653" s="21" t="s">
        <v>10438</v>
      </c>
      <c r="G653" s="21"/>
      <c r="H653" s="54">
        <v>24</v>
      </c>
      <c r="I653" s="51"/>
      <c r="J653" s="27"/>
      <c r="K653" s="27"/>
      <c r="L653" s="15"/>
      <c r="M653" s="15"/>
      <c r="N653" s="4">
        <v>65</v>
      </c>
      <c r="O653" s="4"/>
    </row>
    <row r="654" spans="1:15" x14ac:dyDescent="0.2">
      <c r="A654" s="2">
        <v>40005607</v>
      </c>
      <c r="B654" s="2" t="s">
        <v>1051</v>
      </c>
      <c r="C654" s="5" t="s">
        <v>6779</v>
      </c>
      <c r="D654" s="21">
        <v>10</v>
      </c>
      <c r="E654" s="21"/>
      <c r="F654" s="21" t="s">
        <v>10438</v>
      </c>
      <c r="G654" s="21"/>
      <c r="H654" s="54">
        <v>2</v>
      </c>
      <c r="I654" s="51"/>
      <c r="J654" s="27"/>
      <c r="K654" s="27"/>
      <c r="L654" s="15"/>
      <c r="M654" s="15"/>
      <c r="N654" s="4" t="s">
        <v>4172</v>
      </c>
      <c r="O654" s="4"/>
    </row>
    <row r="655" spans="1:15" x14ac:dyDescent="0.2">
      <c r="A655" s="2">
        <v>40005659</v>
      </c>
      <c r="B655" s="2" t="s">
        <v>1097</v>
      </c>
      <c r="C655" s="5" t="s">
        <v>6815</v>
      </c>
      <c r="D655" s="21">
        <v>8</v>
      </c>
      <c r="E655" s="21"/>
      <c r="F655" s="21" t="s">
        <v>10438</v>
      </c>
      <c r="G655" s="21"/>
      <c r="H655" s="54">
        <v>14</v>
      </c>
      <c r="I655" s="51"/>
      <c r="J655" s="27"/>
      <c r="K655" s="27"/>
      <c r="L655" s="15"/>
      <c r="M655" s="15"/>
      <c r="N655" s="4" t="s">
        <v>4198</v>
      </c>
      <c r="O655" s="4"/>
    </row>
    <row r="656" spans="1:15" x14ac:dyDescent="0.2">
      <c r="A656" s="2">
        <v>40007727</v>
      </c>
      <c r="B656" s="2" t="s">
        <v>2902</v>
      </c>
      <c r="C656" s="5" t="s">
        <v>8599</v>
      </c>
      <c r="D656" s="21">
        <v>21</v>
      </c>
      <c r="E656" s="21"/>
      <c r="F656" s="30">
        <v>2</v>
      </c>
      <c r="G656" s="21"/>
      <c r="H656" s="54">
        <v>67</v>
      </c>
      <c r="I656" s="51"/>
      <c r="J656" s="27"/>
      <c r="K656" s="27"/>
      <c r="L656" s="15"/>
      <c r="M656" s="15">
        <v>5</v>
      </c>
      <c r="N656" s="4" t="s">
        <v>4328</v>
      </c>
      <c r="O656" s="4"/>
    </row>
    <row r="657" spans="1:15" x14ac:dyDescent="0.2">
      <c r="A657" s="2">
        <v>40005606</v>
      </c>
      <c r="B657" s="2" t="s">
        <v>1050</v>
      </c>
      <c r="C657" s="5" t="s">
        <v>6778</v>
      </c>
      <c r="D657" s="21">
        <v>9</v>
      </c>
      <c r="E657" s="21"/>
      <c r="F657" s="21" t="s">
        <v>10438</v>
      </c>
      <c r="G657" s="21"/>
      <c r="H657" s="54">
        <v>26</v>
      </c>
      <c r="I657" s="51"/>
      <c r="J657" s="27"/>
      <c r="K657" s="27"/>
      <c r="L657" s="15"/>
      <c r="M657" s="15"/>
      <c r="N657" s="4" t="s">
        <v>4171</v>
      </c>
      <c r="O657" s="4"/>
    </row>
    <row r="658" spans="1:15" x14ac:dyDescent="0.2">
      <c r="A658" s="2">
        <v>40006932</v>
      </c>
      <c r="B658" s="2" t="s">
        <v>2225</v>
      </c>
      <c r="C658" s="5" t="s">
        <v>7934</v>
      </c>
      <c r="D658" s="21">
        <v>2</v>
      </c>
      <c r="E658" s="21"/>
      <c r="F658" s="21" t="s">
        <v>10438</v>
      </c>
      <c r="G658" s="21"/>
      <c r="H658" s="54">
        <v>4</v>
      </c>
      <c r="I658" s="51"/>
      <c r="J658" s="27"/>
      <c r="K658" s="27"/>
      <c r="L658" s="15"/>
      <c r="M658" s="15"/>
      <c r="N658" s="4" t="s">
        <v>4736</v>
      </c>
      <c r="O658" s="4"/>
    </row>
    <row r="659" spans="1:15" x14ac:dyDescent="0.2">
      <c r="A659" s="2">
        <v>40003877</v>
      </c>
      <c r="B659" s="2" t="s">
        <v>706</v>
      </c>
      <c r="C659" s="5" t="s">
        <v>6420</v>
      </c>
      <c r="D659" s="21">
        <v>1</v>
      </c>
      <c r="E659" s="21"/>
      <c r="F659" s="21" t="s">
        <v>10438</v>
      </c>
      <c r="G659" s="21"/>
      <c r="H659" s="54">
        <v>6</v>
      </c>
      <c r="I659" s="51"/>
      <c r="J659" s="27"/>
      <c r="K659" s="27"/>
      <c r="L659" s="15">
        <v>10</v>
      </c>
      <c r="M659" s="15">
        <v>3</v>
      </c>
      <c r="N659" s="4" t="s">
        <v>3980</v>
      </c>
      <c r="O659" s="4"/>
    </row>
    <row r="660" spans="1:15" x14ac:dyDescent="0.2">
      <c r="A660" s="2">
        <v>40006747</v>
      </c>
      <c r="B660" s="2" t="s">
        <v>2050</v>
      </c>
      <c r="C660" s="5" t="s">
        <v>7762</v>
      </c>
      <c r="D660" s="21">
        <v>6</v>
      </c>
      <c r="E660" s="21"/>
      <c r="F660" s="30">
        <v>1</v>
      </c>
      <c r="G660" s="21"/>
      <c r="H660" s="54">
        <v>19</v>
      </c>
      <c r="I660" s="51"/>
      <c r="J660" s="27"/>
      <c r="K660" s="27"/>
      <c r="L660" s="15"/>
      <c r="M660" s="15"/>
      <c r="N660" s="4" t="s">
        <v>4666</v>
      </c>
      <c r="O660" s="4"/>
    </row>
    <row r="661" spans="1:15" x14ac:dyDescent="0.2">
      <c r="A661" s="2">
        <v>40006197</v>
      </c>
      <c r="B661" s="2" t="s">
        <v>1580</v>
      </c>
      <c r="C661" s="5" t="s">
        <v>7287</v>
      </c>
      <c r="D661" s="21">
        <v>8</v>
      </c>
      <c r="E661" s="21"/>
      <c r="F661" s="21" t="s">
        <v>10438</v>
      </c>
      <c r="G661" s="21"/>
      <c r="H661" s="54">
        <v>35</v>
      </c>
      <c r="I661" s="51"/>
      <c r="J661" s="27"/>
      <c r="K661" s="27"/>
      <c r="L661" s="15"/>
      <c r="M661" s="15"/>
      <c r="N661" s="4" t="s">
        <v>4468</v>
      </c>
      <c r="O661" s="4"/>
    </row>
    <row r="662" spans="1:15" x14ac:dyDescent="0.2">
      <c r="A662" s="2">
        <v>40008098</v>
      </c>
      <c r="B662" s="2" t="s">
        <v>3225</v>
      </c>
      <c r="C662" s="5" t="s">
        <v>8921</v>
      </c>
      <c r="D662" s="21">
        <v>6</v>
      </c>
      <c r="E662" s="21"/>
      <c r="F662" s="21" t="s">
        <v>10438</v>
      </c>
      <c r="G662" s="21"/>
      <c r="H662" s="54">
        <v>67</v>
      </c>
      <c r="I662" s="51"/>
      <c r="J662" s="27"/>
      <c r="K662" s="27"/>
      <c r="L662" s="15"/>
      <c r="M662" s="15"/>
      <c r="N662" s="4" t="s">
        <v>5194</v>
      </c>
      <c r="O662" s="4"/>
    </row>
    <row r="663" spans="1:15" x14ac:dyDescent="0.2">
      <c r="A663" s="2">
        <v>40008025</v>
      </c>
      <c r="B663" s="2" t="s">
        <v>3165</v>
      </c>
      <c r="C663" s="5" t="s">
        <v>8859</v>
      </c>
      <c r="D663" s="21">
        <v>8</v>
      </c>
      <c r="E663" s="21"/>
      <c r="F663" s="21" t="s">
        <v>10438</v>
      </c>
      <c r="G663" s="21"/>
      <c r="H663" s="54">
        <v>104</v>
      </c>
      <c r="I663" s="51"/>
      <c r="J663" s="27"/>
      <c r="K663" s="27"/>
      <c r="L663" s="15"/>
      <c r="M663" s="15"/>
      <c r="N663" s="4"/>
      <c r="O663" s="4">
        <v>42</v>
      </c>
    </row>
    <row r="664" spans="1:15" x14ac:dyDescent="0.2">
      <c r="A664" s="2">
        <v>40007652</v>
      </c>
      <c r="B664" s="2" t="s">
        <v>2833</v>
      </c>
      <c r="C664" s="5" t="s">
        <v>8532</v>
      </c>
      <c r="D664" s="21">
        <v>81</v>
      </c>
      <c r="E664" s="21"/>
      <c r="F664" s="30">
        <v>5</v>
      </c>
      <c r="G664" s="21"/>
      <c r="H664" s="54">
        <v>84</v>
      </c>
      <c r="I664" s="51"/>
      <c r="J664" s="27"/>
      <c r="K664" s="27"/>
      <c r="L664" s="15">
        <v>30</v>
      </c>
      <c r="M664" s="15">
        <v>30</v>
      </c>
      <c r="N664" s="4" t="s">
        <v>5025</v>
      </c>
      <c r="O664" s="4"/>
    </row>
    <row r="665" spans="1:15" x14ac:dyDescent="0.2">
      <c r="A665" s="2">
        <v>40006854</v>
      </c>
      <c r="B665" s="2" t="s">
        <v>2152</v>
      </c>
      <c r="C665" s="5" t="s">
        <v>7861</v>
      </c>
      <c r="D665" s="21">
        <v>7</v>
      </c>
      <c r="E665" s="21"/>
      <c r="F665" s="21" t="s">
        <v>10438</v>
      </c>
      <c r="G665" s="21"/>
      <c r="H665" s="54">
        <v>5</v>
      </c>
      <c r="I665" s="51"/>
      <c r="J665" s="27"/>
      <c r="K665" s="27"/>
      <c r="L665" s="15">
        <v>10</v>
      </c>
      <c r="M665" s="15"/>
      <c r="N665" s="4" t="s">
        <v>4714</v>
      </c>
      <c r="O665" s="4"/>
    </row>
    <row r="666" spans="1:15" x14ac:dyDescent="0.2">
      <c r="A666" s="2">
        <v>40006876</v>
      </c>
      <c r="B666" s="2" t="s">
        <v>2171</v>
      </c>
      <c r="C666" s="5" t="s">
        <v>7880</v>
      </c>
      <c r="D666" s="21">
        <v>1</v>
      </c>
      <c r="E666" s="21"/>
      <c r="F666" s="21" t="s">
        <v>10438</v>
      </c>
      <c r="G666" s="21"/>
      <c r="H666" s="54">
        <v>49</v>
      </c>
      <c r="I666" s="51"/>
      <c r="J666" s="27"/>
      <c r="K666" s="27"/>
      <c r="L666" s="15"/>
      <c r="M666" s="15"/>
      <c r="N666" s="4" t="s">
        <v>4360</v>
      </c>
      <c r="O666" s="4"/>
    </row>
    <row r="667" spans="1:15" x14ac:dyDescent="0.2">
      <c r="A667" s="2">
        <v>40006877</v>
      </c>
      <c r="B667" s="2" t="s">
        <v>2172</v>
      </c>
      <c r="C667" s="5" t="s">
        <v>7881</v>
      </c>
      <c r="D667" s="21">
        <v>3</v>
      </c>
      <c r="E667" s="21"/>
      <c r="F667" s="21" t="s">
        <v>10438</v>
      </c>
      <c r="G667" s="21"/>
      <c r="H667" s="54">
        <v>66</v>
      </c>
      <c r="I667" s="51"/>
      <c r="J667" s="27"/>
      <c r="K667" s="27"/>
      <c r="L667" s="15"/>
      <c r="M667" s="15"/>
      <c r="N667" s="4" t="s">
        <v>4726</v>
      </c>
      <c r="O667" s="4"/>
    </row>
    <row r="668" spans="1:15" x14ac:dyDescent="0.2">
      <c r="A668" s="2">
        <v>40007703</v>
      </c>
      <c r="B668" s="2" t="s">
        <v>2879</v>
      </c>
      <c r="C668" s="5" t="s">
        <v>8577</v>
      </c>
      <c r="D668" s="21">
        <v>1</v>
      </c>
      <c r="E668" s="21"/>
      <c r="F668" s="21" t="s">
        <v>10438</v>
      </c>
      <c r="G668" s="21"/>
      <c r="H668" s="54">
        <v>11</v>
      </c>
      <c r="I668" s="51"/>
      <c r="J668" s="27"/>
      <c r="K668" s="27"/>
      <c r="L668" s="15"/>
      <c r="M668" s="15"/>
      <c r="N668" s="4" t="s">
        <v>4417</v>
      </c>
      <c r="O668" s="4"/>
    </row>
    <row r="669" spans="1:15" x14ac:dyDescent="0.2">
      <c r="A669" s="2">
        <v>40006261</v>
      </c>
      <c r="B669" s="2" t="s">
        <v>1637</v>
      </c>
      <c r="C669" s="5" t="s">
        <v>7342</v>
      </c>
      <c r="D669" s="21">
        <v>3</v>
      </c>
      <c r="E669" s="21"/>
      <c r="F669" s="21" t="s">
        <v>10438</v>
      </c>
      <c r="G669" s="21"/>
      <c r="H669" s="54">
        <v>17</v>
      </c>
      <c r="I669" s="51"/>
      <c r="J669" s="27"/>
      <c r="K669" s="27"/>
      <c r="L669" s="15"/>
      <c r="M669" s="15"/>
      <c r="N669" s="4" t="s">
        <v>4494</v>
      </c>
      <c r="O669" s="4"/>
    </row>
    <row r="670" spans="1:15" x14ac:dyDescent="0.2">
      <c r="A670" s="2">
        <v>40006870</v>
      </c>
      <c r="B670" s="2" t="s">
        <v>2166</v>
      </c>
      <c r="C670" s="5" t="s">
        <v>7875</v>
      </c>
      <c r="D670" s="21">
        <v>13</v>
      </c>
      <c r="E670" s="21"/>
      <c r="F670" s="21" t="s">
        <v>10438</v>
      </c>
      <c r="G670" s="21"/>
      <c r="H670" s="54">
        <v>46</v>
      </c>
      <c r="I670" s="51"/>
      <c r="J670" s="27"/>
      <c r="K670" s="27"/>
      <c r="L670" s="15"/>
      <c r="M670" s="15"/>
      <c r="N670" s="4"/>
      <c r="O670" s="4" t="s">
        <v>5223</v>
      </c>
    </row>
    <row r="671" spans="1:15" x14ac:dyDescent="0.2">
      <c r="A671" s="2">
        <v>40007633</v>
      </c>
      <c r="B671" s="2" t="s">
        <v>2820</v>
      </c>
      <c r="C671" s="5" t="s">
        <v>8519</v>
      </c>
      <c r="D671" s="21">
        <v>24</v>
      </c>
      <c r="E671" s="21"/>
      <c r="F671" s="30">
        <v>4</v>
      </c>
      <c r="G671" s="21"/>
      <c r="H671" s="54">
        <v>11</v>
      </c>
      <c r="I671" s="51"/>
      <c r="J671" s="27"/>
      <c r="K671" s="27"/>
      <c r="L671" s="15"/>
      <c r="M671" s="15"/>
      <c r="N671" s="4" t="s">
        <v>5020</v>
      </c>
      <c r="O671" s="4"/>
    </row>
    <row r="672" spans="1:15" x14ac:dyDescent="0.2">
      <c r="A672" s="2">
        <v>40007698</v>
      </c>
      <c r="B672" s="2" t="s">
        <v>2875</v>
      </c>
      <c r="C672" s="5" t="s">
        <v>8573</v>
      </c>
      <c r="D672" s="21"/>
      <c r="E672" s="21"/>
      <c r="F672" s="21" t="s">
        <v>10438</v>
      </c>
      <c r="G672" s="21"/>
      <c r="H672" s="54">
        <v>10</v>
      </c>
      <c r="I672" s="51"/>
      <c r="J672" s="27"/>
      <c r="K672" s="27"/>
      <c r="L672" s="15">
        <v>4</v>
      </c>
      <c r="M672" s="15">
        <v>21</v>
      </c>
      <c r="N672" s="4" t="s">
        <v>4692</v>
      </c>
      <c r="O672" s="4"/>
    </row>
    <row r="673" spans="1:15" x14ac:dyDescent="0.2">
      <c r="A673" s="2">
        <v>40005326</v>
      </c>
      <c r="B673" s="2" t="s">
        <v>815</v>
      </c>
      <c r="C673" s="5" t="s">
        <v>6532</v>
      </c>
      <c r="D673" s="21">
        <v>2</v>
      </c>
      <c r="E673" s="21"/>
      <c r="F673" s="21" t="s">
        <v>10438</v>
      </c>
      <c r="G673" s="21"/>
      <c r="H673" s="54">
        <v>13</v>
      </c>
      <c r="I673" s="51"/>
      <c r="J673" s="27"/>
      <c r="K673" s="27"/>
      <c r="L673" s="15"/>
      <c r="M673" s="15"/>
      <c r="N673" s="4" t="s">
        <v>4054</v>
      </c>
      <c r="O673" s="4"/>
    </row>
    <row r="674" spans="1:15" x14ac:dyDescent="0.2">
      <c r="A674" s="2">
        <v>40006390</v>
      </c>
      <c r="B674" s="2" t="s">
        <v>1750</v>
      </c>
      <c r="C674" s="5" t="s">
        <v>7461</v>
      </c>
      <c r="D674" s="21">
        <v>10</v>
      </c>
      <c r="E674" s="21"/>
      <c r="F674" s="21" t="s">
        <v>10438</v>
      </c>
      <c r="G674" s="21"/>
      <c r="H674" s="54">
        <v>10</v>
      </c>
      <c r="I674" s="51"/>
      <c r="J674" s="27"/>
      <c r="K674" s="27"/>
      <c r="L674" s="15"/>
      <c r="M674" s="15"/>
      <c r="N674" s="4" t="s">
        <v>4236</v>
      </c>
      <c r="O674" s="4"/>
    </row>
    <row r="675" spans="1:15" x14ac:dyDescent="0.2">
      <c r="A675" s="2">
        <v>40006878</v>
      </c>
      <c r="B675" s="2" t="s">
        <v>2173</v>
      </c>
      <c r="C675" s="5" t="s">
        <v>7882</v>
      </c>
      <c r="D675" s="21">
        <v>6</v>
      </c>
      <c r="E675" s="21"/>
      <c r="F675" s="21" t="s">
        <v>10438</v>
      </c>
      <c r="G675" s="21"/>
      <c r="H675" s="54">
        <v>19</v>
      </c>
      <c r="I675" s="51"/>
      <c r="J675" s="27"/>
      <c r="K675" s="27"/>
      <c r="L675" s="15"/>
      <c r="M675" s="15"/>
      <c r="N675" s="4" t="s">
        <v>4727</v>
      </c>
      <c r="O675" s="4"/>
    </row>
    <row r="676" spans="1:15" x14ac:dyDescent="0.2">
      <c r="A676" s="2">
        <v>40006801</v>
      </c>
      <c r="B676" s="2" t="s">
        <v>2100</v>
      </c>
      <c r="C676" s="5" t="s">
        <v>7809</v>
      </c>
      <c r="D676" s="21">
        <v>15</v>
      </c>
      <c r="E676" s="21"/>
      <c r="F676" s="21" t="s">
        <v>10438</v>
      </c>
      <c r="G676" s="21"/>
      <c r="H676" s="54">
        <v>3</v>
      </c>
      <c r="I676" s="51"/>
      <c r="J676" s="27"/>
      <c r="K676" s="27"/>
      <c r="L676" s="15"/>
      <c r="M676" s="15"/>
      <c r="N676" s="4" t="s">
        <v>4180</v>
      </c>
      <c r="O676" s="4"/>
    </row>
    <row r="677" spans="1:15" x14ac:dyDescent="0.2">
      <c r="A677" s="2">
        <v>40007889</v>
      </c>
      <c r="B677" s="2" t="s">
        <v>3044</v>
      </c>
      <c r="C677" s="5" t="s">
        <v>8736</v>
      </c>
      <c r="D677" s="21">
        <v>2</v>
      </c>
      <c r="E677" s="21"/>
      <c r="F677" s="21" t="s">
        <v>10438</v>
      </c>
      <c r="G677" s="21"/>
      <c r="H677" s="54">
        <v>41</v>
      </c>
      <c r="I677" s="51"/>
      <c r="J677" s="27"/>
      <c r="K677" s="27"/>
      <c r="L677" s="15"/>
      <c r="M677" s="15"/>
      <c r="N677" s="4"/>
      <c r="O677" s="4" t="s">
        <v>10155</v>
      </c>
    </row>
    <row r="678" spans="1:15" x14ac:dyDescent="0.2">
      <c r="A678" s="2">
        <v>40007928</v>
      </c>
      <c r="B678" s="2" t="s">
        <v>3082</v>
      </c>
      <c r="C678" s="5" t="s">
        <v>8774</v>
      </c>
      <c r="D678" s="21">
        <v>6</v>
      </c>
      <c r="E678" s="21"/>
      <c r="F678" s="30">
        <v>2</v>
      </c>
      <c r="G678" s="21"/>
      <c r="H678" s="54">
        <v>77</v>
      </c>
      <c r="I678" s="51"/>
      <c r="J678" s="27"/>
      <c r="K678" s="27"/>
      <c r="L678" s="15">
        <v>10</v>
      </c>
      <c r="M678" s="15"/>
      <c r="N678" s="4" t="s">
        <v>5133</v>
      </c>
      <c r="O678" s="4">
        <v>41</v>
      </c>
    </row>
    <row r="679" spans="1:15" x14ac:dyDescent="0.2">
      <c r="A679" s="2">
        <v>40005834</v>
      </c>
      <c r="B679" s="2" t="s">
        <v>1253</v>
      </c>
      <c r="C679" s="5" t="s">
        <v>6965</v>
      </c>
      <c r="D679" s="21"/>
      <c r="E679" s="21"/>
      <c r="F679" s="21" t="s">
        <v>10438</v>
      </c>
      <c r="G679" s="21"/>
      <c r="H679" s="54">
        <v>126</v>
      </c>
      <c r="I679" s="51"/>
      <c r="J679" s="27"/>
      <c r="K679" s="27"/>
      <c r="L679" s="15"/>
      <c r="M679" s="15">
        <v>3</v>
      </c>
      <c r="N679" s="4" t="s">
        <v>4284</v>
      </c>
      <c r="O679" s="4"/>
    </row>
    <row r="680" spans="1:15" x14ac:dyDescent="0.2">
      <c r="A680" s="2">
        <v>40006446</v>
      </c>
      <c r="B680" s="7" t="s">
        <v>1803</v>
      </c>
      <c r="C680" s="5" t="s">
        <v>7510</v>
      </c>
      <c r="D680" s="21">
        <v>31</v>
      </c>
      <c r="E680" s="21"/>
      <c r="F680" s="30">
        <v>3</v>
      </c>
      <c r="G680" s="21"/>
      <c r="H680" s="54">
        <v>71</v>
      </c>
      <c r="I680" s="51"/>
      <c r="J680" s="27"/>
      <c r="K680" s="27"/>
      <c r="L680" s="15"/>
      <c r="M680" s="15">
        <v>6</v>
      </c>
      <c r="N680" s="4" t="s">
        <v>4600</v>
      </c>
      <c r="O680" s="4" t="s">
        <v>10089</v>
      </c>
    </row>
    <row r="681" spans="1:15" x14ac:dyDescent="0.2">
      <c r="A681" s="2">
        <v>40006296</v>
      </c>
      <c r="B681" s="2" t="s">
        <v>1669</v>
      </c>
      <c r="C681" s="5" t="s">
        <v>7377</v>
      </c>
      <c r="D681" s="21">
        <v>1</v>
      </c>
      <c r="E681" s="21"/>
      <c r="F681" s="21" t="s">
        <v>10438</v>
      </c>
      <c r="G681" s="21"/>
      <c r="H681" s="54">
        <v>31</v>
      </c>
      <c r="I681" s="51"/>
      <c r="J681" s="27"/>
      <c r="K681" s="27"/>
      <c r="L681" s="15"/>
      <c r="M681" s="15"/>
      <c r="N681" s="4" t="s">
        <v>4514</v>
      </c>
      <c r="O681" s="4"/>
    </row>
    <row r="682" spans="1:15" x14ac:dyDescent="0.2">
      <c r="A682" s="2">
        <v>40007655</v>
      </c>
      <c r="B682" s="2" t="s">
        <v>2836</v>
      </c>
      <c r="C682" s="5" t="s">
        <v>8535</v>
      </c>
      <c r="D682" s="21">
        <v>1</v>
      </c>
      <c r="E682" s="21"/>
      <c r="F682" s="21" t="s">
        <v>10438</v>
      </c>
      <c r="G682" s="21"/>
      <c r="H682" s="54">
        <v>8</v>
      </c>
      <c r="I682" s="51"/>
      <c r="J682" s="27"/>
      <c r="K682" s="27"/>
      <c r="L682" s="15"/>
      <c r="M682" s="15"/>
      <c r="N682" s="4" t="s">
        <v>4795</v>
      </c>
      <c r="O682" s="4"/>
    </row>
    <row r="683" spans="1:15" x14ac:dyDescent="0.2">
      <c r="A683" s="2">
        <v>40006527</v>
      </c>
      <c r="B683" s="2" t="s">
        <v>1870</v>
      </c>
      <c r="C683" s="5" t="s">
        <v>7578</v>
      </c>
      <c r="D683" s="21">
        <v>5</v>
      </c>
      <c r="E683" s="21"/>
      <c r="F683" s="21" t="s">
        <v>10438</v>
      </c>
      <c r="G683" s="21"/>
      <c r="H683" s="54">
        <v>23</v>
      </c>
      <c r="I683" s="51"/>
      <c r="J683" s="27"/>
      <c r="K683" s="27"/>
      <c r="L683" s="15"/>
      <c r="M683" s="15"/>
      <c r="N683" s="4" t="s">
        <v>4624</v>
      </c>
      <c r="O683" s="4"/>
    </row>
    <row r="684" spans="1:15" x14ac:dyDescent="0.2">
      <c r="A684" s="2">
        <v>40006528</v>
      </c>
      <c r="B684" s="2" t="s">
        <v>1871</v>
      </c>
      <c r="C684" s="5" t="s">
        <v>7579</v>
      </c>
      <c r="D684" s="21">
        <v>5</v>
      </c>
      <c r="E684" s="21"/>
      <c r="F684" s="21" t="s">
        <v>10438</v>
      </c>
      <c r="G684" s="21"/>
      <c r="H684" s="54">
        <v>23</v>
      </c>
      <c r="I684" s="51"/>
      <c r="J684" s="27"/>
      <c r="K684" s="27"/>
      <c r="L684" s="15"/>
      <c r="M684" s="15"/>
      <c r="N684" s="4" t="s">
        <v>4249</v>
      </c>
      <c r="O684" s="4"/>
    </row>
    <row r="685" spans="1:15" x14ac:dyDescent="0.2">
      <c r="A685" s="2">
        <v>40005886</v>
      </c>
      <c r="B685" s="2" t="s">
        <v>1302</v>
      </c>
      <c r="C685" s="5" t="s">
        <v>7012</v>
      </c>
      <c r="D685" s="21">
        <v>2</v>
      </c>
      <c r="E685" s="21"/>
      <c r="F685" s="21" t="s">
        <v>10438</v>
      </c>
      <c r="G685" s="21"/>
      <c r="H685" s="54">
        <v>14</v>
      </c>
      <c r="I685" s="51"/>
      <c r="J685" s="27"/>
      <c r="K685" s="27"/>
      <c r="L685" s="15"/>
      <c r="M685" s="15">
        <v>5</v>
      </c>
      <c r="N685" s="4" t="s">
        <v>10717</v>
      </c>
      <c r="O685" s="4"/>
    </row>
    <row r="686" spans="1:15" x14ac:dyDescent="0.2">
      <c r="A686" s="2">
        <v>40007697</v>
      </c>
      <c r="B686" s="2" t="s">
        <v>2874</v>
      </c>
      <c r="C686" s="5" t="s">
        <v>8572</v>
      </c>
      <c r="D686" s="21">
        <v>2</v>
      </c>
      <c r="E686" s="21"/>
      <c r="F686" s="21" t="s">
        <v>10438</v>
      </c>
      <c r="G686" s="21"/>
      <c r="H686" s="54">
        <v>5.5</v>
      </c>
      <c r="I686" s="51"/>
      <c r="J686" s="27"/>
      <c r="K686" s="27"/>
      <c r="L686" s="15"/>
      <c r="M686" s="15"/>
      <c r="N686" s="4" t="s">
        <v>4827</v>
      </c>
      <c r="O686" s="4"/>
    </row>
    <row r="687" spans="1:15" x14ac:dyDescent="0.2">
      <c r="A687" s="2">
        <v>40005810</v>
      </c>
      <c r="B687" s="2" t="s">
        <v>1232</v>
      </c>
      <c r="C687" s="5" t="s">
        <v>6945</v>
      </c>
      <c r="D687" s="21">
        <v>2</v>
      </c>
      <c r="E687" s="21"/>
      <c r="F687" s="21" t="s">
        <v>10438</v>
      </c>
      <c r="G687" s="21"/>
      <c r="H687" s="54">
        <v>110</v>
      </c>
      <c r="I687" s="51"/>
      <c r="J687" s="27"/>
      <c r="K687" s="27"/>
      <c r="L687" s="15"/>
      <c r="M687" s="15"/>
      <c r="N687" s="4"/>
      <c r="O687" s="4" t="s">
        <v>10094</v>
      </c>
    </row>
    <row r="688" spans="1:15" x14ac:dyDescent="0.2">
      <c r="A688" s="2">
        <v>40010780</v>
      </c>
      <c r="B688" s="2" t="s">
        <v>3563</v>
      </c>
      <c r="C688" s="10" t="s">
        <v>9283</v>
      </c>
      <c r="D688" s="21">
        <v>4</v>
      </c>
      <c r="E688" s="21"/>
      <c r="F688" s="21" t="s">
        <v>10438</v>
      </c>
      <c r="G688" s="21"/>
      <c r="H688" s="54">
        <v>67</v>
      </c>
      <c r="I688" s="51"/>
      <c r="J688" s="27"/>
      <c r="K688" s="27"/>
      <c r="L688" s="15"/>
      <c r="M688" s="15"/>
      <c r="N688" s="4" t="s">
        <v>5278</v>
      </c>
      <c r="O688" s="4"/>
    </row>
    <row r="689" spans="1:15" x14ac:dyDescent="0.2">
      <c r="A689" s="2">
        <v>40010258</v>
      </c>
      <c r="B689" s="2" t="s">
        <v>3452</v>
      </c>
      <c r="C689" s="5" t="s">
        <v>9146</v>
      </c>
      <c r="D689" s="21">
        <v>15</v>
      </c>
      <c r="E689" s="21"/>
      <c r="F689" s="21" t="s">
        <v>10438</v>
      </c>
      <c r="G689" s="21"/>
      <c r="H689" s="54">
        <v>90</v>
      </c>
      <c r="I689" s="51"/>
      <c r="J689" s="27"/>
      <c r="K689" s="27"/>
      <c r="L689" s="15"/>
      <c r="M689" s="15"/>
      <c r="N689" s="4"/>
      <c r="O689" s="4" t="s">
        <v>5050</v>
      </c>
    </row>
    <row r="690" spans="1:15" x14ac:dyDescent="0.2">
      <c r="A690" s="2">
        <v>40005306</v>
      </c>
      <c r="B690" s="2" t="s">
        <v>801</v>
      </c>
      <c r="C690" s="5" t="s">
        <v>6518</v>
      </c>
      <c r="D690" s="21">
        <v>7</v>
      </c>
      <c r="E690" s="21"/>
      <c r="F690" s="21" t="s">
        <v>10438</v>
      </c>
      <c r="G690" s="21"/>
      <c r="H690" s="54">
        <v>86</v>
      </c>
      <c r="I690" s="51"/>
      <c r="J690" s="27"/>
      <c r="K690" s="27"/>
      <c r="L690" s="15"/>
      <c r="M690" s="15"/>
      <c r="N690" s="4" t="s">
        <v>4034</v>
      </c>
      <c r="O690" s="4"/>
    </row>
    <row r="691" spans="1:15" x14ac:dyDescent="0.2">
      <c r="A691" s="2">
        <v>40011157</v>
      </c>
      <c r="B691" s="2" t="s">
        <v>3599</v>
      </c>
      <c r="C691" s="5" t="s">
        <v>9333</v>
      </c>
      <c r="D691" s="21">
        <v>10</v>
      </c>
      <c r="E691" s="21"/>
      <c r="F691" s="21" t="s">
        <v>10438</v>
      </c>
      <c r="G691" s="21"/>
      <c r="H691" s="54">
        <v>283</v>
      </c>
      <c r="I691" s="51"/>
      <c r="J691" s="27"/>
      <c r="K691" s="27"/>
      <c r="L691" s="15"/>
      <c r="M691" s="15"/>
      <c r="N691" s="4" t="s">
        <v>5284</v>
      </c>
      <c r="O691" s="4"/>
    </row>
    <row r="692" spans="1:15" x14ac:dyDescent="0.2">
      <c r="A692" s="2">
        <v>40005951</v>
      </c>
      <c r="B692" s="2" t="s">
        <v>1358</v>
      </c>
      <c r="C692" s="5" t="s">
        <v>7064</v>
      </c>
      <c r="D692" s="21">
        <v>9</v>
      </c>
      <c r="E692" s="21"/>
      <c r="F692" s="21" t="s">
        <v>10438</v>
      </c>
      <c r="G692" s="21"/>
      <c r="H692" s="54">
        <v>91</v>
      </c>
      <c r="I692" s="51"/>
      <c r="J692" s="27"/>
      <c r="K692" s="27"/>
      <c r="L692" s="15"/>
      <c r="M692" s="15"/>
      <c r="N692" s="4" t="s">
        <v>4336</v>
      </c>
      <c r="O692" s="4"/>
    </row>
    <row r="693" spans="1:15" x14ac:dyDescent="0.2">
      <c r="A693" s="2">
        <v>40007360</v>
      </c>
      <c r="B693" s="2" t="s">
        <v>2592</v>
      </c>
      <c r="C693" s="5" t="s">
        <v>8291</v>
      </c>
      <c r="D693" s="21">
        <v>18</v>
      </c>
      <c r="E693" s="21"/>
      <c r="F693" s="21" t="s">
        <v>10438</v>
      </c>
      <c r="G693" s="21"/>
      <c r="H693" s="54">
        <v>8</v>
      </c>
      <c r="I693" s="51"/>
      <c r="J693" s="27"/>
      <c r="K693" s="27"/>
      <c r="L693" s="15"/>
      <c r="M693" s="15"/>
      <c r="N693" s="4" t="s">
        <v>4705</v>
      </c>
      <c r="O693" s="4"/>
    </row>
    <row r="694" spans="1:15" x14ac:dyDescent="0.2">
      <c r="A694" s="2">
        <v>40006892</v>
      </c>
      <c r="B694" s="2" t="s">
        <v>2187</v>
      </c>
      <c r="C694" s="5" t="s">
        <v>7896</v>
      </c>
      <c r="D694" s="21">
        <v>4</v>
      </c>
      <c r="E694" s="21"/>
      <c r="F694" s="21" t="s">
        <v>10438</v>
      </c>
      <c r="G694" s="21"/>
      <c r="H694" s="54">
        <v>67</v>
      </c>
      <c r="I694" s="51"/>
      <c r="J694" s="27"/>
      <c r="K694" s="27"/>
      <c r="L694" s="15"/>
      <c r="M694" s="15"/>
      <c r="N694" s="4" t="s">
        <v>4734</v>
      </c>
      <c r="O694" s="4"/>
    </row>
    <row r="695" spans="1:15" x14ac:dyDescent="0.2">
      <c r="A695" s="2">
        <v>10019768</v>
      </c>
      <c r="B695" s="2" t="s">
        <v>584</v>
      </c>
      <c r="C695" s="5" t="s">
        <v>6217</v>
      </c>
      <c r="D695" s="21">
        <v>12</v>
      </c>
      <c r="E695" s="21"/>
      <c r="F695" s="21" t="s">
        <v>10438</v>
      </c>
      <c r="G695" s="21"/>
      <c r="H695" s="54">
        <v>56</v>
      </c>
      <c r="I695" s="51"/>
      <c r="J695" s="27"/>
      <c r="K695" s="27"/>
      <c r="L695" s="15"/>
      <c r="M695" s="15"/>
      <c r="N695" s="4" t="s">
        <v>3962</v>
      </c>
      <c r="O695" s="4"/>
    </row>
    <row r="696" spans="1:15" x14ac:dyDescent="0.2">
      <c r="A696" s="2">
        <v>40007362</v>
      </c>
      <c r="B696" s="2" t="s">
        <v>3848</v>
      </c>
      <c r="C696" s="5" t="s">
        <v>9439</v>
      </c>
      <c r="D696" s="21"/>
      <c r="E696" s="21"/>
      <c r="F696" s="21" t="s">
        <v>10438</v>
      </c>
      <c r="G696" s="21"/>
      <c r="H696" s="54">
        <v>5</v>
      </c>
      <c r="I696" s="51"/>
      <c r="J696" s="27"/>
      <c r="K696" s="27"/>
      <c r="L696" s="15">
        <v>10</v>
      </c>
      <c r="M696" s="15">
        <v>10</v>
      </c>
      <c r="N696" s="4" t="s">
        <v>4027</v>
      </c>
      <c r="O696" s="4"/>
    </row>
    <row r="697" spans="1:15" x14ac:dyDescent="0.2">
      <c r="A697" s="2">
        <v>10018154</v>
      </c>
      <c r="B697" s="2" t="s">
        <v>82</v>
      </c>
      <c r="C697" s="5" t="s">
        <v>5619</v>
      </c>
      <c r="D697" s="21">
        <v>10</v>
      </c>
      <c r="E697" s="21"/>
      <c r="F697" s="21" t="s">
        <v>10438</v>
      </c>
      <c r="G697" s="21"/>
      <c r="H697" s="54">
        <v>2920</v>
      </c>
      <c r="I697" s="51"/>
      <c r="J697" s="27"/>
      <c r="K697" s="27"/>
      <c r="L697" s="15"/>
      <c r="M697" s="15"/>
      <c r="N697" s="4"/>
      <c r="O697" s="4" t="s">
        <v>10451</v>
      </c>
    </row>
    <row r="698" spans="1:15" x14ac:dyDescent="0.2">
      <c r="A698" s="2">
        <v>10018263</v>
      </c>
      <c r="B698" s="2" t="s">
        <v>134</v>
      </c>
      <c r="C698" s="5" t="s">
        <v>5673</v>
      </c>
      <c r="D698" s="21">
        <v>3</v>
      </c>
      <c r="E698" s="21"/>
      <c r="F698" s="21" t="s">
        <v>10438</v>
      </c>
      <c r="G698" s="21"/>
      <c r="H698" s="54">
        <v>1525</v>
      </c>
      <c r="I698" s="51"/>
      <c r="J698" s="27"/>
      <c r="K698" s="27"/>
      <c r="L698" s="15"/>
      <c r="M698" s="15"/>
      <c r="N698" s="4">
        <v>107</v>
      </c>
      <c r="O698" s="4"/>
    </row>
    <row r="699" spans="1:15" x14ac:dyDescent="0.2">
      <c r="A699" s="2">
        <v>10018476</v>
      </c>
      <c r="B699" s="2" t="s">
        <v>186</v>
      </c>
      <c r="C699" s="5" t="s">
        <v>5738</v>
      </c>
      <c r="D699" s="21">
        <v>3</v>
      </c>
      <c r="E699" s="21"/>
      <c r="F699" s="21" t="s">
        <v>10438</v>
      </c>
      <c r="G699" s="21"/>
      <c r="H699" s="54">
        <v>2348</v>
      </c>
      <c r="I699" s="51"/>
      <c r="J699" s="27"/>
      <c r="K699" s="27"/>
      <c r="L699" s="15"/>
      <c r="M699" s="15"/>
      <c r="N699" s="4"/>
      <c r="O699" s="4" t="s">
        <v>10451</v>
      </c>
    </row>
    <row r="700" spans="1:15" x14ac:dyDescent="0.2">
      <c r="A700" s="2">
        <v>10019941</v>
      </c>
      <c r="B700" s="2" t="s">
        <v>634</v>
      </c>
      <c r="C700" s="5" t="s">
        <v>6273</v>
      </c>
      <c r="D700" s="21">
        <v>12</v>
      </c>
      <c r="E700" s="21"/>
      <c r="F700" s="21" t="s">
        <v>10438</v>
      </c>
      <c r="G700" s="21"/>
      <c r="H700" s="54">
        <v>1426</v>
      </c>
      <c r="I700" s="51"/>
      <c r="J700" s="27"/>
      <c r="K700" s="27"/>
      <c r="L700" s="15"/>
      <c r="M700" s="15"/>
      <c r="N700" s="4">
        <v>85</v>
      </c>
      <c r="O700" s="4"/>
    </row>
    <row r="701" spans="1:15" x14ac:dyDescent="0.2">
      <c r="A701" s="2">
        <v>10019908</v>
      </c>
      <c r="B701" s="2" t="s">
        <v>621</v>
      </c>
      <c r="C701" s="5" t="s">
        <v>6260</v>
      </c>
      <c r="D701" s="21">
        <v>9</v>
      </c>
      <c r="E701" s="21"/>
      <c r="F701" s="21" t="s">
        <v>10438</v>
      </c>
      <c r="G701" s="21"/>
      <c r="H701" s="54">
        <v>645</v>
      </c>
      <c r="I701" s="51"/>
      <c r="J701" s="27"/>
      <c r="K701" s="27"/>
      <c r="L701" s="15"/>
      <c r="M701" s="15"/>
      <c r="N701" s="4">
        <v>86</v>
      </c>
      <c r="O701" s="4">
        <v>101</v>
      </c>
    </row>
    <row r="702" spans="1:15" x14ac:dyDescent="0.2">
      <c r="A702" s="2">
        <v>10019887</v>
      </c>
      <c r="B702" s="2" t="s">
        <v>614</v>
      </c>
      <c r="C702" s="5" t="s">
        <v>6251</v>
      </c>
      <c r="D702" s="21">
        <v>6</v>
      </c>
      <c r="E702" s="21"/>
      <c r="F702" s="21" t="s">
        <v>10438</v>
      </c>
      <c r="G702" s="21"/>
      <c r="H702" s="54">
        <v>897</v>
      </c>
      <c r="I702" s="51"/>
      <c r="J702" s="27"/>
      <c r="K702" s="27"/>
      <c r="L702" s="15"/>
      <c r="M702" s="15"/>
      <c r="N702" s="4">
        <v>85</v>
      </c>
      <c r="O702" s="4"/>
    </row>
    <row r="703" spans="1:15" x14ac:dyDescent="0.2">
      <c r="A703" s="2">
        <v>10018065</v>
      </c>
      <c r="B703" s="2" t="s">
        <v>67</v>
      </c>
      <c r="C703" s="5" t="s">
        <v>5600</v>
      </c>
      <c r="D703" s="21">
        <v>43</v>
      </c>
      <c r="E703" s="21"/>
      <c r="F703" s="21" t="s">
        <v>10438</v>
      </c>
      <c r="G703" s="21"/>
      <c r="H703" s="54">
        <v>631</v>
      </c>
      <c r="I703" s="51"/>
      <c r="J703" s="27"/>
      <c r="K703" s="27"/>
      <c r="L703" s="15"/>
      <c r="M703" s="15">
        <v>40</v>
      </c>
      <c r="N703" s="4">
        <v>84</v>
      </c>
      <c r="O703" s="4"/>
    </row>
    <row r="704" spans="1:15" x14ac:dyDescent="0.2">
      <c r="A704" s="2">
        <v>10018166</v>
      </c>
      <c r="B704" s="2" t="s">
        <v>86</v>
      </c>
      <c r="C704" s="5" t="s">
        <v>5623</v>
      </c>
      <c r="D704" s="21">
        <v>20</v>
      </c>
      <c r="E704" s="21"/>
      <c r="F704" s="21" t="s">
        <v>10438</v>
      </c>
      <c r="G704" s="21"/>
      <c r="H704" s="54">
        <v>978</v>
      </c>
      <c r="I704" s="51"/>
      <c r="J704" s="27"/>
      <c r="K704" s="27"/>
      <c r="L704" s="15"/>
      <c r="M704" s="15">
        <v>20</v>
      </c>
      <c r="N704" s="4">
        <v>85</v>
      </c>
      <c r="O704" s="4"/>
    </row>
    <row r="705" spans="1:15" x14ac:dyDescent="0.2">
      <c r="A705" s="2">
        <v>40006859</v>
      </c>
      <c r="B705" s="2" t="s">
        <v>2157</v>
      </c>
      <c r="C705" s="5" t="s">
        <v>7866</v>
      </c>
      <c r="D705" s="21">
        <v>9</v>
      </c>
      <c r="E705" s="21"/>
      <c r="F705" s="21" t="s">
        <v>10438</v>
      </c>
      <c r="G705" s="21"/>
      <c r="H705" s="54">
        <v>6</v>
      </c>
      <c r="I705" s="51"/>
      <c r="J705" s="27"/>
      <c r="K705" s="27"/>
      <c r="L705" s="15"/>
      <c r="M705" s="15"/>
      <c r="N705" s="4"/>
      <c r="O705" s="4" t="s">
        <v>4775</v>
      </c>
    </row>
    <row r="706" spans="1:15" x14ac:dyDescent="0.2">
      <c r="A706" s="2">
        <v>40006005</v>
      </c>
      <c r="B706" s="2" t="s">
        <v>1410</v>
      </c>
      <c r="C706" s="5" t="s">
        <v>7116</v>
      </c>
      <c r="D706" s="21">
        <v>8</v>
      </c>
      <c r="E706" s="21"/>
      <c r="F706" s="21" t="s">
        <v>10438</v>
      </c>
      <c r="G706" s="21"/>
      <c r="H706" s="54">
        <v>10</v>
      </c>
      <c r="I706" s="51"/>
      <c r="J706" s="27"/>
      <c r="K706" s="27"/>
      <c r="L706" s="15"/>
      <c r="M706" s="15"/>
      <c r="N706" s="4" t="s">
        <v>4222</v>
      </c>
      <c r="O706" s="4"/>
    </row>
    <row r="707" spans="1:15" x14ac:dyDescent="0.2">
      <c r="A707" s="2">
        <v>40006740</v>
      </c>
      <c r="B707" s="2" t="s">
        <v>2045</v>
      </c>
      <c r="C707" s="5" t="s">
        <v>7755</v>
      </c>
      <c r="D707" s="21">
        <v>1</v>
      </c>
      <c r="E707" s="21"/>
      <c r="F707" s="21" t="s">
        <v>10438</v>
      </c>
      <c r="G707" s="21"/>
      <c r="H707" s="54">
        <v>15</v>
      </c>
      <c r="I707" s="51"/>
      <c r="J707" s="27"/>
      <c r="K707" s="27"/>
      <c r="L707" s="15"/>
      <c r="M707" s="15"/>
      <c r="N707" s="4" t="s">
        <v>4108</v>
      </c>
      <c r="O707" s="4"/>
    </row>
    <row r="708" spans="1:15" x14ac:dyDescent="0.2">
      <c r="A708" s="2">
        <v>10019201</v>
      </c>
      <c r="B708" s="2" t="s">
        <v>457</v>
      </c>
      <c r="C708" s="5" t="s">
        <v>6065</v>
      </c>
      <c r="D708" s="21"/>
      <c r="E708" s="21"/>
      <c r="F708" s="21" t="s">
        <v>10438</v>
      </c>
      <c r="G708" s="21"/>
      <c r="H708" s="54">
        <v>25</v>
      </c>
      <c r="I708" s="51"/>
      <c r="J708" s="27"/>
      <c r="K708" s="27"/>
      <c r="L708" s="15"/>
      <c r="M708" s="15">
        <v>10</v>
      </c>
      <c r="N708" s="4">
        <v>77</v>
      </c>
      <c r="O708" s="4"/>
    </row>
    <row r="709" spans="1:15" x14ac:dyDescent="0.2">
      <c r="A709" s="2">
        <v>10017973</v>
      </c>
      <c r="B709" s="2" t="s">
        <v>36</v>
      </c>
      <c r="C709" s="5" t="s">
        <v>5567</v>
      </c>
      <c r="D709" s="21"/>
      <c r="E709" s="21"/>
      <c r="F709" s="21" t="s">
        <v>10438</v>
      </c>
      <c r="G709" s="21"/>
      <c r="H709" s="54">
        <v>137</v>
      </c>
      <c r="I709" s="51"/>
      <c r="J709" s="27"/>
      <c r="K709" s="27"/>
      <c r="L709" s="15"/>
      <c r="M709" s="15"/>
      <c r="N709" s="4">
        <v>57</v>
      </c>
      <c r="O709" s="4"/>
    </row>
    <row r="710" spans="1:15" x14ac:dyDescent="0.2">
      <c r="A710" s="2">
        <v>10018205</v>
      </c>
      <c r="B710" s="2" t="s">
        <v>104</v>
      </c>
      <c r="C710" s="5" t="s">
        <v>5641</v>
      </c>
      <c r="D710" s="21">
        <v>5</v>
      </c>
      <c r="E710" s="21"/>
      <c r="F710" s="21" t="s">
        <v>10438</v>
      </c>
      <c r="G710" s="21"/>
      <c r="H710" s="54">
        <v>220</v>
      </c>
      <c r="I710" s="51"/>
      <c r="J710" s="27"/>
      <c r="K710" s="27"/>
      <c r="L710" s="15"/>
      <c r="M710" s="15"/>
      <c r="N710" s="4">
        <v>74</v>
      </c>
      <c r="O710" s="4">
        <v>107</v>
      </c>
    </row>
    <row r="711" spans="1:15" x14ac:dyDescent="0.2">
      <c r="A711" s="2">
        <v>40007353</v>
      </c>
      <c r="B711" s="2" t="s">
        <v>2586</v>
      </c>
      <c r="C711" s="5" t="s">
        <v>8284</v>
      </c>
      <c r="D711" s="21">
        <v>4</v>
      </c>
      <c r="E711" s="21"/>
      <c r="F711" s="21" t="s">
        <v>10438</v>
      </c>
      <c r="G711" s="21"/>
      <c r="H711" s="54">
        <v>311</v>
      </c>
      <c r="I711" s="51"/>
      <c r="J711" s="27"/>
      <c r="K711" s="27"/>
      <c r="L711" s="15"/>
      <c r="M711" s="15">
        <v>5</v>
      </c>
      <c r="N711" s="4">
        <v>74</v>
      </c>
      <c r="O711" s="4"/>
    </row>
    <row r="712" spans="1:15" x14ac:dyDescent="0.2">
      <c r="A712" s="2">
        <v>10019756</v>
      </c>
      <c r="B712" s="2" t="s">
        <v>580</v>
      </c>
      <c r="C712" s="5" t="s">
        <v>6213</v>
      </c>
      <c r="D712" s="21"/>
      <c r="E712" s="21"/>
      <c r="F712" s="21" t="s">
        <v>10438</v>
      </c>
      <c r="G712" s="21"/>
      <c r="H712" s="54">
        <v>71</v>
      </c>
      <c r="I712" s="51"/>
      <c r="J712" s="27"/>
      <c r="K712" s="27"/>
      <c r="L712" s="15">
        <v>30</v>
      </c>
      <c r="M712" s="15">
        <v>20</v>
      </c>
      <c r="N712" s="4">
        <v>77</v>
      </c>
      <c r="O712" s="4"/>
    </row>
    <row r="713" spans="1:15" x14ac:dyDescent="0.2">
      <c r="A713" s="2">
        <v>10017975</v>
      </c>
      <c r="B713" s="2" t="s">
        <v>3895</v>
      </c>
      <c r="C713" s="5" t="s">
        <v>5568</v>
      </c>
      <c r="D713" s="21">
        <v>7</v>
      </c>
      <c r="E713" s="21"/>
      <c r="F713" s="21" t="s">
        <v>10438</v>
      </c>
      <c r="G713" s="21"/>
      <c r="H713" s="54">
        <v>242</v>
      </c>
      <c r="I713" s="51"/>
      <c r="J713" s="27"/>
      <c r="K713" s="27"/>
      <c r="L713" s="15"/>
      <c r="M713" s="15"/>
      <c r="N713" s="4">
        <v>57</v>
      </c>
      <c r="O713" s="4"/>
    </row>
    <row r="714" spans="1:15" x14ac:dyDescent="0.2">
      <c r="A714" s="2">
        <v>10018779</v>
      </c>
      <c r="B714" s="2" t="s">
        <v>309</v>
      </c>
      <c r="C714" s="5" t="s">
        <v>5892</v>
      </c>
      <c r="D714" s="21">
        <v>8</v>
      </c>
      <c r="E714" s="21"/>
      <c r="F714" s="21" t="s">
        <v>10438</v>
      </c>
      <c r="G714" s="21"/>
      <c r="H714" s="54">
        <v>335</v>
      </c>
      <c r="I714" s="51"/>
      <c r="J714" s="27"/>
      <c r="K714" s="27"/>
      <c r="L714" s="15"/>
      <c r="M714" s="15"/>
      <c r="N714" s="4">
        <v>74</v>
      </c>
      <c r="O714" s="4"/>
    </row>
    <row r="715" spans="1:15" x14ac:dyDescent="0.2">
      <c r="A715" s="2">
        <v>10019313</v>
      </c>
      <c r="B715" s="2" t="s">
        <v>493</v>
      </c>
      <c r="C715" s="5" t="s">
        <v>6109</v>
      </c>
      <c r="D715" s="21">
        <v>15</v>
      </c>
      <c r="E715" s="21"/>
      <c r="F715" s="21" t="s">
        <v>10438</v>
      </c>
      <c r="G715" s="21"/>
      <c r="H715" s="54">
        <v>51</v>
      </c>
      <c r="I715" s="51"/>
      <c r="J715" s="27"/>
      <c r="K715" s="27"/>
      <c r="L715" s="15"/>
      <c r="M715" s="15"/>
      <c r="N715" s="4">
        <v>80</v>
      </c>
      <c r="O715" s="4"/>
    </row>
    <row r="716" spans="1:15" x14ac:dyDescent="0.2">
      <c r="A716" s="2">
        <v>10019107</v>
      </c>
      <c r="B716" s="2" t="s">
        <v>430</v>
      </c>
      <c r="C716" s="5" t="s">
        <v>6032</v>
      </c>
      <c r="D716" s="21">
        <v>12</v>
      </c>
      <c r="E716" s="21"/>
      <c r="F716" s="21" t="s">
        <v>10438</v>
      </c>
      <c r="G716" s="21"/>
      <c r="H716" s="54">
        <v>103</v>
      </c>
      <c r="I716" s="51"/>
      <c r="J716" s="27"/>
      <c r="K716" s="27"/>
      <c r="L716" s="15">
        <v>10</v>
      </c>
      <c r="M716" s="15">
        <v>10</v>
      </c>
      <c r="N716" s="4">
        <v>108</v>
      </c>
      <c r="O716" s="4"/>
    </row>
    <row r="717" spans="1:15" x14ac:dyDescent="0.2">
      <c r="A717" s="2">
        <v>10019917</v>
      </c>
      <c r="B717" s="2" t="s">
        <v>625</v>
      </c>
      <c r="C717" s="5" t="s">
        <v>6264</v>
      </c>
      <c r="D717" s="21">
        <v>9</v>
      </c>
      <c r="E717" s="21"/>
      <c r="F717" s="21" t="s">
        <v>10438</v>
      </c>
      <c r="G717" s="21"/>
      <c r="H717" s="54">
        <v>93</v>
      </c>
      <c r="I717" s="51"/>
      <c r="J717" s="27"/>
      <c r="K717" s="27"/>
      <c r="L717" s="15"/>
      <c r="M717" s="15"/>
      <c r="N717" s="4">
        <v>106</v>
      </c>
      <c r="O717" s="4"/>
    </row>
    <row r="718" spans="1:15" x14ac:dyDescent="0.2">
      <c r="A718" s="2">
        <v>10019125</v>
      </c>
      <c r="B718" s="2" t="s">
        <v>3663</v>
      </c>
      <c r="C718" s="5" t="s">
        <v>6039</v>
      </c>
      <c r="D718" s="21">
        <v>17</v>
      </c>
      <c r="E718" s="21"/>
      <c r="F718" s="21" t="s">
        <v>10438</v>
      </c>
      <c r="G718" s="21"/>
      <c r="H718" s="54">
        <v>84</v>
      </c>
      <c r="I718" s="51"/>
      <c r="J718" s="27"/>
      <c r="K718" s="27"/>
      <c r="L718" s="15"/>
      <c r="M718" s="15"/>
      <c r="N718" s="4">
        <v>108</v>
      </c>
      <c r="O718" s="4"/>
    </row>
    <row r="719" spans="1:15" x14ac:dyDescent="0.2">
      <c r="A719" s="2">
        <v>10019939</v>
      </c>
      <c r="B719" s="2" t="s">
        <v>632</v>
      </c>
      <c r="C719" s="5" t="s">
        <v>6271</v>
      </c>
      <c r="D719" s="21"/>
      <c r="E719" s="21"/>
      <c r="F719" s="21" t="s">
        <v>10438</v>
      </c>
      <c r="G719" s="21"/>
      <c r="H719" s="54">
        <v>49</v>
      </c>
      <c r="I719" s="51"/>
      <c r="J719" s="27"/>
      <c r="K719" s="27"/>
      <c r="L719" s="15">
        <v>100</v>
      </c>
      <c r="M719" s="15">
        <v>30</v>
      </c>
      <c r="N719" s="4">
        <v>77</v>
      </c>
      <c r="O719" s="4"/>
    </row>
    <row r="720" spans="1:15" x14ac:dyDescent="0.2">
      <c r="A720" s="2">
        <v>40007069</v>
      </c>
      <c r="B720" s="2" t="s">
        <v>2344</v>
      </c>
      <c r="C720" s="5" t="s">
        <v>8052</v>
      </c>
      <c r="D720" s="21">
        <v>1</v>
      </c>
      <c r="E720" s="21"/>
      <c r="F720" s="21" t="s">
        <v>10438</v>
      </c>
      <c r="G720" s="21"/>
      <c r="H720" s="54">
        <v>287</v>
      </c>
      <c r="I720" s="51"/>
      <c r="J720" s="27"/>
      <c r="K720" s="27"/>
      <c r="L720" s="15"/>
      <c r="M720" s="15"/>
      <c r="N720" s="4">
        <v>106</v>
      </c>
      <c r="O720" s="4"/>
    </row>
    <row r="721" spans="1:15" x14ac:dyDescent="0.2">
      <c r="A721" s="2">
        <v>10019590</v>
      </c>
      <c r="B721" s="2" t="s">
        <v>556</v>
      </c>
      <c r="C721" s="5" t="s">
        <v>6183</v>
      </c>
      <c r="D721" s="21">
        <v>2</v>
      </c>
      <c r="E721" s="21"/>
      <c r="F721" s="21" t="s">
        <v>10438</v>
      </c>
      <c r="G721" s="21"/>
      <c r="H721" s="54">
        <v>56</v>
      </c>
      <c r="I721" s="51"/>
      <c r="J721" s="27"/>
      <c r="K721" s="27"/>
      <c r="L721" s="15">
        <v>5</v>
      </c>
      <c r="M721" s="15">
        <v>10</v>
      </c>
      <c r="N721" s="4">
        <v>77</v>
      </c>
      <c r="O721" s="4"/>
    </row>
    <row r="722" spans="1:15" x14ac:dyDescent="0.2">
      <c r="A722" s="2">
        <v>10018192</v>
      </c>
      <c r="B722" s="2" t="s">
        <v>94</v>
      </c>
      <c r="C722" s="5" t="s">
        <v>5631</v>
      </c>
      <c r="D722" s="21">
        <v>1</v>
      </c>
      <c r="E722" s="21"/>
      <c r="F722" s="21" t="s">
        <v>10438</v>
      </c>
      <c r="G722" s="21"/>
      <c r="H722" s="54">
        <v>398</v>
      </c>
      <c r="I722" s="51"/>
      <c r="J722" s="27"/>
      <c r="K722" s="27"/>
      <c r="L722" s="15"/>
      <c r="M722" s="15"/>
      <c r="N722" s="4"/>
      <c r="O722" s="4"/>
    </row>
    <row r="723" spans="1:15" x14ac:dyDescent="0.2">
      <c r="A723" s="2">
        <v>40005492</v>
      </c>
      <c r="B723" s="2" t="s">
        <v>961</v>
      </c>
      <c r="C723" s="5" t="s">
        <v>6683</v>
      </c>
      <c r="D723" s="21">
        <v>1</v>
      </c>
      <c r="E723" s="21"/>
      <c r="F723" s="21" t="s">
        <v>10438</v>
      </c>
      <c r="G723" s="21"/>
      <c r="H723" s="54">
        <v>23</v>
      </c>
      <c r="I723" s="51"/>
      <c r="J723" s="27"/>
      <c r="K723" s="27"/>
      <c r="L723" s="15"/>
      <c r="M723" s="15"/>
      <c r="N723" s="4" t="s">
        <v>4133</v>
      </c>
      <c r="O723" s="4"/>
    </row>
    <row r="724" spans="1:15" x14ac:dyDescent="0.2">
      <c r="A724" s="2">
        <v>40005493</v>
      </c>
      <c r="B724" s="2" t="s">
        <v>962</v>
      </c>
      <c r="C724" s="5" t="s">
        <v>6684</v>
      </c>
      <c r="D724" s="21">
        <v>2</v>
      </c>
      <c r="E724" s="21"/>
      <c r="F724" s="21" t="s">
        <v>10438</v>
      </c>
      <c r="G724" s="21"/>
      <c r="H724" s="54">
        <v>35</v>
      </c>
      <c r="I724" s="51"/>
      <c r="J724" s="27"/>
      <c r="K724" s="27"/>
      <c r="L724" s="15"/>
      <c r="M724" s="15"/>
      <c r="N724" s="4" t="s">
        <v>4134</v>
      </c>
      <c r="O724" s="4"/>
    </row>
    <row r="725" spans="1:15" x14ac:dyDescent="0.2">
      <c r="A725" s="2">
        <v>40007914</v>
      </c>
      <c r="B725" s="2" t="s">
        <v>3069</v>
      </c>
      <c r="C725" s="5" t="s">
        <v>8760</v>
      </c>
      <c r="D725" s="21">
        <v>5</v>
      </c>
      <c r="E725" s="21"/>
      <c r="F725" s="21" t="s">
        <v>10438</v>
      </c>
      <c r="G725" s="21"/>
      <c r="H725" s="54">
        <v>20</v>
      </c>
      <c r="I725" s="51"/>
      <c r="J725" s="27"/>
      <c r="K725" s="27"/>
      <c r="L725" s="15"/>
      <c r="M725" s="15"/>
      <c r="N725" s="4" t="s">
        <v>5124</v>
      </c>
      <c r="O725" s="4"/>
    </row>
    <row r="726" spans="1:15" x14ac:dyDescent="0.2">
      <c r="A726" s="2">
        <v>40005174</v>
      </c>
      <c r="B726" s="2" t="s">
        <v>721</v>
      </c>
      <c r="C726" s="5" t="s">
        <v>6435</v>
      </c>
      <c r="D726" s="21">
        <v>5</v>
      </c>
      <c r="E726" s="21"/>
      <c r="F726" s="21" t="s">
        <v>10438</v>
      </c>
      <c r="G726" s="21"/>
      <c r="H726" s="54">
        <v>13</v>
      </c>
      <c r="I726" s="51"/>
      <c r="J726" s="27"/>
      <c r="K726" s="27"/>
      <c r="L726" s="15"/>
      <c r="M726" s="15"/>
      <c r="N726" s="4" t="s">
        <v>3991</v>
      </c>
      <c r="O726" s="4"/>
    </row>
    <row r="727" spans="1:15" x14ac:dyDescent="0.2">
      <c r="A727" s="2">
        <v>40006441</v>
      </c>
      <c r="B727" s="2" t="s">
        <v>1799</v>
      </c>
      <c r="C727" s="5" t="s">
        <v>7506</v>
      </c>
      <c r="D727" s="21">
        <v>31</v>
      </c>
      <c r="E727" s="21"/>
      <c r="F727" s="21" t="s">
        <v>10438</v>
      </c>
      <c r="G727" s="21"/>
      <c r="H727" s="54">
        <v>21</v>
      </c>
      <c r="I727" s="51"/>
      <c r="J727" s="27"/>
      <c r="K727" s="27"/>
      <c r="L727" s="15"/>
      <c r="M727" s="15"/>
      <c r="N727" s="4" t="s">
        <v>4595</v>
      </c>
      <c r="O727" s="4" t="s">
        <v>10190</v>
      </c>
    </row>
    <row r="728" spans="1:15" x14ac:dyDescent="0.2">
      <c r="A728" s="2">
        <v>40010786</v>
      </c>
      <c r="B728" s="2" t="s">
        <v>3567</v>
      </c>
      <c r="C728" s="5" t="s">
        <v>9287</v>
      </c>
      <c r="D728" s="21">
        <v>3</v>
      </c>
      <c r="E728" s="21"/>
      <c r="F728" s="21" t="s">
        <v>10438</v>
      </c>
      <c r="G728" s="21"/>
      <c r="H728" s="54">
        <v>29</v>
      </c>
      <c r="I728" s="51"/>
      <c r="J728" s="27"/>
      <c r="K728" s="27"/>
      <c r="L728" s="15"/>
      <c r="M728" s="15"/>
      <c r="N728" s="4" t="s">
        <v>5278</v>
      </c>
      <c r="O728" s="4"/>
    </row>
    <row r="729" spans="1:15" x14ac:dyDescent="0.2">
      <c r="A729" s="2">
        <v>10018816</v>
      </c>
      <c r="B729" s="2" t="s">
        <v>330</v>
      </c>
      <c r="C729" s="5" t="s">
        <v>5912</v>
      </c>
      <c r="D729" s="21">
        <v>3</v>
      </c>
      <c r="E729" s="21"/>
      <c r="F729" s="21" t="s">
        <v>10438</v>
      </c>
      <c r="G729" s="21"/>
      <c r="H729" s="54">
        <v>215</v>
      </c>
      <c r="I729" s="51"/>
      <c r="J729" s="27"/>
      <c r="K729" s="27"/>
      <c r="L729" s="15"/>
      <c r="M729" s="15"/>
      <c r="N729" s="4"/>
      <c r="O729" s="4"/>
    </row>
    <row r="730" spans="1:15" x14ac:dyDescent="0.2">
      <c r="A730" s="2">
        <v>40005521</v>
      </c>
      <c r="B730" s="2" t="s">
        <v>985</v>
      </c>
      <c r="C730" s="5" t="s">
        <v>6707</v>
      </c>
      <c r="D730" s="21">
        <v>1</v>
      </c>
      <c r="E730" s="21"/>
      <c r="F730" s="21" t="s">
        <v>10438</v>
      </c>
      <c r="G730" s="21"/>
      <c r="H730" s="54">
        <v>11</v>
      </c>
      <c r="I730" s="51"/>
      <c r="J730" s="27"/>
      <c r="K730" s="27"/>
      <c r="L730" s="15"/>
      <c r="M730" s="15"/>
      <c r="N730" s="4"/>
      <c r="O730" s="4" t="s">
        <v>10324</v>
      </c>
    </row>
    <row r="731" spans="1:15" x14ac:dyDescent="0.2">
      <c r="A731" s="2">
        <v>40005966</v>
      </c>
      <c r="B731" s="2" t="s">
        <v>1371</v>
      </c>
      <c r="C731" s="5" t="s">
        <v>7077</v>
      </c>
      <c r="D731" s="21">
        <v>2</v>
      </c>
      <c r="E731" s="21"/>
      <c r="F731" s="21" t="s">
        <v>10438</v>
      </c>
      <c r="G731" s="21"/>
      <c r="H731" s="54">
        <v>23</v>
      </c>
      <c r="I731" s="51"/>
      <c r="J731" s="27"/>
      <c r="K731" s="27"/>
      <c r="L731" s="15"/>
      <c r="M731" s="15"/>
      <c r="N731" s="4" t="s">
        <v>4250</v>
      </c>
      <c r="O731" s="4"/>
    </row>
    <row r="732" spans="1:15" x14ac:dyDescent="0.2">
      <c r="A732" s="2">
        <v>40007884</v>
      </c>
      <c r="B732" s="2" t="s">
        <v>3039</v>
      </c>
      <c r="C732" s="5" t="s">
        <v>8732</v>
      </c>
      <c r="D732" s="21">
        <v>6</v>
      </c>
      <c r="E732" s="21"/>
      <c r="F732" s="21" t="s">
        <v>10438</v>
      </c>
      <c r="G732" s="21"/>
      <c r="H732" s="54">
        <v>10</v>
      </c>
      <c r="I732" s="51"/>
      <c r="J732" s="27"/>
      <c r="K732" s="27"/>
      <c r="L732" s="15"/>
      <c r="M732" s="15"/>
      <c r="N732" s="4" t="s">
        <v>4616</v>
      </c>
      <c r="O732" s="4"/>
    </row>
    <row r="733" spans="1:15" x14ac:dyDescent="0.2">
      <c r="A733" s="2">
        <v>40006984</v>
      </c>
      <c r="B733" s="2" t="s">
        <v>3757</v>
      </c>
      <c r="C733" s="5" t="s">
        <v>7979</v>
      </c>
      <c r="D733" s="21">
        <v>18</v>
      </c>
      <c r="E733" s="21"/>
      <c r="F733" s="21" t="s">
        <v>10438</v>
      </c>
      <c r="G733" s="21"/>
      <c r="H733" s="54">
        <v>4</v>
      </c>
      <c r="I733" s="51"/>
      <c r="J733" s="27"/>
      <c r="K733" s="27"/>
      <c r="L733" s="15"/>
      <c r="M733" s="15"/>
      <c r="N733" s="4" t="s">
        <v>4268</v>
      </c>
      <c r="O733" s="4"/>
    </row>
    <row r="734" spans="1:15" x14ac:dyDescent="0.2">
      <c r="A734" s="2">
        <v>40005949</v>
      </c>
      <c r="B734" s="2" t="s">
        <v>1356</v>
      </c>
      <c r="C734" s="5" t="s">
        <v>7062</v>
      </c>
      <c r="D734" s="21">
        <v>2</v>
      </c>
      <c r="E734" s="21"/>
      <c r="F734" s="21" t="s">
        <v>10438</v>
      </c>
      <c r="G734" s="21"/>
      <c r="H734" s="54">
        <v>29</v>
      </c>
      <c r="I734" s="51"/>
      <c r="J734" s="27"/>
      <c r="K734" s="27"/>
      <c r="L734" s="15"/>
      <c r="M734" s="15"/>
      <c r="N734" s="4" t="s">
        <v>4334</v>
      </c>
      <c r="O734" s="4"/>
    </row>
    <row r="735" spans="1:15" x14ac:dyDescent="0.2">
      <c r="A735" s="2">
        <v>40007308</v>
      </c>
      <c r="B735" s="2" t="s">
        <v>2550</v>
      </c>
      <c r="C735" s="5" t="s">
        <v>8247</v>
      </c>
      <c r="D735" s="21">
        <v>67</v>
      </c>
      <c r="E735" s="21"/>
      <c r="F735" s="30">
        <v>1</v>
      </c>
      <c r="G735" s="21"/>
      <c r="H735" s="54">
        <v>62</v>
      </c>
      <c r="I735" s="51"/>
      <c r="J735" s="27"/>
      <c r="K735" s="27"/>
      <c r="L735" s="15"/>
      <c r="M735" s="15"/>
      <c r="N735" s="4"/>
      <c r="O735" s="4"/>
    </row>
    <row r="736" spans="1:15" x14ac:dyDescent="0.2">
      <c r="A736" s="2">
        <v>40005641</v>
      </c>
      <c r="B736" s="2" t="s">
        <v>1081</v>
      </c>
      <c r="C736" s="5" t="s">
        <v>6800</v>
      </c>
      <c r="D736" s="21">
        <v>10</v>
      </c>
      <c r="E736" s="21"/>
      <c r="F736" s="21" t="s">
        <v>10438</v>
      </c>
      <c r="G736" s="21"/>
      <c r="H736" s="54">
        <v>39</v>
      </c>
      <c r="I736" s="51"/>
      <c r="J736" s="27"/>
      <c r="K736" s="27"/>
      <c r="L736" s="15"/>
      <c r="M736" s="15"/>
      <c r="N736" s="4" t="s">
        <v>4185</v>
      </c>
      <c r="O736" s="4"/>
    </row>
    <row r="737" spans="1:15" x14ac:dyDescent="0.2">
      <c r="A737" s="2">
        <v>40006265</v>
      </c>
      <c r="B737" s="2" t="s">
        <v>1641</v>
      </c>
      <c r="C737" s="5" t="s">
        <v>7346</v>
      </c>
      <c r="D737" s="21">
        <v>1</v>
      </c>
      <c r="E737" s="21"/>
      <c r="F737" s="21" t="s">
        <v>10438</v>
      </c>
      <c r="G737" s="21"/>
      <c r="H737" s="54">
        <v>3</v>
      </c>
      <c r="I737" s="51"/>
      <c r="J737" s="27"/>
      <c r="K737" s="27"/>
      <c r="L737" s="15"/>
      <c r="M737" s="15"/>
      <c r="N737" s="4" t="s">
        <v>4495</v>
      </c>
      <c r="O737" s="4"/>
    </row>
    <row r="738" spans="1:15" x14ac:dyDescent="0.2">
      <c r="A738" s="2">
        <v>40006188</v>
      </c>
      <c r="B738" s="2" t="s">
        <v>1571</v>
      </c>
      <c r="C738" s="5" t="s">
        <v>7279</v>
      </c>
      <c r="D738" s="21">
        <v>1</v>
      </c>
      <c r="E738" s="21"/>
      <c r="F738" s="21" t="s">
        <v>10438</v>
      </c>
      <c r="G738" s="21"/>
      <c r="H738" s="54">
        <v>101</v>
      </c>
      <c r="I738" s="51"/>
      <c r="J738" s="27"/>
      <c r="K738" s="27"/>
      <c r="L738" s="15"/>
      <c r="M738" s="15"/>
      <c r="N738" s="4" t="s">
        <v>4460</v>
      </c>
      <c r="O738" s="4"/>
    </row>
    <row r="739" spans="1:15" x14ac:dyDescent="0.2">
      <c r="A739" s="2">
        <v>40006839</v>
      </c>
      <c r="B739" s="2" t="s">
        <v>2137</v>
      </c>
      <c r="C739" s="5" t="s">
        <v>7846</v>
      </c>
      <c r="D739" s="21">
        <v>1</v>
      </c>
      <c r="E739" s="21"/>
      <c r="F739" s="21" t="s">
        <v>10438</v>
      </c>
      <c r="G739" s="21"/>
      <c r="H739" s="54">
        <v>38</v>
      </c>
      <c r="I739" s="51"/>
      <c r="J739" s="27"/>
      <c r="K739" s="27"/>
      <c r="L739" s="15"/>
      <c r="M739" s="15">
        <v>2</v>
      </c>
      <c r="N739" s="4" t="s">
        <v>4332</v>
      </c>
      <c r="O739" s="4"/>
    </row>
    <row r="740" spans="1:15" x14ac:dyDescent="0.2">
      <c r="A740" s="2">
        <v>40007079</v>
      </c>
      <c r="B740" s="2" t="s">
        <v>2353</v>
      </c>
      <c r="C740" s="5" t="s">
        <v>8060</v>
      </c>
      <c r="D740" s="21">
        <v>2</v>
      </c>
      <c r="E740" s="21"/>
      <c r="F740" s="21" t="s">
        <v>10438</v>
      </c>
      <c r="G740" s="21"/>
      <c r="H740" s="54">
        <v>297</v>
      </c>
      <c r="I740" s="51"/>
      <c r="J740" s="27"/>
      <c r="K740" s="27"/>
      <c r="L740" s="15"/>
      <c r="M740" s="15"/>
      <c r="N740" s="4" t="s">
        <v>4642</v>
      </c>
      <c r="O740" s="4"/>
    </row>
    <row r="741" spans="1:15" x14ac:dyDescent="0.2">
      <c r="A741" s="2">
        <v>40006676</v>
      </c>
      <c r="B741" s="2" t="s">
        <v>1997</v>
      </c>
      <c r="C741" s="5" t="s">
        <v>7706</v>
      </c>
      <c r="D741" s="21">
        <v>8</v>
      </c>
      <c r="E741" s="21"/>
      <c r="F741" s="21" t="s">
        <v>10438</v>
      </c>
      <c r="G741" s="21"/>
      <c r="H741" s="54">
        <v>8</v>
      </c>
      <c r="I741" s="51"/>
      <c r="J741" s="27"/>
      <c r="K741" s="27"/>
      <c r="L741" s="15"/>
      <c r="M741" s="15"/>
      <c r="N741" s="4"/>
      <c r="O741" s="4" t="s">
        <v>10325</v>
      </c>
    </row>
    <row r="742" spans="1:15" x14ac:dyDescent="0.2">
      <c r="A742" s="2">
        <v>40005826</v>
      </c>
      <c r="B742" s="2" t="s">
        <v>1246</v>
      </c>
      <c r="C742" s="5" t="s">
        <v>6958</v>
      </c>
      <c r="D742" s="21">
        <v>15</v>
      </c>
      <c r="E742" s="21"/>
      <c r="F742" s="21" t="s">
        <v>10438</v>
      </c>
      <c r="G742" s="21"/>
      <c r="H742" s="54">
        <v>84</v>
      </c>
      <c r="I742" s="51"/>
      <c r="J742" s="27"/>
      <c r="K742" s="27"/>
      <c r="L742" s="15"/>
      <c r="M742" s="15"/>
      <c r="N742" s="4" t="s">
        <v>4281</v>
      </c>
      <c r="O742" s="4"/>
    </row>
    <row r="743" spans="1:15" x14ac:dyDescent="0.2">
      <c r="A743" s="2">
        <v>40011158</v>
      </c>
      <c r="B743" s="2" t="s">
        <v>3600</v>
      </c>
      <c r="C743" s="5" t="s">
        <v>9334</v>
      </c>
      <c r="D743" s="21">
        <v>2</v>
      </c>
      <c r="E743" s="21"/>
      <c r="F743" s="21" t="s">
        <v>10438</v>
      </c>
      <c r="G743" s="21"/>
      <c r="H743" s="54">
        <v>153</v>
      </c>
      <c r="I743" s="51"/>
      <c r="J743" s="27"/>
      <c r="K743" s="27"/>
      <c r="L743" s="15"/>
      <c r="M743" s="15"/>
      <c r="N743" s="4" t="s">
        <v>4127</v>
      </c>
      <c r="O743" s="4"/>
    </row>
    <row r="744" spans="1:15" x14ac:dyDescent="0.2">
      <c r="A744" s="2">
        <v>40007671</v>
      </c>
      <c r="B744" s="2" t="s">
        <v>2849</v>
      </c>
      <c r="C744" s="5" t="s">
        <v>8548</v>
      </c>
      <c r="D744" s="21">
        <v>2</v>
      </c>
      <c r="E744" s="21"/>
      <c r="F744" s="21" t="s">
        <v>10438</v>
      </c>
      <c r="G744" s="21"/>
      <c r="H744" s="54">
        <v>26</v>
      </c>
      <c r="I744" s="51"/>
      <c r="J744" s="27"/>
      <c r="K744" s="27"/>
      <c r="L744" s="15"/>
      <c r="M744" s="15"/>
      <c r="N744" s="4" t="s">
        <v>4719</v>
      </c>
      <c r="O744" s="4"/>
    </row>
    <row r="745" spans="1:15" x14ac:dyDescent="0.2">
      <c r="A745" s="2">
        <v>40006172</v>
      </c>
      <c r="B745" s="2" t="s">
        <v>1558</v>
      </c>
      <c r="C745" s="5" t="s">
        <v>7264</v>
      </c>
      <c r="D745" s="21">
        <v>5</v>
      </c>
      <c r="E745" s="21"/>
      <c r="F745" s="21" t="s">
        <v>10438</v>
      </c>
      <c r="G745" s="21"/>
      <c r="H745" s="54">
        <v>72</v>
      </c>
      <c r="I745" s="51"/>
      <c r="J745" s="27"/>
      <c r="K745" s="27"/>
      <c r="L745" s="15"/>
      <c r="M745" s="15"/>
      <c r="N745" s="4" t="s">
        <v>4449</v>
      </c>
      <c r="O745" s="4"/>
    </row>
    <row r="746" spans="1:15" x14ac:dyDescent="0.2">
      <c r="A746" s="2">
        <v>40010782</v>
      </c>
      <c r="B746" s="2" t="s">
        <v>3564</v>
      </c>
      <c r="C746" s="5" t="s">
        <v>9284</v>
      </c>
      <c r="D746" s="21">
        <v>1</v>
      </c>
      <c r="E746" s="21"/>
      <c r="F746" s="30">
        <v>2</v>
      </c>
      <c r="G746" s="21"/>
      <c r="H746" s="54">
        <v>140</v>
      </c>
      <c r="I746" s="51"/>
      <c r="J746" s="27"/>
      <c r="K746" s="27"/>
      <c r="L746" s="15">
        <v>10</v>
      </c>
      <c r="M746" s="15"/>
      <c r="N746" s="4" t="s">
        <v>5279</v>
      </c>
      <c r="O746" s="4"/>
    </row>
    <row r="747" spans="1:15" x14ac:dyDescent="0.2">
      <c r="A747" s="2">
        <v>40007098</v>
      </c>
      <c r="B747" s="2" t="s">
        <v>2370</v>
      </c>
      <c r="C747" s="5" t="s">
        <v>8075</v>
      </c>
      <c r="D747" s="21">
        <v>14</v>
      </c>
      <c r="E747" s="21"/>
      <c r="F747" s="21" t="s">
        <v>10438</v>
      </c>
      <c r="G747" s="21"/>
      <c r="H747" s="54">
        <v>7</v>
      </c>
      <c r="I747" s="51"/>
      <c r="J747" s="27"/>
      <c r="K747" s="27"/>
      <c r="L747" s="15"/>
      <c r="M747" s="15"/>
      <c r="N747" s="4" t="s">
        <v>4827</v>
      </c>
      <c r="O747" s="4"/>
    </row>
    <row r="748" spans="1:15" x14ac:dyDescent="0.2">
      <c r="A748" s="2">
        <v>40007574</v>
      </c>
      <c r="B748" s="2" t="s">
        <v>2769</v>
      </c>
      <c r="C748" s="5" t="s">
        <v>8469</v>
      </c>
      <c r="D748" s="21">
        <v>4</v>
      </c>
      <c r="E748" s="21"/>
      <c r="F748" s="21" t="s">
        <v>10438</v>
      </c>
      <c r="G748" s="21"/>
      <c r="H748" s="54">
        <v>31</v>
      </c>
      <c r="I748" s="51"/>
      <c r="J748" s="27"/>
      <c r="K748" s="27"/>
      <c r="L748" s="15"/>
      <c r="M748" s="15"/>
      <c r="N748" s="4" t="s">
        <v>4666</v>
      </c>
      <c r="O748" s="4"/>
    </row>
    <row r="749" spans="1:15" x14ac:dyDescent="0.2">
      <c r="A749" s="2">
        <v>40008197</v>
      </c>
      <c r="B749" s="2" t="s">
        <v>3317</v>
      </c>
      <c r="C749" s="5" t="s">
        <v>9009</v>
      </c>
      <c r="D749" s="21">
        <v>6</v>
      </c>
      <c r="E749" s="21"/>
      <c r="F749" s="21" t="s">
        <v>10438</v>
      </c>
      <c r="G749" s="21"/>
      <c r="H749" s="54">
        <v>16</v>
      </c>
      <c r="I749" s="51"/>
      <c r="J749" s="27"/>
      <c r="K749" s="27"/>
      <c r="L749" s="15"/>
      <c r="M749" s="15"/>
      <c r="N749" s="4" t="s">
        <v>5052</v>
      </c>
      <c r="O749" s="4"/>
    </row>
    <row r="750" spans="1:15" x14ac:dyDescent="0.2">
      <c r="A750" s="2">
        <v>40007851</v>
      </c>
      <c r="B750" s="2" t="s">
        <v>3008</v>
      </c>
      <c r="C750" s="5" t="s">
        <v>8709</v>
      </c>
      <c r="D750" s="21">
        <v>20</v>
      </c>
      <c r="E750" s="21"/>
      <c r="F750" s="21" t="s">
        <v>10438</v>
      </c>
      <c r="G750" s="21"/>
      <c r="H750" s="54">
        <v>2</v>
      </c>
      <c r="I750" s="51"/>
      <c r="J750" s="27"/>
      <c r="K750" s="27"/>
      <c r="L750" s="15"/>
      <c r="M750" s="15"/>
      <c r="N750" s="4" t="s">
        <v>5107</v>
      </c>
      <c r="O750" s="4"/>
    </row>
    <row r="751" spans="1:15" x14ac:dyDescent="0.2">
      <c r="A751" s="2">
        <v>40007277</v>
      </c>
      <c r="B751" s="2" t="s">
        <v>2525</v>
      </c>
      <c r="C751" s="5" t="s">
        <v>8222</v>
      </c>
      <c r="D751" s="21">
        <v>15</v>
      </c>
      <c r="E751" s="21"/>
      <c r="F751" s="30">
        <v>4</v>
      </c>
      <c r="G751" s="21"/>
      <c r="H751" s="54">
        <v>10</v>
      </c>
      <c r="I751" s="51"/>
      <c r="J751" s="27"/>
      <c r="K751" s="27"/>
      <c r="L751" s="15">
        <v>15</v>
      </c>
      <c r="M751" s="15">
        <v>6</v>
      </c>
      <c r="N751" s="4" t="s">
        <v>4902</v>
      </c>
      <c r="O751" s="4"/>
    </row>
    <row r="752" spans="1:15" x14ac:dyDescent="0.2">
      <c r="A752" s="2">
        <v>40007924</v>
      </c>
      <c r="B752" s="2" t="s">
        <v>3078</v>
      </c>
      <c r="C752" s="5" t="s">
        <v>8770</v>
      </c>
      <c r="D752" s="21">
        <v>15</v>
      </c>
      <c r="E752" s="21"/>
      <c r="F752" s="30">
        <v>2</v>
      </c>
      <c r="G752" s="21"/>
      <c r="H752" s="54">
        <v>4</v>
      </c>
      <c r="I752" s="51"/>
      <c r="J752" s="27"/>
      <c r="K752" s="27"/>
      <c r="L752" s="15"/>
      <c r="M752" s="15"/>
      <c r="N752" s="4" t="s">
        <v>5114</v>
      </c>
      <c r="O752" s="4"/>
    </row>
    <row r="753" spans="1:15" x14ac:dyDescent="0.2">
      <c r="A753" s="2">
        <v>40007967</v>
      </c>
      <c r="B753" s="2" t="s">
        <v>5305</v>
      </c>
      <c r="C753" s="5" t="s">
        <v>8811</v>
      </c>
      <c r="D753" s="21">
        <v>6</v>
      </c>
      <c r="E753" s="21"/>
      <c r="F753" s="21" t="s">
        <v>10438</v>
      </c>
      <c r="G753" s="21"/>
      <c r="H753" s="54">
        <v>4</v>
      </c>
      <c r="I753" s="51"/>
      <c r="J753" s="27"/>
      <c r="K753" s="27"/>
      <c r="L753" s="15"/>
      <c r="M753" s="15"/>
      <c r="N753" s="4" t="s">
        <v>5125</v>
      </c>
      <c r="O753" s="4"/>
    </row>
    <row r="754" spans="1:15" x14ac:dyDescent="0.2">
      <c r="A754" s="2">
        <v>40007155</v>
      </c>
      <c r="B754" s="2" t="s">
        <v>2423</v>
      </c>
      <c r="C754" s="5" t="s">
        <v>8125</v>
      </c>
      <c r="D754" s="21">
        <v>11</v>
      </c>
      <c r="E754" s="21"/>
      <c r="F754" s="21" t="s">
        <v>10438</v>
      </c>
      <c r="G754" s="21"/>
      <c r="H754" s="54">
        <v>15</v>
      </c>
      <c r="I754" s="51"/>
      <c r="J754" s="27"/>
      <c r="K754" s="27"/>
      <c r="L754" s="15"/>
      <c r="M754" s="15"/>
      <c r="N754" s="4" t="s">
        <v>4236</v>
      </c>
      <c r="O754" s="4"/>
    </row>
    <row r="755" spans="1:15" x14ac:dyDescent="0.2">
      <c r="A755" s="2">
        <v>40007864</v>
      </c>
      <c r="B755" s="2" t="s">
        <v>3021</v>
      </c>
      <c r="C755" s="5" t="s">
        <v>8720</v>
      </c>
      <c r="D755" s="21">
        <v>28</v>
      </c>
      <c r="E755" s="21"/>
      <c r="F755" s="21" t="s">
        <v>10438</v>
      </c>
      <c r="G755" s="21"/>
      <c r="H755" s="54">
        <v>4</v>
      </c>
      <c r="I755" s="51"/>
      <c r="J755" s="27"/>
      <c r="K755" s="27"/>
      <c r="L755" s="15"/>
      <c r="M755" s="15"/>
      <c r="N755" s="4" t="s">
        <v>4395</v>
      </c>
      <c r="O755" s="4"/>
    </row>
    <row r="756" spans="1:15" x14ac:dyDescent="0.2">
      <c r="A756" s="2">
        <v>40005602</v>
      </c>
      <c r="B756" s="2" t="s">
        <v>1046</v>
      </c>
      <c r="C756" s="5" t="s">
        <v>6774</v>
      </c>
      <c r="D756" s="21">
        <v>10</v>
      </c>
      <c r="E756" s="21"/>
      <c r="F756" s="21" t="s">
        <v>10438</v>
      </c>
      <c r="G756" s="21"/>
      <c r="H756" s="54">
        <v>4</v>
      </c>
      <c r="I756" s="51"/>
      <c r="J756" s="27"/>
      <c r="K756" s="27"/>
      <c r="L756" s="15"/>
      <c r="M756" s="15"/>
      <c r="N756" s="4" t="s">
        <v>4167</v>
      </c>
      <c r="O756" s="4"/>
    </row>
    <row r="757" spans="1:15" x14ac:dyDescent="0.2">
      <c r="A757" s="2">
        <v>40006574</v>
      </c>
      <c r="B757" s="2" t="s">
        <v>1911</v>
      </c>
      <c r="C757" s="5" t="s">
        <v>7619</v>
      </c>
      <c r="D757" s="21">
        <v>1</v>
      </c>
      <c r="E757" s="21"/>
      <c r="F757" s="21" t="s">
        <v>10438</v>
      </c>
      <c r="G757" s="21"/>
      <c r="H757" s="54">
        <v>32</v>
      </c>
      <c r="I757" s="51"/>
      <c r="J757" s="27"/>
      <c r="K757" s="27"/>
      <c r="L757" s="15"/>
      <c r="M757" s="15"/>
      <c r="N757" s="4"/>
      <c r="O757" s="4" t="s">
        <v>10326</v>
      </c>
    </row>
    <row r="758" spans="1:15" x14ac:dyDescent="0.2">
      <c r="A758" s="2">
        <v>40010298</v>
      </c>
      <c r="B758" s="2" t="s">
        <v>3488</v>
      </c>
      <c r="C758" s="5" t="s">
        <v>9182</v>
      </c>
      <c r="D758" s="21">
        <v>9</v>
      </c>
      <c r="E758" s="21"/>
      <c r="F758" s="21" t="s">
        <v>10438</v>
      </c>
      <c r="G758" s="21"/>
      <c r="H758" s="54">
        <v>7</v>
      </c>
      <c r="I758" s="51"/>
      <c r="J758" s="27"/>
      <c r="K758" s="27"/>
      <c r="L758" s="15"/>
      <c r="M758" s="15"/>
      <c r="N758" s="4" t="s">
        <v>4735</v>
      </c>
      <c r="O758" s="4"/>
    </row>
    <row r="759" spans="1:15" x14ac:dyDescent="0.2">
      <c r="A759" s="2">
        <v>40011246</v>
      </c>
      <c r="B759" s="2" t="s">
        <v>3728</v>
      </c>
      <c r="C759" s="5" t="s">
        <v>9371</v>
      </c>
      <c r="D759" s="21">
        <v>3</v>
      </c>
      <c r="E759" s="21"/>
      <c r="F759" s="21" t="s">
        <v>10438</v>
      </c>
      <c r="G759" s="21"/>
      <c r="H759" s="54">
        <v>4</v>
      </c>
      <c r="I759" s="51"/>
      <c r="J759" s="27"/>
      <c r="K759" s="27"/>
      <c r="L759" s="15"/>
      <c r="M759" s="15"/>
      <c r="N759" s="4" t="s">
        <v>5289</v>
      </c>
      <c r="O759" s="4"/>
    </row>
    <row r="760" spans="1:15" x14ac:dyDescent="0.2">
      <c r="A760" s="2">
        <v>40007091</v>
      </c>
      <c r="B760" s="2" t="s">
        <v>2364</v>
      </c>
      <c r="C760" s="5" t="s">
        <v>8070</v>
      </c>
      <c r="D760" s="21">
        <v>1</v>
      </c>
      <c r="E760" s="21"/>
      <c r="F760" s="21" t="s">
        <v>10438</v>
      </c>
      <c r="G760" s="21"/>
      <c r="H760" s="54">
        <v>2</v>
      </c>
      <c r="I760" s="51"/>
      <c r="J760" s="27"/>
      <c r="K760" s="27"/>
      <c r="L760" s="15"/>
      <c r="M760" s="15"/>
      <c r="N760" s="4" t="s">
        <v>4823</v>
      </c>
      <c r="O760" s="4"/>
    </row>
    <row r="761" spans="1:15" x14ac:dyDescent="0.2">
      <c r="A761" s="2">
        <v>40007878</v>
      </c>
      <c r="B761" s="2" t="s">
        <v>3034</v>
      </c>
      <c r="C761" s="5" t="s">
        <v>8728</v>
      </c>
      <c r="D761" s="21">
        <v>5</v>
      </c>
      <c r="E761" s="21"/>
      <c r="F761" s="21" t="s">
        <v>10438</v>
      </c>
      <c r="G761" s="21"/>
      <c r="H761" s="54">
        <v>14</v>
      </c>
      <c r="I761" s="51"/>
      <c r="J761" s="27"/>
      <c r="K761" s="27"/>
      <c r="L761" s="15"/>
      <c r="M761" s="15"/>
      <c r="N761" s="4" t="s">
        <v>4896</v>
      </c>
      <c r="O761" s="4"/>
    </row>
    <row r="762" spans="1:15" x14ac:dyDescent="0.2">
      <c r="A762" s="2">
        <v>40006805</v>
      </c>
      <c r="B762" s="2" t="s">
        <v>2104</v>
      </c>
      <c r="C762" s="5" t="s">
        <v>7813</v>
      </c>
      <c r="D762" s="21">
        <v>8</v>
      </c>
      <c r="E762" s="21"/>
      <c r="F762" s="21" t="s">
        <v>10438</v>
      </c>
      <c r="G762" s="21"/>
      <c r="H762" s="54">
        <v>2</v>
      </c>
      <c r="I762" s="51"/>
      <c r="J762" s="27"/>
      <c r="K762" s="27"/>
      <c r="L762" s="15"/>
      <c r="M762" s="15"/>
      <c r="N762" s="4" t="s">
        <v>4612</v>
      </c>
      <c r="O762" s="4"/>
    </row>
    <row r="763" spans="1:15" x14ac:dyDescent="0.2">
      <c r="A763" s="2">
        <v>40006838</v>
      </c>
      <c r="B763" s="2" t="s">
        <v>2136</v>
      </c>
      <c r="C763" s="5" t="s">
        <v>7845</v>
      </c>
      <c r="D763" s="21">
        <v>3</v>
      </c>
      <c r="E763" s="21"/>
      <c r="F763" s="21" t="s">
        <v>10438</v>
      </c>
      <c r="G763" s="21"/>
      <c r="H763" s="54">
        <v>52</v>
      </c>
      <c r="I763" s="51"/>
      <c r="J763" s="27"/>
      <c r="K763" s="27"/>
      <c r="L763" s="15"/>
      <c r="M763" s="15"/>
      <c r="N763" s="4" t="s">
        <v>4394</v>
      </c>
      <c r="O763" s="4" t="s">
        <v>10191</v>
      </c>
    </row>
    <row r="764" spans="1:15" x14ac:dyDescent="0.2">
      <c r="A764" s="2">
        <v>40006840</v>
      </c>
      <c r="B764" s="2" t="s">
        <v>2138</v>
      </c>
      <c r="C764" s="5" t="s">
        <v>7847</v>
      </c>
      <c r="D764" s="21">
        <v>5</v>
      </c>
      <c r="E764" s="21"/>
      <c r="F764" s="21" t="s">
        <v>10438</v>
      </c>
      <c r="G764" s="21"/>
      <c r="H764" s="54">
        <v>61</v>
      </c>
      <c r="I764" s="51"/>
      <c r="J764" s="27"/>
      <c r="K764" s="27"/>
      <c r="L764" s="15"/>
      <c r="M764" s="15"/>
      <c r="N764" s="4"/>
      <c r="O764" s="4" t="s">
        <v>5213</v>
      </c>
    </row>
    <row r="765" spans="1:15" x14ac:dyDescent="0.2">
      <c r="A765" s="2">
        <v>40005630</v>
      </c>
      <c r="B765" s="2" t="s">
        <v>1073</v>
      </c>
      <c r="C765" s="5">
        <v>3640910</v>
      </c>
      <c r="D765" s="21">
        <v>10</v>
      </c>
      <c r="E765" s="21"/>
      <c r="F765" s="21" t="s">
        <v>10438</v>
      </c>
      <c r="G765" s="21"/>
      <c r="H765" s="54">
        <v>56</v>
      </c>
      <c r="I765" s="51"/>
      <c r="J765" s="27"/>
      <c r="K765" s="27"/>
      <c r="L765" s="15"/>
      <c r="M765" s="15"/>
      <c r="N765" s="4"/>
      <c r="O765" s="4">
        <v>39</v>
      </c>
    </row>
    <row r="766" spans="1:15" x14ac:dyDescent="0.2">
      <c r="A766" s="2">
        <v>40011564</v>
      </c>
      <c r="B766" s="2" t="s">
        <v>5487</v>
      </c>
      <c r="C766" s="5" t="s">
        <v>9401</v>
      </c>
      <c r="D766" s="21"/>
      <c r="E766" s="21"/>
      <c r="F766" s="21" t="s">
        <v>10438</v>
      </c>
      <c r="G766" s="21"/>
      <c r="H766" s="54">
        <v>236</v>
      </c>
      <c r="I766" s="51"/>
      <c r="J766" s="27"/>
      <c r="K766" s="27"/>
      <c r="L766" s="15"/>
      <c r="M766" s="15"/>
      <c r="N766" s="4"/>
      <c r="O766" s="4" t="s">
        <v>10080</v>
      </c>
    </row>
    <row r="767" spans="1:15" x14ac:dyDescent="0.2">
      <c r="A767" s="2">
        <v>40006572</v>
      </c>
      <c r="B767" s="2" t="s">
        <v>1909</v>
      </c>
      <c r="C767" s="5" t="s">
        <v>7617</v>
      </c>
      <c r="D767" s="21">
        <v>1</v>
      </c>
      <c r="E767" s="21"/>
      <c r="F767" s="21" t="s">
        <v>10438</v>
      </c>
      <c r="G767" s="21"/>
      <c r="H767" s="54">
        <v>123</v>
      </c>
      <c r="I767" s="51"/>
      <c r="J767" s="27"/>
      <c r="K767" s="27"/>
      <c r="L767" s="15"/>
      <c r="M767" s="15"/>
      <c r="N767" s="4"/>
      <c r="O767" s="4">
        <v>90</v>
      </c>
    </row>
    <row r="768" spans="1:15" x14ac:dyDescent="0.2">
      <c r="A768" s="2">
        <v>40008138</v>
      </c>
      <c r="B768" s="2" t="s">
        <v>3261</v>
      </c>
      <c r="C768" s="5" t="s">
        <v>8957</v>
      </c>
      <c r="D768" s="21">
        <v>41</v>
      </c>
      <c r="E768" s="21"/>
      <c r="F768" s="21" t="s">
        <v>10438</v>
      </c>
      <c r="G768" s="21"/>
      <c r="H768" s="54">
        <v>28</v>
      </c>
      <c r="I768" s="51"/>
      <c r="J768" s="27"/>
      <c r="K768" s="27"/>
      <c r="L768" s="15"/>
      <c r="M768" s="15"/>
      <c r="N768" s="4"/>
      <c r="O768" s="4"/>
    </row>
    <row r="769" spans="1:15" x14ac:dyDescent="0.2">
      <c r="A769" s="2">
        <v>40007530</v>
      </c>
      <c r="B769" s="2" t="s">
        <v>2734</v>
      </c>
      <c r="C769" s="5" t="s">
        <v>8436</v>
      </c>
      <c r="D769" s="21">
        <v>56</v>
      </c>
      <c r="E769" s="21"/>
      <c r="F769" s="30">
        <v>5</v>
      </c>
      <c r="G769" s="21"/>
      <c r="H769" s="54">
        <v>56</v>
      </c>
      <c r="I769" s="51"/>
      <c r="J769" s="27"/>
      <c r="K769" s="27"/>
      <c r="L769" s="15"/>
      <c r="M769" s="15">
        <v>20</v>
      </c>
      <c r="N769" s="4" t="s">
        <v>4989</v>
      </c>
      <c r="O769" s="4"/>
    </row>
    <row r="770" spans="1:15" x14ac:dyDescent="0.2">
      <c r="A770" s="2">
        <v>40007011</v>
      </c>
      <c r="B770" s="2" t="s">
        <v>2293</v>
      </c>
      <c r="C770" s="5" t="s">
        <v>8002</v>
      </c>
      <c r="D770" s="21">
        <v>56</v>
      </c>
      <c r="E770" s="21"/>
      <c r="F770" s="21" t="s">
        <v>10438</v>
      </c>
      <c r="G770" s="21"/>
      <c r="H770" s="54">
        <v>118</v>
      </c>
      <c r="I770" s="51"/>
      <c r="J770" s="27"/>
      <c r="K770" s="27"/>
      <c r="L770" s="15"/>
      <c r="M770" s="15"/>
      <c r="N770" s="4"/>
      <c r="O770" s="4"/>
    </row>
    <row r="771" spans="1:15" x14ac:dyDescent="0.2">
      <c r="A771" s="2">
        <v>40005458</v>
      </c>
      <c r="B771" s="2" t="s">
        <v>931</v>
      </c>
      <c r="C771" s="5" t="s">
        <v>6653</v>
      </c>
      <c r="D771" s="21">
        <v>23</v>
      </c>
      <c r="E771" s="21"/>
      <c r="F771" s="21" t="s">
        <v>10438</v>
      </c>
      <c r="G771" s="21"/>
      <c r="H771" s="54">
        <v>71</v>
      </c>
      <c r="I771" s="51"/>
      <c r="J771" s="27"/>
      <c r="K771" s="27"/>
      <c r="L771" s="15"/>
      <c r="M771" s="15"/>
      <c r="N771" s="4"/>
      <c r="O771" s="4"/>
    </row>
    <row r="772" spans="1:15" x14ac:dyDescent="0.2">
      <c r="A772" s="2">
        <v>40007546</v>
      </c>
      <c r="B772" s="2" t="s">
        <v>2747</v>
      </c>
      <c r="C772" s="5" t="s">
        <v>8447</v>
      </c>
      <c r="D772" s="21">
        <v>357</v>
      </c>
      <c r="E772" s="21"/>
      <c r="F772" s="30">
        <v>3</v>
      </c>
      <c r="G772" s="21"/>
      <c r="H772" s="54">
        <v>19</v>
      </c>
      <c r="I772" s="51"/>
      <c r="J772" s="27"/>
      <c r="K772" s="27"/>
      <c r="L772" s="15"/>
      <c r="M772" s="15"/>
      <c r="N772" s="4"/>
      <c r="O772" s="4"/>
    </row>
    <row r="773" spans="1:15" x14ac:dyDescent="0.2">
      <c r="A773" s="2">
        <v>40007547</v>
      </c>
      <c r="B773" s="2" t="s">
        <v>2748</v>
      </c>
      <c r="C773" s="5" t="s">
        <v>8448</v>
      </c>
      <c r="D773" s="21">
        <v>26</v>
      </c>
      <c r="E773" s="21"/>
      <c r="F773" s="21" t="s">
        <v>10438</v>
      </c>
      <c r="G773" s="21"/>
      <c r="H773" s="54">
        <v>66</v>
      </c>
      <c r="I773" s="51"/>
      <c r="J773" s="27"/>
      <c r="K773" s="27"/>
      <c r="L773" s="15"/>
      <c r="M773" s="15"/>
      <c r="N773" s="4" t="s">
        <v>4995</v>
      </c>
      <c r="O773" s="4"/>
    </row>
    <row r="774" spans="1:15" x14ac:dyDescent="0.2">
      <c r="A774" s="2">
        <v>40007013</v>
      </c>
      <c r="B774" s="2" t="s">
        <v>2295</v>
      </c>
      <c r="C774" s="5" t="s">
        <v>8004</v>
      </c>
      <c r="D774" s="21">
        <v>18</v>
      </c>
      <c r="E774" s="21"/>
      <c r="F774" s="21" t="s">
        <v>10438</v>
      </c>
      <c r="G774" s="21"/>
      <c r="H774" s="54">
        <v>46</v>
      </c>
      <c r="I774" s="51"/>
      <c r="J774" s="27"/>
      <c r="K774" s="27"/>
      <c r="L774" s="15"/>
      <c r="M774" s="15"/>
      <c r="N774" s="4" t="s">
        <v>4789</v>
      </c>
      <c r="O774" s="4"/>
    </row>
    <row r="775" spans="1:15" x14ac:dyDescent="0.2">
      <c r="A775" s="2">
        <v>40008024</v>
      </c>
      <c r="B775" s="2" t="s">
        <v>3164</v>
      </c>
      <c r="C775" s="5" t="s">
        <v>8858</v>
      </c>
      <c r="D775" s="21">
        <v>63</v>
      </c>
      <c r="E775" s="21"/>
      <c r="F775" s="21" t="s">
        <v>10438</v>
      </c>
      <c r="G775" s="21"/>
      <c r="H775" s="54">
        <v>60</v>
      </c>
      <c r="I775" s="51"/>
      <c r="J775" s="27"/>
      <c r="K775" s="27"/>
      <c r="L775" s="15"/>
      <c r="M775" s="15"/>
      <c r="N775" s="4"/>
      <c r="O775" s="4"/>
    </row>
    <row r="776" spans="1:15" x14ac:dyDescent="0.2">
      <c r="A776" s="2">
        <v>40010581</v>
      </c>
      <c r="B776" s="2" t="s">
        <v>3558</v>
      </c>
      <c r="C776" s="5" t="s">
        <v>9275</v>
      </c>
      <c r="D776" s="21">
        <v>89</v>
      </c>
      <c r="E776" s="21"/>
      <c r="F776" s="30">
        <v>3</v>
      </c>
      <c r="G776" s="21"/>
      <c r="H776" s="54">
        <v>23</v>
      </c>
      <c r="I776" s="51"/>
      <c r="J776" s="27"/>
      <c r="K776" s="27"/>
      <c r="L776" s="15">
        <v>100</v>
      </c>
      <c r="M776" s="15">
        <v>60</v>
      </c>
      <c r="N776" s="4" t="s">
        <v>10029</v>
      </c>
      <c r="O776" s="4"/>
    </row>
    <row r="777" spans="1:15" x14ac:dyDescent="0.2">
      <c r="A777" s="2">
        <v>40005456</v>
      </c>
      <c r="B777" s="2" t="s">
        <v>929</v>
      </c>
      <c r="C777" s="5" t="s">
        <v>6651</v>
      </c>
      <c r="D777" s="21"/>
      <c r="E777" s="21"/>
      <c r="F777" s="21" t="s">
        <v>10438</v>
      </c>
      <c r="G777" s="21"/>
      <c r="H777" s="54">
        <v>74</v>
      </c>
      <c r="I777" s="51"/>
      <c r="J777" s="27"/>
      <c r="K777" s="27"/>
      <c r="L777" s="15">
        <v>50</v>
      </c>
      <c r="M777" s="15"/>
      <c r="N777" s="4"/>
      <c r="O777" s="4"/>
    </row>
    <row r="778" spans="1:15" x14ac:dyDescent="0.2">
      <c r="A778" s="2">
        <v>40007800</v>
      </c>
      <c r="B778" s="2" t="s">
        <v>2970</v>
      </c>
      <c r="C778" s="5" t="s">
        <v>8668</v>
      </c>
      <c r="D778" s="21">
        <v>459</v>
      </c>
      <c r="E778" s="21"/>
      <c r="F778" s="21" t="s">
        <v>10438</v>
      </c>
      <c r="G778" s="21"/>
      <c r="H778" s="54">
        <v>36</v>
      </c>
      <c r="I778" s="51"/>
      <c r="J778" s="27"/>
      <c r="K778" s="27"/>
      <c r="L778" s="15"/>
      <c r="M778" s="15"/>
      <c r="N778" s="4" t="s">
        <v>5084</v>
      </c>
      <c r="O778" s="4">
        <v>95</v>
      </c>
    </row>
    <row r="779" spans="1:15" x14ac:dyDescent="0.2">
      <c r="A779" s="2">
        <v>40007012</v>
      </c>
      <c r="B779" s="2" t="s">
        <v>2294</v>
      </c>
      <c r="C779" s="5" t="s">
        <v>8003</v>
      </c>
      <c r="D779" s="21">
        <v>10</v>
      </c>
      <c r="E779" s="21"/>
      <c r="F779" s="21" t="s">
        <v>10438</v>
      </c>
      <c r="G779" s="21"/>
      <c r="H779" s="54">
        <v>63</v>
      </c>
      <c r="I779" s="51"/>
      <c r="J779" s="27"/>
      <c r="K779" s="27"/>
      <c r="L779" s="15"/>
      <c r="M779" s="15"/>
      <c r="N779" s="4"/>
      <c r="O779" s="4"/>
    </row>
    <row r="780" spans="1:15" x14ac:dyDescent="0.2">
      <c r="A780" s="2">
        <v>40007548</v>
      </c>
      <c r="B780" s="2" t="s">
        <v>2749</v>
      </c>
      <c r="C780" s="5" t="s">
        <v>8449</v>
      </c>
      <c r="D780" s="21">
        <v>350</v>
      </c>
      <c r="E780" s="21"/>
      <c r="F780" s="30">
        <v>6</v>
      </c>
      <c r="G780" s="21"/>
      <c r="H780" s="54">
        <v>21</v>
      </c>
      <c r="I780" s="51"/>
      <c r="J780" s="27"/>
      <c r="K780" s="27"/>
      <c r="L780" s="15"/>
      <c r="M780" s="15">
        <v>200</v>
      </c>
      <c r="N780" s="4" t="s">
        <v>10030</v>
      </c>
      <c r="O780" s="4"/>
    </row>
    <row r="781" spans="1:15" x14ac:dyDescent="0.2">
      <c r="A781" s="2">
        <v>40007057</v>
      </c>
      <c r="B781" s="2" t="s">
        <v>2334</v>
      </c>
      <c r="C781" s="5" t="s">
        <v>8043</v>
      </c>
      <c r="D781" s="21">
        <v>41</v>
      </c>
      <c r="E781" s="21"/>
      <c r="F781" s="30">
        <v>7</v>
      </c>
      <c r="G781" s="21"/>
      <c r="H781" s="54">
        <v>58</v>
      </c>
      <c r="I781" s="51"/>
      <c r="J781" s="27"/>
      <c r="K781" s="27"/>
      <c r="L781" s="15">
        <v>200</v>
      </c>
      <c r="M781" s="15">
        <v>100</v>
      </c>
      <c r="N781" s="4" t="s">
        <v>4811</v>
      </c>
      <c r="O781" s="4"/>
    </row>
    <row r="782" spans="1:15" x14ac:dyDescent="0.2">
      <c r="A782" s="2">
        <v>40008023</v>
      </c>
      <c r="B782" s="2" t="s">
        <v>3163</v>
      </c>
      <c r="C782" s="5" t="s">
        <v>8857</v>
      </c>
      <c r="D782" s="21">
        <v>94</v>
      </c>
      <c r="E782" s="21"/>
      <c r="F782" s="30">
        <v>14</v>
      </c>
      <c r="G782" s="21"/>
      <c r="H782" s="54">
        <v>16</v>
      </c>
      <c r="I782" s="51"/>
      <c r="J782" s="27"/>
      <c r="K782" s="27"/>
      <c r="L782" s="15">
        <v>200</v>
      </c>
      <c r="M782" s="15">
        <v>100</v>
      </c>
      <c r="N782" s="4" t="s">
        <v>5167</v>
      </c>
      <c r="O782" s="4"/>
    </row>
    <row r="783" spans="1:15" x14ac:dyDescent="0.2">
      <c r="A783" s="2">
        <v>40007658</v>
      </c>
      <c r="B783" s="2" t="s">
        <v>2838</v>
      </c>
      <c r="C783" s="5" t="s">
        <v>8538</v>
      </c>
      <c r="D783" s="21">
        <v>57</v>
      </c>
      <c r="E783" s="21"/>
      <c r="F783" s="21" t="s">
        <v>10438</v>
      </c>
      <c r="G783" s="21"/>
      <c r="H783" s="54">
        <v>68</v>
      </c>
      <c r="I783" s="51"/>
      <c r="J783" s="27"/>
      <c r="K783" s="27"/>
      <c r="L783" s="15"/>
      <c r="M783" s="15"/>
      <c r="N783" s="4"/>
      <c r="O783" s="4"/>
    </row>
    <row r="784" spans="1:15" x14ac:dyDescent="0.2">
      <c r="A784" s="2">
        <v>40007797</v>
      </c>
      <c r="B784" s="2" t="s">
        <v>2968</v>
      </c>
      <c r="C784" s="5" t="s">
        <v>8666</v>
      </c>
      <c r="D784" s="21">
        <v>122</v>
      </c>
      <c r="E784" s="21"/>
      <c r="F784" s="30">
        <v>16</v>
      </c>
      <c r="G784" s="21"/>
      <c r="H784" s="54">
        <v>49</v>
      </c>
      <c r="I784" s="51"/>
      <c r="J784" s="27"/>
      <c r="K784" s="27"/>
      <c r="L784" s="15"/>
      <c r="M784" s="15"/>
      <c r="N784" s="4" t="s">
        <v>5082</v>
      </c>
      <c r="O784" s="4"/>
    </row>
    <row r="785" spans="1:15" x14ac:dyDescent="0.2">
      <c r="A785" s="2">
        <v>40007550</v>
      </c>
      <c r="B785" s="2" t="s">
        <v>2750</v>
      </c>
      <c r="C785" s="5" t="s">
        <v>8450</v>
      </c>
      <c r="D785" s="21">
        <v>552</v>
      </c>
      <c r="E785" s="21"/>
      <c r="F785" s="21" t="s">
        <v>10438</v>
      </c>
      <c r="G785" s="21"/>
      <c r="H785" s="54">
        <v>62</v>
      </c>
      <c r="I785" s="51"/>
      <c r="J785" s="27"/>
      <c r="K785" s="27"/>
      <c r="L785" s="15"/>
      <c r="M785" s="15"/>
      <c r="N785" s="4" t="s">
        <v>10031</v>
      </c>
      <c r="O785" s="4">
        <v>95</v>
      </c>
    </row>
    <row r="786" spans="1:15" x14ac:dyDescent="0.2">
      <c r="A786" s="2">
        <v>40008247</v>
      </c>
      <c r="B786" s="2" t="s">
        <v>3364</v>
      </c>
      <c r="C786" s="5" t="s">
        <v>9055</v>
      </c>
      <c r="D786" s="21">
        <v>61</v>
      </c>
      <c r="E786" s="21"/>
      <c r="F786" s="21" t="s">
        <v>10438</v>
      </c>
      <c r="G786" s="21"/>
      <c r="H786" s="54">
        <v>30</v>
      </c>
      <c r="I786" s="51"/>
      <c r="J786" s="27"/>
      <c r="K786" s="27"/>
      <c r="L786" s="15">
        <v>30</v>
      </c>
      <c r="M786" s="15"/>
      <c r="N786" s="4"/>
      <c r="O786" s="4"/>
    </row>
    <row r="787" spans="1:15" x14ac:dyDescent="0.2">
      <c r="A787" s="2">
        <v>40007799</v>
      </c>
      <c r="B787" s="2" t="s">
        <v>2969</v>
      </c>
      <c r="C787" s="5" t="s">
        <v>8667</v>
      </c>
      <c r="D787" s="21">
        <v>27</v>
      </c>
      <c r="E787" s="21"/>
      <c r="F787" s="21" t="s">
        <v>10438</v>
      </c>
      <c r="G787" s="21"/>
      <c r="H787" s="54">
        <v>51</v>
      </c>
      <c r="I787" s="51"/>
      <c r="J787" s="27"/>
      <c r="K787" s="27"/>
      <c r="L787" s="15"/>
      <c r="M787" s="15"/>
      <c r="N787" s="4" t="s">
        <v>5083</v>
      </c>
      <c r="O787" s="4"/>
    </row>
    <row r="788" spans="1:15" x14ac:dyDescent="0.2">
      <c r="A788" s="2">
        <v>40007010</v>
      </c>
      <c r="B788" s="2" t="s">
        <v>2292</v>
      </c>
      <c r="C788" s="5" t="s">
        <v>8001</v>
      </c>
      <c r="D788" s="21">
        <v>182</v>
      </c>
      <c r="E788" s="21"/>
      <c r="F788" s="21" t="s">
        <v>10438</v>
      </c>
      <c r="G788" s="21"/>
      <c r="H788" s="54">
        <v>55</v>
      </c>
      <c r="I788" s="51"/>
      <c r="J788" s="27"/>
      <c r="K788" s="27"/>
      <c r="L788" s="15"/>
      <c r="M788" s="15"/>
      <c r="N788" s="4"/>
      <c r="O788" s="4">
        <v>95</v>
      </c>
    </row>
    <row r="789" spans="1:15" x14ac:dyDescent="0.2">
      <c r="A789" s="2">
        <v>40010532</v>
      </c>
      <c r="B789" s="2" t="s">
        <v>3549</v>
      </c>
      <c r="C789" s="5" t="s">
        <v>9254</v>
      </c>
      <c r="D789" s="21">
        <v>232</v>
      </c>
      <c r="E789" s="21"/>
      <c r="F789" s="30">
        <v>8</v>
      </c>
      <c r="G789" s="21"/>
      <c r="H789" s="54">
        <v>38</v>
      </c>
      <c r="I789" s="51"/>
      <c r="J789" s="27"/>
      <c r="K789" s="27"/>
      <c r="L789" s="15"/>
      <c r="M789" s="15">
        <v>100</v>
      </c>
      <c r="N789" s="4" t="s">
        <v>10032</v>
      </c>
      <c r="O789" s="4"/>
    </row>
    <row r="790" spans="1:15" x14ac:dyDescent="0.2">
      <c r="A790" s="2">
        <v>40007009</v>
      </c>
      <c r="B790" s="2" t="s">
        <v>2291</v>
      </c>
      <c r="C790" s="5" t="s">
        <v>8000</v>
      </c>
      <c r="D790" s="21">
        <v>186</v>
      </c>
      <c r="E790" s="21"/>
      <c r="F790" s="21" t="s">
        <v>10438</v>
      </c>
      <c r="G790" s="21"/>
      <c r="H790" s="54">
        <v>61</v>
      </c>
      <c r="I790" s="51"/>
      <c r="J790" s="27"/>
      <c r="K790" s="27"/>
      <c r="L790" s="15"/>
      <c r="M790" s="15"/>
      <c r="N790" s="4"/>
      <c r="O790" s="4">
        <v>95</v>
      </c>
    </row>
    <row r="791" spans="1:15" x14ac:dyDescent="0.2">
      <c r="A791" s="2">
        <v>40007008</v>
      </c>
      <c r="B791" s="2" t="s">
        <v>2290</v>
      </c>
      <c r="C791" s="5" t="s">
        <v>7999</v>
      </c>
      <c r="D791" s="21">
        <v>146</v>
      </c>
      <c r="E791" s="21"/>
      <c r="F791" s="21" t="s">
        <v>10438</v>
      </c>
      <c r="G791" s="21"/>
      <c r="H791" s="54">
        <v>64</v>
      </c>
      <c r="I791" s="51"/>
      <c r="J791" s="27"/>
      <c r="K791" s="27"/>
      <c r="L791" s="15"/>
      <c r="M791" s="15"/>
      <c r="N791" s="4"/>
      <c r="O791" s="4">
        <v>95</v>
      </c>
    </row>
    <row r="792" spans="1:15" x14ac:dyDescent="0.2">
      <c r="A792" s="2">
        <v>40007657</v>
      </c>
      <c r="B792" s="2" t="s">
        <v>2837</v>
      </c>
      <c r="C792" s="5" t="s">
        <v>8537</v>
      </c>
      <c r="D792" s="21">
        <v>154</v>
      </c>
      <c r="E792" s="21"/>
      <c r="F792" s="30">
        <v>5</v>
      </c>
      <c r="G792" s="21"/>
      <c r="H792" s="54">
        <v>22</v>
      </c>
      <c r="I792" s="51"/>
      <c r="J792" s="27"/>
      <c r="K792" s="27"/>
      <c r="L792" s="15"/>
      <c r="M792" s="15"/>
      <c r="N792" s="4" t="s">
        <v>10033</v>
      </c>
      <c r="O792" s="4"/>
    </row>
    <row r="793" spans="1:15" x14ac:dyDescent="0.2">
      <c r="A793" s="2">
        <v>40007617</v>
      </c>
      <c r="B793" s="2" t="s">
        <v>2804</v>
      </c>
      <c r="C793" s="5" t="s">
        <v>8504</v>
      </c>
      <c r="D793" s="21">
        <v>127</v>
      </c>
      <c r="E793" s="21"/>
      <c r="F793" s="30">
        <v>13</v>
      </c>
      <c r="G793" s="21"/>
      <c r="H793" s="54">
        <v>21</v>
      </c>
      <c r="I793" s="51"/>
      <c r="J793" s="27"/>
      <c r="K793" s="27"/>
      <c r="L793" s="15">
        <v>50</v>
      </c>
      <c r="M793" s="15">
        <v>50</v>
      </c>
      <c r="N793" s="4" t="s">
        <v>5014</v>
      </c>
      <c r="O793" s="4"/>
    </row>
    <row r="794" spans="1:15" x14ac:dyDescent="0.2">
      <c r="A794" s="2">
        <v>40008248</v>
      </c>
      <c r="B794" s="2" t="s">
        <v>3365</v>
      </c>
      <c r="C794" s="5" t="s">
        <v>9056</v>
      </c>
      <c r="D794" s="21">
        <v>160</v>
      </c>
      <c r="E794" s="21"/>
      <c r="F794" s="30">
        <v>15</v>
      </c>
      <c r="G794" s="21"/>
      <c r="H794" s="54">
        <v>23</v>
      </c>
      <c r="I794" s="51"/>
      <c r="J794" s="27"/>
      <c r="K794" s="27"/>
      <c r="L794" s="15">
        <v>100</v>
      </c>
      <c r="M794" s="15">
        <v>200</v>
      </c>
      <c r="N794" s="4" t="s">
        <v>5219</v>
      </c>
      <c r="O794" s="4"/>
    </row>
    <row r="795" spans="1:15" x14ac:dyDescent="0.2">
      <c r="A795" s="2">
        <v>40007796</v>
      </c>
      <c r="B795" s="2" t="s">
        <v>2967</v>
      </c>
      <c r="C795" s="5" t="s">
        <v>8665</v>
      </c>
      <c r="D795" s="21">
        <v>272</v>
      </c>
      <c r="E795" s="21"/>
      <c r="F795" s="21" t="s">
        <v>10438</v>
      </c>
      <c r="G795" s="21"/>
      <c r="H795" s="54">
        <v>45</v>
      </c>
      <c r="I795" s="51"/>
      <c r="J795" s="27"/>
      <c r="K795" s="27"/>
      <c r="L795" s="15"/>
      <c r="M795" s="15"/>
      <c r="N795" s="4" t="s">
        <v>5081</v>
      </c>
      <c r="O795" s="4">
        <v>95</v>
      </c>
    </row>
    <row r="796" spans="1:15" x14ac:dyDescent="0.2">
      <c r="A796" s="2">
        <v>40007795</v>
      </c>
      <c r="B796" s="2" t="s">
        <v>2966</v>
      </c>
      <c r="C796" s="5" t="s">
        <v>8664</v>
      </c>
      <c r="D796" s="21">
        <v>63</v>
      </c>
      <c r="E796" s="21"/>
      <c r="F796" s="21" t="s">
        <v>10438</v>
      </c>
      <c r="G796" s="21"/>
      <c r="H796" s="54">
        <v>22</v>
      </c>
      <c r="I796" s="51"/>
      <c r="J796" s="27"/>
      <c r="K796" s="27"/>
      <c r="L796" s="15"/>
      <c r="M796" s="15"/>
      <c r="N796" s="4" t="s">
        <v>5080</v>
      </c>
      <c r="O796" s="4"/>
    </row>
    <row r="797" spans="1:15" x14ac:dyDescent="0.2">
      <c r="A797" s="2">
        <v>40007619</v>
      </c>
      <c r="B797" s="2" t="s">
        <v>2806</v>
      </c>
      <c r="C797" s="5" t="s">
        <v>8506</v>
      </c>
      <c r="D797" s="21">
        <v>224</v>
      </c>
      <c r="E797" s="21"/>
      <c r="F797" s="30">
        <v>8</v>
      </c>
      <c r="G797" s="21"/>
      <c r="H797" s="54">
        <v>21</v>
      </c>
      <c r="I797" s="51"/>
      <c r="J797" s="27"/>
      <c r="K797" s="27"/>
      <c r="L797" s="15"/>
      <c r="M797" s="15">
        <v>190</v>
      </c>
      <c r="N797" s="4" t="s">
        <v>4995</v>
      </c>
      <c r="O797" s="4"/>
    </row>
    <row r="798" spans="1:15" x14ac:dyDescent="0.2">
      <c r="A798" s="2">
        <v>40007239</v>
      </c>
      <c r="B798" s="2" t="s">
        <v>2495</v>
      </c>
      <c r="C798" s="5" t="s">
        <v>8194</v>
      </c>
      <c r="D798" s="21">
        <v>21</v>
      </c>
      <c r="E798" s="21"/>
      <c r="F798" s="21" t="s">
        <v>10438</v>
      </c>
      <c r="G798" s="21"/>
      <c r="H798" s="54">
        <v>44</v>
      </c>
      <c r="I798" s="51"/>
      <c r="J798" s="27"/>
      <c r="K798" s="27"/>
      <c r="L798" s="15"/>
      <c r="M798" s="15"/>
      <c r="N798" s="4" t="s">
        <v>4811</v>
      </c>
      <c r="O798" s="4"/>
    </row>
    <row r="799" spans="1:15" x14ac:dyDescent="0.2">
      <c r="A799" s="2">
        <v>40010575</v>
      </c>
      <c r="B799" s="2" t="s">
        <v>3554</v>
      </c>
      <c r="C799" s="5" t="s">
        <v>9271</v>
      </c>
      <c r="D799" s="21">
        <v>23</v>
      </c>
      <c r="E799" s="21"/>
      <c r="F799" s="21" t="s">
        <v>10438</v>
      </c>
      <c r="G799" s="21"/>
      <c r="H799" s="54">
        <v>24</v>
      </c>
      <c r="I799" s="51"/>
      <c r="J799" s="27"/>
      <c r="K799" s="27"/>
      <c r="L799" s="15"/>
      <c r="M799" s="15"/>
      <c r="N799" s="4"/>
      <c r="O799" s="4"/>
    </row>
    <row r="800" spans="1:15" x14ac:dyDescent="0.2">
      <c r="A800" s="2">
        <v>40005843</v>
      </c>
      <c r="B800" s="2" t="s">
        <v>1261</v>
      </c>
      <c r="C800" s="5" t="s">
        <v>6973</v>
      </c>
      <c r="D800" s="21">
        <v>11</v>
      </c>
      <c r="E800" s="21"/>
      <c r="F800" s="30">
        <v>1</v>
      </c>
      <c r="G800" s="21"/>
      <c r="H800" s="54">
        <v>24</v>
      </c>
      <c r="I800" s="51"/>
      <c r="J800" s="27"/>
      <c r="K800" s="27"/>
      <c r="L800" s="15"/>
      <c r="M800" s="15">
        <v>20</v>
      </c>
      <c r="N800" s="4"/>
      <c r="O800" s="4"/>
    </row>
    <row r="801" spans="1:15" x14ac:dyDescent="0.2">
      <c r="A801" s="2">
        <v>40007256</v>
      </c>
      <c r="B801" s="2" t="s">
        <v>2507</v>
      </c>
      <c r="C801" s="5" t="s">
        <v>8203</v>
      </c>
      <c r="D801" s="21">
        <v>3</v>
      </c>
      <c r="E801" s="21"/>
      <c r="F801" s="21" t="s">
        <v>10438</v>
      </c>
      <c r="G801" s="21"/>
      <c r="H801" s="54">
        <v>41</v>
      </c>
      <c r="I801" s="51"/>
      <c r="J801" s="27"/>
      <c r="K801" s="27"/>
      <c r="L801" s="15"/>
      <c r="M801" s="15"/>
      <c r="N801" s="4" t="s">
        <v>4076</v>
      </c>
      <c r="O801" s="4"/>
    </row>
    <row r="802" spans="1:15" x14ac:dyDescent="0.2">
      <c r="A802" s="2">
        <v>40005901</v>
      </c>
      <c r="B802" s="2" t="s">
        <v>1314</v>
      </c>
      <c r="C802" s="5" t="s">
        <v>7024</v>
      </c>
      <c r="D802" s="21">
        <v>2</v>
      </c>
      <c r="E802" s="21"/>
      <c r="F802" s="21" t="s">
        <v>10438</v>
      </c>
      <c r="G802" s="21"/>
      <c r="H802" s="54">
        <v>48</v>
      </c>
      <c r="I802" s="51"/>
      <c r="J802" s="27"/>
      <c r="K802" s="27"/>
      <c r="L802" s="15"/>
      <c r="M802" s="15"/>
      <c r="N802" s="4" t="s">
        <v>4259</v>
      </c>
      <c r="O802" s="4"/>
    </row>
    <row r="803" spans="1:15" x14ac:dyDescent="0.2">
      <c r="A803" s="2">
        <v>40007203</v>
      </c>
      <c r="B803" s="2" t="s">
        <v>2467</v>
      </c>
      <c r="C803" s="5" t="s">
        <v>8168</v>
      </c>
      <c r="D803" s="21">
        <v>1</v>
      </c>
      <c r="E803" s="21"/>
      <c r="F803" s="21" t="s">
        <v>10438</v>
      </c>
      <c r="G803" s="21"/>
      <c r="H803" s="54">
        <v>1705</v>
      </c>
      <c r="I803" s="51"/>
      <c r="J803" s="27"/>
      <c r="K803" s="27"/>
      <c r="L803" s="15"/>
      <c r="M803" s="15"/>
      <c r="N803" s="4"/>
      <c r="O803" s="4">
        <v>94</v>
      </c>
    </row>
    <row r="804" spans="1:15" x14ac:dyDescent="0.2">
      <c r="A804" s="2">
        <v>40006827</v>
      </c>
      <c r="B804" s="2" t="s">
        <v>2126</v>
      </c>
      <c r="C804" s="5" t="s">
        <v>7834</v>
      </c>
      <c r="D804" s="21">
        <v>5</v>
      </c>
      <c r="E804" s="21"/>
      <c r="F804" s="21" t="s">
        <v>10438</v>
      </c>
      <c r="G804" s="21"/>
      <c r="H804" s="54">
        <v>1844</v>
      </c>
      <c r="I804" s="51"/>
      <c r="J804" s="27"/>
      <c r="K804" s="27"/>
      <c r="L804" s="15"/>
      <c r="M804" s="15"/>
      <c r="N804" s="4" t="s">
        <v>3998</v>
      </c>
      <c r="O804" s="4">
        <v>39</v>
      </c>
    </row>
    <row r="805" spans="1:15" x14ac:dyDescent="0.2">
      <c r="A805" s="2">
        <v>40006937</v>
      </c>
      <c r="B805" s="2" t="s">
        <v>2229</v>
      </c>
      <c r="C805" s="5">
        <v>957151700</v>
      </c>
      <c r="D805" s="21">
        <v>7</v>
      </c>
      <c r="E805" s="21"/>
      <c r="F805" s="21" t="s">
        <v>10438</v>
      </c>
      <c r="G805" s="21"/>
      <c r="H805" s="54">
        <v>741</v>
      </c>
      <c r="I805" s="51"/>
      <c r="J805" s="27"/>
      <c r="K805" s="27"/>
      <c r="L805" s="15"/>
      <c r="M805" s="15"/>
      <c r="N805" s="4"/>
      <c r="O805" s="4">
        <v>17</v>
      </c>
    </row>
    <row r="806" spans="1:15" x14ac:dyDescent="0.2">
      <c r="A806" s="2">
        <v>40005647</v>
      </c>
      <c r="B806" s="2" t="s">
        <v>1086</v>
      </c>
      <c r="C806" s="5" t="s">
        <v>6805</v>
      </c>
      <c r="D806" s="21">
        <v>14</v>
      </c>
      <c r="E806" s="21"/>
      <c r="F806" s="21" t="s">
        <v>10438</v>
      </c>
      <c r="G806" s="21"/>
      <c r="H806" s="54">
        <v>460</v>
      </c>
      <c r="I806" s="51"/>
      <c r="J806" s="27"/>
      <c r="K806" s="27"/>
      <c r="L806" s="15"/>
      <c r="M806" s="15">
        <v>5</v>
      </c>
      <c r="N806" s="4" t="s">
        <v>4188</v>
      </c>
      <c r="O806" s="4"/>
    </row>
    <row r="807" spans="1:15" x14ac:dyDescent="0.2">
      <c r="A807" s="2">
        <v>40007963</v>
      </c>
      <c r="B807" s="2" t="s">
        <v>3112</v>
      </c>
      <c r="C807" s="5" t="s">
        <v>8807</v>
      </c>
      <c r="D807" s="21">
        <v>2</v>
      </c>
      <c r="E807" s="21"/>
      <c r="F807" s="21" t="s">
        <v>10438</v>
      </c>
      <c r="G807" s="21"/>
      <c r="H807" s="54">
        <v>580</v>
      </c>
      <c r="I807" s="51"/>
      <c r="J807" s="27"/>
      <c r="K807" s="27"/>
      <c r="L807" s="15"/>
      <c r="M807" s="15"/>
      <c r="N807" s="4" t="s">
        <v>4312</v>
      </c>
      <c r="O807" s="4"/>
    </row>
    <row r="808" spans="1:15" x14ac:dyDescent="0.2">
      <c r="A808" s="2">
        <v>40008019</v>
      </c>
      <c r="B808" s="2" t="s">
        <v>3159</v>
      </c>
      <c r="C808" s="5" t="s">
        <v>8853</v>
      </c>
      <c r="D808" s="21">
        <v>13</v>
      </c>
      <c r="E808" s="21"/>
      <c r="F808" s="21" t="s">
        <v>10438</v>
      </c>
      <c r="G808" s="21"/>
      <c r="H808" s="54">
        <v>535</v>
      </c>
      <c r="I808" s="51"/>
      <c r="J808" s="27"/>
      <c r="K808" s="27"/>
      <c r="L808" s="15"/>
      <c r="M808" s="15">
        <v>5</v>
      </c>
      <c r="N808" s="4" t="s">
        <v>5163</v>
      </c>
      <c r="O808" s="4"/>
    </row>
    <row r="809" spans="1:15" x14ac:dyDescent="0.2">
      <c r="A809" s="2">
        <v>40006400</v>
      </c>
      <c r="B809" s="2" t="s">
        <v>1760</v>
      </c>
      <c r="C809" s="5" t="s">
        <v>7471</v>
      </c>
      <c r="D809" s="21">
        <v>2</v>
      </c>
      <c r="E809" s="21"/>
      <c r="F809" s="21" t="s">
        <v>10438</v>
      </c>
      <c r="G809" s="21"/>
      <c r="H809" s="54">
        <v>3520</v>
      </c>
      <c r="I809" s="51"/>
      <c r="J809" s="27"/>
      <c r="K809" s="27"/>
      <c r="L809" s="15"/>
      <c r="M809" s="15"/>
      <c r="N809" s="4"/>
      <c r="O809" s="4">
        <v>41</v>
      </c>
    </row>
    <row r="810" spans="1:15" x14ac:dyDescent="0.2">
      <c r="A810" s="2">
        <v>40005923</v>
      </c>
      <c r="B810" s="2" t="s">
        <v>1333</v>
      </c>
      <c r="C810" s="5" t="s">
        <v>7039</v>
      </c>
      <c r="D810" s="21">
        <v>7</v>
      </c>
      <c r="E810" s="21"/>
      <c r="F810" s="21" t="s">
        <v>10438</v>
      </c>
      <c r="G810" s="21"/>
      <c r="H810" s="54">
        <v>500</v>
      </c>
      <c r="I810" s="51"/>
      <c r="J810" s="27"/>
      <c r="K810" s="27"/>
      <c r="L810" s="15"/>
      <c r="M810" s="15"/>
      <c r="N810" s="4"/>
      <c r="O810" s="4">
        <v>39</v>
      </c>
    </row>
    <row r="811" spans="1:15" x14ac:dyDescent="0.2">
      <c r="A811" s="2">
        <v>40007564</v>
      </c>
      <c r="B811" s="2" t="s">
        <v>2762</v>
      </c>
      <c r="C811" s="5" t="s">
        <v>8463</v>
      </c>
      <c r="D811" s="21">
        <v>4</v>
      </c>
      <c r="E811" s="21"/>
      <c r="F811" s="21" t="s">
        <v>10438</v>
      </c>
      <c r="G811" s="21"/>
      <c r="H811" s="54">
        <v>45</v>
      </c>
      <c r="I811" s="51"/>
      <c r="J811" s="27"/>
      <c r="K811" s="27"/>
      <c r="L811" s="15"/>
      <c r="M811" s="15"/>
      <c r="N811" s="4" t="s">
        <v>5000</v>
      </c>
      <c r="O811" s="4"/>
    </row>
    <row r="812" spans="1:15" x14ac:dyDescent="0.2">
      <c r="A812" s="2">
        <v>40007521</v>
      </c>
      <c r="B812" s="2" t="s">
        <v>2726</v>
      </c>
      <c r="C812" s="5" t="s">
        <v>8429</v>
      </c>
      <c r="D812" s="21">
        <v>4</v>
      </c>
      <c r="E812" s="21"/>
      <c r="F812" s="21" t="s">
        <v>10438</v>
      </c>
      <c r="G812" s="21"/>
      <c r="H812" s="54">
        <v>1030</v>
      </c>
      <c r="I812" s="51"/>
      <c r="J812" s="27"/>
      <c r="K812" s="27"/>
      <c r="L812" s="15"/>
      <c r="M812" s="15"/>
      <c r="N812" s="4"/>
      <c r="O812" s="4"/>
    </row>
    <row r="813" spans="1:15" x14ac:dyDescent="0.2">
      <c r="A813" s="2">
        <v>40007112</v>
      </c>
      <c r="B813" s="2" t="s">
        <v>2382</v>
      </c>
      <c r="C813" s="5" t="s">
        <v>8088</v>
      </c>
      <c r="D813" s="21">
        <v>8</v>
      </c>
      <c r="E813" s="21"/>
      <c r="F813" s="21" t="s">
        <v>10438</v>
      </c>
      <c r="G813" s="21"/>
      <c r="H813" s="54">
        <v>41</v>
      </c>
      <c r="I813" s="51"/>
      <c r="J813" s="27"/>
      <c r="K813" s="27"/>
      <c r="L813" s="15"/>
      <c r="M813" s="15"/>
      <c r="N813" s="4"/>
      <c r="O813" s="4" t="s">
        <v>10209</v>
      </c>
    </row>
    <row r="814" spans="1:15" x14ac:dyDescent="0.2">
      <c r="A814" s="2">
        <v>40007720</v>
      </c>
      <c r="B814" s="2" t="s">
        <v>2895</v>
      </c>
      <c r="C814" s="5" t="s">
        <v>8592</v>
      </c>
      <c r="D814" s="21">
        <v>4</v>
      </c>
      <c r="E814" s="21"/>
      <c r="F814" s="21" t="s">
        <v>10438</v>
      </c>
      <c r="G814" s="21"/>
      <c r="H814" s="54">
        <v>31</v>
      </c>
      <c r="I814" s="51"/>
      <c r="J814" s="27"/>
      <c r="K814" s="27"/>
      <c r="L814" s="15"/>
      <c r="M814" s="15"/>
      <c r="N814" s="4" t="s">
        <v>5048</v>
      </c>
      <c r="O814" s="4"/>
    </row>
    <row r="815" spans="1:15" x14ac:dyDescent="0.2">
      <c r="A815" s="2">
        <v>40007733</v>
      </c>
      <c r="B815" s="2" t="s">
        <v>2908</v>
      </c>
      <c r="C815" s="5" t="s">
        <v>8605</v>
      </c>
      <c r="D815" s="21">
        <v>5</v>
      </c>
      <c r="E815" s="21"/>
      <c r="F815" s="30">
        <v>1</v>
      </c>
      <c r="G815" s="21"/>
      <c r="H815" s="54">
        <v>36</v>
      </c>
      <c r="I815" s="51"/>
      <c r="J815" s="27"/>
      <c r="K815" s="27"/>
      <c r="L815" s="15"/>
      <c r="M815" s="15"/>
      <c r="N815" s="4" t="s">
        <v>4887</v>
      </c>
      <c r="O815" s="4"/>
    </row>
    <row r="816" spans="1:15" x14ac:dyDescent="0.2">
      <c r="A816" s="2">
        <v>40005197</v>
      </c>
      <c r="B816" s="2" t="s">
        <v>738</v>
      </c>
      <c r="C816" s="5" t="s">
        <v>6451</v>
      </c>
      <c r="D816" s="21">
        <v>1</v>
      </c>
      <c r="E816" s="21"/>
      <c r="F816" s="21" t="s">
        <v>10438</v>
      </c>
      <c r="G816" s="21"/>
      <c r="H816" s="54">
        <v>25</v>
      </c>
      <c r="I816" s="51"/>
      <c r="J816" s="27"/>
      <c r="K816" s="27"/>
      <c r="L816" s="15"/>
      <c r="M816" s="15"/>
      <c r="N816" s="4" t="s">
        <v>4003</v>
      </c>
      <c r="O816" s="4"/>
    </row>
    <row r="817" spans="1:15" x14ac:dyDescent="0.2">
      <c r="A817" s="2">
        <v>40006343</v>
      </c>
      <c r="B817" s="2" t="s">
        <v>1708</v>
      </c>
      <c r="C817" s="5" t="s">
        <v>7417</v>
      </c>
      <c r="D817" s="21">
        <v>3</v>
      </c>
      <c r="E817" s="21"/>
      <c r="F817" s="21" t="s">
        <v>10438</v>
      </c>
      <c r="G817" s="21"/>
      <c r="H817" s="54">
        <v>6</v>
      </c>
      <c r="I817" s="51"/>
      <c r="J817" s="27"/>
      <c r="K817" s="27"/>
      <c r="L817" s="15"/>
      <c r="M817" s="15">
        <v>2</v>
      </c>
      <c r="N817" s="4" t="s">
        <v>4536</v>
      </c>
      <c r="O817" s="4"/>
    </row>
    <row r="818" spans="1:15" x14ac:dyDescent="0.2">
      <c r="A818" s="2">
        <v>40008193</v>
      </c>
      <c r="B818" s="2" t="s">
        <v>3314</v>
      </c>
      <c r="C818" s="5" t="s">
        <v>9006</v>
      </c>
      <c r="D818" s="21">
        <v>5</v>
      </c>
      <c r="E818" s="21"/>
      <c r="F818" s="30">
        <v>1</v>
      </c>
      <c r="G818" s="21"/>
      <c r="H818" s="54">
        <v>16</v>
      </c>
      <c r="I818" s="51"/>
      <c r="J818" s="27"/>
      <c r="K818" s="27"/>
      <c r="L818" s="15"/>
      <c r="M818" s="15"/>
      <c r="N818" s="4" t="s">
        <v>4434</v>
      </c>
      <c r="O818" s="4"/>
    </row>
    <row r="819" spans="1:15" x14ac:dyDescent="0.2">
      <c r="A819" s="2">
        <v>40006250</v>
      </c>
      <c r="B819" s="2" t="s">
        <v>1627</v>
      </c>
      <c r="C819" s="5" t="s">
        <v>7331</v>
      </c>
      <c r="D819" s="21">
        <v>5</v>
      </c>
      <c r="E819" s="21"/>
      <c r="F819" s="21" t="s">
        <v>10438</v>
      </c>
      <c r="G819" s="21"/>
      <c r="H819" s="54">
        <v>57</v>
      </c>
      <c r="I819" s="51"/>
      <c r="J819" s="27"/>
      <c r="K819" s="27"/>
      <c r="L819" s="15"/>
      <c r="M819" s="15"/>
      <c r="N819" s="4" t="s">
        <v>4488</v>
      </c>
      <c r="O819" s="4"/>
    </row>
    <row r="820" spans="1:15" x14ac:dyDescent="0.2">
      <c r="A820" s="2">
        <v>40006252</v>
      </c>
      <c r="B820" s="2" t="s">
        <v>1629</v>
      </c>
      <c r="C820" s="5" t="s">
        <v>7333</v>
      </c>
      <c r="D820" s="21">
        <v>2</v>
      </c>
      <c r="E820" s="21"/>
      <c r="F820" s="21" t="s">
        <v>10438</v>
      </c>
      <c r="G820" s="21"/>
      <c r="H820" s="54">
        <v>13</v>
      </c>
      <c r="I820" s="51"/>
      <c r="J820" s="27"/>
      <c r="K820" s="27"/>
      <c r="L820" s="15"/>
      <c r="M820" s="15"/>
      <c r="N820" s="4" t="s">
        <v>4489</v>
      </c>
      <c r="O820" s="4"/>
    </row>
    <row r="821" spans="1:15" x14ac:dyDescent="0.2">
      <c r="A821" s="2">
        <v>10019952</v>
      </c>
      <c r="B821" s="2" t="s">
        <v>641</v>
      </c>
      <c r="C821" s="5" t="s">
        <v>6281</v>
      </c>
      <c r="D821" s="21">
        <v>43</v>
      </c>
      <c r="E821" s="21"/>
      <c r="F821" s="21" t="s">
        <v>10438</v>
      </c>
      <c r="G821" s="21"/>
      <c r="H821" s="54">
        <v>17</v>
      </c>
      <c r="I821" s="51"/>
      <c r="J821" s="27"/>
      <c r="K821" s="27"/>
      <c r="L821" s="15"/>
      <c r="M821" s="15">
        <v>15</v>
      </c>
      <c r="N821" s="4" t="s">
        <v>3956</v>
      </c>
      <c r="O821" s="4"/>
    </row>
    <row r="822" spans="1:15" x14ac:dyDescent="0.2">
      <c r="A822" s="2">
        <v>10019994</v>
      </c>
      <c r="B822" s="2" t="s">
        <v>653</v>
      </c>
      <c r="C822" s="5" t="s">
        <v>6299</v>
      </c>
      <c r="D822" s="21"/>
      <c r="E822" s="21"/>
      <c r="F822" s="21" t="s">
        <v>10438</v>
      </c>
      <c r="G822" s="21"/>
      <c r="H822" s="54">
        <v>33</v>
      </c>
      <c r="I822" s="51"/>
      <c r="J822" s="27"/>
      <c r="K822" s="27"/>
      <c r="L822" s="15"/>
      <c r="M822" s="15"/>
      <c r="N822" s="4" t="s">
        <v>3956</v>
      </c>
      <c r="O822" s="4"/>
    </row>
    <row r="823" spans="1:15" x14ac:dyDescent="0.2">
      <c r="A823" s="2">
        <v>10019303</v>
      </c>
      <c r="B823" s="2" t="s">
        <v>490</v>
      </c>
      <c r="C823" s="5" t="s">
        <v>6106</v>
      </c>
      <c r="D823" s="21">
        <v>29</v>
      </c>
      <c r="E823" s="21"/>
      <c r="F823" s="21" t="s">
        <v>10438</v>
      </c>
      <c r="G823" s="21"/>
      <c r="H823" s="54">
        <v>7</v>
      </c>
      <c r="I823" s="51"/>
      <c r="J823" s="27"/>
      <c r="K823" s="27"/>
      <c r="L823" s="15"/>
      <c r="M823" s="15"/>
      <c r="N823" s="4" t="s">
        <v>3937</v>
      </c>
      <c r="O823" s="4"/>
    </row>
    <row r="824" spans="1:15" x14ac:dyDescent="0.2">
      <c r="A824" s="2">
        <v>10019932</v>
      </c>
      <c r="B824" s="2" t="s">
        <v>629</v>
      </c>
      <c r="C824" s="5" t="s">
        <v>6268</v>
      </c>
      <c r="D824" s="21">
        <v>20</v>
      </c>
      <c r="E824" s="21"/>
      <c r="F824" s="21" t="s">
        <v>10438</v>
      </c>
      <c r="G824" s="21"/>
      <c r="H824" s="54">
        <v>15</v>
      </c>
      <c r="I824" s="51"/>
      <c r="J824" s="27"/>
      <c r="K824" s="27"/>
      <c r="L824" s="15"/>
      <c r="M824" s="15"/>
      <c r="N824" s="4" t="s">
        <v>3956</v>
      </c>
      <c r="O824" s="4"/>
    </row>
    <row r="825" spans="1:15" x14ac:dyDescent="0.2">
      <c r="A825" s="2">
        <v>40006699</v>
      </c>
      <c r="B825" s="2" t="s">
        <v>2014</v>
      </c>
      <c r="C825" s="5" t="s">
        <v>7723</v>
      </c>
      <c r="D825" s="21">
        <v>4</v>
      </c>
      <c r="E825" s="21"/>
      <c r="F825" s="21" t="s">
        <v>10438</v>
      </c>
      <c r="G825" s="21"/>
      <c r="H825" s="54">
        <v>173</v>
      </c>
      <c r="I825" s="51"/>
      <c r="J825" s="27"/>
      <c r="K825" s="27"/>
      <c r="L825" s="15"/>
      <c r="M825" s="15"/>
      <c r="N825" s="4" t="s">
        <v>4649</v>
      </c>
      <c r="O825" s="4" t="s">
        <v>10235</v>
      </c>
    </row>
    <row r="826" spans="1:15" x14ac:dyDescent="0.2">
      <c r="A826" s="2">
        <v>40007492</v>
      </c>
      <c r="B826" s="2" t="s">
        <v>2702</v>
      </c>
      <c r="C826" s="5" t="s">
        <v>8404</v>
      </c>
      <c r="D826" s="21">
        <v>6</v>
      </c>
      <c r="E826" s="21"/>
      <c r="F826" s="21" t="s">
        <v>10438</v>
      </c>
      <c r="G826" s="21"/>
      <c r="H826" s="54">
        <v>227</v>
      </c>
      <c r="I826" s="51"/>
      <c r="J826" s="27"/>
      <c r="K826" s="27"/>
      <c r="L826" s="15"/>
      <c r="M826" s="15"/>
      <c r="N826" s="4" t="s">
        <v>3937</v>
      </c>
      <c r="O826" s="4"/>
    </row>
    <row r="827" spans="1:15" x14ac:dyDescent="0.2">
      <c r="A827" s="2">
        <v>10019166</v>
      </c>
      <c r="B827" s="2" t="s">
        <v>3629</v>
      </c>
      <c r="C827" s="5" t="s">
        <v>6058</v>
      </c>
      <c r="D827" s="21">
        <v>42</v>
      </c>
      <c r="E827" s="21"/>
      <c r="F827" s="21" t="s">
        <v>10438</v>
      </c>
      <c r="G827" s="21"/>
      <c r="H827" s="54">
        <v>419</v>
      </c>
      <c r="I827" s="51"/>
      <c r="J827" s="27"/>
      <c r="K827" s="27"/>
      <c r="L827" s="15">
        <v>10</v>
      </c>
      <c r="M827" s="15">
        <v>10</v>
      </c>
      <c r="N827" s="4">
        <v>100</v>
      </c>
      <c r="O827" s="4"/>
    </row>
    <row r="828" spans="1:15" x14ac:dyDescent="0.2">
      <c r="A828" s="2">
        <v>40007165</v>
      </c>
      <c r="B828" s="2" t="s">
        <v>2432</v>
      </c>
      <c r="C828" s="5" t="s">
        <v>8134</v>
      </c>
      <c r="D828" s="21">
        <v>3</v>
      </c>
      <c r="E828" s="21"/>
      <c r="F828" s="21" t="s">
        <v>10438</v>
      </c>
      <c r="G828" s="21"/>
      <c r="H828" s="54">
        <v>1284</v>
      </c>
      <c r="I828" s="51"/>
      <c r="J828" s="27"/>
      <c r="K828" s="27"/>
      <c r="L828" s="15"/>
      <c r="M828" s="15"/>
      <c r="N828" s="4"/>
      <c r="O828" s="4">
        <v>90</v>
      </c>
    </row>
    <row r="829" spans="1:15" x14ac:dyDescent="0.2">
      <c r="A829" s="2">
        <v>40007641</v>
      </c>
      <c r="B829" s="2" t="s">
        <v>2825</v>
      </c>
      <c r="C829" s="5" t="s">
        <v>8525</v>
      </c>
      <c r="D829" s="21">
        <v>2</v>
      </c>
      <c r="E829" s="21"/>
      <c r="F829" s="21" t="s">
        <v>10438</v>
      </c>
      <c r="G829" s="21"/>
      <c r="H829" s="54">
        <v>568</v>
      </c>
      <c r="I829" s="51"/>
      <c r="J829" s="27"/>
      <c r="K829" s="27"/>
      <c r="L829" s="15"/>
      <c r="M829" s="15"/>
      <c r="N829" s="4"/>
      <c r="O829" s="4" t="s">
        <v>10321</v>
      </c>
    </row>
    <row r="830" spans="1:15" x14ac:dyDescent="0.2">
      <c r="A830" s="2">
        <v>40007099</v>
      </c>
      <c r="B830" s="2" t="s">
        <v>2371</v>
      </c>
      <c r="C830" s="5" t="s">
        <v>8076</v>
      </c>
      <c r="D830" s="21">
        <v>1</v>
      </c>
      <c r="E830" s="21"/>
      <c r="F830" s="21" t="s">
        <v>10438</v>
      </c>
      <c r="G830" s="21"/>
      <c r="H830" s="54">
        <v>190</v>
      </c>
      <c r="I830" s="51"/>
      <c r="J830" s="27"/>
      <c r="K830" s="27"/>
      <c r="L830" s="15"/>
      <c r="M830" s="15"/>
      <c r="N830" s="4" t="s">
        <v>10718</v>
      </c>
      <c r="O830" s="4"/>
    </row>
    <row r="831" spans="1:15" x14ac:dyDescent="0.2">
      <c r="A831" s="2">
        <v>40010295</v>
      </c>
      <c r="B831" s="2" t="s">
        <v>3485</v>
      </c>
      <c r="C831" s="5" t="s">
        <v>9179</v>
      </c>
      <c r="D831" s="21">
        <v>2</v>
      </c>
      <c r="E831" s="21"/>
      <c r="F831" s="21" t="s">
        <v>10438</v>
      </c>
      <c r="G831" s="21"/>
      <c r="H831" s="54">
        <v>12</v>
      </c>
      <c r="I831" s="51"/>
      <c r="J831" s="27"/>
      <c r="K831" s="27"/>
      <c r="L831" s="15"/>
      <c r="M831" s="15"/>
      <c r="N831" s="4" t="s">
        <v>4013</v>
      </c>
      <c r="O831" s="4"/>
    </row>
    <row r="832" spans="1:15" x14ac:dyDescent="0.2">
      <c r="A832" s="2">
        <v>10018623</v>
      </c>
      <c r="B832" s="2" t="s">
        <v>5422</v>
      </c>
      <c r="C832" s="5" t="s">
        <v>9407</v>
      </c>
      <c r="D832" s="21">
        <v>5</v>
      </c>
      <c r="E832" s="21"/>
      <c r="F832" s="21" t="s">
        <v>10438</v>
      </c>
      <c r="G832" s="21"/>
      <c r="H832" s="54">
        <v>6395</v>
      </c>
      <c r="I832" s="51">
        <v>5120</v>
      </c>
      <c r="J832" s="27"/>
      <c r="K832" s="27"/>
      <c r="L832" s="15"/>
      <c r="M832" s="15"/>
      <c r="N832" s="4">
        <v>103</v>
      </c>
      <c r="O832" s="4" t="s">
        <v>10450</v>
      </c>
    </row>
    <row r="833" spans="1:15" x14ac:dyDescent="0.2">
      <c r="A833" s="2">
        <v>10018793</v>
      </c>
      <c r="B833" s="2" t="s">
        <v>317</v>
      </c>
      <c r="C833" s="5" t="s">
        <v>5900</v>
      </c>
      <c r="D833" s="21"/>
      <c r="E833" s="21"/>
      <c r="F833" s="21" t="s">
        <v>10438</v>
      </c>
      <c r="G833" s="21"/>
      <c r="H833" s="54">
        <v>254</v>
      </c>
      <c r="I833" s="51"/>
      <c r="J833" s="27"/>
      <c r="K833" s="27"/>
      <c r="L833" s="15">
        <v>5</v>
      </c>
      <c r="M833" s="15"/>
      <c r="N833" s="4"/>
      <c r="O833" s="4"/>
    </row>
    <row r="834" spans="1:15" x14ac:dyDescent="0.2">
      <c r="A834" s="2">
        <v>10018266</v>
      </c>
      <c r="B834" s="2" t="s">
        <v>136</v>
      </c>
      <c r="C834" s="5" t="s">
        <v>5674</v>
      </c>
      <c r="D834" s="21">
        <v>203</v>
      </c>
      <c r="E834" s="21"/>
      <c r="F834" s="30">
        <v>1</v>
      </c>
      <c r="G834" s="21"/>
      <c r="H834" s="54">
        <v>352</v>
      </c>
      <c r="I834" s="51"/>
      <c r="J834" s="27"/>
      <c r="K834" s="27"/>
      <c r="L834" s="15">
        <v>64</v>
      </c>
      <c r="M834" s="15">
        <v>45</v>
      </c>
      <c r="N834" s="4">
        <v>100</v>
      </c>
      <c r="O834" s="4"/>
    </row>
    <row r="835" spans="1:15" x14ac:dyDescent="0.2">
      <c r="A835" s="2">
        <v>10018269</v>
      </c>
      <c r="B835" s="2" t="s">
        <v>138</v>
      </c>
      <c r="C835" s="5" t="s">
        <v>5676</v>
      </c>
      <c r="D835" s="21">
        <v>619</v>
      </c>
      <c r="E835" s="21"/>
      <c r="F835" s="21" t="s">
        <v>10438</v>
      </c>
      <c r="G835" s="21"/>
      <c r="H835" s="54">
        <v>362</v>
      </c>
      <c r="I835" s="51"/>
      <c r="J835" s="27"/>
      <c r="K835" s="27"/>
      <c r="L835" s="15">
        <v>64</v>
      </c>
      <c r="M835" s="15"/>
      <c r="N835" s="4">
        <v>100</v>
      </c>
      <c r="O835" s="4"/>
    </row>
    <row r="836" spans="1:15" x14ac:dyDescent="0.2">
      <c r="A836" s="2">
        <v>10018772</v>
      </c>
      <c r="B836" s="2" t="s">
        <v>303</v>
      </c>
      <c r="C836" s="5" t="s">
        <v>5885</v>
      </c>
      <c r="D836" s="21">
        <v>120</v>
      </c>
      <c r="E836" s="21"/>
      <c r="F836" s="21" t="s">
        <v>10438</v>
      </c>
      <c r="G836" s="21"/>
      <c r="H836" s="54">
        <v>305</v>
      </c>
      <c r="I836" s="51"/>
      <c r="J836" s="27"/>
      <c r="K836" s="27"/>
      <c r="L836" s="15"/>
      <c r="M836" s="15"/>
      <c r="N836" s="4">
        <v>100</v>
      </c>
      <c r="O836" s="4"/>
    </row>
    <row r="837" spans="1:15" x14ac:dyDescent="0.2">
      <c r="A837" s="2">
        <v>10020012</v>
      </c>
      <c r="B837" s="2" t="s">
        <v>3631</v>
      </c>
      <c r="C837" s="5">
        <v>528099672</v>
      </c>
      <c r="D837" s="21">
        <v>22</v>
      </c>
      <c r="E837" s="21"/>
      <c r="F837" s="21" t="s">
        <v>10438</v>
      </c>
      <c r="G837" s="21"/>
      <c r="H837" s="54">
        <v>458</v>
      </c>
      <c r="I837" s="51"/>
      <c r="J837" s="27"/>
      <c r="K837" s="27"/>
      <c r="L837" s="15"/>
      <c r="M837" s="15"/>
      <c r="N837" s="4">
        <v>100</v>
      </c>
      <c r="O837" s="4"/>
    </row>
    <row r="838" spans="1:15" x14ac:dyDescent="0.2">
      <c r="A838" s="2">
        <v>10019967</v>
      </c>
      <c r="B838" s="2" t="s">
        <v>3788</v>
      </c>
      <c r="C838" s="5">
        <v>528099684</v>
      </c>
      <c r="D838" s="21">
        <v>18</v>
      </c>
      <c r="E838" s="21"/>
      <c r="F838" s="21" t="s">
        <v>10438</v>
      </c>
      <c r="G838" s="21"/>
      <c r="H838" s="54">
        <v>577</v>
      </c>
      <c r="I838" s="51"/>
      <c r="J838" s="27"/>
      <c r="K838" s="27"/>
      <c r="L838" s="15"/>
      <c r="M838" s="15"/>
      <c r="N838" s="4">
        <v>100</v>
      </c>
      <c r="O838" s="4"/>
    </row>
    <row r="839" spans="1:15" x14ac:dyDescent="0.2">
      <c r="A839" s="2">
        <v>10018787</v>
      </c>
      <c r="B839" s="2" t="s">
        <v>313</v>
      </c>
      <c r="C839" s="5">
        <v>522103792</v>
      </c>
      <c r="D839" s="21">
        <v>2</v>
      </c>
      <c r="E839" s="21"/>
      <c r="F839" s="21" t="s">
        <v>10438</v>
      </c>
      <c r="G839" s="21"/>
      <c r="H839" s="54">
        <v>705</v>
      </c>
      <c r="I839" s="51"/>
      <c r="J839" s="27"/>
      <c r="K839" s="27"/>
      <c r="L839" s="15"/>
      <c r="M839" s="15"/>
      <c r="N839" s="4">
        <v>104</v>
      </c>
      <c r="O839" s="4"/>
    </row>
    <row r="840" spans="1:15" x14ac:dyDescent="0.2">
      <c r="A840" s="2">
        <v>10019008</v>
      </c>
      <c r="B840" s="2" t="s">
        <v>399</v>
      </c>
      <c r="C840" s="5">
        <v>512484772</v>
      </c>
      <c r="D840" s="21">
        <v>15</v>
      </c>
      <c r="E840" s="21"/>
      <c r="F840" s="21" t="s">
        <v>10438</v>
      </c>
      <c r="G840" s="21"/>
      <c r="H840" s="54">
        <v>345</v>
      </c>
      <c r="I840" s="51"/>
      <c r="J840" s="27"/>
      <c r="K840" s="27"/>
      <c r="L840" s="15"/>
      <c r="M840" s="15"/>
      <c r="N840" s="4">
        <v>100</v>
      </c>
      <c r="O840" s="4"/>
    </row>
    <row r="841" spans="1:15" x14ac:dyDescent="0.2">
      <c r="A841" s="2">
        <v>40007003</v>
      </c>
      <c r="B841" s="2" t="s">
        <v>2289</v>
      </c>
      <c r="C841" s="5">
        <v>957213023</v>
      </c>
      <c r="D841" s="21">
        <v>1</v>
      </c>
      <c r="E841" s="21"/>
      <c r="F841" s="21" t="s">
        <v>10438</v>
      </c>
      <c r="G841" s="21"/>
      <c r="H841" s="54">
        <v>144</v>
      </c>
      <c r="I841" s="51"/>
      <c r="J841" s="27"/>
      <c r="K841" s="27"/>
      <c r="L841" s="15"/>
      <c r="M841" s="15"/>
      <c r="N841" s="4" t="s">
        <v>4786</v>
      </c>
      <c r="O841" s="4"/>
    </row>
    <row r="842" spans="1:15" x14ac:dyDescent="0.2">
      <c r="A842" s="2">
        <v>40005513</v>
      </c>
      <c r="B842" s="2" t="s">
        <v>978</v>
      </c>
      <c r="C842" s="5" t="s">
        <v>6700</v>
      </c>
      <c r="D842" s="21">
        <v>1</v>
      </c>
      <c r="E842" s="21"/>
      <c r="F842" s="21" t="s">
        <v>10438</v>
      </c>
      <c r="G842" s="21"/>
      <c r="H842" s="54">
        <v>26</v>
      </c>
      <c r="I842" s="51"/>
      <c r="J842" s="27"/>
      <c r="K842" s="27"/>
      <c r="L842" s="15"/>
      <c r="M842" s="15"/>
      <c r="N842" s="4"/>
      <c r="O842" s="4">
        <v>90</v>
      </c>
    </row>
    <row r="843" spans="1:15" x14ac:dyDescent="0.2">
      <c r="A843" s="2">
        <v>40006254</v>
      </c>
      <c r="B843" s="2" t="s">
        <v>1631</v>
      </c>
      <c r="C843" s="5" t="s">
        <v>7335</v>
      </c>
      <c r="D843" s="21">
        <v>1</v>
      </c>
      <c r="E843" s="21"/>
      <c r="F843" s="21" t="s">
        <v>10438</v>
      </c>
      <c r="G843" s="21"/>
      <c r="H843" s="54">
        <v>38</v>
      </c>
      <c r="I843" s="51"/>
      <c r="J843" s="27"/>
      <c r="K843" s="27"/>
      <c r="L843" s="15"/>
      <c r="M843" s="15"/>
      <c r="N843" s="4" t="s">
        <v>4384</v>
      </c>
      <c r="O843" s="4"/>
    </row>
    <row r="844" spans="1:15" x14ac:dyDescent="0.2">
      <c r="A844" s="2">
        <v>40007182</v>
      </c>
      <c r="B844" s="2" t="s">
        <v>5432</v>
      </c>
      <c r="C844" s="5" t="s">
        <v>8151</v>
      </c>
      <c r="D844" s="21">
        <v>1</v>
      </c>
      <c r="E844" s="21"/>
      <c r="F844" s="21" t="s">
        <v>10438</v>
      </c>
      <c r="G844" s="21"/>
      <c r="H844" s="54">
        <v>5</v>
      </c>
      <c r="I844" s="51"/>
      <c r="J844" s="27"/>
      <c r="K844" s="27"/>
      <c r="L844" s="15">
        <v>4</v>
      </c>
      <c r="M844" s="15"/>
      <c r="N844" s="4" t="s">
        <v>4523</v>
      </c>
      <c r="O844" s="4"/>
    </row>
    <row r="845" spans="1:15" x14ac:dyDescent="0.2">
      <c r="A845" s="2">
        <v>40007328</v>
      </c>
      <c r="B845" s="2" t="s">
        <v>2568</v>
      </c>
      <c r="C845" s="5" t="s">
        <v>8262</v>
      </c>
      <c r="D845" s="21">
        <v>21</v>
      </c>
      <c r="E845" s="21"/>
      <c r="F845" s="30">
        <v>3</v>
      </c>
      <c r="G845" s="21"/>
      <c r="H845" s="54">
        <v>21</v>
      </c>
      <c r="I845" s="51"/>
      <c r="J845" s="27"/>
      <c r="K845" s="27"/>
      <c r="L845" s="15">
        <v>20</v>
      </c>
      <c r="M845" s="15"/>
      <c r="N845" s="4" t="s">
        <v>4918</v>
      </c>
      <c r="O845" s="4"/>
    </row>
    <row r="846" spans="1:15" x14ac:dyDescent="0.2">
      <c r="A846" s="2">
        <v>40006841</v>
      </c>
      <c r="B846" s="2" t="s">
        <v>2139</v>
      </c>
      <c r="C846" s="5" t="s">
        <v>7848</v>
      </c>
      <c r="D846" s="21">
        <v>21</v>
      </c>
      <c r="E846" s="21"/>
      <c r="F846" s="21" t="s">
        <v>10438</v>
      </c>
      <c r="G846" s="21"/>
      <c r="H846" s="54">
        <v>3</v>
      </c>
      <c r="I846" s="51"/>
      <c r="J846" s="27"/>
      <c r="K846" s="27"/>
      <c r="L846" s="15"/>
      <c r="M846" s="15"/>
      <c r="N846" s="4" t="s">
        <v>4116</v>
      </c>
      <c r="O846" s="4" t="s">
        <v>4993</v>
      </c>
    </row>
    <row r="847" spans="1:15" x14ac:dyDescent="0.2">
      <c r="A847" s="2">
        <v>40007302</v>
      </c>
      <c r="B847" s="2" t="s">
        <v>3758</v>
      </c>
      <c r="C847" s="5" t="s">
        <v>8241</v>
      </c>
      <c r="D847" s="21">
        <v>1</v>
      </c>
      <c r="E847" s="21"/>
      <c r="F847" s="21" t="s">
        <v>10438</v>
      </c>
      <c r="G847" s="21"/>
      <c r="H847" s="54">
        <v>9</v>
      </c>
      <c r="I847" s="51"/>
      <c r="J847" s="27"/>
      <c r="K847" s="27"/>
      <c r="L847" s="15"/>
      <c r="M847" s="15"/>
      <c r="N847" s="4" t="s">
        <v>4909</v>
      </c>
      <c r="O847" s="4"/>
    </row>
    <row r="848" spans="1:15" x14ac:dyDescent="0.2">
      <c r="A848" s="2">
        <v>40008094</v>
      </c>
      <c r="B848" s="2" t="s">
        <v>3222</v>
      </c>
      <c r="C848" s="5" t="s">
        <v>8918</v>
      </c>
      <c r="D848" s="21">
        <v>18</v>
      </c>
      <c r="E848" s="21"/>
      <c r="F848" s="21" t="s">
        <v>10438</v>
      </c>
      <c r="G848" s="21"/>
      <c r="H848" s="54">
        <v>9</v>
      </c>
      <c r="I848" s="51"/>
      <c r="J848" s="27"/>
      <c r="K848" s="27"/>
      <c r="L848" s="15"/>
      <c r="M848" s="15"/>
      <c r="N848" s="4" t="s">
        <v>5191</v>
      </c>
      <c r="O848" s="4"/>
    </row>
    <row r="849" spans="1:15" x14ac:dyDescent="0.2">
      <c r="A849" s="2">
        <v>40005508</v>
      </c>
      <c r="B849" s="2" t="s">
        <v>974</v>
      </c>
      <c r="C849" s="5" t="s">
        <v>6696</v>
      </c>
      <c r="D849" s="21">
        <v>1</v>
      </c>
      <c r="E849" s="21"/>
      <c r="F849" s="21" t="s">
        <v>10438</v>
      </c>
      <c r="G849" s="21"/>
      <c r="H849" s="54">
        <v>26</v>
      </c>
      <c r="I849" s="51"/>
      <c r="J849" s="27"/>
      <c r="K849" s="27"/>
      <c r="L849" s="15"/>
      <c r="M849" s="15"/>
      <c r="N849" s="4"/>
      <c r="O849" s="4" t="s">
        <v>10325</v>
      </c>
    </row>
    <row r="850" spans="1:15" x14ac:dyDescent="0.2">
      <c r="A850" s="2">
        <v>40008113</v>
      </c>
      <c r="B850" s="2" t="s">
        <v>3238</v>
      </c>
      <c r="C850" s="5" t="s">
        <v>8934</v>
      </c>
      <c r="D850" s="21">
        <v>10</v>
      </c>
      <c r="E850" s="21"/>
      <c r="F850" s="21" t="s">
        <v>10438</v>
      </c>
      <c r="G850" s="21"/>
      <c r="H850" s="54">
        <v>16</v>
      </c>
      <c r="I850" s="51"/>
      <c r="J850" s="27"/>
      <c r="K850" s="27"/>
      <c r="L850" s="15"/>
      <c r="M850" s="15"/>
      <c r="N850" s="4" t="s">
        <v>4700</v>
      </c>
      <c r="O850" s="4"/>
    </row>
    <row r="851" spans="1:15" x14ac:dyDescent="0.2">
      <c r="A851" s="2">
        <v>40007130</v>
      </c>
      <c r="B851" s="2" t="s">
        <v>2398</v>
      </c>
      <c r="C851" s="5" t="s">
        <v>8102</v>
      </c>
      <c r="D851" s="21">
        <v>4</v>
      </c>
      <c r="E851" s="21"/>
      <c r="F851" s="21" t="s">
        <v>10438</v>
      </c>
      <c r="G851" s="21"/>
      <c r="H851" s="54">
        <v>437</v>
      </c>
      <c r="I851" s="51"/>
      <c r="J851" s="27"/>
      <c r="K851" s="27"/>
      <c r="L851" s="15"/>
      <c r="M851" s="15"/>
      <c r="N851" s="4" t="s">
        <v>4838</v>
      </c>
      <c r="O851" s="4"/>
    </row>
    <row r="852" spans="1:15" x14ac:dyDescent="0.2">
      <c r="A852" s="2">
        <v>40010286</v>
      </c>
      <c r="B852" s="2" t="s">
        <v>3477</v>
      </c>
      <c r="C852" s="5" t="s">
        <v>9171</v>
      </c>
      <c r="D852" s="21">
        <v>5</v>
      </c>
      <c r="E852" s="21"/>
      <c r="F852" s="21" t="s">
        <v>10438</v>
      </c>
      <c r="G852" s="21"/>
      <c r="H852" s="54">
        <v>8</v>
      </c>
      <c r="I852" s="51"/>
      <c r="J852" s="27"/>
      <c r="K852" s="27"/>
      <c r="L852" s="15"/>
      <c r="M852" s="15"/>
      <c r="N852" s="4" t="s">
        <v>5261</v>
      </c>
      <c r="O852" s="4"/>
    </row>
    <row r="853" spans="1:15" x14ac:dyDescent="0.2">
      <c r="A853" s="2">
        <v>40006170</v>
      </c>
      <c r="B853" s="2" t="s">
        <v>1556</v>
      </c>
      <c r="C853" s="5" t="s">
        <v>7262</v>
      </c>
      <c r="D853" s="21">
        <v>1</v>
      </c>
      <c r="E853" s="21"/>
      <c r="F853" s="21" t="s">
        <v>10438</v>
      </c>
      <c r="G853" s="21"/>
      <c r="H853" s="54">
        <v>3</v>
      </c>
      <c r="I853" s="51"/>
      <c r="J853" s="27"/>
      <c r="K853" s="27"/>
      <c r="L853" s="15"/>
      <c r="M853" s="15"/>
      <c r="N853" s="4" t="s">
        <v>4448</v>
      </c>
      <c r="O853" s="4"/>
    </row>
    <row r="854" spans="1:15" x14ac:dyDescent="0.2">
      <c r="A854" s="2">
        <v>40006256</v>
      </c>
      <c r="B854" s="2" t="s">
        <v>1633</v>
      </c>
      <c r="C854" s="5" t="s">
        <v>7337</v>
      </c>
      <c r="D854" s="21">
        <v>1</v>
      </c>
      <c r="E854" s="21"/>
      <c r="F854" s="21" t="s">
        <v>10438</v>
      </c>
      <c r="G854" s="21"/>
      <c r="H854" s="54">
        <v>18</v>
      </c>
      <c r="I854" s="51"/>
      <c r="J854" s="27"/>
      <c r="K854" s="27"/>
      <c r="L854" s="15"/>
      <c r="M854" s="15"/>
      <c r="N854" s="4" t="s">
        <v>4490</v>
      </c>
      <c r="O854" s="4"/>
    </row>
    <row r="855" spans="1:15" x14ac:dyDescent="0.2">
      <c r="A855" s="2">
        <v>40007014</v>
      </c>
      <c r="B855" s="2" t="s">
        <v>2296</v>
      </c>
      <c r="C855" s="5" t="s">
        <v>8005</v>
      </c>
      <c r="D855" s="21">
        <v>14</v>
      </c>
      <c r="E855" s="21"/>
      <c r="F855" s="21" t="s">
        <v>10438</v>
      </c>
      <c r="G855" s="21"/>
      <c r="H855" s="54">
        <v>3</v>
      </c>
      <c r="I855" s="51"/>
      <c r="J855" s="27"/>
      <c r="K855" s="27"/>
      <c r="L855" s="15"/>
      <c r="M855" s="15"/>
      <c r="N855" s="4" t="s">
        <v>4202</v>
      </c>
      <c r="O855" s="4"/>
    </row>
    <row r="856" spans="1:15" x14ac:dyDescent="0.2">
      <c r="A856" s="2">
        <v>40008073</v>
      </c>
      <c r="B856" s="2" t="s">
        <v>3204</v>
      </c>
      <c r="C856" s="5" t="s">
        <v>8900</v>
      </c>
      <c r="D856" s="21">
        <v>11</v>
      </c>
      <c r="E856" s="21"/>
      <c r="F856" s="21" t="s">
        <v>10438</v>
      </c>
      <c r="G856" s="21"/>
      <c r="H856" s="54">
        <v>21</v>
      </c>
      <c r="I856" s="51"/>
      <c r="J856" s="27"/>
      <c r="K856" s="27"/>
      <c r="L856" s="15">
        <v>3</v>
      </c>
      <c r="M856" s="15"/>
      <c r="N856" s="4" t="s">
        <v>5188</v>
      </c>
      <c r="O856" s="4"/>
    </row>
    <row r="857" spans="1:15" x14ac:dyDescent="0.2">
      <c r="A857" s="2">
        <v>40006978</v>
      </c>
      <c r="B857" s="2" t="s">
        <v>2267</v>
      </c>
      <c r="C857" s="5" t="s">
        <v>7973</v>
      </c>
      <c r="D857" s="21">
        <v>19</v>
      </c>
      <c r="E857" s="21"/>
      <c r="F857" s="21" t="s">
        <v>10438</v>
      </c>
      <c r="G857" s="21"/>
      <c r="H857" s="54">
        <v>2</v>
      </c>
      <c r="I857" s="51"/>
      <c r="J857" s="27"/>
      <c r="K857" s="27"/>
      <c r="L857" s="15"/>
      <c r="M857" s="15"/>
      <c r="N857" s="4" t="s">
        <v>4774</v>
      </c>
      <c r="O857" s="4"/>
    </row>
    <row r="858" spans="1:15" x14ac:dyDescent="0.2">
      <c r="A858" s="2">
        <v>40007584</v>
      </c>
      <c r="B858" s="2" t="s">
        <v>2779</v>
      </c>
      <c r="C858" s="5" t="s">
        <v>8478</v>
      </c>
      <c r="D858" s="21">
        <v>14</v>
      </c>
      <c r="E858" s="21"/>
      <c r="F858" s="21" t="s">
        <v>10438</v>
      </c>
      <c r="G858" s="21"/>
      <c r="H858" s="54">
        <v>2</v>
      </c>
      <c r="I858" s="51"/>
      <c r="J858" s="27"/>
      <c r="K858" s="27"/>
      <c r="L858" s="15"/>
      <c r="M858" s="15"/>
      <c r="N858" s="4" t="s">
        <v>5005</v>
      </c>
      <c r="O858" s="4"/>
    </row>
    <row r="859" spans="1:15" x14ac:dyDescent="0.2">
      <c r="A859" s="2">
        <v>40008122</v>
      </c>
      <c r="B859" s="2" t="s">
        <v>3246</v>
      </c>
      <c r="C859" s="5" t="s">
        <v>8941</v>
      </c>
      <c r="D859" s="21">
        <v>10</v>
      </c>
      <c r="E859" s="21"/>
      <c r="F859" s="21" t="s">
        <v>10438</v>
      </c>
      <c r="G859" s="21"/>
      <c r="H859" s="54">
        <v>16</v>
      </c>
      <c r="I859" s="51"/>
      <c r="J859" s="27"/>
      <c r="K859" s="27"/>
      <c r="L859" s="15"/>
      <c r="M859" s="15"/>
      <c r="N859" s="4" t="s">
        <v>5191</v>
      </c>
      <c r="O859" s="4"/>
    </row>
    <row r="860" spans="1:15" x14ac:dyDescent="0.2">
      <c r="A860" s="2">
        <v>40010375</v>
      </c>
      <c r="B860" s="2" t="s">
        <v>3518</v>
      </c>
      <c r="C860" s="5" t="s">
        <v>9220</v>
      </c>
      <c r="D860" s="21">
        <v>33</v>
      </c>
      <c r="E860" s="21"/>
      <c r="F860" s="21" t="s">
        <v>10438</v>
      </c>
      <c r="G860" s="21"/>
      <c r="H860" s="54">
        <v>19.350000000000001</v>
      </c>
      <c r="I860" s="51"/>
      <c r="J860" s="27"/>
      <c r="K860" s="27"/>
      <c r="L860" s="15"/>
      <c r="M860" s="15"/>
      <c r="N860" s="4" t="s">
        <v>4639</v>
      </c>
      <c r="O860" s="4"/>
    </row>
    <row r="861" spans="1:15" x14ac:dyDescent="0.2">
      <c r="A861" s="2">
        <v>40010376</v>
      </c>
      <c r="B861" s="2" t="s">
        <v>3519</v>
      </c>
      <c r="C861" s="5" t="s">
        <v>9221</v>
      </c>
      <c r="D861" s="21">
        <v>8</v>
      </c>
      <c r="E861" s="21"/>
      <c r="F861" s="21" t="s">
        <v>10438</v>
      </c>
      <c r="G861" s="21"/>
      <c r="H861" s="54">
        <v>16.3</v>
      </c>
      <c r="I861" s="51"/>
      <c r="J861" s="27"/>
      <c r="K861" s="27"/>
      <c r="L861" s="15"/>
      <c r="M861" s="15"/>
      <c r="N861" s="4" t="s">
        <v>3954</v>
      </c>
      <c r="O861" s="4"/>
    </row>
    <row r="862" spans="1:15" x14ac:dyDescent="0.2">
      <c r="A862" s="2">
        <v>40005987</v>
      </c>
      <c r="B862" s="2" t="s">
        <v>1392</v>
      </c>
      <c r="C862" s="5" t="s">
        <v>7098</v>
      </c>
      <c r="D862" s="21">
        <v>6</v>
      </c>
      <c r="E862" s="21"/>
      <c r="F862" s="21" t="s">
        <v>10438</v>
      </c>
      <c r="G862" s="21"/>
      <c r="H862" s="54">
        <v>224</v>
      </c>
      <c r="I862" s="51"/>
      <c r="J862" s="27"/>
      <c r="K862" s="27"/>
      <c r="L862" s="15"/>
      <c r="M862" s="15"/>
      <c r="N862" s="4" t="s">
        <v>4353</v>
      </c>
      <c r="O862" s="4"/>
    </row>
    <row r="863" spans="1:15" x14ac:dyDescent="0.2">
      <c r="A863" s="2">
        <v>40005698</v>
      </c>
      <c r="B863" s="2" t="s">
        <v>1130</v>
      </c>
      <c r="C863" s="5" t="s">
        <v>6848</v>
      </c>
      <c r="D863" s="21">
        <v>2</v>
      </c>
      <c r="E863" s="21"/>
      <c r="F863" s="21" t="s">
        <v>10438</v>
      </c>
      <c r="G863" s="21"/>
      <c r="H863" s="54">
        <v>1345</v>
      </c>
      <c r="I863" s="51"/>
      <c r="J863" s="27"/>
      <c r="K863" s="27"/>
      <c r="L863" s="15"/>
      <c r="M863" s="15"/>
      <c r="N863" s="4"/>
      <c r="O863" s="4" t="s">
        <v>10327</v>
      </c>
    </row>
    <row r="864" spans="1:15" x14ac:dyDescent="0.2">
      <c r="A864" s="2">
        <v>40005699</v>
      </c>
      <c r="B864" s="2" t="s">
        <v>1131</v>
      </c>
      <c r="C864" s="5" t="s">
        <v>6849</v>
      </c>
      <c r="D864" s="21">
        <v>10</v>
      </c>
      <c r="E864" s="21"/>
      <c r="F864" s="21" t="s">
        <v>10438</v>
      </c>
      <c r="G864" s="21"/>
      <c r="H864" s="54">
        <v>245</v>
      </c>
      <c r="I864" s="51"/>
      <c r="J864" s="27"/>
      <c r="K864" s="27"/>
      <c r="L864" s="15"/>
      <c r="M864" s="15"/>
      <c r="N864" s="4" t="s">
        <v>4223</v>
      </c>
      <c r="O864" s="4">
        <v>53</v>
      </c>
    </row>
    <row r="865" spans="1:15" x14ac:dyDescent="0.2">
      <c r="A865" s="2">
        <v>40005697</v>
      </c>
      <c r="B865" s="2" t="s">
        <v>1129</v>
      </c>
      <c r="C865" s="5" t="s">
        <v>6847</v>
      </c>
      <c r="D865" s="21">
        <v>2</v>
      </c>
      <c r="E865" s="21"/>
      <c r="F865" s="21" t="s">
        <v>10438</v>
      </c>
      <c r="G865" s="21"/>
      <c r="H865" s="54">
        <v>577</v>
      </c>
      <c r="I865" s="51"/>
      <c r="J865" s="27"/>
      <c r="K865" s="27"/>
      <c r="L865" s="15"/>
      <c r="M865" s="15"/>
      <c r="N865" s="4"/>
      <c r="O865" s="4">
        <v>48</v>
      </c>
    </row>
    <row r="866" spans="1:15" x14ac:dyDescent="0.2">
      <c r="A866" s="2">
        <v>40008296</v>
      </c>
      <c r="B866" s="2" t="s">
        <v>3828</v>
      </c>
      <c r="C866" s="5" t="s">
        <v>9099</v>
      </c>
      <c r="D866" s="21">
        <v>3</v>
      </c>
      <c r="E866" s="21"/>
      <c r="F866" s="21" t="s">
        <v>10438</v>
      </c>
      <c r="G866" s="21"/>
      <c r="H866" s="54">
        <v>17</v>
      </c>
      <c r="I866" s="51"/>
      <c r="J866" s="27"/>
      <c r="K866" s="27"/>
      <c r="L866" s="15"/>
      <c r="M866" s="15"/>
      <c r="N866" s="4" t="s">
        <v>4604</v>
      </c>
      <c r="O866" s="4"/>
    </row>
    <row r="867" spans="1:15" x14ac:dyDescent="0.2">
      <c r="A867" s="2">
        <v>40005286</v>
      </c>
      <c r="B867" s="2" t="s">
        <v>787</v>
      </c>
      <c r="C867" s="5" t="s">
        <v>6504</v>
      </c>
      <c r="D867" s="21">
        <v>1</v>
      </c>
      <c r="E867" s="21"/>
      <c r="F867" s="21" t="s">
        <v>10438</v>
      </c>
      <c r="G867" s="21"/>
      <c r="H867" s="54">
        <v>64</v>
      </c>
      <c r="I867" s="51"/>
      <c r="J867" s="27"/>
      <c r="K867" s="27"/>
      <c r="L867" s="15"/>
      <c r="M867" s="15"/>
      <c r="N867" s="4" t="s">
        <v>4030</v>
      </c>
      <c r="O867" s="4"/>
    </row>
    <row r="868" spans="1:15" x14ac:dyDescent="0.2">
      <c r="A868" s="2">
        <v>10019583</v>
      </c>
      <c r="B868" s="2" t="s">
        <v>555</v>
      </c>
      <c r="C868" s="5" t="s">
        <v>6181</v>
      </c>
      <c r="D868" s="21">
        <v>16</v>
      </c>
      <c r="E868" s="21"/>
      <c r="F868" s="21" t="s">
        <v>10438</v>
      </c>
      <c r="G868" s="21"/>
      <c r="H868" s="54">
        <v>520</v>
      </c>
      <c r="I868" s="51"/>
      <c r="J868" s="27"/>
      <c r="K868" s="27"/>
      <c r="L868" s="15"/>
      <c r="M868" s="15"/>
      <c r="N868" s="4">
        <v>83</v>
      </c>
      <c r="O868" s="4"/>
    </row>
    <row r="869" spans="1:15" x14ac:dyDescent="0.2">
      <c r="A869" s="2">
        <v>10019758</v>
      </c>
      <c r="B869" s="2" t="s">
        <v>581</v>
      </c>
      <c r="C869" s="5" t="s">
        <v>6214</v>
      </c>
      <c r="D869" s="21">
        <v>5</v>
      </c>
      <c r="E869" s="21"/>
      <c r="F869" s="21" t="s">
        <v>10438</v>
      </c>
      <c r="G869" s="21"/>
      <c r="H869" s="54">
        <v>84</v>
      </c>
      <c r="I869" s="51"/>
      <c r="J869" s="27"/>
      <c r="K869" s="27"/>
      <c r="L869" s="15"/>
      <c r="M869" s="15"/>
      <c r="N869" s="4">
        <v>80</v>
      </c>
      <c r="O869" s="4"/>
    </row>
    <row r="870" spans="1:15" x14ac:dyDescent="0.2">
      <c r="A870" s="2">
        <v>10019021</v>
      </c>
      <c r="B870" s="2" t="s">
        <v>406</v>
      </c>
      <c r="C870" s="5" t="s">
        <v>6009</v>
      </c>
      <c r="D870" s="21"/>
      <c r="E870" s="21"/>
      <c r="F870" s="21" t="s">
        <v>10438</v>
      </c>
      <c r="G870" s="21"/>
      <c r="H870" s="54">
        <v>446</v>
      </c>
      <c r="I870" s="51"/>
      <c r="J870" s="27"/>
      <c r="K870" s="27"/>
      <c r="L870" s="15"/>
      <c r="M870" s="15"/>
      <c r="N870" s="4">
        <v>74</v>
      </c>
      <c r="O870" s="4"/>
    </row>
    <row r="871" spans="1:15" x14ac:dyDescent="0.2">
      <c r="A871" s="2">
        <v>10019458</v>
      </c>
      <c r="B871" s="2" t="s">
        <v>520</v>
      </c>
      <c r="C871" s="5" t="s">
        <v>6140</v>
      </c>
      <c r="D871" s="21">
        <v>12</v>
      </c>
      <c r="E871" s="21"/>
      <c r="F871" s="21" t="s">
        <v>10438</v>
      </c>
      <c r="G871" s="21"/>
      <c r="H871" s="54">
        <v>361</v>
      </c>
      <c r="I871" s="51"/>
      <c r="J871" s="27"/>
      <c r="K871" s="27"/>
      <c r="L871" s="15"/>
      <c r="M871" s="15">
        <v>1</v>
      </c>
      <c r="N871" s="4">
        <v>99</v>
      </c>
      <c r="O871" s="4"/>
    </row>
    <row r="872" spans="1:15" x14ac:dyDescent="0.2">
      <c r="A872" s="2">
        <v>10019327</v>
      </c>
      <c r="B872" s="2" t="s">
        <v>500</v>
      </c>
      <c r="C872" s="5" t="s">
        <v>6116</v>
      </c>
      <c r="D872" s="21">
        <v>15</v>
      </c>
      <c r="E872" s="21"/>
      <c r="F872" s="21" t="s">
        <v>10438</v>
      </c>
      <c r="G872" s="21"/>
      <c r="H872" s="54">
        <v>429</v>
      </c>
      <c r="I872" s="51"/>
      <c r="J872" s="27"/>
      <c r="K872" s="27"/>
      <c r="L872" s="15"/>
      <c r="M872" s="15"/>
      <c r="N872" s="4">
        <v>57</v>
      </c>
      <c r="O872" s="4"/>
    </row>
    <row r="873" spans="1:15" x14ac:dyDescent="0.2">
      <c r="A873" s="2">
        <v>10019461</v>
      </c>
      <c r="B873" s="2" t="s">
        <v>521</v>
      </c>
      <c r="C873" s="5" t="s">
        <v>6141</v>
      </c>
      <c r="D873" s="21">
        <v>5</v>
      </c>
      <c r="E873" s="21"/>
      <c r="F873" s="21" t="s">
        <v>10438</v>
      </c>
      <c r="G873" s="21"/>
      <c r="H873" s="54">
        <v>465</v>
      </c>
      <c r="I873" s="51"/>
      <c r="J873" s="27"/>
      <c r="K873" s="27"/>
      <c r="L873" s="15"/>
      <c r="M873" s="15">
        <v>5</v>
      </c>
      <c r="N873" s="4">
        <v>99</v>
      </c>
      <c r="O873" s="4"/>
    </row>
    <row r="874" spans="1:15" x14ac:dyDescent="0.2">
      <c r="A874" s="2">
        <v>40007183</v>
      </c>
      <c r="B874" s="2" t="s">
        <v>2449</v>
      </c>
      <c r="C874" s="5" t="s">
        <v>8152</v>
      </c>
      <c r="D874" s="21">
        <v>1</v>
      </c>
      <c r="E874" s="21"/>
      <c r="F874" s="21" t="s">
        <v>10438</v>
      </c>
      <c r="G874" s="21"/>
      <c r="H874" s="54">
        <v>45</v>
      </c>
      <c r="I874" s="51"/>
      <c r="J874" s="27"/>
      <c r="K874" s="27"/>
      <c r="L874" s="15"/>
      <c r="M874" s="15"/>
      <c r="N874" s="4" t="s">
        <v>4349</v>
      </c>
      <c r="O874" s="4"/>
    </row>
    <row r="875" spans="1:15" x14ac:dyDescent="0.2">
      <c r="A875" s="2">
        <v>10019877</v>
      </c>
      <c r="B875" s="2" t="s">
        <v>608</v>
      </c>
      <c r="C875" s="5" t="s">
        <v>6245</v>
      </c>
      <c r="D875" s="21">
        <v>11</v>
      </c>
      <c r="E875" s="21"/>
      <c r="F875" s="21" t="s">
        <v>10438</v>
      </c>
      <c r="G875" s="21"/>
      <c r="H875" s="54">
        <v>444</v>
      </c>
      <c r="I875" s="51"/>
      <c r="J875" s="27"/>
      <c r="K875" s="27"/>
      <c r="L875" s="15"/>
      <c r="M875" s="15"/>
      <c r="N875" s="4" t="s">
        <v>3941</v>
      </c>
      <c r="O875" s="4"/>
    </row>
    <row r="876" spans="1:15" x14ac:dyDescent="0.2">
      <c r="A876" s="2">
        <v>40007926</v>
      </c>
      <c r="B876" s="2" t="s">
        <v>3080</v>
      </c>
      <c r="C876" s="5" t="s">
        <v>8772</v>
      </c>
      <c r="D876" s="21">
        <v>21</v>
      </c>
      <c r="E876" s="21"/>
      <c r="F876" s="30">
        <v>1</v>
      </c>
      <c r="G876" s="21"/>
      <c r="H876" s="54">
        <v>11</v>
      </c>
      <c r="I876" s="51"/>
      <c r="J876" s="27"/>
      <c r="K876" s="27"/>
      <c r="L876" s="15"/>
      <c r="M876" s="15"/>
      <c r="N876" s="4" t="s">
        <v>5131</v>
      </c>
      <c r="O876" s="4"/>
    </row>
    <row r="877" spans="1:15" x14ac:dyDescent="0.2">
      <c r="A877" s="2">
        <v>10019248</v>
      </c>
      <c r="B877" s="7" t="s">
        <v>471</v>
      </c>
      <c r="C877" s="5" t="s">
        <v>6083</v>
      </c>
      <c r="D877" s="21">
        <v>1</v>
      </c>
      <c r="E877" s="21"/>
      <c r="F877" s="21" t="s">
        <v>10438</v>
      </c>
      <c r="G877" s="21"/>
      <c r="H877" s="54">
        <v>240</v>
      </c>
      <c r="I877" s="51"/>
      <c r="J877" s="27"/>
      <c r="K877" s="27"/>
      <c r="L877" s="15"/>
      <c r="M877" s="15"/>
      <c r="N877" s="4" t="s">
        <v>3941</v>
      </c>
      <c r="O877" s="4"/>
    </row>
    <row r="878" spans="1:15" x14ac:dyDescent="0.2">
      <c r="A878" s="2">
        <v>10019969</v>
      </c>
      <c r="B878" s="2" t="s">
        <v>646</v>
      </c>
      <c r="C878" s="5" t="s">
        <v>6288</v>
      </c>
      <c r="D878" s="21">
        <v>27</v>
      </c>
      <c r="E878" s="21"/>
      <c r="F878" s="21" t="s">
        <v>10438</v>
      </c>
      <c r="G878" s="21"/>
      <c r="H878" s="54">
        <v>580</v>
      </c>
      <c r="I878" s="51"/>
      <c r="J878" s="27"/>
      <c r="K878" s="27"/>
      <c r="L878" s="15"/>
      <c r="M878" s="15"/>
      <c r="N878" s="4" t="s">
        <v>3941</v>
      </c>
      <c r="O878" s="4"/>
    </row>
    <row r="879" spans="1:15" x14ac:dyDescent="0.2">
      <c r="A879" s="2">
        <v>40006952</v>
      </c>
      <c r="B879" s="7" t="s">
        <v>2243</v>
      </c>
      <c r="C879" s="5" t="s">
        <v>7949</v>
      </c>
      <c r="D879" s="21">
        <v>35</v>
      </c>
      <c r="E879" s="21"/>
      <c r="F879" s="21" t="s">
        <v>10438</v>
      </c>
      <c r="G879" s="21"/>
      <c r="H879" s="54">
        <v>190</v>
      </c>
      <c r="I879" s="51"/>
      <c r="J879" s="27"/>
      <c r="K879" s="27"/>
      <c r="L879" s="15"/>
      <c r="M879" s="15"/>
      <c r="N879" s="4" t="s">
        <v>3941</v>
      </c>
      <c r="O879" s="4"/>
    </row>
    <row r="880" spans="1:15" x14ac:dyDescent="0.2">
      <c r="A880" s="2">
        <v>40007586</v>
      </c>
      <c r="B880" s="2" t="s">
        <v>2781</v>
      </c>
      <c r="C880" s="5" t="s">
        <v>8480</v>
      </c>
      <c r="D880" s="21">
        <v>1</v>
      </c>
      <c r="E880" s="21"/>
      <c r="F880" s="21" t="s">
        <v>10438</v>
      </c>
      <c r="G880" s="21"/>
      <c r="H880" s="54">
        <v>221</v>
      </c>
      <c r="I880" s="51"/>
      <c r="J880" s="27"/>
      <c r="K880" s="27"/>
      <c r="L880" s="15"/>
      <c r="M880" s="15"/>
      <c r="N880" s="4" t="s">
        <v>3941</v>
      </c>
      <c r="O880" s="4"/>
    </row>
    <row r="881" spans="1:15" x14ac:dyDescent="0.2">
      <c r="A881" s="2">
        <v>10019669</v>
      </c>
      <c r="B881" s="2" t="s">
        <v>565</v>
      </c>
      <c r="C881" s="5" t="s">
        <v>6194</v>
      </c>
      <c r="D881" s="21">
        <v>5</v>
      </c>
      <c r="E881" s="21"/>
      <c r="F881" s="21" t="s">
        <v>10438</v>
      </c>
      <c r="G881" s="21"/>
      <c r="H881" s="54">
        <v>35</v>
      </c>
      <c r="I881" s="51"/>
      <c r="J881" s="27"/>
      <c r="K881" s="27"/>
      <c r="L881" s="15"/>
      <c r="M881" s="15"/>
      <c r="N881" s="4">
        <v>82</v>
      </c>
      <c r="O881" s="4"/>
    </row>
    <row r="882" spans="1:15" x14ac:dyDescent="0.2">
      <c r="A882" s="2">
        <v>40008198</v>
      </c>
      <c r="B882" s="2" t="s">
        <v>3318</v>
      </c>
      <c r="C882" s="5" t="s">
        <v>9010</v>
      </c>
      <c r="D882" s="21">
        <v>3</v>
      </c>
      <c r="E882" s="21"/>
      <c r="F882" s="21" t="s">
        <v>10438</v>
      </c>
      <c r="G882" s="21"/>
      <c r="H882" s="54">
        <v>20</v>
      </c>
      <c r="I882" s="51"/>
      <c r="J882" s="27"/>
      <c r="K882" s="27"/>
      <c r="L882" s="15"/>
      <c r="M882" s="15"/>
      <c r="N882" s="4" t="s">
        <v>4615</v>
      </c>
      <c r="O882" s="4"/>
    </row>
    <row r="883" spans="1:15" x14ac:dyDescent="0.2">
      <c r="A883" s="2">
        <v>40007279</v>
      </c>
      <c r="B883" s="2" t="s">
        <v>2526</v>
      </c>
      <c r="C883" s="5" t="s">
        <v>8224</v>
      </c>
      <c r="D883" s="21">
        <v>9</v>
      </c>
      <c r="E883" s="21"/>
      <c r="F883" s="30">
        <v>3</v>
      </c>
      <c r="G883" s="21"/>
      <c r="H883" s="54">
        <v>13</v>
      </c>
      <c r="I883" s="51"/>
      <c r="J883" s="27"/>
      <c r="K883" s="27"/>
      <c r="L883" s="15"/>
      <c r="M883" s="15">
        <v>8</v>
      </c>
      <c r="N883" s="4" t="s">
        <v>4665</v>
      </c>
      <c r="O883" s="4"/>
    </row>
    <row r="884" spans="1:15" x14ac:dyDescent="0.2">
      <c r="A884" s="2">
        <v>40005950</v>
      </c>
      <c r="B884" s="2" t="s">
        <v>1357</v>
      </c>
      <c r="C884" s="5" t="s">
        <v>7063</v>
      </c>
      <c r="D884" s="21">
        <v>5</v>
      </c>
      <c r="E884" s="21"/>
      <c r="F884" s="21" t="s">
        <v>10438</v>
      </c>
      <c r="G884" s="21"/>
      <c r="H884" s="54">
        <v>10</v>
      </c>
      <c r="I884" s="51"/>
      <c r="J884" s="27"/>
      <c r="K884" s="27"/>
      <c r="L884" s="15"/>
      <c r="M884" s="15"/>
      <c r="N884" s="4" t="s">
        <v>4335</v>
      </c>
      <c r="O884" s="4"/>
    </row>
    <row r="885" spans="1:15" x14ac:dyDescent="0.2">
      <c r="A885" s="2">
        <v>40005509</v>
      </c>
      <c r="B885" s="2" t="s">
        <v>975</v>
      </c>
      <c r="C885" s="5" t="s">
        <v>6697</v>
      </c>
      <c r="D885" s="21">
        <v>1</v>
      </c>
      <c r="E885" s="21"/>
      <c r="F885" s="21" t="s">
        <v>10438</v>
      </c>
      <c r="G885" s="21"/>
      <c r="H885" s="54">
        <v>26</v>
      </c>
      <c r="I885" s="51"/>
      <c r="J885" s="27"/>
      <c r="K885" s="27"/>
      <c r="L885" s="15"/>
      <c r="M885" s="15"/>
      <c r="N885" s="4"/>
      <c r="O885" s="4">
        <v>90</v>
      </c>
    </row>
    <row r="886" spans="1:15" x14ac:dyDescent="0.2">
      <c r="A886" s="2">
        <v>40005259</v>
      </c>
      <c r="B886" s="2" t="s">
        <v>774</v>
      </c>
      <c r="C886" s="5" t="s">
        <v>6489</v>
      </c>
      <c r="D886" s="21">
        <v>3</v>
      </c>
      <c r="E886" s="21"/>
      <c r="F886" s="21" t="s">
        <v>10438</v>
      </c>
      <c r="G886" s="21"/>
      <c r="H886" s="54">
        <v>20</v>
      </c>
      <c r="I886" s="51"/>
      <c r="J886" s="27"/>
      <c r="K886" s="27"/>
      <c r="L886" s="15"/>
      <c r="M886" s="15"/>
      <c r="N886" s="4" t="s">
        <v>3994</v>
      </c>
      <c r="O886" s="4"/>
    </row>
    <row r="887" spans="1:15" x14ac:dyDescent="0.2">
      <c r="A887" s="2">
        <v>40010302</v>
      </c>
      <c r="B887" s="2" t="s">
        <v>3491</v>
      </c>
      <c r="C887" s="5" t="s">
        <v>9185</v>
      </c>
      <c r="D887" s="21">
        <v>4</v>
      </c>
      <c r="E887" s="21"/>
      <c r="F887" s="21" t="s">
        <v>10438</v>
      </c>
      <c r="G887" s="21"/>
      <c r="H887" s="54">
        <v>25</v>
      </c>
      <c r="I887" s="51"/>
      <c r="J887" s="27"/>
      <c r="K887" s="27"/>
      <c r="L887" s="15"/>
      <c r="M887" s="15"/>
      <c r="N887" s="4" t="s">
        <v>5253</v>
      </c>
      <c r="O887" s="4"/>
    </row>
    <row r="888" spans="1:15" x14ac:dyDescent="0.2">
      <c r="A888" s="2">
        <v>40005292</v>
      </c>
      <c r="B888" s="2" t="s">
        <v>792</v>
      </c>
      <c r="C888" s="5" t="s">
        <v>6509</v>
      </c>
      <c r="D888" s="21">
        <v>4</v>
      </c>
      <c r="E888" s="21"/>
      <c r="F888" s="21" t="s">
        <v>10438</v>
      </c>
      <c r="G888" s="21"/>
      <c r="H888" s="54">
        <v>6</v>
      </c>
      <c r="I888" s="51"/>
      <c r="J888" s="27"/>
      <c r="K888" s="27"/>
      <c r="L888" s="15">
        <v>3</v>
      </c>
      <c r="M888" s="15"/>
      <c r="N888" s="4" t="s">
        <v>4034</v>
      </c>
      <c r="O888" s="4"/>
    </row>
    <row r="889" spans="1:15" x14ac:dyDescent="0.2">
      <c r="A889" s="2">
        <v>10019930</v>
      </c>
      <c r="B889" s="2" t="s">
        <v>627</v>
      </c>
      <c r="C889" s="5" t="s">
        <v>6267</v>
      </c>
      <c r="D889" s="21">
        <v>47</v>
      </c>
      <c r="E889" s="21"/>
      <c r="F889" s="21" t="s">
        <v>10438</v>
      </c>
      <c r="G889" s="21"/>
      <c r="H889" s="54">
        <v>33</v>
      </c>
      <c r="I889" s="51"/>
      <c r="J889" s="27"/>
      <c r="K889" s="27"/>
      <c r="L889" s="15">
        <v>30</v>
      </c>
      <c r="M889" s="15">
        <v>35</v>
      </c>
      <c r="N889" s="4" t="s">
        <v>3937</v>
      </c>
      <c r="O889" s="4"/>
    </row>
    <row r="890" spans="1:15" x14ac:dyDescent="0.2">
      <c r="A890" s="2">
        <v>40008205</v>
      </c>
      <c r="B890" s="2" t="s">
        <v>3325</v>
      </c>
      <c r="C890" s="5" t="s">
        <v>9017</v>
      </c>
      <c r="D890" s="21">
        <v>6</v>
      </c>
      <c r="E890" s="21"/>
      <c r="F890" s="21" t="s">
        <v>10438</v>
      </c>
      <c r="G890" s="21"/>
      <c r="H890" s="54">
        <v>116</v>
      </c>
      <c r="I890" s="51"/>
      <c r="J890" s="27"/>
      <c r="K890" s="27"/>
      <c r="L890" s="15"/>
      <c r="M890" s="15"/>
      <c r="N890" s="4" t="s">
        <v>4615</v>
      </c>
      <c r="O890" s="4"/>
    </row>
    <row r="891" spans="1:15" x14ac:dyDescent="0.2">
      <c r="A891" s="2">
        <v>40006728</v>
      </c>
      <c r="B891" s="2" t="s">
        <v>2034</v>
      </c>
      <c r="C891" s="5" t="s">
        <v>7744</v>
      </c>
      <c r="D891" s="21">
        <v>1</v>
      </c>
      <c r="E891" s="21"/>
      <c r="F891" s="21" t="s">
        <v>10438</v>
      </c>
      <c r="G891" s="21"/>
      <c r="H891" s="54">
        <v>64</v>
      </c>
      <c r="I891" s="51"/>
      <c r="J891" s="27"/>
      <c r="K891" s="27"/>
      <c r="L891" s="15"/>
      <c r="M891" s="15"/>
      <c r="N891" s="4"/>
      <c r="O891" s="4" t="s">
        <v>10328</v>
      </c>
    </row>
    <row r="892" spans="1:15" x14ac:dyDescent="0.2">
      <c r="A892" s="2">
        <v>10013719</v>
      </c>
      <c r="B892" s="2" t="s">
        <v>11</v>
      </c>
      <c r="C892" s="5" t="s">
        <v>5510</v>
      </c>
      <c r="D892" s="21">
        <v>12</v>
      </c>
      <c r="E892" s="21">
        <v>12</v>
      </c>
      <c r="F892" s="21" t="s">
        <v>10438</v>
      </c>
      <c r="G892" s="21">
        <v>3</v>
      </c>
      <c r="H892" s="54">
        <v>3935</v>
      </c>
      <c r="I892" s="51">
        <v>3545</v>
      </c>
      <c r="J892" s="27">
        <v>21</v>
      </c>
      <c r="K892" s="27">
        <v>21</v>
      </c>
      <c r="L892" s="15">
        <v>16</v>
      </c>
      <c r="M892" s="15">
        <v>15</v>
      </c>
      <c r="N892" s="4" t="s">
        <v>10713</v>
      </c>
      <c r="O892" s="4" t="s">
        <v>10456</v>
      </c>
    </row>
    <row r="893" spans="1:15" x14ac:dyDescent="0.2">
      <c r="A893" s="2">
        <v>10013710</v>
      </c>
      <c r="B893" s="2" t="s">
        <v>8</v>
      </c>
      <c r="C893" s="5" t="s">
        <v>5529</v>
      </c>
      <c r="D893" s="21">
        <v>3</v>
      </c>
      <c r="E893" s="21"/>
      <c r="F893" s="21" t="s">
        <v>10438</v>
      </c>
      <c r="G893" s="21"/>
      <c r="H893" s="54">
        <v>9775</v>
      </c>
      <c r="I893" s="51">
        <v>7820</v>
      </c>
      <c r="J893" s="27">
        <v>2</v>
      </c>
      <c r="K893" s="27"/>
      <c r="L893" s="15"/>
      <c r="M893" s="15"/>
      <c r="N893" s="4"/>
      <c r="O893" s="4" t="s">
        <v>10455</v>
      </c>
    </row>
    <row r="894" spans="1:15" x14ac:dyDescent="0.2">
      <c r="A894" s="2">
        <v>10013716</v>
      </c>
      <c r="B894" s="7" t="s">
        <v>10</v>
      </c>
      <c r="C894" s="5" t="s">
        <v>5531</v>
      </c>
      <c r="D894" s="21">
        <v>33</v>
      </c>
      <c r="E894" s="21">
        <v>33</v>
      </c>
      <c r="F894" s="30" t="s">
        <v>10438</v>
      </c>
      <c r="G894" s="21">
        <v>6</v>
      </c>
      <c r="H894" s="54">
        <v>2920</v>
      </c>
      <c r="I894" s="51">
        <v>2630</v>
      </c>
      <c r="J894" s="27">
        <v>106</v>
      </c>
      <c r="K894" s="27">
        <v>106</v>
      </c>
      <c r="L894" s="15">
        <v>100</v>
      </c>
      <c r="M894" s="15">
        <v>50</v>
      </c>
      <c r="N894" s="4" t="s">
        <v>3607</v>
      </c>
      <c r="O894" s="4" t="s">
        <v>10456</v>
      </c>
    </row>
    <row r="895" spans="1:15" x14ac:dyDescent="0.2">
      <c r="A895" s="2">
        <v>10013713</v>
      </c>
      <c r="B895" s="2" t="s">
        <v>9</v>
      </c>
      <c r="C895" s="5" t="s">
        <v>5530</v>
      </c>
      <c r="D895" s="21">
        <v>8</v>
      </c>
      <c r="E895" s="21">
        <v>8</v>
      </c>
      <c r="F895" s="21" t="s">
        <v>10438</v>
      </c>
      <c r="G895" s="21">
        <v>2</v>
      </c>
      <c r="H895" s="54">
        <v>4120</v>
      </c>
      <c r="I895" s="51">
        <v>3710</v>
      </c>
      <c r="J895" s="27">
        <v>54</v>
      </c>
      <c r="K895" s="27">
        <v>54</v>
      </c>
      <c r="L895" s="15"/>
      <c r="M895" s="15"/>
      <c r="N895" s="4" t="s">
        <v>10713</v>
      </c>
      <c r="O895" s="4" t="s">
        <v>10455</v>
      </c>
    </row>
    <row r="896" spans="1:15" x14ac:dyDescent="0.2">
      <c r="A896" s="2">
        <v>40005809</v>
      </c>
      <c r="B896" s="2" t="s">
        <v>1231</v>
      </c>
      <c r="C896" s="5" t="s">
        <v>6944</v>
      </c>
      <c r="D896" s="21">
        <v>1</v>
      </c>
      <c r="E896" s="21"/>
      <c r="F896" s="21" t="s">
        <v>10438</v>
      </c>
      <c r="G896" s="21"/>
      <c r="H896" s="54">
        <v>60</v>
      </c>
      <c r="I896" s="51"/>
      <c r="J896" s="27"/>
      <c r="K896" s="27"/>
      <c r="L896" s="15"/>
      <c r="M896" s="15"/>
      <c r="N896" s="4" t="s">
        <v>4250</v>
      </c>
      <c r="O896" s="4"/>
    </row>
    <row r="897" spans="1:15" x14ac:dyDescent="0.2">
      <c r="A897" s="2">
        <v>40011223</v>
      </c>
      <c r="B897" s="2" t="s">
        <v>3787</v>
      </c>
      <c r="C897" s="5" t="s">
        <v>9364</v>
      </c>
      <c r="D897" s="21">
        <v>1</v>
      </c>
      <c r="E897" s="21"/>
      <c r="F897" s="21" t="s">
        <v>10438</v>
      </c>
      <c r="G897" s="21"/>
      <c r="H897" s="54">
        <v>50</v>
      </c>
      <c r="I897" s="51"/>
      <c r="J897" s="27"/>
      <c r="K897" s="27"/>
      <c r="L897" s="15"/>
      <c r="M897" s="15"/>
      <c r="N897" s="4"/>
      <c r="O897" s="4" t="s">
        <v>10329</v>
      </c>
    </row>
    <row r="898" spans="1:15" x14ac:dyDescent="0.2">
      <c r="A898" s="2">
        <v>40007887</v>
      </c>
      <c r="B898" s="2" t="s">
        <v>3042</v>
      </c>
      <c r="C898" s="5" t="s">
        <v>8735</v>
      </c>
      <c r="D898" s="21">
        <v>3</v>
      </c>
      <c r="E898" s="21"/>
      <c r="F898" s="21" t="s">
        <v>10438</v>
      </c>
      <c r="G898" s="21"/>
      <c r="H898" s="54">
        <v>10</v>
      </c>
      <c r="I898" s="51"/>
      <c r="J898" s="27"/>
      <c r="K898" s="27"/>
      <c r="L898" s="15"/>
      <c r="M898" s="15"/>
      <c r="N898" s="4" t="s">
        <v>5116</v>
      </c>
      <c r="O898" s="4"/>
    </row>
    <row r="899" spans="1:15" x14ac:dyDescent="0.2">
      <c r="A899" s="2">
        <v>40007726</v>
      </c>
      <c r="B899" s="2" t="s">
        <v>2901</v>
      </c>
      <c r="C899" s="5" t="s">
        <v>8598</v>
      </c>
      <c r="D899" s="21">
        <v>1</v>
      </c>
      <c r="E899" s="21"/>
      <c r="F899" s="21" t="s">
        <v>10438</v>
      </c>
      <c r="G899" s="21"/>
      <c r="H899" s="54">
        <v>28</v>
      </c>
      <c r="I899" s="51"/>
      <c r="J899" s="27"/>
      <c r="K899" s="27"/>
      <c r="L899" s="15"/>
      <c r="M899" s="15"/>
      <c r="N899" s="4" t="s">
        <v>4953</v>
      </c>
      <c r="O899" s="4"/>
    </row>
    <row r="900" spans="1:15" x14ac:dyDescent="0.2">
      <c r="A900" s="2">
        <v>40005850</v>
      </c>
      <c r="B900" s="2" t="s">
        <v>1266</v>
      </c>
      <c r="C900" s="5">
        <v>389213081</v>
      </c>
      <c r="D900" s="21">
        <v>1</v>
      </c>
      <c r="E900" s="21"/>
      <c r="F900" s="21" t="s">
        <v>10438</v>
      </c>
      <c r="G900" s="21"/>
      <c r="H900" s="54">
        <v>34</v>
      </c>
      <c r="I900" s="51"/>
      <c r="J900" s="27"/>
      <c r="K900" s="27"/>
      <c r="L900" s="15"/>
      <c r="M900" s="15"/>
      <c r="N900" s="4" t="s">
        <v>4063</v>
      </c>
      <c r="O900" s="4"/>
    </row>
    <row r="901" spans="1:15" x14ac:dyDescent="0.2">
      <c r="A901" s="2">
        <v>10018584</v>
      </c>
      <c r="B901" s="2" t="s">
        <v>224</v>
      </c>
      <c r="C901" s="5" t="s">
        <v>5784</v>
      </c>
      <c r="D901" s="21"/>
      <c r="E901" s="21"/>
      <c r="F901" s="21" t="s">
        <v>10438</v>
      </c>
      <c r="G901" s="21"/>
      <c r="H901" s="54">
        <v>427</v>
      </c>
      <c r="I901" s="51"/>
      <c r="J901" s="27"/>
      <c r="K901" s="27"/>
      <c r="L901" s="15">
        <v>15</v>
      </c>
      <c r="M901" s="15"/>
      <c r="N901" s="4">
        <v>109</v>
      </c>
      <c r="O901" s="4"/>
    </row>
    <row r="902" spans="1:15" x14ac:dyDescent="0.2">
      <c r="A902" s="2">
        <v>40008188</v>
      </c>
      <c r="B902" s="2" t="s">
        <v>3310</v>
      </c>
      <c r="C902" s="5">
        <v>930304030</v>
      </c>
      <c r="D902" s="21">
        <v>50</v>
      </c>
      <c r="E902" s="21"/>
      <c r="F902" s="21" t="s">
        <v>10438</v>
      </c>
      <c r="G902" s="21"/>
      <c r="H902" s="54">
        <v>10</v>
      </c>
      <c r="I902" s="51"/>
      <c r="J902" s="27"/>
      <c r="K902" s="27"/>
      <c r="L902" s="15"/>
      <c r="M902" s="15"/>
      <c r="N902" s="4" t="s">
        <v>5150</v>
      </c>
      <c r="O902" s="4"/>
    </row>
    <row r="903" spans="1:15" x14ac:dyDescent="0.2">
      <c r="A903" s="2">
        <v>40007668</v>
      </c>
      <c r="B903" s="2" t="s">
        <v>2846</v>
      </c>
      <c r="C903" s="5" t="s">
        <v>8545</v>
      </c>
      <c r="D903" s="21">
        <v>5</v>
      </c>
      <c r="E903" s="21"/>
      <c r="F903" s="21" t="s">
        <v>10438</v>
      </c>
      <c r="G903" s="21"/>
      <c r="H903" s="54">
        <v>33</v>
      </c>
      <c r="I903" s="51"/>
      <c r="J903" s="27"/>
      <c r="K903" s="27"/>
      <c r="L903" s="15"/>
      <c r="M903" s="15"/>
      <c r="N903" s="4" t="s">
        <v>5030</v>
      </c>
      <c r="O903" s="4"/>
    </row>
    <row r="904" spans="1:15" x14ac:dyDescent="0.2">
      <c r="A904" s="2">
        <v>40007123</v>
      </c>
      <c r="B904" s="2" t="s">
        <v>2391</v>
      </c>
      <c r="C904" s="5" t="s">
        <v>8097</v>
      </c>
      <c r="D904" s="21">
        <v>4</v>
      </c>
      <c r="E904" s="21"/>
      <c r="F904" s="21" t="s">
        <v>10438</v>
      </c>
      <c r="G904" s="21"/>
      <c r="H904" s="54">
        <v>42</v>
      </c>
      <c r="I904" s="51"/>
      <c r="J904" s="27"/>
      <c r="K904" s="27"/>
      <c r="L904" s="15"/>
      <c r="M904" s="15"/>
      <c r="N904" s="4" t="s">
        <v>4650</v>
      </c>
      <c r="O904" s="4"/>
    </row>
    <row r="905" spans="1:15" x14ac:dyDescent="0.2">
      <c r="A905" s="2">
        <v>10018440</v>
      </c>
      <c r="B905" s="2" t="s">
        <v>178</v>
      </c>
      <c r="C905" s="5" t="s">
        <v>5721</v>
      </c>
      <c r="D905" s="21">
        <v>14</v>
      </c>
      <c r="E905" s="21"/>
      <c r="F905" s="21" t="s">
        <v>10438</v>
      </c>
      <c r="G905" s="21"/>
      <c r="H905" s="54">
        <v>3005</v>
      </c>
      <c r="I905" s="51">
        <v>2555</v>
      </c>
      <c r="J905" s="27">
        <v>4</v>
      </c>
      <c r="K905" s="27"/>
      <c r="L905" s="15"/>
      <c r="M905" s="15"/>
      <c r="N905" s="4" t="s">
        <v>10713</v>
      </c>
      <c r="O905" s="4" t="s">
        <v>10447</v>
      </c>
    </row>
    <row r="906" spans="1:15" x14ac:dyDescent="0.2">
      <c r="A906" s="2">
        <v>10018590</v>
      </c>
      <c r="B906" s="2" t="s">
        <v>226</v>
      </c>
      <c r="C906" s="5" t="s">
        <v>5787</v>
      </c>
      <c r="D906" s="21">
        <v>4</v>
      </c>
      <c r="E906" s="21"/>
      <c r="F906" s="21" t="s">
        <v>10438</v>
      </c>
      <c r="G906" s="21"/>
      <c r="H906" s="54">
        <v>8940</v>
      </c>
      <c r="I906" s="51">
        <v>7600</v>
      </c>
      <c r="J906" s="27">
        <v>9</v>
      </c>
      <c r="K906" s="27"/>
      <c r="L906" s="15"/>
      <c r="M906" s="15"/>
      <c r="N906" s="4" t="s">
        <v>3607</v>
      </c>
      <c r="O906" s="4" t="s">
        <v>10449</v>
      </c>
    </row>
    <row r="907" spans="1:15" x14ac:dyDescent="0.2">
      <c r="A907" s="2">
        <v>10018153</v>
      </c>
      <c r="B907" s="2" t="s">
        <v>81</v>
      </c>
      <c r="C907" s="5" t="s">
        <v>5618</v>
      </c>
      <c r="D907" s="21">
        <v>2</v>
      </c>
      <c r="E907" s="21"/>
      <c r="F907" s="21" t="s">
        <v>10438</v>
      </c>
      <c r="G907" s="21"/>
      <c r="H907" s="54">
        <v>6330</v>
      </c>
      <c r="I907" s="51">
        <v>5700</v>
      </c>
      <c r="J907" s="27">
        <v>6</v>
      </c>
      <c r="K907" s="27"/>
      <c r="L907" s="15"/>
      <c r="M907" s="15"/>
      <c r="N907" s="4" t="s">
        <v>10713</v>
      </c>
      <c r="O907" s="4"/>
    </row>
    <row r="908" spans="1:15" x14ac:dyDescent="0.2">
      <c r="A908" s="2">
        <v>10018171</v>
      </c>
      <c r="B908" s="2" t="s">
        <v>5342</v>
      </c>
      <c r="C908" s="5" t="s">
        <v>5625</v>
      </c>
      <c r="D908" s="21">
        <v>3</v>
      </c>
      <c r="E908" s="21"/>
      <c r="F908" s="21" t="s">
        <v>10438</v>
      </c>
      <c r="G908" s="21"/>
      <c r="H908" s="54">
        <v>1455</v>
      </c>
      <c r="I908" s="51">
        <v>1340</v>
      </c>
      <c r="J908" s="27"/>
      <c r="K908" s="27"/>
      <c r="L908" s="15">
        <v>10</v>
      </c>
      <c r="M908" s="15">
        <v>5</v>
      </c>
      <c r="N908" s="4"/>
      <c r="O908" s="4" t="s">
        <v>10447</v>
      </c>
    </row>
    <row r="909" spans="1:15" x14ac:dyDescent="0.2">
      <c r="A909" s="2">
        <v>10018048</v>
      </c>
      <c r="B909" s="2" t="s">
        <v>63</v>
      </c>
      <c r="C909" s="5" t="s">
        <v>5596</v>
      </c>
      <c r="D909" s="21">
        <v>24</v>
      </c>
      <c r="E909" s="21"/>
      <c r="F909" s="30" t="s">
        <v>10438</v>
      </c>
      <c r="G909" s="21"/>
      <c r="H909" s="54">
        <v>6280</v>
      </c>
      <c r="I909" s="51">
        <v>5655</v>
      </c>
      <c r="J909" s="27"/>
      <c r="K909" s="27"/>
      <c r="L909" s="15"/>
      <c r="M909" s="15"/>
      <c r="N909" s="4"/>
      <c r="O909" s="4" t="s">
        <v>10450</v>
      </c>
    </row>
    <row r="910" spans="1:15" x14ac:dyDescent="0.2">
      <c r="A910" s="2">
        <v>10018170</v>
      </c>
      <c r="B910" s="2" t="s">
        <v>87</v>
      </c>
      <c r="C910" s="5" t="s">
        <v>5624</v>
      </c>
      <c r="D910" s="21">
        <v>11</v>
      </c>
      <c r="E910" s="21"/>
      <c r="F910" s="30" t="s">
        <v>10438</v>
      </c>
      <c r="G910" s="21"/>
      <c r="H910" s="54">
        <v>7350</v>
      </c>
      <c r="I910" s="51">
        <v>6615</v>
      </c>
      <c r="J910" s="27">
        <v>125</v>
      </c>
      <c r="K910" s="27"/>
      <c r="L910" s="15"/>
      <c r="M910" s="15"/>
      <c r="N910" s="4" t="s">
        <v>3607</v>
      </c>
      <c r="O910" s="4" t="s">
        <v>10451</v>
      </c>
    </row>
    <row r="911" spans="1:15" x14ac:dyDescent="0.2">
      <c r="A911" s="2">
        <v>10018052</v>
      </c>
      <c r="B911" s="2" t="s">
        <v>65</v>
      </c>
      <c r="C911" s="5" t="s">
        <v>5598</v>
      </c>
      <c r="D911" s="21">
        <v>14</v>
      </c>
      <c r="E911" s="21"/>
      <c r="F911" s="21" t="s">
        <v>10438</v>
      </c>
      <c r="G911" s="21"/>
      <c r="H911" s="54">
        <v>7465</v>
      </c>
      <c r="I911" s="51">
        <v>6720</v>
      </c>
      <c r="J911" s="27">
        <v>4</v>
      </c>
      <c r="K911" s="27"/>
      <c r="L911" s="15">
        <v>20</v>
      </c>
      <c r="M911" s="15">
        <v>12</v>
      </c>
      <c r="N911" s="4" t="s">
        <v>10713</v>
      </c>
      <c r="O911" s="4" t="s">
        <v>10450</v>
      </c>
    </row>
    <row r="912" spans="1:15" x14ac:dyDescent="0.2">
      <c r="A912" s="2">
        <v>10018115</v>
      </c>
      <c r="B912" s="2" t="s">
        <v>74</v>
      </c>
      <c r="C912" s="5" t="s">
        <v>5608</v>
      </c>
      <c r="D912" s="21">
        <v>10</v>
      </c>
      <c r="E912" s="21"/>
      <c r="F912" s="21" t="s">
        <v>10438</v>
      </c>
      <c r="G912" s="21"/>
      <c r="H912" s="54">
        <v>9245</v>
      </c>
      <c r="I912" s="51">
        <v>7860</v>
      </c>
      <c r="J912" s="27"/>
      <c r="K912" s="27"/>
      <c r="L912" s="15">
        <v>10</v>
      </c>
      <c r="M912" s="15"/>
      <c r="N912" s="4" t="s">
        <v>3607</v>
      </c>
      <c r="O912" s="4"/>
    </row>
    <row r="913" spans="1:15" x14ac:dyDescent="0.2">
      <c r="A913" s="2">
        <v>10018110</v>
      </c>
      <c r="B913" s="2" t="s">
        <v>73</v>
      </c>
      <c r="C913" s="5" t="s">
        <v>5606</v>
      </c>
      <c r="D913" s="21">
        <v>8</v>
      </c>
      <c r="E913" s="21"/>
      <c r="F913" s="21" t="s">
        <v>10438</v>
      </c>
      <c r="G913" s="21"/>
      <c r="H913" s="54">
        <v>4975</v>
      </c>
      <c r="I913" s="51">
        <v>4230</v>
      </c>
      <c r="J913" s="27"/>
      <c r="K913" s="27"/>
      <c r="L913" s="15"/>
      <c r="M913" s="15">
        <v>10</v>
      </c>
      <c r="N913" s="4" t="s">
        <v>10713</v>
      </c>
      <c r="O913" s="4" t="s">
        <v>10449</v>
      </c>
    </row>
    <row r="914" spans="1:15" x14ac:dyDescent="0.2">
      <c r="A914" s="2">
        <v>10018050</v>
      </c>
      <c r="B914" s="2" t="s">
        <v>64</v>
      </c>
      <c r="C914" s="5" t="s">
        <v>5597</v>
      </c>
      <c r="D914" s="21">
        <v>8</v>
      </c>
      <c r="E914" s="21"/>
      <c r="F914" s="21" t="s">
        <v>10438</v>
      </c>
      <c r="G914" s="21"/>
      <c r="H914" s="54">
        <v>6565</v>
      </c>
      <c r="I914" s="51">
        <v>5780</v>
      </c>
      <c r="J914" s="27">
        <v>30</v>
      </c>
      <c r="K914" s="27"/>
      <c r="L914" s="15"/>
      <c r="M914" s="15"/>
      <c r="N914" s="4" t="s">
        <v>10713</v>
      </c>
      <c r="O914" s="4" t="s">
        <v>10446</v>
      </c>
    </row>
    <row r="915" spans="1:15" x14ac:dyDescent="0.2">
      <c r="A915" s="2">
        <v>10018046</v>
      </c>
      <c r="B915" s="2" t="s">
        <v>5340</v>
      </c>
      <c r="C915" s="5" t="s">
        <v>5595</v>
      </c>
      <c r="D915" s="21">
        <v>1</v>
      </c>
      <c r="E915" s="21"/>
      <c r="F915" s="30" t="s">
        <v>10438</v>
      </c>
      <c r="G915" s="21"/>
      <c r="H915" s="54">
        <v>10750</v>
      </c>
      <c r="I915" s="51">
        <v>9140</v>
      </c>
      <c r="J915" s="27">
        <v>1</v>
      </c>
      <c r="K915" s="27"/>
      <c r="L915" s="15">
        <v>4</v>
      </c>
      <c r="M915" s="15">
        <v>5</v>
      </c>
      <c r="N915" s="4"/>
      <c r="O915" s="4" t="s">
        <v>10446</v>
      </c>
    </row>
    <row r="916" spans="1:15" x14ac:dyDescent="0.2">
      <c r="A916" s="2">
        <v>10013665</v>
      </c>
      <c r="B916" s="2" t="s">
        <v>3620</v>
      </c>
      <c r="C916" s="5" t="s">
        <v>9424</v>
      </c>
      <c r="D916" s="21">
        <v>5</v>
      </c>
      <c r="E916" s="21"/>
      <c r="F916" s="21" t="s">
        <v>10438</v>
      </c>
      <c r="G916" s="21"/>
      <c r="H916" s="54">
        <v>2830</v>
      </c>
      <c r="I916" s="51">
        <v>2605</v>
      </c>
      <c r="J916" s="27"/>
      <c r="K916" s="27"/>
      <c r="L916" s="15"/>
      <c r="M916" s="15"/>
      <c r="N916" s="4"/>
      <c r="O916" s="4" t="s">
        <v>10447</v>
      </c>
    </row>
    <row r="917" spans="1:15" x14ac:dyDescent="0.2">
      <c r="A917" s="2">
        <v>10018112</v>
      </c>
      <c r="B917" s="2" t="s">
        <v>3621</v>
      </c>
      <c r="C917" s="5" t="s">
        <v>5607</v>
      </c>
      <c r="D917" s="21">
        <v>5</v>
      </c>
      <c r="E917" s="21"/>
      <c r="F917" s="21" t="s">
        <v>10438</v>
      </c>
      <c r="G917" s="21"/>
      <c r="H917" s="54">
        <v>4970</v>
      </c>
      <c r="I917" s="51">
        <v>4375</v>
      </c>
      <c r="J917" s="27">
        <v>12</v>
      </c>
      <c r="K917" s="27"/>
      <c r="L917" s="15"/>
      <c r="M917" s="15"/>
      <c r="N917" s="4"/>
      <c r="O917" s="4" t="s">
        <v>10448</v>
      </c>
    </row>
    <row r="918" spans="1:15" x14ac:dyDescent="0.2">
      <c r="A918" s="2">
        <v>10018136</v>
      </c>
      <c r="B918" s="2" t="s">
        <v>77</v>
      </c>
      <c r="C918" s="5" t="s">
        <v>5612</v>
      </c>
      <c r="D918" s="21">
        <v>2</v>
      </c>
      <c r="E918" s="21"/>
      <c r="F918" s="21" t="s">
        <v>10438</v>
      </c>
      <c r="G918" s="21"/>
      <c r="H918" s="54">
        <v>1725</v>
      </c>
      <c r="I918" s="51">
        <v>1590</v>
      </c>
      <c r="J918" s="27"/>
      <c r="K918" s="27"/>
      <c r="L918" s="15"/>
      <c r="M918" s="15"/>
      <c r="N918" s="4" t="s">
        <v>10713</v>
      </c>
      <c r="O918" s="4"/>
    </row>
    <row r="919" spans="1:15" x14ac:dyDescent="0.2">
      <c r="A919" s="2">
        <v>10018647</v>
      </c>
      <c r="B919" s="2" t="s">
        <v>250</v>
      </c>
      <c r="C919" s="5" t="s">
        <v>5817</v>
      </c>
      <c r="D919" s="21">
        <v>5</v>
      </c>
      <c r="E919" s="21"/>
      <c r="F919" s="21" t="s">
        <v>10438</v>
      </c>
      <c r="G919" s="21"/>
      <c r="H919" s="54">
        <v>3920</v>
      </c>
      <c r="I919" s="51">
        <v>3140</v>
      </c>
      <c r="J919" s="27">
        <v>1</v>
      </c>
      <c r="K919" s="27"/>
      <c r="L919" s="15"/>
      <c r="M919" s="15"/>
      <c r="N919" s="4" t="s">
        <v>3607</v>
      </c>
      <c r="O919" s="4" t="s">
        <v>10446</v>
      </c>
    </row>
    <row r="920" spans="1:15" x14ac:dyDescent="0.2">
      <c r="A920" s="2">
        <v>40006004</v>
      </c>
      <c r="B920" s="2" t="s">
        <v>1409</v>
      </c>
      <c r="C920" s="5" t="s">
        <v>7115</v>
      </c>
      <c r="D920" s="21">
        <v>4</v>
      </c>
      <c r="E920" s="21"/>
      <c r="F920" s="30">
        <v>1</v>
      </c>
      <c r="G920" s="21"/>
      <c r="H920" s="54">
        <v>92</v>
      </c>
      <c r="I920" s="51"/>
      <c r="J920" s="27"/>
      <c r="K920" s="27"/>
      <c r="L920" s="15"/>
      <c r="M920" s="15">
        <v>10</v>
      </c>
      <c r="N920" s="4" t="s">
        <v>4115</v>
      </c>
      <c r="O920" s="4"/>
    </row>
    <row r="921" spans="1:15" x14ac:dyDescent="0.2">
      <c r="A921" s="2">
        <v>40006381</v>
      </c>
      <c r="B921" s="2" t="s">
        <v>1741</v>
      </c>
      <c r="C921" s="5" t="s">
        <v>7452</v>
      </c>
      <c r="D921" s="21">
        <v>3</v>
      </c>
      <c r="E921" s="21"/>
      <c r="F921" s="21" t="s">
        <v>10438</v>
      </c>
      <c r="G921" s="21"/>
      <c r="H921" s="54">
        <v>21</v>
      </c>
      <c r="I921" s="51"/>
      <c r="J921" s="27"/>
      <c r="K921" s="27"/>
      <c r="L921" s="15"/>
      <c r="M921" s="15"/>
      <c r="N921" s="4" t="s">
        <v>4534</v>
      </c>
      <c r="O921" s="4"/>
    </row>
    <row r="922" spans="1:15" x14ac:dyDescent="0.2">
      <c r="A922" s="2">
        <v>10019608</v>
      </c>
      <c r="B922" s="2" t="s">
        <v>558</v>
      </c>
      <c r="C922" s="5">
        <v>957180030</v>
      </c>
      <c r="D922" s="21">
        <v>27</v>
      </c>
      <c r="E922" s="21"/>
      <c r="F922" s="21" t="s">
        <v>10438</v>
      </c>
      <c r="G922" s="21"/>
      <c r="H922" s="54">
        <v>397</v>
      </c>
      <c r="I922" s="51"/>
      <c r="J922" s="27"/>
      <c r="K922" s="27"/>
      <c r="L922" s="15"/>
      <c r="M922" s="15"/>
      <c r="N922" s="4" t="s">
        <v>3960</v>
      </c>
      <c r="O922" s="4" t="s">
        <v>10227</v>
      </c>
    </row>
    <row r="923" spans="1:15" x14ac:dyDescent="0.2">
      <c r="A923" s="2">
        <v>40006439</v>
      </c>
      <c r="B923" s="2" t="s">
        <v>1797</v>
      </c>
      <c r="C923" s="5" t="s">
        <v>7504</v>
      </c>
      <c r="D923" s="21">
        <v>2</v>
      </c>
      <c r="E923" s="21"/>
      <c r="F923" s="30">
        <v>1</v>
      </c>
      <c r="G923" s="21"/>
      <c r="H923" s="54">
        <v>269</v>
      </c>
      <c r="I923" s="51"/>
      <c r="J923" s="27"/>
      <c r="K923" s="27"/>
      <c r="L923" s="15"/>
      <c r="M923" s="15"/>
      <c r="N923" s="4" t="s">
        <v>4593</v>
      </c>
      <c r="O923" s="4" t="s">
        <v>10080</v>
      </c>
    </row>
    <row r="924" spans="1:15" x14ac:dyDescent="0.2">
      <c r="A924" s="2">
        <v>40006955</v>
      </c>
      <c r="B924" s="2" t="s">
        <v>2246</v>
      </c>
      <c r="C924" s="5" t="s">
        <v>7952</v>
      </c>
      <c r="D924" s="21">
        <v>2</v>
      </c>
      <c r="E924" s="21"/>
      <c r="F924" s="21" t="s">
        <v>10438</v>
      </c>
      <c r="G924" s="21"/>
      <c r="H924" s="54">
        <v>530</v>
      </c>
      <c r="I924" s="51"/>
      <c r="J924" s="27"/>
      <c r="K924" s="27"/>
      <c r="L924" s="15"/>
      <c r="M924" s="15"/>
      <c r="N924" s="4" t="s">
        <v>4761</v>
      </c>
      <c r="O924" s="4"/>
    </row>
    <row r="925" spans="1:15" x14ac:dyDescent="0.2">
      <c r="A925" s="2">
        <v>40005906</v>
      </c>
      <c r="B925" s="2" t="s">
        <v>1318</v>
      </c>
      <c r="C925" s="5" t="s">
        <v>7026</v>
      </c>
      <c r="D925" s="21">
        <v>2</v>
      </c>
      <c r="E925" s="21"/>
      <c r="F925" s="21" t="s">
        <v>10438</v>
      </c>
      <c r="G925" s="21"/>
      <c r="H925" s="54">
        <v>48</v>
      </c>
      <c r="I925" s="51"/>
      <c r="J925" s="27"/>
      <c r="K925" s="27"/>
      <c r="L925" s="15"/>
      <c r="M925" s="15"/>
      <c r="N925" s="4"/>
      <c r="O925" s="4" t="s">
        <v>10172</v>
      </c>
    </row>
    <row r="926" spans="1:15" x14ac:dyDescent="0.2">
      <c r="A926" s="2">
        <v>40010377</v>
      </c>
      <c r="B926" s="2" t="s">
        <v>3520</v>
      </c>
      <c r="C926" s="5" t="s">
        <v>9222</v>
      </c>
      <c r="D926" s="21">
        <v>10</v>
      </c>
      <c r="E926" s="21"/>
      <c r="F926" s="21" t="s">
        <v>10438</v>
      </c>
      <c r="G926" s="21"/>
      <c r="H926" s="54">
        <v>135</v>
      </c>
      <c r="I926" s="51"/>
      <c r="J926" s="27"/>
      <c r="K926" s="27"/>
      <c r="L926" s="15"/>
      <c r="M926" s="15"/>
      <c r="N926" s="4" t="s">
        <v>4748</v>
      </c>
      <c r="O926" s="4"/>
    </row>
    <row r="927" spans="1:15" x14ac:dyDescent="0.2">
      <c r="A927" s="2">
        <v>40005392</v>
      </c>
      <c r="B927" s="2" t="s">
        <v>869</v>
      </c>
      <c r="C927" s="5" t="s">
        <v>6591</v>
      </c>
      <c r="D927" s="21">
        <v>8</v>
      </c>
      <c r="E927" s="21"/>
      <c r="F927" s="21" t="s">
        <v>10438</v>
      </c>
      <c r="G927" s="21"/>
      <c r="H927" s="54">
        <v>82</v>
      </c>
      <c r="I927" s="51"/>
      <c r="J927" s="27"/>
      <c r="K927" s="27"/>
      <c r="L927" s="15"/>
      <c r="M927" s="15"/>
      <c r="N927" s="4" t="s">
        <v>4095</v>
      </c>
      <c r="O927" s="4"/>
    </row>
    <row r="928" spans="1:15" x14ac:dyDescent="0.2">
      <c r="A928" s="2">
        <v>40008119</v>
      </c>
      <c r="B928" s="2" t="s">
        <v>3243</v>
      </c>
      <c r="C928" s="5" t="s">
        <v>8938</v>
      </c>
      <c r="D928" s="21">
        <v>1</v>
      </c>
      <c r="E928" s="21"/>
      <c r="F928" s="21" t="s">
        <v>10438</v>
      </c>
      <c r="G928" s="21"/>
      <c r="H928" s="54">
        <v>62</v>
      </c>
      <c r="I928" s="51"/>
      <c r="J928" s="27"/>
      <c r="K928" s="27"/>
      <c r="L928" s="15"/>
      <c r="M928" s="15"/>
      <c r="N928" s="4" t="s">
        <v>4269</v>
      </c>
      <c r="O928" s="4"/>
    </row>
    <row r="929" spans="1:15" x14ac:dyDescent="0.2">
      <c r="A929" s="2">
        <v>40006526</v>
      </c>
      <c r="B929" s="2" t="s">
        <v>1869</v>
      </c>
      <c r="C929" s="5" t="s">
        <v>7577</v>
      </c>
      <c r="D929" s="21">
        <v>9</v>
      </c>
      <c r="E929" s="21"/>
      <c r="F929" s="21" t="s">
        <v>10438</v>
      </c>
      <c r="G929" s="21"/>
      <c r="H929" s="54">
        <v>61</v>
      </c>
      <c r="I929" s="51"/>
      <c r="J929" s="27"/>
      <c r="K929" s="27"/>
      <c r="L929" s="15"/>
      <c r="M929" s="15"/>
      <c r="N929" s="4"/>
      <c r="O929" s="4" t="s">
        <v>4676</v>
      </c>
    </row>
    <row r="930" spans="1:15" x14ac:dyDescent="0.2">
      <c r="A930" s="2">
        <v>40006482</v>
      </c>
      <c r="B930" s="2" t="s">
        <v>1835</v>
      </c>
      <c r="C930" s="5" t="s">
        <v>7543</v>
      </c>
      <c r="D930" s="21">
        <v>5</v>
      </c>
      <c r="E930" s="21"/>
      <c r="F930" s="21" t="s">
        <v>10438</v>
      </c>
      <c r="G930" s="21"/>
      <c r="H930" s="54">
        <v>35</v>
      </c>
      <c r="I930" s="51"/>
      <c r="J930" s="27"/>
      <c r="K930" s="27"/>
      <c r="L930" s="15"/>
      <c r="M930" s="15"/>
      <c r="N930" s="4" t="s">
        <v>4616</v>
      </c>
      <c r="O930" s="4"/>
    </row>
    <row r="931" spans="1:15" x14ac:dyDescent="0.2">
      <c r="A931" s="2">
        <v>40006174</v>
      </c>
      <c r="B931" s="2" t="s">
        <v>1559</v>
      </c>
      <c r="C931" s="5" t="s">
        <v>7266</v>
      </c>
      <c r="D931" s="21">
        <v>1</v>
      </c>
      <c r="E931" s="21"/>
      <c r="F931" s="21" t="s">
        <v>10438</v>
      </c>
      <c r="G931" s="21"/>
      <c r="H931" s="54">
        <v>36</v>
      </c>
      <c r="I931" s="51"/>
      <c r="J931" s="27"/>
      <c r="K931" s="27"/>
      <c r="L931" s="15"/>
      <c r="M931" s="15"/>
      <c r="N931" s="4" t="s">
        <v>4450</v>
      </c>
      <c r="O931" s="4"/>
    </row>
    <row r="932" spans="1:15" x14ac:dyDescent="0.2">
      <c r="A932" s="2">
        <v>40010291</v>
      </c>
      <c r="B932" s="2" t="s">
        <v>3481</v>
      </c>
      <c r="C932" s="5" t="s">
        <v>9175</v>
      </c>
      <c r="D932" s="21">
        <v>3</v>
      </c>
      <c r="E932" s="21"/>
      <c r="F932" s="21" t="s">
        <v>10438</v>
      </c>
      <c r="G932" s="21"/>
      <c r="H932" s="54">
        <v>37</v>
      </c>
      <c r="I932" s="51"/>
      <c r="J932" s="27"/>
      <c r="K932" s="27"/>
      <c r="L932" s="15"/>
      <c r="M932" s="15"/>
      <c r="N932" s="4" t="s">
        <v>5261</v>
      </c>
      <c r="O932" s="4"/>
    </row>
    <row r="933" spans="1:15" x14ac:dyDescent="0.2">
      <c r="A933" s="2">
        <v>40005203</v>
      </c>
      <c r="B933" s="2" t="s">
        <v>742</v>
      </c>
      <c r="C933" s="5" t="s">
        <v>6455</v>
      </c>
      <c r="D933" s="21">
        <v>10</v>
      </c>
      <c r="E933" s="21"/>
      <c r="F933" s="21" t="s">
        <v>10438</v>
      </c>
      <c r="G933" s="21"/>
      <c r="H933" s="54">
        <v>315</v>
      </c>
      <c r="I933" s="51"/>
      <c r="J933" s="27"/>
      <c r="K933" s="27"/>
      <c r="L933" s="15"/>
      <c r="M933" s="15"/>
      <c r="N933" s="4" t="s">
        <v>4006</v>
      </c>
      <c r="O933" s="4"/>
    </row>
    <row r="934" spans="1:15" x14ac:dyDescent="0.2">
      <c r="A934" s="2">
        <v>40006979</v>
      </c>
      <c r="B934" s="2" t="s">
        <v>2268</v>
      </c>
      <c r="C934" s="5" t="s">
        <v>7974</v>
      </c>
      <c r="D934" s="21">
        <v>48</v>
      </c>
      <c r="E934" s="21"/>
      <c r="F934" s="21" t="s">
        <v>10438</v>
      </c>
      <c r="G934" s="21"/>
      <c r="H934" s="54">
        <v>25</v>
      </c>
      <c r="I934" s="51"/>
      <c r="J934" s="27"/>
      <c r="K934" s="27"/>
      <c r="L934" s="15"/>
      <c r="M934" s="15"/>
      <c r="N934" s="4" t="s">
        <v>10465</v>
      </c>
      <c r="O934" s="4" t="s">
        <v>10090</v>
      </c>
    </row>
    <row r="935" spans="1:15" x14ac:dyDescent="0.2">
      <c r="A935" s="2">
        <v>40006909</v>
      </c>
      <c r="B935" s="2" t="s">
        <v>2204</v>
      </c>
      <c r="C935" s="5" t="s">
        <v>7913</v>
      </c>
      <c r="D935" s="21">
        <v>10</v>
      </c>
      <c r="E935" s="21"/>
      <c r="F935" s="21" t="s">
        <v>10438</v>
      </c>
      <c r="G935" s="21"/>
      <c r="H935" s="54">
        <v>220</v>
      </c>
      <c r="I935" s="51"/>
      <c r="J935" s="27"/>
      <c r="K935" s="27"/>
      <c r="L935" s="15"/>
      <c r="M935" s="15"/>
      <c r="N935" s="4" t="s">
        <v>4740</v>
      </c>
      <c r="O935" s="4"/>
    </row>
    <row r="936" spans="1:15" x14ac:dyDescent="0.2">
      <c r="A936" s="2">
        <v>40005789</v>
      </c>
      <c r="B936" s="2" t="s">
        <v>1213</v>
      </c>
      <c r="C936" s="5" t="s">
        <v>6926</v>
      </c>
      <c r="D936" s="21">
        <v>1</v>
      </c>
      <c r="E936" s="21"/>
      <c r="F936" s="21" t="s">
        <v>10438</v>
      </c>
      <c r="G936" s="21"/>
      <c r="H936" s="54">
        <v>385</v>
      </c>
      <c r="I936" s="51"/>
      <c r="J936" s="27"/>
      <c r="K936" s="27"/>
      <c r="L936" s="15"/>
      <c r="M936" s="15"/>
      <c r="N936" s="4"/>
      <c r="O936" s="4" t="s">
        <v>10236</v>
      </c>
    </row>
    <row r="937" spans="1:15" x14ac:dyDescent="0.2">
      <c r="A937" s="2">
        <v>40008235</v>
      </c>
      <c r="B937" s="2" t="s">
        <v>3353</v>
      </c>
      <c r="C937" s="5" t="s">
        <v>9044</v>
      </c>
      <c r="D937" s="21">
        <v>3</v>
      </c>
      <c r="E937" s="21"/>
      <c r="F937" s="21" t="s">
        <v>10438</v>
      </c>
      <c r="G937" s="21"/>
      <c r="H937" s="54">
        <v>81</v>
      </c>
      <c r="I937" s="51"/>
      <c r="J937" s="27"/>
      <c r="K937" s="27"/>
      <c r="L937" s="15"/>
      <c r="M937" s="15"/>
      <c r="N937" s="4" t="s">
        <v>4144</v>
      </c>
      <c r="O937" s="4"/>
    </row>
    <row r="938" spans="1:15" x14ac:dyDescent="0.2">
      <c r="A938" s="2">
        <v>40007669</v>
      </c>
      <c r="B938" s="2" t="s">
        <v>2847</v>
      </c>
      <c r="C938" s="5" t="s">
        <v>8546</v>
      </c>
      <c r="D938" s="21">
        <v>12</v>
      </c>
      <c r="E938" s="21"/>
      <c r="F938" s="21" t="s">
        <v>10438</v>
      </c>
      <c r="G938" s="21"/>
      <c r="H938" s="54">
        <v>462</v>
      </c>
      <c r="I938" s="51"/>
      <c r="J938" s="27"/>
      <c r="K938" s="27"/>
      <c r="L938" s="15"/>
      <c r="M938" s="15"/>
      <c r="N938" s="4" t="s">
        <v>4467</v>
      </c>
      <c r="O938" s="4"/>
    </row>
    <row r="939" spans="1:15" x14ac:dyDescent="0.2">
      <c r="A939" s="2">
        <v>40005818</v>
      </c>
      <c r="B939" s="2" t="s">
        <v>1238</v>
      </c>
      <c r="C939" s="5" t="s">
        <v>6950</v>
      </c>
      <c r="D939" s="21">
        <v>5</v>
      </c>
      <c r="E939" s="21"/>
      <c r="F939" s="21" t="s">
        <v>10438</v>
      </c>
      <c r="G939" s="21"/>
      <c r="H939" s="54">
        <v>280</v>
      </c>
      <c r="I939" s="51"/>
      <c r="J939" s="27"/>
      <c r="K939" s="27"/>
      <c r="L939" s="15"/>
      <c r="M939" s="15"/>
      <c r="N939" s="4" t="s">
        <v>4276</v>
      </c>
      <c r="O939" s="4"/>
    </row>
    <row r="940" spans="1:15" x14ac:dyDescent="0.2">
      <c r="A940" s="2">
        <v>40007392</v>
      </c>
      <c r="B940" s="2" t="s">
        <v>2619</v>
      </c>
      <c r="C940" s="5" t="s">
        <v>8317</v>
      </c>
      <c r="D940" s="21">
        <v>9</v>
      </c>
      <c r="E940" s="21"/>
      <c r="F940" s="21" t="s">
        <v>10438</v>
      </c>
      <c r="G940" s="21"/>
      <c r="H940" s="54">
        <v>310</v>
      </c>
      <c r="I940" s="51"/>
      <c r="J940" s="27"/>
      <c r="K940" s="27"/>
      <c r="L940" s="15"/>
      <c r="M940" s="15"/>
      <c r="N940" s="4"/>
      <c r="O940" s="4" t="s">
        <v>10466</v>
      </c>
    </row>
    <row r="941" spans="1:15" x14ac:dyDescent="0.2">
      <c r="A941" s="2">
        <v>40006362</v>
      </c>
      <c r="B941" s="2" t="s">
        <v>1725</v>
      </c>
      <c r="C941" s="5" t="s">
        <v>7435</v>
      </c>
      <c r="D941" s="21">
        <v>28</v>
      </c>
      <c r="E941" s="21"/>
      <c r="F941" s="21" t="s">
        <v>10438</v>
      </c>
      <c r="G941" s="21"/>
      <c r="H941" s="54">
        <v>312</v>
      </c>
      <c r="I941" s="51"/>
      <c r="J941" s="27"/>
      <c r="K941" s="27"/>
      <c r="L941" s="15"/>
      <c r="M941" s="15"/>
      <c r="N941" s="4" t="s">
        <v>4547</v>
      </c>
      <c r="O941" s="4"/>
    </row>
    <row r="942" spans="1:15" x14ac:dyDescent="0.2">
      <c r="A942" s="2">
        <v>40005719</v>
      </c>
      <c r="B942" s="2" t="s">
        <v>1147</v>
      </c>
      <c r="C942" s="5">
        <v>957223092</v>
      </c>
      <c r="D942" s="21">
        <v>27</v>
      </c>
      <c r="E942" s="21"/>
      <c r="F942" s="21" t="s">
        <v>10438</v>
      </c>
      <c r="G942" s="21"/>
      <c r="H942" s="54">
        <v>398</v>
      </c>
      <c r="I942" s="51"/>
      <c r="J942" s="27"/>
      <c r="K942" s="27"/>
      <c r="L942" s="15"/>
      <c r="M942" s="15"/>
      <c r="N942" s="4" t="s">
        <v>10034</v>
      </c>
      <c r="O942" s="4">
        <v>83</v>
      </c>
    </row>
    <row r="943" spans="1:15" x14ac:dyDescent="0.2">
      <c r="A943" s="2">
        <v>40006064</v>
      </c>
      <c r="B943" s="2" t="s">
        <v>1458</v>
      </c>
      <c r="C943" s="5" t="s">
        <v>7165</v>
      </c>
      <c r="D943" s="21">
        <v>4</v>
      </c>
      <c r="E943" s="21"/>
      <c r="F943" s="21" t="s">
        <v>10438</v>
      </c>
      <c r="G943" s="21"/>
      <c r="H943" s="54">
        <v>120</v>
      </c>
      <c r="I943" s="51"/>
      <c r="J943" s="27"/>
      <c r="K943" s="27"/>
      <c r="L943" s="15"/>
      <c r="M943" s="15"/>
      <c r="N943" s="4" t="s">
        <v>4391</v>
      </c>
      <c r="O943" s="4"/>
    </row>
    <row r="944" spans="1:15" x14ac:dyDescent="0.2">
      <c r="A944" s="2">
        <v>40005821</v>
      </c>
      <c r="B944" s="2" t="s">
        <v>1241</v>
      </c>
      <c r="C944" s="5" t="s">
        <v>6953</v>
      </c>
      <c r="D944" s="21">
        <v>4</v>
      </c>
      <c r="E944" s="21"/>
      <c r="F944" s="21" t="s">
        <v>10438</v>
      </c>
      <c r="G944" s="21"/>
      <c r="H944" s="54">
        <v>355</v>
      </c>
      <c r="I944" s="51"/>
      <c r="J944" s="27"/>
      <c r="K944" s="27"/>
      <c r="L944" s="15"/>
      <c r="M944" s="15"/>
      <c r="N944" s="4" t="s">
        <v>4279</v>
      </c>
      <c r="O944" s="4"/>
    </row>
    <row r="945" spans="1:15" x14ac:dyDescent="0.2">
      <c r="A945" s="2">
        <v>40007240</v>
      </c>
      <c r="B945" s="2" t="s">
        <v>2496</v>
      </c>
      <c r="C945" s="5">
        <v>225223112</v>
      </c>
      <c r="D945" s="21">
        <v>12</v>
      </c>
      <c r="E945" s="21"/>
      <c r="F945" s="21" t="s">
        <v>10438</v>
      </c>
      <c r="G945" s="21"/>
      <c r="H945" s="54">
        <v>365</v>
      </c>
      <c r="I945" s="51"/>
      <c r="J945" s="27"/>
      <c r="K945" s="27"/>
      <c r="L945" s="15"/>
      <c r="M945" s="15"/>
      <c r="N945" s="4" t="s">
        <v>4888</v>
      </c>
      <c r="O945" s="4"/>
    </row>
    <row r="946" spans="1:15" x14ac:dyDescent="0.2">
      <c r="A946" s="2">
        <v>40007533</v>
      </c>
      <c r="B946" s="2" t="s">
        <v>3678</v>
      </c>
      <c r="C946" s="5" t="s">
        <v>8438</v>
      </c>
      <c r="D946" s="21">
        <v>22</v>
      </c>
      <c r="E946" s="21"/>
      <c r="F946" s="30">
        <v>1</v>
      </c>
      <c r="G946" s="21"/>
      <c r="H946" s="54">
        <v>270</v>
      </c>
      <c r="I946" s="51"/>
      <c r="J946" s="27"/>
      <c r="K946" s="27"/>
      <c r="L946" s="15">
        <v>20</v>
      </c>
      <c r="M946" s="15"/>
      <c r="N946" s="4" t="s">
        <v>4386</v>
      </c>
      <c r="O946" s="4"/>
    </row>
    <row r="947" spans="1:15" x14ac:dyDescent="0.2">
      <c r="A947" s="2">
        <v>40006911</v>
      </c>
      <c r="B947" s="2" t="s">
        <v>2206</v>
      </c>
      <c r="C947" s="5" t="s">
        <v>7915</v>
      </c>
      <c r="D947" s="21">
        <v>10</v>
      </c>
      <c r="E947" s="21"/>
      <c r="F947" s="21" t="s">
        <v>10438</v>
      </c>
      <c r="G947" s="21"/>
      <c r="H947" s="54">
        <v>359</v>
      </c>
      <c r="I947" s="51"/>
      <c r="J947" s="27"/>
      <c r="K947" s="27"/>
      <c r="L947" s="15"/>
      <c r="M947" s="15"/>
      <c r="N947" s="4" t="s">
        <v>4390</v>
      </c>
      <c r="O947" s="4"/>
    </row>
    <row r="948" spans="1:15" x14ac:dyDescent="0.2">
      <c r="A948" s="2">
        <v>40007097</v>
      </c>
      <c r="B948" s="2" t="s">
        <v>2369</v>
      </c>
      <c r="C948" s="5" t="s">
        <v>8074</v>
      </c>
      <c r="D948" s="21">
        <v>7</v>
      </c>
      <c r="E948" s="21"/>
      <c r="F948" s="21" t="s">
        <v>10438</v>
      </c>
      <c r="G948" s="21"/>
      <c r="H948" s="54">
        <v>4</v>
      </c>
      <c r="I948" s="51"/>
      <c r="J948" s="27"/>
      <c r="K948" s="27"/>
      <c r="L948" s="15"/>
      <c r="M948" s="15"/>
      <c r="N948" s="4" t="s">
        <v>4785</v>
      </c>
      <c r="O948" s="4"/>
    </row>
    <row r="949" spans="1:15" x14ac:dyDescent="0.2">
      <c r="A949" s="2">
        <v>10019819</v>
      </c>
      <c r="B949" s="2" t="s">
        <v>592</v>
      </c>
      <c r="C949" s="5" t="s">
        <v>6225</v>
      </c>
      <c r="D949" s="21">
        <v>21</v>
      </c>
      <c r="E949" s="21"/>
      <c r="F949" s="21" t="s">
        <v>10438</v>
      </c>
      <c r="G949" s="21"/>
      <c r="H949" s="54">
        <v>63</v>
      </c>
      <c r="I949" s="51"/>
      <c r="J949" s="27"/>
      <c r="K949" s="27"/>
      <c r="L949" s="15">
        <v>20</v>
      </c>
      <c r="M949" s="15">
        <v>20</v>
      </c>
      <c r="N949" s="4">
        <v>77</v>
      </c>
      <c r="O949" s="4"/>
    </row>
    <row r="950" spans="1:15" x14ac:dyDescent="0.2">
      <c r="A950" s="2">
        <v>10018358</v>
      </c>
      <c r="B950" s="2" t="s">
        <v>158</v>
      </c>
      <c r="C950" s="5" t="s">
        <v>5698</v>
      </c>
      <c r="D950" s="21">
        <v>34</v>
      </c>
      <c r="E950" s="21"/>
      <c r="F950" s="21" t="s">
        <v>10438</v>
      </c>
      <c r="G950" s="21"/>
      <c r="H950" s="54">
        <v>84</v>
      </c>
      <c r="I950" s="51"/>
      <c r="J950" s="27"/>
      <c r="K950" s="27"/>
      <c r="L950" s="15"/>
      <c r="M950" s="15"/>
      <c r="N950" s="4">
        <v>80</v>
      </c>
      <c r="O950" s="4">
        <v>103</v>
      </c>
    </row>
    <row r="951" spans="1:15" x14ac:dyDescent="0.2">
      <c r="A951" s="2">
        <v>10019736</v>
      </c>
      <c r="B951" s="2" t="s">
        <v>576</v>
      </c>
      <c r="C951" s="5" t="s">
        <v>6208</v>
      </c>
      <c r="D951" s="21">
        <v>7</v>
      </c>
      <c r="E951" s="21"/>
      <c r="F951" s="21" t="s">
        <v>10438</v>
      </c>
      <c r="G951" s="21"/>
      <c r="H951" s="54">
        <v>115</v>
      </c>
      <c r="I951" s="51"/>
      <c r="J951" s="27"/>
      <c r="K951" s="27"/>
      <c r="L951" s="15"/>
      <c r="M951" s="15"/>
      <c r="N951" s="4">
        <v>74</v>
      </c>
      <c r="O951" s="4"/>
    </row>
    <row r="952" spans="1:15" x14ac:dyDescent="0.2">
      <c r="A952" s="2">
        <v>10018240</v>
      </c>
      <c r="B952" s="2" t="s">
        <v>3894</v>
      </c>
      <c r="C952" s="5" t="s">
        <v>5660</v>
      </c>
      <c r="D952" s="21">
        <v>5</v>
      </c>
      <c r="E952" s="21"/>
      <c r="F952" s="21" t="s">
        <v>10438</v>
      </c>
      <c r="G952" s="21"/>
      <c r="H952" s="54">
        <v>145</v>
      </c>
      <c r="I952" s="51"/>
      <c r="J952" s="27"/>
      <c r="K952" s="27"/>
      <c r="L952" s="15"/>
      <c r="M952" s="15"/>
      <c r="N952" s="4">
        <v>60</v>
      </c>
      <c r="O952" s="4"/>
    </row>
    <row r="953" spans="1:15" x14ac:dyDescent="0.2">
      <c r="A953" s="2">
        <v>10019333</v>
      </c>
      <c r="B953" s="2" t="s">
        <v>501</v>
      </c>
      <c r="C953" s="5" t="s">
        <v>6117</v>
      </c>
      <c r="D953" s="21">
        <v>5</v>
      </c>
      <c r="E953" s="21"/>
      <c r="F953" s="21" t="s">
        <v>10438</v>
      </c>
      <c r="G953" s="21"/>
      <c r="H953" s="54">
        <v>50</v>
      </c>
      <c r="I953" s="51"/>
      <c r="J953" s="27"/>
      <c r="K953" s="27"/>
      <c r="L953" s="15"/>
      <c r="M953" s="15"/>
      <c r="N953" s="4">
        <v>74</v>
      </c>
      <c r="O953" s="4"/>
    </row>
    <row r="954" spans="1:15" x14ac:dyDescent="0.2">
      <c r="A954" s="2">
        <v>10019010</v>
      </c>
      <c r="B954" s="2" t="s">
        <v>400</v>
      </c>
      <c r="C954" s="5" t="s">
        <v>6003</v>
      </c>
      <c r="D954" s="21">
        <v>11</v>
      </c>
      <c r="E954" s="21"/>
      <c r="F954" s="21" t="s">
        <v>10438</v>
      </c>
      <c r="G954" s="21"/>
      <c r="H954" s="54">
        <v>92</v>
      </c>
      <c r="I954" s="51"/>
      <c r="J954" s="27"/>
      <c r="K954" s="27"/>
      <c r="L954" s="15"/>
      <c r="M954" s="15"/>
      <c r="N954" s="4">
        <v>108</v>
      </c>
      <c r="O954" s="4"/>
    </row>
    <row r="955" spans="1:15" x14ac:dyDescent="0.2">
      <c r="A955" s="2">
        <v>10018242</v>
      </c>
      <c r="B955" s="2" t="s">
        <v>3896</v>
      </c>
      <c r="C955" s="5" t="s">
        <v>5661</v>
      </c>
      <c r="D955" s="21">
        <v>8</v>
      </c>
      <c r="E955" s="21"/>
      <c r="F955" s="21" t="s">
        <v>10438</v>
      </c>
      <c r="G955" s="21"/>
      <c r="H955" s="54">
        <v>250</v>
      </c>
      <c r="I955" s="51"/>
      <c r="J955" s="27"/>
      <c r="K955" s="27"/>
      <c r="L955" s="15"/>
      <c r="M955" s="15"/>
      <c r="N955" s="4">
        <v>57</v>
      </c>
      <c r="O955" s="4"/>
    </row>
    <row r="956" spans="1:15" x14ac:dyDescent="0.2">
      <c r="A956" s="2">
        <v>10019601</v>
      </c>
      <c r="B956" s="2" t="s">
        <v>557</v>
      </c>
      <c r="C956" s="5" t="s">
        <v>6185</v>
      </c>
      <c r="D956" s="21">
        <v>8</v>
      </c>
      <c r="E956" s="21"/>
      <c r="F956" s="21" t="s">
        <v>10438</v>
      </c>
      <c r="G956" s="21"/>
      <c r="H956" s="54">
        <v>230</v>
      </c>
      <c r="I956" s="51"/>
      <c r="J956" s="27"/>
      <c r="K956" s="27"/>
      <c r="L956" s="15"/>
      <c r="M956" s="15"/>
      <c r="N956" s="4">
        <v>106</v>
      </c>
      <c r="O956" s="4"/>
    </row>
    <row r="957" spans="1:15" x14ac:dyDescent="0.2">
      <c r="A957" s="2">
        <v>10019936</v>
      </c>
      <c r="B957" s="2" t="s">
        <v>630</v>
      </c>
      <c r="C957" s="5" t="s">
        <v>6269</v>
      </c>
      <c r="D957" s="21">
        <v>4</v>
      </c>
      <c r="E957" s="21"/>
      <c r="F957" s="21" t="s">
        <v>10438</v>
      </c>
      <c r="G957" s="21"/>
      <c r="H957" s="54">
        <v>302</v>
      </c>
      <c r="I957" s="51"/>
      <c r="J957" s="27"/>
      <c r="K957" s="27"/>
      <c r="L957" s="15"/>
      <c r="M957" s="15">
        <v>5</v>
      </c>
      <c r="N957" s="4">
        <v>74</v>
      </c>
      <c r="O957" s="4">
        <v>103</v>
      </c>
    </row>
    <row r="958" spans="1:15" x14ac:dyDescent="0.2">
      <c r="A958" s="2">
        <v>40007068</v>
      </c>
      <c r="B958" s="2" t="s">
        <v>2343</v>
      </c>
      <c r="C958" s="5" t="s">
        <v>8051</v>
      </c>
      <c r="D958" s="21">
        <v>136</v>
      </c>
      <c r="E958" s="21"/>
      <c r="F958" s="21" t="s">
        <v>10438</v>
      </c>
      <c r="G958" s="21"/>
      <c r="H958" s="54">
        <v>55</v>
      </c>
      <c r="I958" s="51"/>
      <c r="J958" s="27"/>
      <c r="K958" s="27"/>
      <c r="L958" s="15">
        <v>100</v>
      </c>
      <c r="M958" s="15">
        <v>100</v>
      </c>
      <c r="N958" s="4">
        <v>77</v>
      </c>
      <c r="O958" s="4"/>
    </row>
    <row r="959" spans="1:15" x14ac:dyDescent="0.2">
      <c r="A959" s="2">
        <v>10019742</v>
      </c>
      <c r="B959" s="2" t="s">
        <v>578</v>
      </c>
      <c r="C959" s="5" t="s">
        <v>6210</v>
      </c>
      <c r="D959" s="21"/>
      <c r="E959" s="21"/>
      <c r="F959" s="21" t="s">
        <v>10438</v>
      </c>
      <c r="G959" s="21"/>
      <c r="H959" s="54">
        <v>256</v>
      </c>
      <c r="I959" s="51"/>
      <c r="J959" s="27"/>
      <c r="K959" s="27"/>
      <c r="L959" s="15"/>
      <c r="M959" s="15"/>
      <c r="N959" s="4">
        <v>74</v>
      </c>
      <c r="O959" s="4"/>
    </row>
    <row r="960" spans="1:15" x14ac:dyDescent="0.2">
      <c r="A960" s="2">
        <v>10019479</v>
      </c>
      <c r="B960" s="2" t="s">
        <v>526</v>
      </c>
      <c r="C960" s="5" t="s">
        <v>6147</v>
      </c>
      <c r="D960" s="21">
        <v>2</v>
      </c>
      <c r="E960" s="21"/>
      <c r="F960" s="21" t="s">
        <v>10438</v>
      </c>
      <c r="G960" s="21"/>
      <c r="H960" s="54">
        <v>287</v>
      </c>
      <c r="I960" s="51"/>
      <c r="J960" s="27"/>
      <c r="K960" s="27"/>
      <c r="L960" s="15"/>
      <c r="M960" s="15"/>
      <c r="N960" s="4">
        <v>74</v>
      </c>
      <c r="O960" s="4"/>
    </row>
    <row r="961" spans="1:15" x14ac:dyDescent="0.2">
      <c r="A961" s="2">
        <v>40006907</v>
      </c>
      <c r="B961" s="2" t="s">
        <v>2202</v>
      </c>
      <c r="C961" s="5" t="s">
        <v>7911</v>
      </c>
      <c r="D961" s="21">
        <v>7</v>
      </c>
      <c r="E961" s="21"/>
      <c r="F961" s="21" t="s">
        <v>10438</v>
      </c>
      <c r="G961" s="21"/>
      <c r="H961" s="54">
        <v>9</v>
      </c>
      <c r="I961" s="51"/>
      <c r="J961" s="27"/>
      <c r="K961" s="27"/>
      <c r="L961" s="15"/>
      <c r="M961" s="15"/>
      <c r="N961" s="4" t="s">
        <v>4739</v>
      </c>
      <c r="O961" s="4"/>
    </row>
    <row r="962" spans="1:15" x14ac:dyDescent="0.2">
      <c r="A962" s="2">
        <v>40005802</v>
      </c>
      <c r="B962" s="2" t="s">
        <v>1224</v>
      </c>
      <c r="C962" s="5" t="s">
        <v>6937</v>
      </c>
      <c r="D962" s="21">
        <v>12</v>
      </c>
      <c r="E962" s="21"/>
      <c r="F962" s="21" t="s">
        <v>10438</v>
      </c>
      <c r="G962" s="21"/>
      <c r="H962" s="54">
        <v>8</v>
      </c>
      <c r="I962" s="51"/>
      <c r="J962" s="27"/>
      <c r="K962" s="27"/>
      <c r="L962" s="15"/>
      <c r="M962" s="15"/>
      <c r="N962" s="4" t="s">
        <v>4269</v>
      </c>
      <c r="O962" s="4"/>
    </row>
    <row r="963" spans="1:15" x14ac:dyDescent="0.2">
      <c r="A963" s="2">
        <v>40007825</v>
      </c>
      <c r="B963" s="2" t="s">
        <v>2987</v>
      </c>
      <c r="C963" s="5" t="s">
        <v>8686</v>
      </c>
      <c r="D963" s="21">
        <v>3</v>
      </c>
      <c r="E963" s="21"/>
      <c r="F963" s="21" t="s">
        <v>10438</v>
      </c>
      <c r="G963" s="21"/>
      <c r="H963" s="54">
        <v>499</v>
      </c>
      <c r="I963" s="51"/>
      <c r="J963" s="27"/>
      <c r="K963" s="27"/>
      <c r="L963" s="15"/>
      <c r="M963" s="15"/>
      <c r="N963" s="4" t="s">
        <v>3941</v>
      </c>
      <c r="O963" s="4"/>
    </row>
    <row r="964" spans="1:15" x14ac:dyDescent="0.2">
      <c r="A964" s="2">
        <v>10019938</v>
      </c>
      <c r="B964" s="2" t="s">
        <v>631</v>
      </c>
      <c r="C964" s="5" t="s">
        <v>6270</v>
      </c>
      <c r="D964" s="21">
        <v>6</v>
      </c>
      <c r="E964" s="21"/>
      <c r="F964" s="21" t="s">
        <v>10438</v>
      </c>
      <c r="G964" s="21"/>
      <c r="H964" s="54">
        <v>62</v>
      </c>
      <c r="I964" s="51"/>
      <c r="J964" s="27"/>
      <c r="K964" s="27"/>
      <c r="L964" s="15">
        <v>10</v>
      </c>
      <c r="M964" s="15"/>
      <c r="N964" s="4" t="s">
        <v>3937</v>
      </c>
      <c r="O964" s="4"/>
    </row>
    <row r="965" spans="1:15" x14ac:dyDescent="0.2">
      <c r="A965" s="2">
        <v>10019286</v>
      </c>
      <c r="B965" s="2" t="s">
        <v>486</v>
      </c>
      <c r="C965" s="5" t="s">
        <v>6100</v>
      </c>
      <c r="D965" s="21">
        <v>11</v>
      </c>
      <c r="E965" s="21"/>
      <c r="F965" s="21" t="s">
        <v>10438</v>
      </c>
      <c r="G965" s="21"/>
      <c r="H965" s="54">
        <v>510</v>
      </c>
      <c r="I965" s="51"/>
      <c r="J965" s="27"/>
      <c r="K965" s="27"/>
      <c r="L965" s="15"/>
      <c r="M965" s="15"/>
      <c r="N965" s="4" t="s">
        <v>3941</v>
      </c>
      <c r="O965" s="4"/>
    </row>
    <row r="966" spans="1:15" x14ac:dyDescent="0.2">
      <c r="A966" s="2">
        <v>10019124</v>
      </c>
      <c r="B966" s="2" t="s">
        <v>436</v>
      </c>
      <c r="C966" s="5" t="s">
        <v>6038</v>
      </c>
      <c r="D966" s="21">
        <v>9</v>
      </c>
      <c r="E966" s="21"/>
      <c r="F966" s="21" t="s">
        <v>10438</v>
      </c>
      <c r="G966" s="21"/>
      <c r="H966" s="54">
        <v>126</v>
      </c>
      <c r="I966" s="51"/>
      <c r="J966" s="27"/>
      <c r="K966" s="27"/>
      <c r="L966" s="15"/>
      <c r="M966" s="15"/>
      <c r="N966" s="4" t="s">
        <v>3937</v>
      </c>
      <c r="O966" s="4"/>
    </row>
    <row r="967" spans="1:15" x14ac:dyDescent="0.2">
      <c r="A967" s="2">
        <v>40007332</v>
      </c>
      <c r="B967" s="2" t="s">
        <v>3759</v>
      </c>
      <c r="C967" s="5" t="s">
        <v>8266</v>
      </c>
      <c r="D967" s="21">
        <v>8</v>
      </c>
      <c r="E967" s="21"/>
      <c r="F967" s="21" t="s">
        <v>10438</v>
      </c>
      <c r="G967" s="21"/>
      <c r="H967" s="54">
        <v>173</v>
      </c>
      <c r="I967" s="51"/>
      <c r="J967" s="27"/>
      <c r="K967" s="27"/>
      <c r="L967" s="15"/>
      <c r="M967" s="15">
        <v>4</v>
      </c>
      <c r="N967" s="4" t="s">
        <v>3956</v>
      </c>
      <c r="O967" s="4"/>
    </row>
    <row r="968" spans="1:15" x14ac:dyDescent="0.2">
      <c r="A968" s="2">
        <v>10019811</v>
      </c>
      <c r="B968" s="2" t="s">
        <v>588</v>
      </c>
      <c r="C968" s="5" t="s">
        <v>6221</v>
      </c>
      <c r="D968" s="21">
        <v>19</v>
      </c>
      <c r="E968" s="21"/>
      <c r="F968" s="21" t="s">
        <v>10438</v>
      </c>
      <c r="G968" s="21"/>
      <c r="H968" s="54">
        <v>41</v>
      </c>
      <c r="I968" s="51"/>
      <c r="J968" s="27"/>
      <c r="K968" s="27"/>
      <c r="L968" s="15"/>
      <c r="M968" s="15"/>
      <c r="N968" s="4" t="s">
        <v>3956</v>
      </c>
      <c r="O968" s="4"/>
    </row>
    <row r="969" spans="1:15" x14ac:dyDescent="0.2">
      <c r="A969" s="2">
        <v>40010259</v>
      </c>
      <c r="B969" s="2" t="s">
        <v>3453</v>
      </c>
      <c r="C969" s="5" t="s">
        <v>9147</v>
      </c>
      <c r="D969" s="21">
        <v>8</v>
      </c>
      <c r="E969" s="21"/>
      <c r="F969" s="21" t="s">
        <v>10438</v>
      </c>
      <c r="G969" s="21"/>
      <c r="H969" s="54">
        <v>126</v>
      </c>
      <c r="I969" s="51"/>
      <c r="J969" s="27"/>
      <c r="K969" s="27"/>
      <c r="L969" s="15"/>
      <c r="M969" s="15"/>
      <c r="N969" s="4" t="s">
        <v>3937</v>
      </c>
      <c r="O969" s="4"/>
    </row>
    <row r="970" spans="1:15" x14ac:dyDescent="0.2">
      <c r="A970" s="2">
        <v>40003874</v>
      </c>
      <c r="B970" s="2" t="s">
        <v>703</v>
      </c>
      <c r="C970" s="56" t="s">
        <v>6417</v>
      </c>
      <c r="D970" s="21">
        <v>-2</v>
      </c>
      <c r="E970" s="21"/>
      <c r="F970" s="21" t="s">
        <v>10438</v>
      </c>
      <c r="G970" s="21"/>
      <c r="H970" s="54">
        <v>196</v>
      </c>
      <c r="I970" s="51"/>
      <c r="J970" s="27"/>
      <c r="K970" s="27"/>
      <c r="L970" s="15"/>
      <c r="M970" s="15">
        <v>6</v>
      </c>
      <c r="N970" s="4" t="s">
        <v>3956</v>
      </c>
      <c r="O970" s="4"/>
    </row>
    <row r="971" spans="1:15" x14ac:dyDescent="0.2">
      <c r="A971" s="2">
        <v>40007333</v>
      </c>
      <c r="B971" s="2" t="s">
        <v>2572</v>
      </c>
      <c r="C971" s="5" t="s">
        <v>8267</v>
      </c>
      <c r="D971" s="21">
        <v>19</v>
      </c>
      <c r="E971" s="21"/>
      <c r="F971" s="21" t="s">
        <v>10438</v>
      </c>
      <c r="G971" s="21"/>
      <c r="H971" s="54">
        <v>41</v>
      </c>
      <c r="I971" s="51"/>
      <c r="J971" s="27"/>
      <c r="K971" s="27"/>
      <c r="L971" s="15"/>
      <c r="M971" s="15"/>
      <c r="N971" s="4" t="s">
        <v>3937</v>
      </c>
      <c r="O971" s="4"/>
    </row>
    <row r="972" spans="1:15" x14ac:dyDescent="0.2">
      <c r="A972" s="2">
        <v>10019287</v>
      </c>
      <c r="B972" s="2" t="s">
        <v>487</v>
      </c>
      <c r="C972" s="5" t="s">
        <v>6101</v>
      </c>
      <c r="D972" s="21">
        <v>11</v>
      </c>
      <c r="E972" s="21"/>
      <c r="F972" s="21" t="s">
        <v>10438</v>
      </c>
      <c r="G972" s="21"/>
      <c r="H972" s="54">
        <v>36</v>
      </c>
      <c r="I972" s="51"/>
      <c r="J972" s="27"/>
      <c r="K972" s="27"/>
      <c r="L972" s="15">
        <v>20</v>
      </c>
      <c r="M972" s="15"/>
      <c r="N972" s="4" t="s">
        <v>3956</v>
      </c>
      <c r="O972" s="4"/>
    </row>
    <row r="973" spans="1:15" x14ac:dyDescent="0.2">
      <c r="A973" s="2">
        <v>10019731</v>
      </c>
      <c r="B973" s="2" t="s">
        <v>573</v>
      </c>
      <c r="C973" s="5" t="s">
        <v>6204</v>
      </c>
      <c r="D973" s="21">
        <v>16</v>
      </c>
      <c r="E973" s="21"/>
      <c r="F973" s="21" t="s">
        <v>10438</v>
      </c>
      <c r="G973" s="21"/>
      <c r="H973" s="54">
        <v>34</v>
      </c>
      <c r="I973" s="51"/>
      <c r="J973" s="27"/>
      <c r="K973" s="27"/>
      <c r="L973" s="15"/>
      <c r="M973" s="15">
        <v>10</v>
      </c>
      <c r="N973" s="4" t="s">
        <v>3937</v>
      </c>
      <c r="O973" s="4"/>
    </row>
    <row r="974" spans="1:15" x14ac:dyDescent="0.2">
      <c r="A974" s="2">
        <v>10019640</v>
      </c>
      <c r="B974" s="2" t="s">
        <v>561</v>
      </c>
      <c r="C974" s="5" t="s">
        <v>6189</v>
      </c>
      <c r="D974" s="21">
        <v>21</v>
      </c>
      <c r="E974" s="21"/>
      <c r="F974" s="21" t="s">
        <v>10438</v>
      </c>
      <c r="G974" s="21"/>
      <c r="H974" s="54">
        <v>275</v>
      </c>
      <c r="I974" s="51"/>
      <c r="J974" s="27"/>
      <c r="K974" s="27"/>
      <c r="L974" s="15"/>
      <c r="M974" s="15"/>
      <c r="N974" s="4" t="s">
        <v>3941</v>
      </c>
      <c r="O974" s="4"/>
    </row>
    <row r="975" spans="1:15" x14ac:dyDescent="0.2">
      <c r="A975" s="2">
        <v>40008099</v>
      </c>
      <c r="B975" s="2" t="s">
        <v>3226</v>
      </c>
      <c r="C975" s="5" t="s">
        <v>8922</v>
      </c>
      <c r="D975" s="21">
        <v>8</v>
      </c>
      <c r="E975" s="21"/>
      <c r="F975" s="21" t="s">
        <v>10438</v>
      </c>
      <c r="G975" s="21"/>
      <c r="H975" s="54">
        <v>36</v>
      </c>
      <c r="I975" s="51"/>
      <c r="J975" s="27"/>
      <c r="K975" s="27"/>
      <c r="L975" s="15"/>
      <c r="M975" s="15"/>
      <c r="N975" s="4" t="s">
        <v>4517</v>
      </c>
      <c r="O975" s="4"/>
    </row>
    <row r="976" spans="1:15" x14ac:dyDescent="0.2">
      <c r="A976" s="2">
        <v>40007252</v>
      </c>
      <c r="B976" s="2" t="s">
        <v>2503</v>
      </c>
      <c r="C976" s="5" t="s">
        <v>8199</v>
      </c>
      <c r="D976" s="21">
        <v>1</v>
      </c>
      <c r="E976" s="21"/>
      <c r="F976" s="21" t="s">
        <v>10438</v>
      </c>
      <c r="G976" s="21"/>
      <c r="H976" s="54">
        <v>239</v>
      </c>
      <c r="I976" s="51"/>
      <c r="J976" s="27"/>
      <c r="K976" s="27"/>
      <c r="L976" s="15"/>
      <c r="M976" s="15"/>
      <c r="N976" s="4" t="s">
        <v>4891</v>
      </c>
      <c r="O976" s="4"/>
    </row>
    <row r="977" spans="1:15" x14ac:dyDescent="0.2">
      <c r="A977" s="2">
        <v>40003876</v>
      </c>
      <c r="B977" s="2" t="s">
        <v>705</v>
      </c>
      <c r="C977" s="5" t="s">
        <v>6419</v>
      </c>
      <c r="D977" s="21"/>
      <c r="E977" s="21"/>
      <c r="F977" s="21" t="s">
        <v>10438</v>
      </c>
      <c r="G977" s="21"/>
      <c r="H977" s="54">
        <v>62</v>
      </c>
      <c r="I977" s="51"/>
      <c r="J977" s="27"/>
      <c r="K977" s="27"/>
      <c r="L977" s="15">
        <v>5</v>
      </c>
      <c r="M977" s="15"/>
      <c r="N977" s="4" t="s">
        <v>3937</v>
      </c>
      <c r="O977" s="4"/>
    </row>
    <row r="978" spans="1:15" x14ac:dyDescent="0.2">
      <c r="A978" s="2">
        <v>40008313</v>
      </c>
      <c r="B978" s="7" t="s">
        <v>3420</v>
      </c>
      <c r="C978" s="5" t="s">
        <v>9113</v>
      </c>
      <c r="D978" s="21"/>
      <c r="E978" s="21"/>
      <c r="F978" s="21" t="s">
        <v>10438</v>
      </c>
      <c r="G978" s="21"/>
      <c r="H978" s="54">
        <v>52</v>
      </c>
      <c r="I978" s="51"/>
      <c r="J978" s="27"/>
      <c r="K978" s="27"/>
      <c r="L978" s="15"/>
      <c r="M978" s="15"/>
      <c r="N978" s="4" t="s">
        <v>3937</v>
      </c>
      <c r="O978" s="4"/>
    </row>
    <row r="979" spans="1:15" x14ac:dyDescent="0.2">
      <c r="A979" s="2">
        <v>40008314</v>
      </c>
      <c r="B979" s="7" t="s">
        <v>3421</v>
      </c>
      <c r="C979" s="5" t="s">
        <v>9114</v>
      </c>
      <c r="D979" s="21">
        <v>3</v>
      </c>
      <c r="E979" s="21"/>
      <c r="F979" s="21" t="s">
        <v>10438</v>
      </c>
      <c r="G979" s="21"/>
      <c r="H979" s="54">
        <v>51</v>
      </c>
      <c r="I979" s="51"/>
      <c r="J979" s="27"/>
      <c r="K979" s="27"/>
      <c r="L979" s="15"/>
      <c r="M979" s="15"/>
      <c r="N979" s="4" t="s">
        <v>3937</v>
      </c>
      <c r="O979" s="4"/>
    </row>
    <row r="980" spans="1:15" x14ac:dyDescent="0.2">
      <c r="A980" s="2">
        <v>40003878</v>
      </c>
      <c r="B980" s="2" t="s">
        <v>707</v>
      </c>
      <c r="C980" s="5" t="s">
        <v>6421</v>
      </c>
      <c r="D980" s="21">
        <v>8</v>
      </c>
      <c r="E980" s="21"/>
      <c r="F980" s="21" t="s">
        <v>10438</v>
      </c>
      <c r="G980" s="21"/>
      <c r="H980" s="54">
        <v>76</v>
      </c>
      <c r="I980" s="51"/>
      <c r="J980" s="27"/>
      <c r="K980" s="27"/>
      <c r="L980" s="15"/>
      <c r="M980" s="15"/>
      <c r="N980" s="4" t="s">
        <v>3956</v>
      </c>
      <c r="O980" s="4"/>
    </row>
    <row r="981" spans="1:15" x14ac:dyDescent="0.2">
      <c r="A981" s="2">
        <v>10019306</v>
      </c>
      <c r="B981" s="2" t="s">
        <v>491</v>
      </c>
      <c r="C981" s="5" t="s">
        <v>6107</v>
      </c>
      <c r="D981" s="21">
        <v>30</v>
      </c>
      <c r="E981" s="21"/>
      <c r="F981" s="21" t="s">
        <v>10438</v>
      </c>
      <c r="G981" s="21"/>
      <c r="H981" s="54">
        <v>50</v>
      </c>
      <c r="I981" s="51"/>
      <c r="J981" s="27"/>
      <c r="K981" s="27"/>
      <c r="L981" s="15"/>
      <c r="M981" s="15"/>
      <c r="N981" s="4" t="s">
        <v>3937</v>
      </c>
      <c r="O981" s="4"/>
    </row>
    <row r="982" spans="1:15" x14ac:dyDescent="0.2">
      <c r="A982" s="2">
        <v>10019412</v>
      </c>
      <c r="B982" s="7" t="s">
        <v>512</v>
      </c>
      <c r="C982" s="5" t="s">
        <v>6133</v>
      </c>
      <c r="D982" s="21">
        <v>8</v>
      </c>
      <c r="E982" s="21"/>
      <c r="F982" s="21" t="s">
        <v>10438</v>
      </c>
      <c r="G982" s="21"/>
      <c r="H982" s="54">
        <v>31</v>
      </c>
      <c r="I982" s="51"/>
      <c r="J982" s="27"/>
      <c r="K982" s="27"/>
      <c r="L982" s="15"/>
      <c r="M982" s="15"/>
      <c r="N982" s="4" t="s">
        <v>3937</v>
      </c>
      <c r="O982" s="4"/>
    </row>
    <row r="983" spans="1:15" x14ac:dyDescent="0.2">
      <c r="A983" s="2">
        <v>40007062</v>
      </c>
      <c r="B983" s="7" t="s">
        <v>2337</v>
      </c>
      <c r="C983" s="5" t="s">
        <v>8046</v>
      </c>
      <c r="D983" s="21">
        <v>5</v>
      </c>
      <c r="E983" s="21"/>
      <c r="F983" s="21" t="s">
        <v>10438</v>
      </c>
      <c r="G983" s="21"/>
      <c r="H983" s="54">
        <v>34</v>
      </c>
      <c r="I983" s="51"/>
      <c r="J983" s="27"/>
      <c r="K983" s="27"/>
      <c r="L983" s="15"/>
      <c r="M983" s="15">
        <v>1</v>
      </c>
      <c r="N983" s="4" t="s">
        <v>3956</v>
      </c>
      <c r="O983" s="4"/>
    </row>
    <row r="984" spans="1:15" x14ac:dyDescent="0.2">
      <c r="A984" s="2">
        <v>10019998</v>
      </c>
      <c r="B984" s="2" t="s">
        <v>654</v>
      </c>
      <c r="C984" s="5" t="s">
        <v>6301</v>
      </c>
      <c r="D984" s="21">
        <v>8</v>
      </c>
      <c r="E984" s="21"/>
      <c r="F984" s="21" t="s">
        <v>10438</v>
      </c>
      <c r="G984" s="21"/>
      <c r="H984" s="54">
        <v>59</v>
      </c>
      <c r="I984" s="51"/>
      <c r="J984" s="27"/>
      <c r="K984" s="27"/>
      <c r="L984" s="15">
        <v>10</v>
      </c>
      <c r="M984" s="15"/>
      <c r="N984" s="4" t="s">
        <v>3937</v>
      </c>
      <c r="O984" s="4"/>
    </row>
    <row r="985" spans="1:15" x14ac:dyDescent="0.2">
      <c r="A985" s="2">
        <v>10019864</v>
      </c>
      <c r="B985" s="2" t="s">
        <v>603</v>
      </c>
      <c r="C985" s="5" t="s">
        <v>6240</v>
      </c>
      <c r="D985" s="21">
        <v>23</v>
      </c>
      <c r="E985" s="21"/>
      <c r="F985" s="21" t="s">
        <v>10438</v>
      </c>
      <c r="G985" s="21"/>
      <c r="H985" s="54">
        <v>62</v>
      </c>
      <c r="I985" s="51"/>
      <c r="J985" s="27"/>
      <c r="K985" s="27"/>
      <c r="L985" s="15"/>
      <c r="M985" s="15"/>
      <c r="N985" s="4" t="s">
        <v>3956</v>
      </c>
      <c r="O985" s="4"/>
    </row>
    <row r="986" spans="1:15" x14ac:dyDescent="0.2">
      <c r="A986" s="2">
        <v>10018722</v>
      </c>
      <c r="B986" s="2" t="s">
        <v>286</v>
      </c>
      <c r="C986" s="5" t="s">
        <v>5861</v>
      </c>
      <c r="D986" s="21">
        <v>8</v>
      </c>
      <c r="E986" s="21"/>
      <c r="F986" s="21" t="s">
        <v>10438</v>
      </c>
      <c r="G986" s="21"/>
      <c r="H986" s="54">
        <v>5085</v>
      </c>
      <c r="I986" s="51">
        <v>4325</v>
      </c>
      <c r="J986" s="27"/>
      <c r="K986" s="27"/>
      <c r="L986" s="15"/>
      <c r="M986" s="15"/>
      <c r="N986" s="4" t="s">
        <v>10713</v>
      </c>
      <c r="O986" s="4" t="s">
        <v>10446</v>
      </c>
    </row>
    <row r="987" spans="1:15" x14ac:dyDescent="0.2">
      <c r="A987" s="2">
        <v>10018621</v>
      </c>
      <c r="B987" s="2" t="s">
        <v>5350</v>
      </c>
      <c r="C987" s="5" t="s">
        <v>5804</v>
      </c>
      <c r="D987" s="21">
        <v>4</v>
      </c>
      <c r="E987" s="21"/>
      <c r="F987" s="21" t="s">
        <v>10438</v>
      </c>
      <c r="G987" s="21"/>
      <c r="H987" s="54">
        <v>9430</v>
      </c>
      <c r="I987" s="51">
        <v>7545</v>
      </c>
      <c r="J987" s="27"/>
      <c r="K987" s="27"/>
      <c r="L987" s="15"/>
      <c r="M987" s="15">
        <v>5</v>
      </c>
      <c r="N987" s="4" t="s">
        <v>3607</v>
      </c>
      <c r="O987" s="4" t="s">
        <v>10445</v>
      </c>
    </row>
    <row r="988" spans="1:15" x14ac:dyDescent="0.2">
      <c r="A988" s="2">
        <v>10018187</v>
      </c>
      <c r="B988" s="2" t="s">
        <v>91</v>
      </c>
      <c r="C988" s="5" t="s">
        <v>5628</v>
      </c>
      <c r="D988" s="21">
        <v>11</v>
      </c>
      <c r="E988" s="21"/>
      <c r="F988" s="21" t="s">
        <v>10438</v>
      </c>
      <c r="G988" s="21"/>
      <c r="H988" s="54">
        <v>4360</v>
      </c>
      <c r="I988" s="51">
        <v>3925</v>
      </c>
      <c r="J988" s="27"/>
      <c r="K988" s="27"/>
      <c r="L988" s="15"/>
      <c r="M988" s="15"/>
      <c r="N988" s="4" t="s">
        <v>3607</v>
      </c>
      <c r="O988" s="4" t="s">
        <v>10457</v>
      </c>
    </row>
    <row r="989" spans="1:15" x14ac:dyDescent="0.2">
      <c r="A989" s="2">
        <v>10018061</v>
      </c>
      <c r="B989" s="2" t="s">
        <v>66</v>
      </c>
      <c r="C989" s="5" t="s">
        <v>5599</v>
      </c>
      <c r="D989" s="21">
        <v>7</v>
      </c>
      <c r="E989" s="21"/>
      <c r="F989" s="21" t="s">
        <v>10438</v>
      </c>
      <c r="G989" s="21"/>
      <c r="H989" s="54">
        <v>10730</v>
      </c>
      <c r="I989" s="51">
        <v>9660</v>
      </c>
      <c r="J989" s="27">
        <v>15</v>
      </c>
      <c r="K989" s="27"/>
      <c r="L989" s="15"/>
      <c r="M989" s="15">
        <v>10</v>
      </c>
      <c r="N989" s="4"/>
      <c r="O989" s="4" t="s">
        <v>10457</v>
      </c>
    </row>
    <row r="990" spans="1:15" x14ac:dyDescent="0.2">
      <c r="A990" s="2">
        <v>10018660</v>
      </c>
      <c r="B990" s="2" t="s">
        <v>258</v>
      </c>
      <c r="C990" s="5" t="s">
        <v>5826</v>
      </c>
      <c r="D990" s="21">
        <v>28</v>
      </c>
      <c r="E990" s="21"/>
      <c r="F990" s="21" t="s">
        <v>10438</v>
      </c>
      <c r="G990" s="21"/>
      <c r="H990" s="54">
        <v>5320</v>
      </c>
      <c r="I990" s="51">
        <v>4895</v>
      </c>
      <c r="J990" s="27">
        <v>19</v>
      </c>
      <c r="K990" s="27"/>
      <c r="L990" s="15">
        <v>50</v>
      </c>
      <c r="M990" s="15"/>
      <c r="N990" s="4" t="s">
        <v>3934</v>
      </c>
      <c r="O990" s="4" t="s">
        <v>10455</v>
      </c>
    </row>
    <row r="991" spans="1:15" x14ac:dyDescent="0.2">
      <c r="A991" s="2">
        <v>10019445</v>
      </c>
      <c r="B991" s="2" t="s">
        <v>518</v>
      </c>
      <c r="C991" s="5" t="s">
        <v>6138</v>
      </c>
      <c r="D991" s="21">
        <v>20</v>
      </c>
      <c r="E991" s="21"/>
      <c r="F991" s="21" t="s">
        <v>10438</v>
      </c>
      <c r="G991" s="21"/>
      <c r="H991" s="54">
        <v>3770</v>
      </c>
      <c r="I991" s="51">
        <v>3320</v>
      </c>
      <c r="J991" s="27">
        <v>136</v>
      </c>
      <c r="K991" s="27"/>
      <c r="L991" s="15"/>
      <c r="M991" s="15"/>
      <c r="N991" s="4" t="s">
        <v>3934</v>
      </c>
      <c r="O991" s="4" t="s">
        <v>10456</v>
      </c>
    </row>
    <row r="992" spans="1:15" x14ac:dyDescent="0.2">
      <c r="A992" s="2">
        <v>40008057</v>
      </c>
      <c r="B992" s="2" t="s">
        <v>3190</v>
      </c>
      <c r="C992" s="5" t="s">
        <v>8885</v>
      </c>
      <c r="D992" s="21">
        <v>9</v>
      </c>
      <c r="E992" s="21"/>
      <c r="F992" s="21" t="s">
        <v>10438</v>
      </c>
      <c r="G992" s="21"/>
      <c r="H992" s="54">
        <v>11</v>
      </c>
      <c r="I992" s="51"/>
      <c r="J992" s="27"/>
      <c r="K992" s="27"/>
      <c r="L992" s="15"/>
      <c r="M992" s="15"/>
      <c r="N992" s="4" t="s">
        <v>5181</v>
      </c>
      <c r="O992" s="4" t="s">
        <v>10330</v>
      </c>
    </row>
    <row r="993" spans="1:15" x14ac:dyDescent="0.2">
      <c r="A993" s="2">
        <v>10018678</v>
      </c>
      <c r="B993" s="2" t="s">
        <v>266</v>
      </c>
      <c r="C993" s="5" t="s">
        <v>5835</v>
      </c>
      <c r="D993" s="21">
        <v>3</v>
      </c>
      <c r="E993" s="21"/>
      <c r="F993" s="21" t="s">
        <v>10438</v>
      </c>
      <c r="G993" s="21"/>
      <c r="H993" s="54">
        <v>5174</v>
      </c>
      <c r="I993" s="51">
        <v>4140</v>
      </c>
      <c r="J993" s="27">
        <v>1</v>
      </c>
      <c r="K993" s="27"/>
      <c r="L993" s="15"/>
      <c r="M993" s="15"/>
      <c r="N993" s="4"/>
      <c r="O993" s="4" t="s">
        <v>10462</v>
      </c>
    </row>
    <row r="994" spans="1:15" x14ac:dyDescent="0.2">
      <c r="A994" s="2">
        <v>10013721</v>
      </c>
      <c r="B994" s="2" t="s">
        <v>12</v>
      </c>
      <c r="C994" s="5" t="s">
        <v>5532</v>
      </c>
      <c r="D994" s="21">
        <v>12</v>
      </c>
      <c r="E994" s="21"/>
      <c r="F994" s="30" t="s">
        <v>10438</v>
      </c>
      <c r="G994" s="21"/>
      <c r="H994" s="54">
        <v>7035</v>
      </c>
      <c r="I994" s="51">
        <v>5980</v>
      </c>
      <c r="J994" s="27"/>
      <c r="K994" s="27"/>
      <c r="L994" s="15">
        <v>15</v>
      </c>
      <c r="M994" s="15">
        <v>10</v>
      </c>
      <c r="N994" s="4"/>
      <c r="O994" s="4" t="s">
        <v>10455</v>
      </c>
    </row>
    <row r="995" spans="1:15" x14ac:dyDescent="0.2">
      <c r="A995" s="2">
        <v>40008157</v>
      </c>
      <c r="B995" s="2" t="s">
        <v>3280</v>
      </c>
      <c r="C995" s="5" t="s">
        <v>8975</v>
      </c>
      <c r="D995" s="21"/>
      <c r="E995" s="21"/>
      <c r="F995" s="21" t="s">
        <v>10438</v>
      </c>
      <c r="G995" s="21"/>
      <c r="H995" s="54">
        <v>4</v>
      </c>
      <c r="I995" s="51"/>
      <c r="J995" s="27"/>
      <c r="K995" s="27"/>
      <c r="L995" s="15"/>
      <c r="M995" s="15"/>
      <c r="N995" s="4" t="s">
        <v>5020</v>
      </c>
      <c r="O995" s="4"/>
    </row>
    <row r="996" spans="1:15" x14ac:dyDescent="0.2">
      <c r="A996" s="2">
        <v>40008109</v>
      </c>
      <c r="B996" s="2" t="s">
        <v>3235</v>
      </c>
      <c r="C996" s="5" t="s">
        <v>8931</v>
      </c>
      <c r="D996" s="21">
        <v>3</v>
      </c>
      <c r="E996" s="21"/>
      <c r="F996" s="21" t="s">
        <v>10438</v>
      </c>
      <c r="G996" s="21"/>
      <c r="H996" s="54">
        <v>4</v>
      </c>
      <c r="I996" s="51"/>
      <c r="J996" s="27"/>
      <c r="K996" s="27"/>
      <c r="L996" s="15"/>
      <c r="M996" s="15"/>
      <c r="N996" s="4" t="s">
        <v>4469</v>
      </c>
      <c r="O996" s="4"/>
    </row>
    <row r="997" spans="1:15" x14ac:dyDescent="0.2">
      <c r="A997" s="2">
        <v>40010378</v>
      </c>
      <c r="B997" s="2" t="s">
        <v>3521</v>
      </c>
      <c r="C997" s="5" t="s">
        <v>9223</v>
      </c>
      <c r="D997" s="21">
        <v>6</v>
      </c>
      <c r="E997" s="21"/>
      <c r="F997" s="21" t="s">
        <v>10438</v>
      </c>
      <c r="G997" s="21"/>
      <c r="H997" s="54">
        <v>4</v>
      </c>
      <c r="I997" s="51"/>
      <c r="J997" s="27"/>
      <c r="K997" s="27"/>
      <c r="L997" s="15"/>
      <c r="M997" s="15"/>
      <c r="N997" s="4" t="s">
        <v>5175</v>
      </c>
      <c r="O997" s="4"/>
    </row>
    <row r="998" spans="1:15" x14ac:dyDescent="0.2">
      <c r="A998" s="2">
        <v>40007125</v>
      </c>
      <c r="B998" s="2" t="s">
        <v>2393</v>
      </c>
      <c r="C998" s="5" t="s">
        <v>8099</v>
      </c>
      <c r="D998" s="21">
        <v>5</v>
      </c>
      <c r="E998" s="21"/>
      <c r="F998" s="21" t="s">
        <v>10438</v>
      </c>
      <c r="G998" s="21"/>
      <c r="H998" s="54">
        <v>5</v>
      </c>
      <c r="I998" s="51"/>
      <c r="J998" s="27"/>
      <c r="K998" s="27"/>
      <c r="L998" s="15"/>
      <c r="M998" s="15"/>
      <c r="N998" s="4" t="s">
        <v>4837</v>
      </c>
      <c r="O998" s="4"/>
    </row>
    <row r="999" spans="1:15" x14ac:dyDescent="0.2">
      <c r="A999" s="2">
        <v>40006677</v>
      </c>
      <c r="B999" s="2" t="s">
        <v>1998</v>
      </c>
      <c r="C999" s="5" t="s">
        <v>7707</v>
      </c>
      <c r="D999" s="21">
        <v>13</v>
      </c>
      <c r="E999" s="21"/>
      <c r="F999" s="21" t="s">
        <v>10438</v>
      </c>
      <c r="G999" s="21"/>
      <c r="H999" s="54">
        <v>4</v>
      </c>
      <c r="I999" s="51"/>
      <c r="J999" s="27"/>
      <c r="K999" s="27"/>
      <c r="L999" s="15"/>
      <c r="M999" s="15"/>
      <c r="N999" s="4" t="s">
        <v>4245</v>
      </c>
      <c r="O999" s="4"/>
    </row>
    <row r="1000" spans="1:15" x14ac:dyDescent="0.2">
      <c r="A1000" s="2">
        <v>40006678</v>
      </c>
      <c r="B1000" s="2" t="s">
        <v>1999</v>
      </c>
      <c r="C1000" s="5" t="s">
        <v>7708</v>
      </c>
      <c r="D1000" s="21">
        <v>62</v>
      </c>
      <c r="E1000" s="21"/>
      <c r="F1000" s="30">
        <v>1</v>
      </c>
      <c r="G1000" s="21"/>
      <c r="H1000" s="54">
        <v>1</v>
      </c>
      <c r="I1000" s="51"/>
      <c r="J1000" s="27"/>
      <c r="K1000" s="27"/>
      <c r="L1000" s="15"/>
      <c r="M1000" s="15"/>
      <c r="N1000" s="4" t="s">
        <v>4641</v>
      </c>
      <c r="O1000" s="4"/>
    </row>
    <row r="1001" spans="1:15" x14ac:dyDescent="0.2">
      <c r="A1001" s="2">
        <v>40006306</v>
      </c>
      <c r="B1001" s="2" t="s">
        <v>1675</v>
      </c>
      <c r="C1001" s="5" t="s">
        <v>7385</v>
      </c>
      <c r="D1001" s="21">
        <v>10</v>
      </c>
      <c r="E1001" s="21"/>
      <c r="F1001" s="21" t="s">
        <v>10438</v>
      </c>
      <c r="G1001" s="21"/>
      <c r="H1001" s="54">
        <v>4</v>
      </c>
      <c r="I1001" s="51"/>
      <c r="J1001" s="27"/>
      <c r="K1001" s="27"/>
      <c r="L1001" s="15"/>
      <c r="M1001" s="15"/>
      <c r="N1001" s="4" t="s">
        <v>4518</v>
      </c>
      <c r="O1001" s="4"/>
    </row>
    <row r="1002" spans="1:15" x14ac:dyDescent="0.2">
      <c r="A1002" s="2">
        <v>40007577</v>
      </c>
      <c r="B1002" s="2" t="s">
        <v>2772</v>
      </c>
      <c r="C1002" s="5" t="s">
        <v>8472</v>
      </c>
      <c r="D1002" s="21">
        <v>3</v>
      </c>
      <c r="E1002" s="21"/>
      <c r="F1002" s="21" t="s">
        <v>10438</v>
      </c>
      <c r="G1002" s="21"/>
      <c r="H1002" s="54">
        <v>5</v>
      </c>
      <c r="I1002" s="51"/>
      <c r="J1002" s="27"/>
      <c r="K1002" s="27"/>
      <c r="L1002" s="15"/>
      <c r="M1002" s="15"/>
      <c r="N1002" s="4" t="s">
        <v>5003</v>
      </c>
      <c r="O1002" s="4"/>
    </row>
    <row r="1003" spans="1:15" x14ac:dyDescent="0.2">
      <c r="A1003" s="2">
        <v>40006055</v>
      </c>
      <c r="B1003" s="2" t="s">
        <v>1453</v>
      </c>
      <c r="C1003" s="5" t="s">
        <v>7156</v>
      </c>
      <c r="D1003" s="21">
        <v>1</v>
      </c>
      <c r="E1003" s="21"/>
      <c r="F1003" s="21" t="s">
        <v>10438</v>
      </c>
      <c r="G1003" s="21"/>
      <c r="H1003" s="54">
        <v>4</v>
      </c>
      <c r="I1003" s="51"/>
      <c r="J1003" s="27"/>
      <c r="K1003" s="27"/>
      <c r="L1003" s="15"/>
      <c r="M1003" s="15"/>
      <c r="N1003" s="4"/>
      <c r="O1003" s="4" t="s">
        <v>10331</v>
      </c>
    </row>
    <row r="1004" spans="1:15" x14ac:dyDescent="0.2">
      <c r="A1004" s="2">
        <v>40008199</v>
      </c>
      <c r="B1004" s="2" t="s">
        <v>3319</v>
      </c>
      <c r="C1004" s="5" t="s">
        <v>9011</v>
      </c>
      <c r="D1004" s="21">
        <v>6</v>
      </c>
      <c r="E1004" s="21"/>
      <c r="F1004" s="21" t="s">
        <v>10438</v>
      </c>
      <c r="G1004" s="21"/>
      <c r="H1004" s="54">
        <v>2</v>
      </c>
      <c r="I1004" s="51"/>
      <c r="J1004" s="27"/>
      <c r="K1004" s="27"/>
      <c r="L1004" s="15"/>
      <c r="M1004" s="15"/>
      <c r="N1004" s="4" t="s">
        <v>5051</v>
      </c>
      <c r="O1004" s="4"/>
    </row>
    <row r="1005" spans="1:15" x14ac:dyDescent="0.2">
      <c r="A1005" s="2">
        <v>40006529</v>
      </c>
      <c r="B1005" s="2" t="s">
        <v>1872</v>
      </c>
      <c r="C1005" s="5" t="s">
        <v>7580</v>
      </c>
      <c r="D1005" s="21">
        <v>1</v>
      </c>
      <c r="E1005" s="21"/>
      <c r="F1005" s="21" t="s">
        <v>10438</v>
      </c>
      <c r="G1005" s="21"/>
      <c r="H1005" s="54">
        <v>7</v>
      </c>
      <c r="I1005" s="51"/>
      <c r="J1005" s="27"/>
      <c r="K1005" s="27"/>
      <c r="L1005" s="15"/>
      <c r="M1005" s="15"/>
      <c r="N1005" s="4" t="s">
        <v>4310</v>
      </c>
      <c r="O1005" s="4"/>
    </row>
    <row r="1006" spans="1:15" x14ac:dyDescent="0.2">
      <c r="A1006" s="2">
        <v>40005165</v>
      </c>
      <c r="B1006" s="2" t="s">
        <v>712</v>
      </c>
      <c r="C1006" s="5" t="s">
        <v>6426</v>
      </c>
      <c r="D1006" s="21">
        <v>10</v>
      </c>
      <c r="E1006" s="21"/>
      <c r="F1006" s="21" t="s">
        <v>10438</v>
      </c>
      <c r="G1006" s="21"/>
      <c r="H1006" s="54">
        <v>5</v>
      </c>
      <c r="I1006" s="51"/>
      <c r="J1006" s="27"/>
      <c r="K1006" s="27"/>
      <c r="L1006" s="15"/>
      <c r="M1006" s="15"/>
      <c r="N1006" s="4" t="s">
        <v>3984</v>
      </c>
      <c r="O1006" s="4"/>
    </row>
    <row r="1007" spans="1:15" x14ac:dyDescent="0.2">
      <c r="A1007" s="2">
        <v>40006628</v>
      </c>
      <c r="B1007" s="2" t="s">
        <v>1963</v>
      </c>
      <c r="C1007" s="5" t="s">
        <v>7672</v>
      </c>
      <c r="D1007" s="21">
        <v>4</v>
      </c>
      <c r="E1007" s="21"/>
      <c r="F1007" s="21" t="s">
        <v>10438</v>
      </c>
      <c r="G1007" s="21"/>
      <c r="H1007" s="54">
        <v>8</v>
      </c>
      <c r="I1007" s="51"/>
      <c r="J1007" s="27"/>
      <c r="K1007" s="27"/>
      <c r="L1007" s="15"/>
      <c r="M1007" s="15"/>
      <c r="N1007" s="4"/>
      <c r="O1007" s="4" t="s">
        <v>10326</v>
      </c>
    </row>
    <row r="1008" spans="1:15" x14ac:dyDescent="0.2">
      <c r="A1008" s="2">
        <v>40006632</v>
      </c>
      <c r="B1008" s="2" t="s">
        <v>1967</v>
      </c>
      <c r="C1008" s="5" t="s">
        <v>7676</v>
      </c>
      <c r="D1008" s="21">
        <v>2</v>
      </c>
      <c r="E1008" s="21"/>
      <c r="F1008" s="21" t="s">
        <v>10438</v>
      </c>
      <c r="G1008" s="21"/>
      <c r="H1008" s="54">
        <v>23</v>
      </c>
      <c r="I1008" s="51"/>
      <c r="J1008" s="27"/>
      <c r="K1008" s="27"/>
      <c r="L1008" s="15"/>
      <c r="M1008" s="15"/>
      <c r="N1008" s="4"/>
      <c r="O1008" s="4" t="s">
        <v>10331</v>
      </c>
    </row>
    <row r="1009" spans="1:15" x14ac:dyDescent="0.2">
      <c r="A1009" s="2">
        <v>40007164</v>
      </c>
      <c r="B1009" s="2" t="s">
        <v>2431</v>
      </c>
      <c r="C1009" s="5" t="s">
        <v>8133</v>
      </c>
      <c r="D1009" s="21">
        <v>22</v>
      </c>
      <c r="E1009" s="21"/>
      <c r="F1009" s="21" t="s">
        <v>10438</v>
      </c>
      <c r="G1009" s="21"/>
      <c r="H1009" s="54">
        <v>4</v>
      </c>
      <c r="I1009" s="51"/>
      <c r="J1009" s="27"/>
      <c r="K1009" s="27"/>
      <c r="L1009" s="15"/>
      <c r="M1009" s="15"/>
      <c r="N1009" s="4" t="s">
        <v>4352</v>
      </c>
      <c r="O1009" s="4"/>
    </row>
    <row r="1010" spans="1:15" x14ac:dyDescent="0.2">
      <c r="A1010" s="2">
        <v>40008320</v>
      </c>
      <c r="B1010" s="2" t="s">
        <v>3424</v>
      </c>
      <c r="C1010" s="5" t="s">
        <v>9117</v>
      </c>
      <c r="D1010" s="21">
        <v>10</v>
      </c>
      <c r="E1010" s="21"/>
      <c r="F1010" s="21" t="s">
        <v>10438</v>
      </c>
      <c r="G1010" s="21"/>
      <c r="H1010" s="54">
        <v>1</v>
      </c>
      <c r="I1010" s="51"/>
      <c r="J1010" s="27"/>
      <c r="K1010" s="27"/>
      <c r="L1010" s="15"/>
      <c r="M1010" s="15"/>
      <c r="N1010" s="4" t="s">
        <v>5240</v>
      </c>
      <c r="O1010" s="4"/>
    </row>
    <row r="1011" spans="1:15" x14ac:dyDescent="0.2">
      <c r="A1011" s="2">
        <v>40006084</v>
      </c>
      <c r="B1011" s="2" t="s">
        <v>1476</v>
      </c>
      <c r="C1011" s="5" t="s">
        <v>7181</v>
      </c>
      <c r="D1011" s="21">
        <v>10</v>
      </c>
      <c r="E1011" s="21"/>
      <c r="F1011" s="21" t="s">
        <v>10438</v>
      </c>
      <c r="G1011" s="21"/>
      <c r="H1011" s="54">
        <v>2</v>
      </c>
      <c r="I1011" s="51"/>
      <c r="J1011" s="27"/>
      <c r="K1011" s="27"/>
      <c r="L1011" s="15"/>
      <c r="M1011" s="15"/>
      <c r="N1011" s="4" t="s">
        <v>4247</v>
      </c>
      <c r="O1011" s="4"/>
    </row>
    <row r="1012" spans="1:15" x14ac:dyDescent="0.2">
      <c r="A1012" s="2">
        <v>40007290</v>
      </c>
      <c r="B1012" s="2" t="s">
        <v>2535</v>
      </c>
      <c r="C1012" s="5" t="s">
        <v>8234</v>
      </c>
      <c r="D1012" s="21">
        <v>7</v>
      </c>
      <c r="E1012" s="21"/>
      <c r="F1012" s="21" t="s">
        <v>10438</v>
      </c>
      <c r="G1012" s="21"/>
      <c r="H1012" s="54">
        <v>3</v>
      </c>
      <c r="I1012" s="51"/>
      <c r="J1012" s="27"/>
      <c r="K1012" s="27"/>
      <c r="L1012" s="15"/>
      <c r="M1012" s="15"/>
      <c r="N1012" s="4" t="s">
        <v>4372</v>
      </c>
      <c r="O1012" s="4"/>
    </row>
    <row r="1013" spans="1:15" x14ac:dyDescent="0.2">
      <c r="A1013" s="2">
        <v>40006629</v>
      </c>
      <c r="B1013" s="2" t="s">
        <v>1964</v>
      </c>
      <c r="C1013" s="5" t="s">
        <v>7673</v>
      </c>
      <c r="D1013" s="21">
        <v>5</v>
      </c>
      <c r="E1013" s="21"/>
      <c r="F1013" s="21" t="s">
        <v>10438</v>
      </c>
      <c r="G1013" s="21"/>
      <c r="H1013" s="54">
        <v>4</v>
      </c>
      <c r="I1013" s="51"/>
      <c r="J1013" s="27"/>
      <c r="K1013" s="27"/>
      <c r="L1013" s="15"/>
      <c r="M1013" s="15"/>
      <c r="N1013" s="4"/>
      <c r="O1013" s="4" t="s">
        <v>10328</v>
      </c>
    </row>
    <row r="1014" spans="1:15" x14ac:dyDescent="0.2">
      <c r="A1014" s="2">
        <v>40005746</v>
      </c>
      <c r="B1014" s="2" t="s">
        <v>1173</v>
      </c>
      <c r="C1014" s="5" t="s">
        <v>6885</v>
      </c>
      <c r="D1014" s="21">
        <v>19</v>
      </c>
      <c r="E1014" s="21"/>
      <c r="F1014" s="21" t="s">
        <v>10438</v>
      </c>
      <c r="G1014" s="21"/>
      <c r="H1014" s="54">
        <v>4</v>
      </c>
      <c r="I1014" s="51"/>
      <c r="J1014" s="27"/>
      <c r="K1014" s="27"/>
      <c r="L1014" s="15"/>
      <c r="M1014" s="15"/>
      <c r="N1014" s="4" t="s">
        <v>4253</v>
      </c>
      <c r="O1014" s="4"/>
    </row>
    <row r="1015" spans="1:15" x14ac:dyDescent="0.2">
      <c r="A1015" s="2">
        <v>40006813</v>
      </c>
      <c r="B1015" s="2" t="s">
        <v>2112</v>
      </c>
      <c r="C1015" s="5" t="s">
        <v>7821</v>
      </c>
      <c r="D1015" s="21">
        <v>4</v>
      </c>
      <c r="E1015" s="21"/>
      <c r="F1015" s="21" t="s">
        <v>10438</v>
      </c>
      <c r="G1015" s="21"/>
      <c r="H1015" s="54">
        <v>5</v>
      </c>
      <c r="I1015" s="51"/>
      <c r="J1015" s="27"/>
      <c r="K1015" s="27"/>
      <c r="L1015" s="15"/>
      <c r="M1015" s="15"/>
      <c r="N1015" s="4" t="s">
        <v>4692</v>
      </c>
      <c r="O1015" s="4"/>
    </row>
    <row r="1016" spans="1:15" x14ac:dyDescent="0.2">
      <c r="A1016" s="2">
        <v>40006037</v>
      </c>
      <c r="B1016" s="2" t="s">
        <v>1438</v>
      </c>
      <c r="C1016" s="5" t="s">
        <v>7140</v>
      </c>
      <c r="D1016" s="21">
        <v>5</v>
      </c>
      <c r="E1016" s="21"/>
      <c r="F1016" s="21" t="s">
        <v>10438</v>
      </c>
      <c r="G1016" s="21"/>
      <c r="H1016" s="54">
        <v>3</v>
      </c>
      <c r="I1016" s="51"/>
      <c r="J1016" s="27"/>
      <c r="K1016" s="27"/>
      <c r="L1016" s="15"/>
      <c r="M1016" s="15"/>
      <c r="N1016" s="4" t="s">
        <v>4380</v>
      </c>
      <c r="O1016" s="4"/>
    </row>
    <row r="1017" spans="1:15" x14ac:dyDescent="0.2">
      <c r="A1017" s="2">
        <v>40006927</v>
      </c>
      <c r="B1017" s="2" t="s">
        <v>2220</v>
      </c>
      <c r="C1017" s="5" t="s">
        <v>7929</v>
      </c>
      <c r="D1017" s="21"/>
      <c r="E1017" s="21"/>
      <c r="F1017" s="21" t="s">
        <v>10438</v>
      </c>
      <c r="G1017" s="21"/>
      <c r="H1017" s="54">
        <v>4</v>
      </c>
      <c r="I1017" s="51"/>
      <c r="J1017" s="27"/>
      <c r="K1017" s="27"/>
      <c r="L1017" s="15">
        <v>10</v>
      </c>
      <c r="M1017" s="15"/>
      <c r="N1017" s="4" t="s">
        <v>4748</v>
      </c>
      <c r="O1017" s="4"/>
    </row>
    <row r="1018" spans="1:15" x14ac:dyDescent="0.2">
      <c r="A1018" s="2">
        <v>40005284</v>
      </c>
      <c r="B1018" s="2" t="s">
        <v>785</v>
      </c>
      <c r="C1018" s="5" t="s">
        <v>6502</v>
      </c>
      <c r="D1018" s="21">
        <v>5</v>
      </c>
      <c r="E1018" s="21"/>
      <c r="F1018" s="21" t="s">
        <v>10438</v>
      </c>
      <c r="G1018" s="21"/>
      <c r="H1018" s="54">
        <v>30</v>
      </c>
      <c r="I1018" s="51"/>
      <c r="J1018" s="27"/>
      <c r="K1018" s="27"/>
      <c r="L1018" s="15"/>
      <c r="M1018" s="15"/>
      <c r="N1018" s="4" t="s">
        <v>4002</v>
      </c>
      <c r="O1018" s="4"/>
    </row>
    <row r="1019" spans="1:15" x14ac:dyDescent="0.2">
      <c r="A1019" s="2">
        <v>40005986</v>
      </c>
      <c r="B1019" s="2" t="s">
        <v>1391</v>
      </c>
      <c r="C1019" s="5" t="s">
        <v>7097</v>
      </c>
      <c r="D1019" s="21">
        <v>6</v>
      </c>
      <c r="E1019" s="21"/>
      <c r="F1019" s="21" t="s">
        <v>10438</v>
      </c>
      <c r="G1019" s="21"/>
      <c r="H1019" s="54">
        <v>18</v>
      </c>
      <c r="I1019" s="51"/>
      <c r="J1019" s="27"/>
      <c r="K1019" s="27"/>
      <c r="L1019" s="15"/>
      <c r="M1019" s="15"/>
      <c r="N1019" s="4" t="s">
        <v>4352</v>
      </c>
      <c r="O1019" s="4"/>
    </row>
    <row r="1020" spans="1:15" x14ac:dyDescent="0.2">
      <c r="A1020" s="2">
        <v>40005977</v>
      </c>
      <c r="B1020" s="2" t="s">
        <v>1382</v>
      </c>
      <c r="C1020" s="5" t="s">
        <v>7088</v>
      </c>
      <c r="D1020" s="21">
        <v>2</v>
      </c>
      <c r="E1020" s="21"/>
      <c r="F1020" s="21" t="s">
        <v>10438</v>
      </c>
      <c r="G1020" s="21"/>
      <c r="H1020" s="54">
        <v>3</v>
      </c>
      <c r="I1020" s="51"/>
      <c r="J1020" s="27"/>
      <c r="K1020" s="27"/>
      <c r="L1020" s="15"/>
      <c r="M1020" s="15"/>
      <c r="N1020" s="4" t="s">
        <v>4346</v>
      </c>
      <c r="O1020" s="4"/>
    </row>
    <row r="1021" spans="1:15" x14ac:dyDescent="0.2">
      <c r="A1021" s="2">
        <v>40008086</v>
      </c>
      <c r="B1021" s="2" t="s">
        <v>3215</v>
      </c>
      <c r="C1021" s="5" t="s">
        <v>8911</v>
      </c>
      <c r="D1021" s="21">
        <v>45</v>
      </c>
      <c r="E1021" s="21"/>
      <c r="F1021" s="21" t="s">
        <v>10438</v>
      </c>
      <c r="G1021" s="21"/>
      <c r="H1021" s="54">
        <v>7</v>
      </c>
      <c r="I1021" s="51"/>
      <c r="J1021" s="27"/>
      <c r="K1021" s="27"/>
      <c r="L1021" s="15"/>
      <c r="M1021" s="15"/>
      <c r="N1021" s="4"/>
      <c r="O1021" s="4" t="s">
        <v>10185</v>
      </c>
    </row>
    <row r="1022" spans="1:15" x14ac:dyDescent="0.2">
      <c r="A1022" s="2">
        <v>40010257</v>
      </c>
      <c r="B1022" s="2" t="s">
        <v>3451</v>
      </c>
      <c r="C1022" s="5" t="s">
        <v>9145</v>
      </c>
      <c r="D1022" s="21">
        <v>2</v>
      </c>
      <c r="E1022" s="21"/>
      <c r="F1022" s="30">
        <v>1</v>
      </c>
      <c r="G1022" s="21"/>
      <c r="H1022" s="54">
        <v>8</v>
      </c>
      <c r="I1022" s="51"/>
      <c r="J1022" s="27"/>
      <c r="K1022" s="27"/>
      <c r="L1022" s="15">
        <v>8</v>
      </c>
      <c r="M1022" s="15"/>
      <c r="N1022" s="4" t="s">
        <v>4611</v>
      </c>
      <c r="O1022" s="4"/>
    </row>
    <row r="1023" spans="1:15" x14ac:dyDescent="0.2">
      <c r="A1023" s="2">
        <v>40008126</v>
      </c>
      <c r="B1023" s="2" t="s">
        <v>3822</v>
      </c>
      <c r="C1023" s="5" t="s">
        <v>8945</v>
      </c>
      <c r="D1023" s="21">
        <v>5</v>
      </c>
      <c r="E1023" s="21"/>
      <c r="F1023" s="30">
        <v>1</v>
      </c>
      <c r="G1023" s="21"/>
      <c r="H1023" s="54">
        <v>4</v>
      </c>
      <c r="I1023" s="51"/>
      <c r="J1023" s="27"/>
      <c r="K1023" s="27"/>
      <c r="L1023" s="15">
        <v>8</v>
      </c>
      <c r="M1023" s="15"/>
      <c r="N1023" s="4" t="s">
        <v>4919</v>
      </c>
      <c r="O1023" s="4"/>
    </row>
    <row r="1024" spans="1:15" x14ac:dyDescent="0.2">
      <c r="A1024" s="2">
        <v>40008118</v>
      </c>
      <c r="B1024" s="2" t="s">
        <v>3242</v>
      </c>
      <c r="C1024" s="5" t="s">
        <v>8937</v>
      </c>
      <c r="D1024" s="21">
        <v>13</v>
      </c>
      <c r="E1024" s="21"/>
      <c r="F1024" s="21" t="s">
        <v>10438</v>
      </c>
      <c r="G1024" s="21"/>
      <c r="H1024" s="54">
        <v>6</v>
      </c>
      <c r="I1024" s="51"/>
      <c r="J1024" s="27"/>
      <c r="K1024" s="27"/>
      <c r="L1024" s="15"/>
      <c r="M1024" s="15"/>
      <c r="N1024" s="4" t="s">
        <v>5135</v>
      </c>
      <c r="O1024" s="4"/>
    </row>
    <row r="1025" spans="1:15" x14ac:dyDescent="0.2">
      <c r="A1025" s="2">
        <v>40007021</v>
      </c>
      <c r="B1025" s="2" t="s">
        <v>2302</v>
      </c>
      <c r="C1025" s="5" t="s">
        <v>8012</v>
      </c>
      <c r="D1025" s="21">
        <v>5</v>
      </c>
      <c r="E1025" s="21"/>
      <c r="F1025" s="21" t="s">
        <v>10438</v>
      </c>
      <c r="G1025" s="21"/>
      <c r="H1025" s="54">
        <v>4</v>
      </c>
      <c r="I1025" s="51"/>
      <c r="J1025" s="27"/>
      <c r="K1025" s="27"/>
      <c r="L1025" s="15"/>
      <c r="M1025" s="15"/>
      <c r="N1025" s="4" t="s">
        <v>4620</v>
      </c>
      <c r="O1025" s="4"/>
    </row>
    <row r="1026" spans="1:15" x14ac:dyDescent="0.2">
      <c r="A1026" s="2">
        <v>40008121</v>
      </c>
      <c r="B1026" s="2" t="s">
        <v>3245</v>
      </c>
      <c r="C1026" s="5" t="s">
        <v>8940</v>
      </c>
      <c r="D1026" s="21">
        <v>1</v>
      </c>
      <c r="E1026" s="21"/>
      <c r="F1026" s="21" t="s">
        <v>10438</v>
      </c>
      <c r="G1026" s="21"/>
      <c r="H1026" s="54">
        <v>6</v>
      </c>
      <c r="I1026" s="51"/>
      <c r="J1026" s="27"/>
      <c r="K1026" s="27"/>
      <c r="L1026" s="15"/>
      <c r="M1026" s="15"/>
      <c r="N1026" s="4" t="s">
        <v>4711</v>
      </c>
      <c r="O1026" s="4"/>
    </row>
    <row r="1027" spans="1:15" x14ac:dyDescent="0.2">
      <c r="A1027" s="2">
        <v>40005732</v>
      </c>
      <c r="B1027" s="2" t="s">
        <v>1160</v>
      </c>
      <c r="C1027" s="5" t="s">
        <v>6877</v>
      </c>
      <c r="D1027" s="21">
        <v>24</v>
      </c>
      <c r="E1027" s="21"/>
      <c r="F1027" s="21" t="s">
        <v>10438</v>
      </c>
      <c r="G1027" s="21"/>
      <c r="H1027" s="54">
        <v>3</v>
      </c>
      <c r="I1027" s="51"/>
      <c r="J1027" s="27"/>
      <c r="K1027" s="27"/>
      <c r="L1027" s="15"/>
      <c r="M1027" s="15"/>
      <c r="N1027" s="4" t="s">
        <v>4242</v>
      </c>
      <c r="O1027" s="4"/>
    </row>
    <row r="1028" spans="1:15" x14ac:dyDescent="0.2">
      <c r="A1028" s="2">
        <v>40005462</v>
      </c>
      <c r="B1028" s="2" t="s">
        <v>935</v>
      </c>
      <c r="C1028" s="5" t="s">
        <v>6657</v>
      </c>
      <c r="D1028" s="21">
        <v>1</v>
      </c>
      <c r="E1028" s="21"/>
      <c r="F1028" s="21" t="s">
        <v>10438</v>
      </c>
      <c r="G1028" s="21"/>
      <c r="H1028" s="54">
        <v>34</v>
      </c>
      <c r="I1028" s="51"/>
      <c r="J1028" s="27"/>
      <c r="K1028" s="27"/>
      <c r="L1028" s="15"/>
      <c r="M1028" s="15"/>
      <c r="N1028" s="4" t="s">
        <v>4123</v>
      </c>
      <c r="O1028" s="4"/>
    </row>
    <row r="1029" spans="1:15" x14ac:dyDescent="0.2">
      <c r="A1029" s="2">
        <v>40005210</v>
      </c>
      <c r="B1029" s="2" t="s">
        <v>748</v>
      </c>
      <c r="C1029" s="5" t="s">
        <v>6461</v>
      </c>
      <c r="D1029" s="21">
        <v>5</v>
      </c>
      <c r="E1029" s="21"/>
      <c r="F1029" s="21" t="s">
        <v>10438</v>
      </c>
      <c r="G1029" s="21"/>
      <c r="H1029" s="54">
        <v>36</v>
      </c>
      <c r="I1029" s="51"/>
      <c r="J1029" s="27"/>
      <c r="K1029" s="27"/>
      <c r="L1029" s="15"/>
      <c r="M1029" s="15"/>
      <c r="N1029" s="4" t="s">
        <v>3994</v>
      </c>
      <c r="O1029" s="4"/>
    </row>
    <row r="1030" spans="1:15" x14ac:dyDescent="0.2">
      <c r="A1030" s="2">
        <v>40010303</v>
      </c>
      <c r="B1030" s="2" t="s">
        <v>3492</v>
      </c>
      <c r="C1030" s="5" t="s">
        <v>9186</v>
      </c>
      <c r="D1030" s="21">
        <v>5</v>
      </c>
      <c r="E1030" s="21"/>
      <c r="F1030" s="21" t="s">
        <v>10438</v>
      </c>
      <c r="G1030" s="21"/>
      <c r="H1030" s="54">
        <v>18</v>
      </c>
      <c r="I1030" s="51"/>
      <c r="J1030" s="27"/>
      <c r="K1030" s="27"/>
      <c r="L1030" s="15"/>
      <c r="M1030" s="15"/>
      <c r="N1030" s="4" t="s">
        <v>5264</v>
      </c>
      <c r="O1030" s="4"/>
    </row>
    <row r="1031" spans="1:15" x14ac:dyDescent="0.2">
      <c r="A1031" s="2">
        <v>40006627</v>
      </c>
      <c r="B1031" s="2" t="s">
        <v>1962</v>
      </c>
      <c r="C1031" s="5" t="s">
        <v>7671</v>
      </c>
      <c r="D1031" s="21">
        <v>2</v>
      </c>
      <c r="E1031" s="21"/>
      <c r="F1031" s="21" t="s">
        <v>10438</v>
      </c>
      <c r="G1031" s="21"/>
      <c r="H1031" s="54">
        <v>45</v>
      </c>
      <c r="I1031" s="51"/>
      <c r="J1031" s="27"/>
      <c r="K1031" s="27"/>
      <c r="L1031" s="15"/>
      <c r="M1031" s="15"/>
      <c r="N1031" s="4"/>
      <c r="O1031" s="4" t="s">
        <v>10326</v>
      </c>
    </row>
    <row r="1032" spans="1:15" x14ac:dyDescent="0.2">
      <c r="A1032" s="2">
        <v>40006630</v>
      </c>
      <c r="B1032" s="2" t="s">
        <v>1965</v>
      </c>
      <c r="C1032" s="5" t="s">
        <v>7674</v>
      </c>
      <c r="D1032" s="21">
        <v>2</v>
      </c>
      <c r="E1032" s="21"/>
      <c r="F1032" s="21" t="s">
        <v>10438</v>
      </c>
      <c r="G1032" s="21"/>
      <c r="H1032" s="54">
        <v>35</v>
      </c>
      <c r="I1032" s="51"/>
      <c r="J1032" s="27"/>
      <c r="K1032" s="27"/>
      <c r="L1032" s="15"/>
      <c r="M1032" s="15"/>
      <c r="N1032" s="4"/>
      <c r="O1032" s="4" t="s">
        <v>4676</v>
      </c>
    </row>
    <row r="1033" spans="1:15" x14ac:dyDescent="0.2">
      <c r="A1033" s="2">
        <v>40006258</v>
      </c>
      <c r="B1033" s="2" t="s">
        <v>1635</v>
      </c>
      <c r="C1033" s="5" t="s">
        <v>7339</v>
      </c>
      <c r="D1033" s="21">
        <v>1</v>
      </c>
      <c r="E1033" s="21"/>
      <c r="F1033" s="21" t="s">
        <v>10438</v>
      </c>
      <c r="G1033" s="21"/>
      <c r="H1033" s="54">
        <v>2</v>
      </c>
      <c r="I1033" s="51"/>
      <c r="J1033" s="27"/>
      <c r="K1033" s="27"/>
      <c r="L1033" s="15"/>
      <c r="M1033" s="15"/>
      <c r="N1033" s="4" t="s">
        <v>4492</v>
      </c>
      <c r="O1033" s="4"/>
    </row>
    <row r="1034" spans="1:15" x14ac:dyDescent="0.2">
      <c r="A1034" s="2">
        <v>40006639</v>
      </c>
      <c r="B1034" s="2" t="s">
        <v>1974</v>
      </c>
      <c r="C1034" s="5" t="s">
        <v>7683</v>
      </c>
      <c r="D1034" s="21">
        <v>1</v>
      </c>
      <c r="E1034" s="21"/>
      <c r="F1034" s="21" t="s">
        <v>10438</v>
      </c>
      <c r="G1034" s="21"/>
      <c r="H1034" s="54">
        <v>8</v>
      </c>
      <c r="I1034" s="51"/>
      <c r="J1034" s="27"/>
      <c r="K1034" s="27"/>
      <c r="L1034" s="15"/>
      <c r="M1034" s="15"/>
      <c r="N1034" s="4"/>
      <c r="O1034" s="4" t="s">
        <v>10324</v>
      </c>
    </row>
    <row r="1035" spans="1:15" x14ac:dyDescent="0.2">
      <c r="A1035" s="2">
        <v>40008142</v>
      </c>
      <c r="B1035" s="2" t="s">
        <v>3265</v>
      </c>
      <c r="C1035" s="5" t="s">
        <v>8961</v>
      </c>
      <c r="D1035" s="21">
        <v>5</v>
      </c>
      <c r="E1035" s="21"/>
      <c r="F1035" s="21" t="s">
        <v>10438</v>
      </c>
      <c r="G1035" s="21"/>
      <c r="H1035" s="54">
        <v>70</v>
      </c>
      <c r="I1035" s="51"/>
      <c r="J1035" s="27"/>
      <c r="K1035" s="27"/>
      <c r="L1035" s="15"/>
      <c r="M1035" s="15"/>
      <c r="N1035" s="4" t="s">
        <v>4195</v>
      </c>
      <c r="O1035" s="4"/>
    </row>
    <row r="1036" spans="1:15" x14ac:dyDescent="0.2">
      <c r="A1036" s="2">
        <v>40008201</v>
      </c>
      <c r="B1036" s="2" t="s">
        <v>3321</v>
      </c>
      <c r="C1036" s="5" t="s">
        <v>9013</v>
      </c>
      <c r="D1036" s="21">
        <v>1</v>
      </c>
      <c r="E1036" s="21"/>
      <c r="F1036" s="21" t="s">
        <v>10438</v>
      </c>
      <c r="G1036" s="21"/>
      <c r="H1036" s="54">
        <v>1</v>
      </c>
      <c r="I1036" s="51"/>
      <c r="J1036" s="27"/>
      <c r="K1036" s="27"/>
      <c r="L1036" s="15"/>
      <c r="M1036" s="15"/>
      <c r="N1036" s="4" t="s">
        <v>4050</v>
      </c>
      <c r="O1036" s="4"/>
    </row>
    <row r="1037" spans="1:15" x14ac:dyDescent="0.2">
      <c r="A1037" s="2">
        <v>40006633</v>
      </c>
      <c r="B1037" s="2" t="s">
        <v>1968</v>
      </c>
      <c r="C1037" s="5" t="s">
        <v>7677</v>
      </c>
      <c r="D1037" s="21">
        <v>4</v>
      </c>
      <c r="E1037" s="21"/>
      <c r="F1037" s="21" t="s">
        <v>10438</v>
      </c>
      <c r="G1037" s="21"/>
      <c r="H1037" s="54">
        <v>4</v>
      </c>
      <c r="I1037" s="51"/>
      <c r="J1037" s="27"/>
      <c r="K1037" s="27"/>
      <c r="L1037" s="15"/>
      <c r="M1037" s="15"/>
      <c r="N1037" s="4" t="s">
        <v>4199</v>
      </c>
      <c r="O1037" s="4"/>
    </row>
    <row r="1038" spans="1:15" x14ac:dyDescent="0.2">
      <c r="A1038" s="2">
        <v>40005301</v>
      </c>
      <c r="B1038" s="2" t="s">
        <v>798</v>
      </c>
      <c r="C1038" s="5" t="s">
        <v>6515</v>
      </c>
      <c r="D1038" s="21">
        <v>2</v>
      </c>
      <c r="E1038" s="21"/>
      <c r="F1038" s="21" t="s">
        <v>10438</v>
      </c>
      <c r="G1038" s="21"/>
      <c r="H1038" s="54">
        <v>6</v>
      </c>
      <c r="I1038" s="51"/>
      <c r="J1038" s="27"/>
      <c r="K1038" s="27"/>
      <c r="L1038" s="15"/>
      <c r="M1038" s="15"/>
      <c r="N1038" s="4" t="s">
        <v>4041</v>
      </c>
      <c r="O1038" s="4"/>
    </row>
    <row r="1039" spans="1:15" x14ac:dyDescent="0.2">
      <c r="A1039" s="2">
        <v>40006634</v>
      </c>
      <c r="B1039" s="2" t="s">
        <v>1969</v>
      </c>
      <c r="C1039" s="5" t="s">
        <v>7678</v>
      </c>
      <c r="D1039" s="21">
        <v>5</v>
      </c>
      <c r="E1039" s="21"/>
      <c r="F1039" s="21" t="s">
        <v>10438</v>
      </c>
      <c r="G1039" s="21"/>
      <c r="H1039" s="54">
        <v>4</v>
      </c>
      <c r="I1039" s="51"/>
      <c r="J1039" s="27"/>
      <c r="K1039" s="27"/>
      <c r="L1039" s="15"/>
      <c r="M1039" s="15"/>
      <c r="N1039" s="4" t="s">
        <v>4133</v>
      </c>
      <c r="O1039" s="4"/>
    </row>
    <row r="1040" spans="1:15" x14ac:dyDescent="0.2">
      <c r="A1040" s="2">
        <v>40006631</v>
      </c>
      <c r="B1040" s="2" t="s">
        <v>1966</v>
      </c>
      <c r="C1040" s="5" t="s">
        <v>7675</v>
      </c>
      <c r="D1040" s="21">
        <v>2</v>
      </c>
      <c r="E1040" s="21"/>
      <c r="F1040" s="21" t="s">
        <v>10438</v>
      </c>
      <c r="G1040" s="21"/>
      <c r="H1040" s="54">
        <v>124</v>
      </c>
      <c r="I1040" s="51"/>
      <c r="J1040" s="27"/>
      <c r="K1040" s="27"/>
      <c r="L1040" s="15"/>
      <c r="M1040" s="15"/>
      <c r="N1040" s="4" t="s">
        <v>4125</v>
      </c>
      <c r="O1040" s="4"/>
    </row>
    <row r="1041" spans="1:15" x14ac:dyDescent="0.2">
      <c r="A1041" s="2">
        <v>40006638</v>
      </c>
      <c r="B1041" s="2" t="s">
        <v>1973</v>
      </c>
      <c r="C1041" s="5" t="s">
        <v>7682</v>
      </c>
      <c r="D1041" s="21">
        <v>1</v>
      </c>
      <c r="E1041" s="21"/>
      <c r="F1041" s="21" t="s">
        <v>10438</v>
      </c>
      <c r="G1041" s="21"/>
      <c r="H1041" s="54">
        <v>11</v>
      </c>
      <c r="I1041" s="51"/>
      <c r="J1041" s="27"/>
      <c r="K1041" s="27"/>
      <c r="L1041" s="15"/>
      <c r="M1041" s="15"/>
      <c r="N1041" s="4" t="s">
        <v>4125</v>
      </c>
      <c r="O1041" s="4"/>
    </row>
    <row r="1042" spans="1:15" x14ac:dyDescent="0.2">
      <c r="A1042" s="2">
        <v>40006623</v>
      </c>
      <c r="B1042" s="2" t="s">
        <v>1959</v>
      </c>
      <c r="C1042" s="5" t="s">
        <v>7668</v>
      </c>
      <c r="D1042" s="21">
        <v>1</v>
      </c>
      <c r="E1042" s="21"/>
      <c r="F1042" s="21" t="s">
        <v>10438</v>
      </c>
      <c r="G1042" s="21"/>
      <c r="H1042" s="54">
        <v>11</v>
      </c>
      <c r="I1042" s="51"/>
      <c r="J1042" s="27"/>
      <c r="K1042" s="27"/>
      <c r="L1042" s="15"/>
      <c r="M1042" s="15"/>
      <c r="N1042" s="4" t="s">
        <v>4133</v>
      </c>
      <c r="O1042" s="4"/>
    </row>
    <row r="1043" spans="1:15" x14ac:dyDescent="0.2">
      <c r="A1043" s="2">
        <v>40006624</v>
      </c>
      <c r="B1043" s="2" t="s">
        <v>1960</v>
      </c>
      <c r="C1043" s="5" t="s">
        <v>7669</v>
      </c>
      <c r="D1043" s="21">
        <v>1</v>
      </c>
      <c r="E1043" s="21"/>
      <c r="F1043" s="21" t="s">
        <v>10438</v>
      </c>
      <c r="G1043" s="21"/>
      <c r="H1043" s="54">
        <v>3</v>
      </c>
      <c r="I1043" s="51"/>
      <c r="J1043" s="27"/>
      <c r="K1043" s="27"/>
      <c r="L1043" s="15"/>
      <c r="M1043" s="15"/>
      <c r="N1043" s="4" t="s">
        <v>4632</v>
      </c>
      <c r="O1043" s="4"/>
    </row>
    <row r="1044" spans="1:15" x14ac:dyDescent="0.2">
      <c r="A1044" s="2">
        <v>40005303</v>
      </c>
      <c r="B1044" s="2" t="s">
        <v>799</v>
      </c>
      <c r="C1044" s="5" t="s">
        <v>6516</v>
      </c>
      <c r="D1044" s="21">
        <v>3</v>
      </c>
      <c r="E1044" s="21"/>
      <c r="F1044" s="21" t="s">
        <v>10438</v>
      </c>
      <c r="G1044" s="21"/>
      <c r="H1044" s="54">
        <v>6</v>
      </c>
      <c r="I1044" s="51"/>
      <c r="J1044" s="27"/>
      <c r="K1044" s="27"/>
      <c r="L1044" s="15"/>
      <c r="M1044" s="15"/>
      <c r="N1044" s="4" t="s">
        <v>4003</v>
      </c>
      <c r="O1044" s="4"/>
    </row>
    <row r="1045" spans="1:15" x14ac:dyDescent="0.2">
      <c r="A1045" s="2">
        <v>40010280</v>
      </c>
      <c r="B1045" s="2" t="s">
        <v>3471</v>
      </c>
      <c r="C1045" s="5" t="s">
        <v>9165</v>
      </c>
      <c r="D1045" s="21">
        <v>2</v>
      </c>
      <c r="E1045" s="21"/>
      <c r="F1045" s="21" t="s">
        <v>10438</v>
      </c>
      <c r="G1045" s="21"/>
      <c r="H1045" s="54">
        <v>98</v>
      </c>
      <c r="I1045" s="51"/>
      <c r="J1045" s="27"/>
      <c r="K1045" s="27"/>
      <c r="L1045" s="15"/>
      <c r="M1045" s="15"/>
      <c r="N1045" s="4" t="s">
        <v>5247</v>
      </c>
      <c r="O1045" s="4"/>
    </row>
    <row r="1046" spans="1:15" x14ac:dyDescent="0.2">
      <c r="A1046" s="2">
        <v>40005313</v>
      </c>
      <c r="B1046" s="2" t="s">
        <v>805</v>
      </c>
      <c r="C1046" s="5" t="s">
        <v>6522</v>
      </c>
      <c r="D1046" s="21">
        <v>28</v>
      </c>
      <c r="E1046" s="21"/>
      <c r="F1046" s="21" t="s">
        <v>10438</v>
      </c>
      <c r="G1046" s="21"/>
      <c r="H1046" s="54">
        <v>3</v>
      </c>
      <c r="I1046" s="51"/>
      <c r="J1046" s="27"/>
      <c r="K1046" s="27"/>
      <c r="L1046" s="15"/>
      <c r="M1046" s="15"/>
      <c r="N1046" s="4" t="s">
        <v>4046</v>
      </c>
      <c r="O1046" s="4"/>
    </row>
    <row r="1047" spans="1:15" x14ac:dyDescent="0.2">
      <c r="A1047" s="2">
        <v>40006641</v>
      </c>
      <c r="B1047" s="2" t="s">
        <v>1975</v>
      </c>
      <c r="C1047" s="5" t="s">
        <v>7684</v>
      </c>
      <c r="D1047" s="21">
        <v>1</v>
      </c>
      <c r="E1047" s="21"/>
      <c r="F1047" s="21" t="s">
        <v>10438</v>
      </c>
      <c r="G1047" s="21"/>
      <c r="H1047" s="54">
        <v>4</v>
      </c>
      <c r="I1047" s="51"/>
      <c r="J1047" s="27"/>
      <c r="K1047" s="27"/>
      <c r="L1047" s="15"/>
      <c r="M1047" s="15"/>
      <c r="N1047" s="4" t="s">
        <v>4634</v>
      </c>
      <c r="O1047" s="4"/>
    </row>
    <row r="1048" spans="1:15" x14ac:dyDescent="0.2">
      <c r="A1048" s="2">
        <v>40008156</v>
      </c>
      <c r="B1048" s="2" t="s">
        <v>3279</v>
      </c>
      <c r="C1048" s="5" t="s">
        <v>8974</v>
      </c>
      <c r="D1048" s="21">
        <v>4</v>
      </c>
      <c r="E1048" s="21"/>
      <c r="F1048" s="21" t="s">
        <v>10438</v>
      </c>
      <c r="G1048" s="21"/>
      <c r="H1048" s="54">
        <v>5</v>
      </c>
      <c r="I1048" s="51"/>
      <c r="J1048" s="27"/>
      <c r="K1048" s="27"/>
      <c r="L1048" s="15"/>
      <c r="M1048" s="15"/>
      <c r="N1048" s="4" t="s">
        <v>4425</v>
      </c>
      <c r="O1048" s="4"/>
    </row>
    <row r="1049" spans="1:15" x14ac:dyDescent="0.2">
      <c r="A1049" s="2">
        <v>40008176</v>
      </c>
      <c r="B1049" s="2" t="s">
        <v>3299</v>
      </c>
      <c r="C1049" s="5" t="s">
        <v>8992</v>
      </c>
      <c r="D1049" s="21">
        <v>8</v>
      </c>
      <c r="E1049" s="21"/>
      <c r="F1049" s="21" t="s">
        <v>10438</v>
      </c>
      <c r="G1049" s="21"/>
      <c r="H1049" s="54">
        <v>1</v>
      </c>
      <c r="I1049" s="51"/>
      <c r="J1049" s="27"/>
      <c r="K1049" s="27"/>
      <c r="L1049" s="15"/>
      <c r="M1049" s="15"/>
      <c r="N1049" s="4" t="s">
        <v>4899</v>
      </c>
      <c r="O1049" s="4"/>
    </row>
    <row r="1050" spans="1:15" x14ac:dyDescent="0.2">
      <c r="A1050" s="2">
        <v>40006622</v>
      </c>
      <c r="B1050" s="2" t="s">
        <v>1958</v>
      </c>
      <c r="C1050" s="5" t="s">
        <v>7667</v>
      </c>
      <c r="D1050" s="21">
        <v>1</v>
      </c>
      <c r="E1050" s="21"/>
      <c r="F1050" s="21" t="s">
        <v>10438</v>
      </c>
      <c r="G1050" s="21"/>
      <c r="H1050" s="54">
        <v>11</v>
      </c>
      <c r="I1050" s="51"/>
      <c r="J1050" s="27"/>
      <c r="K1050" s="27"/>
      <c r="L1050" s="15"/>
      <c r="M1050" s="15"/>
      <c r="N1050" s="4" t="s">
        <v>4125</v>
      </c>
      <c r="O1050" s="4"/>
    </row>
    <row r="1051" spans="1:15" x14ac:dyDescent="0.2">
      <c r="A1051" s="2">
        <v>40010379</v>
      </c>
      <c r="B1051" s="2" t="s">
        <v>3522</v>
      </c>
      <c r="C1051" s="5" t="s">
        <v>9224</v>
      </c>
      <c r="D1051" s="21">
        <v>2</v>
      </c>
      <c r="E1051" s="21"/>
      <c r="F1051" s="21" t="s">
        <v>10438</v>
      </c>
      <c r="G1051" s="21"/>
      <c r="H1051" s="54">
        <v>10</v>
      </c>
      <c r="I1051" s="51"/>
      <c r="J1051" s="27"/>
      <c r="K1051" s="27"/>
      <c r="L1051" s="15"/>
      <c r="M1051" s="15"/>
      <c r="N1051" s="4" t="s">
        <v>4003</v>
      </c>
      <c r="O1051" s="4"/>
    </row>
    <row r="1052" spans="1:15" x14ac:dyDescent="0.2">
      <c r="A1052" s="2">
        <v>40008042</v>
      </c>
      <c r="B1052" s="2" t="s">
        <v>3179</v>
      </c>
      <c r="C1052" s="5" t="s">
        <v>8873</v>
      </c>
      <c r="D1052" s="21">
        <v>4</v>
      </c>
      <c r="E1052" s="21"/>
      <c r="F1052" s="21" t="s">
        <v>10438</v>
      </c>
      <c r="G1052" s="21"/>
      <c r="H1052" s="54">
        <v>3</v>
      </c>
      <c r="I1052" s="51"/>
      <c r="J1052" s="27"/>
      <c r="K1052" s="27"/>
      <c r="L1052" s="15"/>
      <c r="M1052" s="15">
        <v>8</v>
      </c>
      <c r="N1052" s="4" t="s">
        <v>4505</v>
      </c>
      <c r="O1052" s="4"/>
    </row>
    <row r="1053" spans="1:15" x14ac:dyDescent="0.2">
      <c r="A1053" s="2">
        <v>40006134</v>
      </c>
      <c r="B1053" s="2" t="s">
        <v>1525</v>
      </c>
      <c r="C1053" s="5" t="s">
        <v>7229</v>
      </c>
      <c r="D1053" s="21"/>
      <c r="E1053" s="21"/>
      <c r="F1053" s="21" t="s">
        <v>10438</v>
      </c>
      <c r="G1053" s="21"/>
      <c r="H1053" s="54">
        <v>1</v>
      </c>
      <c r="I1053" s="51"/>
      <c r="J1053" s="27"/>
      <c r="K1053" s="27"/>
      <c r="L1053" s="15"/>
      <c r="M1053" s="15"/>
      <c r="N1053" s="4" t="s">
        <v>4434</v>
      </c>
      <c r="O1053" s="4"/>
    </row>
    <row r="1054" spans="1:15" x14ac:dyDescent="0.2">
      <c r="A1054" s="2">
        <v>40006688</v>
      </c>
      <c r="B1054" s="2" t="s">
        <v>2006</v>
      </c>
      <c r="C1054" s="5" t="s">
        <v>7715</v>
      </c>
      <c r="D1054" s="21">
        <v>5</v>
      </c>
      <c r="E1054" s="21"/>
      <c r="F1054" s="21" t="s">
        <v>10438</v>
      </c>
      <c r="G1054" s="21"/>
      <c r="H1054" s="54">
        <v>4</v>
      </c>
      <c r="I1054" s="51"/>
      <c r="J1054" s="27"/>
      <c r="K1054" s="27"/>
      <c r="L1054" s="15"/>
      <c r="M1054" s="15"/>
      <c r="N1054" s="4" t="s">
        <v>4646</v>
      </c>
      <c r="O1054" s="4"/>
    </row>
    <row r="1055" spans="1:15" x14ac:dyDescent="0.2">
      <c r="A1055" s="2">
        <v>40007261</v>
      </c>
      <c r="B1055" s="2" t="s">
        <v>2512</v>
      </c>
      <c r="C1055" s="5" t="s">
        <v>8207</v>
      </c>
      <c r="D1055" s="21">
        <v>26</v>
      </c>
      <c r="E1055" s="21"/>
      <c r="F1055" s="21" t="s">
        <v>10438</v>
      </c>
      <c r="G1055" s="21"/>
      <c r="H1055" s="54">
        <v>4</v>
      </c>
      <c r="I1055" s="51"/>
      <c r="J1055" s="27"/>
      <c r="K1055" s="27"/>
      <c r="L1055" s="15"/>
      <c r="M1055" s="15"/>
      <c r="N1055" s="4" t="s">
        <v>4896</v>
      </c>
      <c r="O1055" s="4"/>
    </row>
    <row r="1056" spans="1:15" x14ac:dyDescent="0.2">
      <c r="A1056" s="2">
        <v>40007329</v>
      </c>
      <c r="B1056" s="2" t="s">
        <v>2569</v>
      </c>
      <c r="C1056" s="5" t="s">
        <v>8263</v>
      </c>
      <c r="D1056" s="21">
        <v>4</v>
      </c>
      <c r="E1056" s="21"/>
      <c r="F1056" s="21" t="s">
        <v>10438</v>
      </c>
      <c r="G1056" s="21"/>
      <c r="H1056" s="54">
        <v>4</v>
      </c>
      <c r="I1056" s="51"/>
      <c r="J1056" s="27"/>
      <c r="K1056" s="27"/>
      <c r="L1056" s="15"/>
      <c r="M1056" s="15"/>
      <c r="N1056" s="4" t="s">
        <v>4919</v>
      </c>
      <c r="O1056" s="4"/>
    </row>
    <row r="1057" spans="1:15" x14ac:dyDescent="0.2">
      <c r="A1057" s="2">
        <v>10018958</v>
      </c>
      <c r="B1057" s="2" t="s">
        <v>384</v>
      </c>
      <c r="C1057" s="5" t="s">
        <v>5981</v>
      </c>
      <c r="D1057" s="21">
        <v>1</v>
      </c>
      <c r="E1057" s="21"/>
      <c r="F1057" s="21" t="s">
        <v>10438</v>
      </c>
      <c r="G1057" s="21"/>
      <c r="H1057" s="54">
        <v>6</v>
      </c>
      <c r="I1057" s="51"/>
      <c r="J1057" s="27"/>
      <c r="K1057" s="27"/>
      <c r="L1057" s="15"/>
      <c r="M1057" s="15"/>
      <c r="N1057" s="4" t="s">
        <v>3953</v>
      </c>
      <c r="O1057" s="4"/>
    </row>
    <row r="1058" spans="1:15" x14ac:dyDescent="0.2">
      <c r="A1058" s="2">
        <v>40007370</v>
      </c>
      <c r="B1058" s="2" t="s">
        <v>2599</v>
      </c>
      <c r="C1058" s="5" t="s">
        <v>8300</v>
      </c>
      <c r="D1058" s="21">
        <v>4</v>
      </c>
      <c r="E1058" s="21"/>
      <c r="F1058" s="21" t="s">
        <v>10438</v>
      </c>
      <c r="G1058" s="21"/>
      <c r="H1058" s="54">
        <v>4</v>
      </c>
      <c r="I1058" s="51"/>
      <c r="J1058" s="27"/>
      <c r="K1058" s="27"/>
      <c r="L1058" s="15"/>
      <c r="M1058" s="15"/>
      <c r="N1058" s="4" t="s">
        <v>4611</v>
      </c>
      <c r="O1058" s="4"/>
    </row>
    <row r="1059" spans="1:15" x14ac:dyDescent="0.2">
      <c r="A1059" s="2">
        <v>40006094</v>
      </c>
      <c r="B1059" s="2" t="s">
        <v>1485</v>
      </c>
      <c r="C1059" s="5" t="s">
        <v>7191</v>
      </c>
      <c r="D1059" s="21">
        <v>57</v>
      </c>
      <c r="E1059" s="21"/>
      <c r="F1059" s="21" t="s">
        <v>10438</v>
      </c>
      <c r="G1059" s="21"/>
      <c r="H1059" s="54">
        <v>4</v>
      </c>
      <c r="I1059" s="51"/>
      <c r="J1059" s="27"/>
      <c r="K1059" s="27"/>
      <c r="L1059" s="15"/>
      <c r="M1059" s="15"/>
      <c r="N1059" s="4" t="s">
        <v>4411</v>
      </c>
      <c r="O1059" s="4"/>
    </row>
    <row r="1060" spans="1:15" x14ac:dyDescent="0.2">
      <c r="A1060" s="2">
        <v>40005605</v>
      </c>
      <c r="B1060" s="2" t="s">
        <v>1049</v>
      </c>
      <c r="C1060" s="5" t="s">
        <v>6777</v>
      </c>
      <c r="D1060" s="21">
        <v>10</v>
      </c>
      <c r="E1060" s="21"/>
      <c r="F1060" s="21" t="s">
        <v>10438</v>
      </c>
      <c r="G1060" s="21"/>
      <c r="H1060" s="54">
        <v>4</v>
      </c>
      <c r="I1060" s="51"/>
      <c r="J1060" s="27"/>
      <c r="K1060" s="27"/>
      <c r="L1060" s="15"/>
      <c r="M1060" s="15"/>
      <c r="N1060" s="4" t="s">
        <v>4170</v>
      </c>
      <c r="O1060" s="4"/>
    </row>
    <row r="1061" spans="1:15" x14ac:dyDescent="0.2">
      <c r="A1061" s="2">
        <v>40006042</v>
      </c>
      <c r="B1061" s="2" t="s">
        <v>1442</v>
      </c>
      <c r="C1061" s="5" t="s">
        <v>7145</v>
      </c>
      <c r="D1061" s="21">
        <v>5</v>
      </c>
      <c r="E1061" s="21"/>
      <c r="F1061" s="21" t="s">
        <v>10438</v>
      </c>
      <c r="G1061" s="21"/>
      <c r="H1061" s="54">
        <v>164</v>
      </c>
      <c r="I1061" s="51"/>
      <c r="J1061" s="27"/>
      <c r="K1061" s="27"/>
      <c r="L1061" s="15"/>
      <c r="M1061" s="15"/>
      <c r="N1061" s="4" t="s">
        <v>4382</v>
      </c>
      <c r="O1061" s="4"/>
    </row>
    <row r="1062" spans="1:15" x14ac:dyDescent="0.2">
      <c r="A1062" s="2">
        <v>40006048</v>
      </c>
      <c r="B1062" s="2" t="s">
        <v>1447</v>
      </c>
      <c r="C1062" s="5" t="s">
        <v>7150</v>
      </c>
      <c r="D1062" s="21">
        <v>1</v>
      </c>
      <c r="E1062" s="21"/>
      <c r="F1062" s="21" t="s">
        <v>10438</v>
      </c>
      <c r="G1062" s="21"/>
      <c r="H1062" s="54">
        <v>17</v>
      </c>
      <c r="I1062" s="51"/>
      <c r="J1062" s="27"/>
      <c r="K1062" s="27"/>
      <c r="L1062" s="15"/>
      <c r="M1062" s="15"/>
      <c r="N1062" s="4" t="s">
        <v>4367</v>
      </c>
      <c r="O1062" s="4"/>
    </row>
    <row r="1063" spans="1:15" x14ac:dyDescent="0.2">
      <c r="A1063" s="2">
        <v>40005649</v>
      </c>
      <c r="B1063" s="2" t="s">
        <v>1088</v>
      </c>
      <c r="C1063" s="5" t="s">
        <v>6807</v>
      </c>
      <c r="D1063" s="21">
        <v>10</v>
      </c>
      <c r="E1063" s="21"/>
      <c r="F1063" s="21" t="s">
        <v>10438</v>
      </c>
      <c r="G1063" s="21"/>
      <c r="H1063" s="54">
        <v>35</v>
      </c>
      <c r="I1063" s="51"/>
      <c r="J1063" s="27"/>
      <c r="K1063" s="27"/>
      <c r="L1063" s="15"/>
      <c r="M1063" s="15"/>
      <c r="N1063" s="4" t="s">
        <v>4190</v>
      </c>
      <c r="O1063" s="4"/>
    </row>
    <row r="1064" spans="1:15" x14ac:dyDescent="0.2">
      <c r="A1064" s="2">
        <v>40007281</v>
      </c>
      <c r="B1064" s="2" t="s">
        <v>3688</v>
      </c>
      <c r="C1064" s="5" t="s">
        <v>8226</v>
      </c>
      <c r="D1064" s="21">
        <v>15</v>
      </c>
      <c r="E1064" s="21"/>
      <c r="F1064" s="21" t="s">
        <v>10438</v>
      </c>
      <c r="G1064" s="21"/>
      <c r="H1064" s="54">
        <v>4</v>
      </c>
      <c r="I1064" s="51"/>
      <c r="J1064" s="27"/>
      <c r="K1064" s="27"/>
      <c r="L1064" s="15"/>
      <c r="M1064" s="15"/>
      <c r="N1064" s="4" t="s">
        <v>4903</v>
      </c>
      <c r="O1064" s="4"/>
    </row>
    <row r="1065" spans="1:15" x14ac:dyDescent="0.2">
      <c r="A1065" s="2">
        <v>40007242</v>
      </c>
      <c r="B1065" s="2" t="s">
        <v>2497</v>
      </c>
      <c r="C1065" s="5" t="s">
        <v>8195</v>
      </c>
      <c r="D1065" s="21">
        <v>2</v>
      </c>
      <c r="E1065" s="21"/>
      <c r="F1065" s="21" t="s">
        <v>10438</v>
      </c>
      <c r="G1065" s="21"/>
      <c r="H1065" s="54">
        <v>22</v>
      </c>
      <c r="I1065" s="51"/>
      <c r="J1065" s="27"/>
      <c r="K1065" s="27"/>
      <c r="L1065" s="15"/>
      <c r="M1065" s="15"/>
      <c r="N1065" s="4" t="s">
        <v>4889</v>
      </c>
      <c r="O1065" s="4"/>
    </row>
    <row r="1066" spans="1:15" x14ac:dyDescent="0.2">
      <c r="A1066" s="2">
        <v>40008065</v>
      </c>
      <c r="B1066" s="2" t="s">
        <v>3197</v>
      </c>
      <c r="C1066" s="5" t="s">
        <v>8892</v>
      </c>
      <c r="D1066" s="21">
        <v>7</v>
      </c>
      <c r="E1066" s="21"/>
      <c r="F1066" s="21" t="s">
        <v>10438</v>
      </c>
      <c r="G1066" s="21"/>
      <c r="H1066" s="54">
        <v>34</v>
      </c>
      <c r="I1066" s="51"/>
      <c r="J1066" s="27"/>
      <c r="K1066" s="27"/>
      <c r="L1066" s="15"/>
      <c r="M1066" s="15"/>
      <c r="N1066" s="4" t="s">
        <v>5183</v>
      </c>
      <c r="O1066" s="4"/>
    </row>
    <row r="1067" spans="1:15" x14ac:dyDescent="0.2">
      <c r="A1067" s="2">
        <v>40005990</v>
      </c>
      <c r="B1067" s="2" t="s">
        <v>1395</v>
      </c>
      <c r="C1067" s="5" t="s">
        <v>7101</v>
      </c>
      <c r="D1067" s="21">
        <v>11</v>
      </c>
      <c r="E1067" s="21"/>
      <c r="F1067" s="21" t="s">
        <v>10438</v>
      </c>
      <c r="G1067" s="21"/>
      <c r="H1067" s="54">
        <v>337</v>
      </c>
      <c r="I1067" s="51"/>
      <c r="J1067" s="27"/>
      <c r="K1067" s="27"/>
      <c r="L1067" s="15"/>
      <c r="M1067" s="15"/>
      <c r="N1067" s="4"/>
      <c r="O1067" s="4">
        <v>39</v>
      </c>
    </row>
    <row r="1068" spans="1:15" x14ac:dyDescent="0.2">
      <c r="A1068" s="2">
        <v>40006487</v>
      </c>
      <c r="B1068" s="2" t="s">
        <v>1839</v>
      </c>
      <c r="C1068" s="5" t="s">
        <v>7547</v>
      </c>
      <c r="D1068" s="21">
        <v>2</v>
      </c>
      <c r="E1068" s="21"/>
      <c r="F1068" s="21" t="s">
        <v>10438</v>
      </c>
      <c r="G1068" s="21"/>
      <c r="H1068" s="54">
        <v>56</v>
      </c>
      <c r="I1068" s="51"/>
      <c r="J1068" s="27"/>
      <c r="K1068" s="27"/>
      <c r="L1068" s="15"/>
      <c r="M1068" s="15"/>
      <c r="N1068" s="4" t="s">
        <v>4259</v>
      </c>
      <c r="O1068" s="4"/>
    </row>
    <row r="1069" spans="1:15" x14ac:dyDescent="0.2">
      <c r="A1069" s="2">
        <v>40010265</v>
      </c>
      <c r="B1069" s="2" t="s">
        <v>3458</v>
      </c>
      <c r="C1069" s="5" t="s">
        <v>9152</v>
      </c>
      <c r="D1069" s="21">
        <v>3</v>
      </c>
      <c r="E1069" s="21"/>
      <c r="F1069" s="21" t="s">
        <v>10438</v>
      </c>
      <c r="G1069" s="21"/>
      <c r="H1069" s="54">
        <v>9</v>
      </c>
      <c r="I1069" s="51"/>
      <c r="J1069" s="27"/>
      <c r="K1069" s="27"/>
      <c r="L1069" s="15"/>
      <c r="M1069" s="15"/>
      <c r="N1069" s="4" t="s">
        <v>3946</v>
      </c>
      <c r="O1069" s="4"/>
    </row>
    <row r="1070" spans="1:15" x14ac:dyDescent="0.2">
      <c r="A1070" s="2">
        <v>40006994</v>
      </c>
      <c r="B1070" s="2" t="s">
        <v>2280</v>
      </c>
      <c r="C1070" s="5" t="s">
        <v>7988</v>
      </c>
      <c r="D1070" s="21">
        <v>5</v>
      </c>
      <c r="E1070" s="21"/>
      <c r="F1070" s="21" t="s">
        <v>10438</v>
      </c>
      <c r="G1070" s="21"/>
      <c r="H1070" s="54">
        <v>10</v>
      </c>
      <c r="I1070" s="51"/>
      <c r="J1070" s="27"/>
      <c r="K1070" s="27"/>
      <c r="L1070" s="15"/>
      <c r="M1070" s="15"/>
      <c r="N1070" s="4" t="s">
        <v>4022</v>
      </c>
      <c r="O1070" s="4"/>
    </row>
    <row r="1071" spans="1:15" x14ac:dyDescent="0.2">
      <c r="A1071" s="2">
        <v>40006418</v>
      </c>
      <c r="B1071" s="2" t="s">
        <v>1777</v>
      </c>
      <c r="C1071" s="5" t="s">
        <v>7487</v>
      </c>
      <c r="D1071" s="21">
        <v>2</v>
      </c>
      <c r="E1071" s="21"/>
      <c r="F1071" s="21" t="s">
        <v>10438</v>
      </c>
      <c r="G1071" s="21"/>
      <c r="H1071" s="54">
        <v>94</v>
      </c>
      <c r="I1071" s="51"/>
      <c r="J1071" s="27"/>
      <c r="K1071" s="27"/>
      <c r="L1071" s="15"/>
      <c r="M1071" s="15"/>
      <c r="N1071" s="4" t="s">
        <v>4583</v>
      </c>
      <c r="O1071" s="4"/>
    </row>
    <row r="1072" spans="1:15" x14ac:dyDescent="0.2">
      <c r="A1072" s="2">
        <v>40005522</v>
      </c>
      <c r="B1072" s="2" t="s">
        <v>986</v>
      </c>
      <c r="C1072" s="5" t="s">
        <v>6708</v>
      </c>
      <c r="D1072" s="21">
        <v>1</v>
      </c>
      <c r="E1072" s="21"/>
      <c r="F1072" s="21" t="s">
        <v>10438</v>
      </c>
      <c r="G1072" s="21"/>
      <c r="H1072" s="54">
        <v>11</v>
      </c>
      <c r="I1072" s="51"/>
      <c r="J1072" s="27"/>
      <c r="K1072" s="27"/>
      <c r="L1072" s="15"/>
      <c r="M1072" s="15"/>
      <c r="N1072" s="4"/>
      <c r="O1072" s="4" t="s">
        <v>10325</v>
      </c>
    </row>
    <row r="1073" spans="1:15" x14ac:dyDescent="0.2">
      <c r="A1073" s="2">
        <v>40007665</v>
      </c>
      <c r="B1073" s="2" t="s">
        <v>2843</v>
      </c>
      <c r="C1073" s="5">
        <v>225243011</v>
      </c>
      <c r="D1073" s="21">
        <v>6</v>
      </c>
      <c r="E1073" s="21"/>
      <c r="F1073" s="21" t="s">
        <v>10438</v>
      </c>
      <c r="G1073" s="21"/>
      <c r="H1073" s="54">
        <v>16</v>
      </c>
      <c r="I1073" s="51"/>
      <c r="J1073" s="27"/>
      <c r="K1073" s="27"/>
      <c r="L1073" s="15"/>
      <c r="M1073" s="15"/>
      <c r="N1073" s="4" t="s">
        <v>5028</v>
      </c>
      <c r="O1073" s="4"/>
    </row>
    <row r="1074" spans="1:15" x14ac:dyDescent="0.2">
      <c r="A1074" s="2">
        <v>40007903</v>
      </c>
      <c r="B1074" s="2" t="s">
        <v>3058</v>
      </c>
      <c r="C1074" s="5" t="s">
        <v>8749</v>
      </c>
      <c r="D1074" s="21">
        <v>3</v>
      </c>
      <c r="E1074" s="21"/>
      <c r="F1074" s="21" t="s">
        <v>10438</v>
      </c>
      <c r="G1074" s="21"/>
      <c r="H1074" s="54">
        <v>92</v>
      </c>
      <c r="I1074" s="51"/>
      <c r="J1074" s="27"/>
      <c r="K1074" s="27"/>
      <c r="L1074" s="15"/>
      <c r="M1074" s="15"/>
      <c r="N1074" s="4"/>
      <c r="O1074" s="4" t="s">
        <v>10231</v>
      </c>
    </row>
    <row r="1075" spans="1:15" x14ac:dyDescent="0.2">
      <c r="A1075" s="2">
        <v>40005828</v>
      </c>
      <c r="B1075" s="2" t="s">
        <v>1248</v>
      </c>
      <c r="C1075" s="5" t="s">
        <v>6960</v>
      </c>
      <c r="D1075" s="21">
        <v>2</v>
      </c>
      <c r="E1075" s="21"/>
      <c r="F1075" s="21" t="s">
        <v>10438</v>
      </c>
      <c r="G1075" s="21"/>
      <c r="H1075" s="54">
        <v>9</v>
      </c>
      <c r="I1075" s="51"/>
      <c r="J1075" s="27"/>
      <c r="K1075" s="27"/>
      <c r="L1075" s="15"/>
      <c r="M1075" s="15"/>
      <c r="N1075" s="4" t="s">
        <v>4222</v>
      </c>
      <c r="O1075" s="4"/>
    </row>
    <row r="1076" spans="1:15" x14ac:dyDescent="0.2">
      <c r="A1076" s="2">
        <v>40006247</v>
      </c>
      <c r="B1076" s="2" t="s">
        <v>1624</v>
      </c>
      <c r="C1076" s="5" t="s">
        <v>7328</v>
      </c>
      <c r="D1076" s="21">
        <v>1</v>
      </c>
      <c r="E1076" s="21"/>
      <c r="F1076" s="21" t="s">
        <v>10438</v>
      </c>
      <c r="G1076" s="21"/>
      <c r="H1076" s="54">
        <v>7</v>
      </c>
      <c r="I1076" s="51"/>
      <c r="J1076" s="27"/>
      <c r="K1076" s="27"/>
      <c r="L1076" s="15"/>
      <c r="M1076" s="15"/>
      <c r="N1076" s="4" t="s">
        <v>4485</v>
      </c>
      <c r="O1076" s="4"/>
    </row>
    <row r="1077" spans="1:15" x14ac:dyDescent="0.2">
      <c r="A1077" s="2">
        <v>40006428</v>
      </c>
      <c r="B1077" s="2" t="s">
        <v>1786</v>
      </c>
      <c r="C1077" s="5">
        <v>671001113</v>
      </c>
      <c r="D1077" s="21"/>
      <c r="E1077" s="21"/>
      <c r="F1077" s="21" t="s">
        <v>10438</v>
      </c>
      <c r="G1077" s="21"/>
      <c r="H1077" s="54">
        <v>642</v>
      </c>
      <c r="I1077" s="51"/>
      <c r="J1077" s="27"/>
      <c r="K1077" s="27"/>
      <c r="L1077" s="15"/>
      <c r="M1077" s="15"/>
      <c r="N1077" s="4"/>
      <c r="O1077" s="4">
        <v>75</v>
      </c>
    </row>
    <row r="1078" spans="1:15" x14ac:dyDescent="0.2">
      <c r="A1078" s="2">
        <v>40006447</v>
      </c>
      <c r="B1078" s="2" t="s">
        <v>1804</v>
      </c>
      <c r="C1078" s="5" t="s">
        <v>7511</v>
      </c>
      <c r="D1078" s="21">
        <v>16</v>
      </c>
      <c r="E1078" s="21"/>
      <c r="F1078" s="21" t="s">
        <v>10438</v>
      </c>
      <c r="G1078" s="21"/>
      <c r="H1078" s="54">
        <v>192</v>
      </c>
      <c r="I1078" s="51"/>
      <c r="J1078" s="27"/>
      <c r="K1078" s="27"/>
      <c r="L1078" s="15"/>
      <c r="M1078" s="15"/>
      <c r="N1078" s="4"/>
      <c r="O1078" s="4" t="s">
        <v>4772</v>
      </c>
    </row>
    <row r="1079" spans="1:15" x14ac:dyDescent="0.2">
      <c r="A1079" s="2">
        <v>40006036</v>
      </c>
      <c r="B1079" s="2" t="s">
        <v>1437</v>
      </c>
      <c r="C1079" s="5" t="s">
        <v>7139</v>
      </c>
      <c r="D1079" s="21">
        <v>4</v>
      </c>
      <c r="E1079" s="21"/>
      <c r="F1079" s="21" t="s">
        <v>10438</v>
      </c>
      <c r="G1079" s="21"/>
      <c r="H1079" s="54">
        <v>823</v>
      </c>
      <c r="I1079" s="51"/>
      <c r="J1079" s="27"/>
      <c r="K1079" s="27"/>
      <c r="L1079" s="15"/>
      <c r="M1079" s="15"/>
      <c r="N1079" s="4" t="s">
        <v>4379</v>
      </c>
      <c r="O1079" s="4"/>
    </row>
    <row r="1080" spans="1:15" x14ac:dyDescent="0.2">
      <c r="A1080" s="2">
        <v>40005592</v>
      </c>
      <c r="B1080" s="2" t="s">
        <v>1039</v>
      </c>
      <c r="C1080" s="5" t="s">
        <v>6766</v>
      </c>
      <c r="D1080" s="21">
        <v>7</v>
      </c>
      <c r="E1080" s="21"/>
      <c r="F1080" s="21" t="s">
        <v>10438</v>
      </c>
      <c r="G1080" s="21"/>
      <c r="H1080" s="54">
        <v>515</v>
      </c>
      <c r="I1080" s="51"/>
      <c r="J1080" s="27"/>
      <c r="K1080" s="27"/>
      <c r="L1080" s="15"/>
      <c r="M1080" s="15"/>
      <c r="N1080" s="4"/>
      <c r="O1080" s="4" t="s">
        <v>10467</v>
      </c>
    </row>
    <row r="1081" spans="1:15" x14ac:dyDescent="0.2">
      <c r="A1081" s="2">
        <v>40010273</v>
      </c>
      <c r="B1081" s="2" t="s">
        <v>3464</v>
      </c>
      <c r="C1081" s="5" t="s">
        <v>9158</v>
      </c>
      <c r="D1081" s="21">
        <v>2</v>
      </c>
      <c r="E1081" s="21"/>
      <c r="F1081" s="21" t="s">
        <v>10438</v>
      </c>
      <c r="G1081" s="21"/>
      <c r="H1081" s="54">
        <v>600</v>
      </c>
      <c r="I1081" s="51"/>
      <c r="J1081" s="27"/>
      <c r="K1081" s="27"/>
      <c r="L1081" s="15"/>
      <c r="M1081" s="15"/>
      <c r="N1081" s="4" t="s">
        <v>5258</v>
      </c>
      <c r="O1081" s="4"/>
    </row>
    <row r="1082" spans="1:15" x14ac:dyDescent="0.2">
      <c r="A1082" s="2">
        <v>40006193</v>
      </c>
      <c r="B1082" s="2" t="s">
        <v>1576</v>
      </c>
      <c r="C1082" s="5" t="s">
        <v>7283</v>
      </c>
      <c r="D1082" s="21">
        <v>3</v>
      </c>
      <c r="E1082" s="21"/>
      <c r="F1082" s="21" t="s">
        <v>10438</v>
      </c>
      <c r="G1082" s="21"/>
      <c r="H1082" s="54">
        <v>412</v>
      </c>
      <c r="I1082" s="51"/>
      <c r="J1082" s="27"/>
      <c r="K1082" s="27"/>
      <c r="L1082" s="15"/>
      <c r="M1082" s="15"/>
      <c r="N1082" s="4" t="s">
        <v>4463</v>
      </c>
      <c r="O1082" s="4" t="s">
        <v>10127</v>
      </c>
    </row>
    <row r="1083" spans="1:15" x14ac:dyDescent="0.2">
      <c r="A1083" s="2">
        <v>40005892</v>
      </c>
      <c r="B1083" s="2" t="s">
        <v>1308</v>
      </c>
      <c r="C1083" s="5" t="s">
        <v>7018</v>
      </c>
      <c r="D1083" s="21">
        <v>2</v>
      </c>
      <c r="E1083" s="21"/>
      <c r="F1083" s="21" t="s">
        <v>10438</v>
      </c>
      <c r="G1083" s="21"/>
      <c r="H1083" s="54">
        <v>843</v>
      </c>
      <c r="I1083" s="51"/>
      <c r="J1083" s="27"/>
      <c r="K1083" s="27"/>
      <c r="L1083" s="15"/>
      <c r="M1083" s="15"/>
      <c r="N1083" s="4" t="s">
        <v>4309</v>
      </c>
      <c r="O1083" s="4"/>
    </row>
    <row r="1084" spans="1:15" x14ac:dyDescent="0.2">
      <c r="A1084" s="2">
        <v>40010986</v>
      </c>
      <c r="B1084" s="2" t="s">
        <v>3593</v>
      </c>
      <c r="C1084" s="5" t="s">
        <v>9316</v>
      </c>
      <c r="D1084" s="21">
        <v>3</v>
      </c>
      <c r="E1084" s="21"/>
      <c r="F1084" s="21" t="s">
        <v>10438</v>
      </c>
      <c r="G1084" s="21"/>
      <c r="H1084" s="54">
        <v>648</v>
      </c>
      <c r="I1084" s="51"/>
      <c r="J1084" s="27"/>
      <c r="K1084" s="27"/>
      <c r="L1084" s="15"/>
      <c r="M1084" s="15"/>
      <c r="N1084" s="4"/>
      <c r="O1084" s="4">
        <v>19</v>
      </c>
    </row>
    <row r="1085" spans="1:15" x14ac:dyDescent="0.2">
      <c r="A1085" s="2">
        <v>40005550</v>
      </c>
      <c r="B1085" s="2" t="s">
        <v>1009</v>
      </c>
      <c r="C1085" s="5" t="s">
        <v>6733</v>
      </c>
      <c r="D1085" s="21">
        <v>4</v>
      </c>
      <c r="E1085" s="21"/>
      <c r="F1085" s="21" t="s">
        <v>10438</v>
      </c>
      <c r="G1085" s="21"/>
      <c r="H1085" s="54">
        <v>1421</v>
      </c>
      <c r="I1085" s="51"/>
      <c r="J1085" s="27"/>
      <c r="K1085" s="27"/>
      <c r="L1085" s="15"/>
      <c r="M1085" s="15"/>
      <c r="N1085" s="4" t="s">
        <v>4135</v>
      </c>
      <c r="O1085" s="4">
        <v>88</v>
      </c>
    </row>
    <row r="1086" spans="1:15" x14ac:dyDescent="0.2">
      <c r="A1086" s="2">
        <v>40005554</v>
      </c>
      <c r="B1086" s="2" t="s">
        <v>1013</v>
      </c>
      <c r="C1086" s="5" t="s">
        <v>6737</v>
      </c>
      <c r="D1086" s="21">
        <v>1</v>
      </c>
      <c r="E1086" s="21"/>
      <c r="F1086" s="21" t="s">
        <v>10438</v>
      </c>
      <c r="G1086" s="21"/>
      <c r="H1086" s="54">
        <v>1925</v>
      </c>
      <c r="I1086" s="51"/>
      <c r="J1086" s="27"/>
      <c r="K1086" s="27"/>
      <c r="L1086" s="15"/>
      <c r="M1086" s="15"/>
      <c r="N1086" s="4"/>
      <c r="O1086" s="4">
        <v>90</v>
      </c>
    </row>
    <row r="1087" spans="1:15" x14ac:dyDescent="0.2">
      <c r="A1087" s="2">
        <v>40011204</v>
      </c>
      <c r="B1087" s="2" t="s">
        <v>3738</v>
      </c>
      <c r="C1087" s="5" t="s">
        <v>9349</v>
      </c>
      <c r="D1087" s="21">
        <v>8</v>
      </c>
      <c r="E1087" s="21"/>
      <c r="F1087" s="21" t="s">
        <v>10438</v>
      </c>
      <c r="G1087" s="21"/>
      <c r="H1087" s="54">
        <v>1408</v>
      </c>
      <c r="I1087" s="51"/>
      <c r="J1087" s="27"/>
      <c r="K1087" s="27"/>
      <c r="L1087" s="15"/>
      <c r="M1087" s="15"/>
      <c r="N1087" s="4"/>
      <c r="O1087" s="4">
        <v>64</v>
      </c>
    </row>
    <row r="1088" spans="1:15" x14ac:dyDescent="0.2">
      <c r="A1088" s="2">
        <v>40006097</v>
      </c>
      <c r="B1088" s="2" t="s">
        <v>1488</v>
      </c>
      <c r="C1088" s="5" t="s">
        <v>7194</v>
      </c>
      <c r="D1088" s="21">
        <v>1</v>
      </c>
      <c r="E1088" s="21"/>
      <c r="F1088" s="21" t="s">
        <v>10438</v>
      </c>
      <c r="G1088" s="21"/>
      <c r="H1088" s="54">
        <v>2153</v>
      </c>
      <c r="I1088" s="51"/>
      <c r="J1088" s="27"/>
      <c r="K1088" s="27"/>
      <c r="L1088" s="15"/>
      <c r="M1088" s="15"/>
      <c r="N1088" s="4"/>
      <c r="O1088" s="4">
        <v>90</v>
      </c>
    </row>
    <row r="1089" spans="1:15" x14ac:dyDescent="0.2">
      <c r="A1089" s="2">
        <v>40006104</v>
      </c>
      <c r="B1089" s="2" t="s">
        <v>1495</v>
      </c>
      <c r="C1089" s="5" t="s">
        <v>7201</v>
      </c>
      <c r="D1089" s="21">
        <v>2</v>
      </c>
      <c r="E1089" s="21"/>
      <c r="F1089" s="21" t="s">
        <v>10438</v>
      </c>
      <c r="G1089" s="21"/>
      <c r="H1089" s="54">
        <v>1421</v>
      </c>
      <c r="I1089" s="51"/>
      <c r="J1089" s="27"/>
      <c r="K1089" s="27"/>
      <c r="L1089" s="15"/>
      <c r="M1089" s="15"/>
      <c r="N1089" s="4"/>
      <c r="O1089" s="4">
        <v>90</v>
      </c>
    </row>
    <row r="1090" spans="1:15" x14ac:dyDescent="0.2">
      <c r="A1090" s="2">
        <v>40005738</v>
      </c>
      <c r="B1090" s="2" t="s">
        <v>1165</v>
      </c>
      <c r="C1090" s="5" t="s">
        <v>6880</v>
      </c>
      <c r="D1090" s="21">
        <v>2</v>
      </c>
      <c r="E1090" s="21"/>
      <c r="F1090" s="21" t="s">
        <v>10438</v>
      </c>
      <c r="G1090" s="21"/>
      <c r="H1090" s="54">
        <v>2692</v>
      </c>
      <c r="I1090" s="51"/>
      <c r="J1090" s="27"/>
      <c r="K1090" s="27"/>
      <c r="L1090" s="15"/>
      <c r="M1090" s="15"/>
      <c r="N1090" s="4"/>
      <c r="O1090" s="4">
        <v>90</v>
      </c>
    </row>
    <row r="1091" spans="1:15" x14ac:dyDescent="0.2">
      <c r="A1091" s="2">
        <v>40005747</v>
      </c>
      <c r="B1091" s="2" t="s">
        <v>1174</v>
      </c>
      <c r="C1091" s="5" t="s">
        <v>6886</v>
      </c>
      <c r="D1091" s="21">
        <v>4</v>
      </c>
      <c r="E1091" s="21"/>
      <c r="F1091" s="21" t="s">
        <v>10438</v>
      </c>
      <c r="G1091" s="21"/>
      <c r="H1091" s="54">
        <v>1480</v>
      </c>
      <c r="I1091" s="51"/>
      <c r="J1091" s="27"/>
      <c r="K1091" s="27"/>
      <c r="L1091" s="15"/>
      <c r="M1091" s="15"/>
      <c r="N1091" s="4"/>
      <c r="O1091" s="4">
        <v>90</v>
      </c>
    </row>
    <row r="1092" spans="1:15" x14ac:dyDescent="0.2">
      <c r="A1092" s="2">
        <v>40005395</v>
      </c>
      <c r="B1092" s="2" t="s">
        <v>872</v>
      </c>
      <c r="C1092" s="5" t="s">
        <v>6594</v>
      </c>
      <c r="D1092" s="21">
        <v>2</v>
      </c>
      <c r="E1092" s="21"/>
      <c r="F1092" s="21" t="s">
        <v>10438</v>
      </c>
      <c r="G1092" s="21"/>
      <c r="H1092" s="54">
        <v>771</v>
      </c>
      <c r="I1092" s="51"/>
      <c r="J1092" s="27"/>
      <c r="K1092" s="27"/>
      <c r="L1092" s="15"/>
      <c r="M1092" s="15"/>
      <c r="N1092" s="4" t="s">
        <v>4097</v>
      </c>
      <c r="O1092" s="4"/>
    </row>
    <row r="1093" spans="1:15" x14ac:dyDescent="0.2">
      <c r="A1093" s="2">
        <v>40007890</v>
      </c>
      <c r="B1093" s="2" t="s">
        <v>3045</v>
      </c>
      <c r="C1093" s="5" t="s">
        <v>8737</v>
      </c>
      <c r="D1093" s="21">
        <v>1</v>
      </c>
      <c r="E1093" s="21"/>
      <c r="F1093" s="21" t="s">
        <v>10438</v>
      </c>
      <c r="G1093" s="21"/>
      <c r="H1093" s="54">
        <v>983</v>
      </c>
      <c r="I1093" s="51"/>
      <c r="J1093" s="27"/>
      <c r="K1093" s="27"/>
      <c r="L1093" s="15"/>
      <c r="M1093" s="15"/>
      <c r="N1093" s="4" t="s">
        <v>3935</v>
      </c>
      <c r="O1093" s="4"/>
    </row>
    <row r="1094" spans="1:15" x14ac:dyDescent="0.2">
      <c r="A1094" s="2">
        <v>40007257</v>
      </c>
      <c r="B1094" s="2" t="s">
        <v>2508</v>
      </c>
      <c r="C1094" s="5" t="s">
        <v>8204</v>
      </c>
      <c r="D1094" s="21">
        <v>3</v>
      </c>
      <c r="E1094" s="21"/>
      <c r="F1094" s="21" t="s">
        <v>10438</v>
      </c>
      <c r="G1094" s="21"/>
      <c r="H1094" s="54">
        <v>877</v>
      </c>
      <c r="I1094" s="51"/>
      <c r="J1094" s="27"/>
      <c r="K1094" s="27"/>
      <c r="L1094" s="15"/>
      <c r="M1094" s="15"/>
      <c r="N1094" s="4" t="s">
        <v>4893</v>
      </c>
      <c r="O1094" s="4"/>
    </row>
    <row r="1095" spans="1:15" x14ac:dyDescent="0.2">
      <c r="A1095" s="2">
        <v>40007951</v>
      </c>
      <c r="B1095" s="2" t="s">
        <v>3101</v>
      </c>
      <c r="C1095" s="5" t="s">
        <v>8796</v>
      </c>
      <c r="D1095" s="21">
        <v>15</v>
      </c>
      <c r="E1095" s="21"/>
      <c r="F1095" s="21" t="s">
        <v>10438</v>
      </c>
      <c r="G1095" s="21"/>
      <c r="H1095" s="54">
        <v>867</v>
      </c>
      <c r="I1095" s="51"/>
      <c r="J1095" s="27"/>
      <c r="K1095" s="27"/>
      <c r="L1095" s="15"/>
      <c r="M1095" s="15"/>
      <c r="N1095" s="4" t="s">
        <v>5145</v>
      </c>
      <c r="O1095" s="4"/>
    </row>
    <row r="1096" spans="1:15" x14ac:dyDescent="0.2">
      <c r="A1096" s="2">
        <v>40008108</v>
      </c>
      <c r="B1096" s="2" t="s">
        <v>3234</v>
      </c>
      <c r="C1096" s="5" t="s">
        <v>8930</v>
      </c>
      <c r="D1096" s="21">
        <v>3</v>
      </c>
      <c r="E1096" s="21"/>
      <c r="F1096" s="21" t="s">
        <v>10438</v>
      </c>
      <c r="G1096" s="21"/>
      <c r="H1096" s="54">
        <v>958</v>
      </c>
      <c r="I1096" s="51"/>
      <c r="J1096" s="27"/>
      <c r="K1096" s="27"/>
      <c r="L1096" s="15"/>
      <c r="M1096" s="15"/>
      <c r="N1096" s="4" t="s">
        <v>4374</v>
      </c>
      <c r="O1096" s="4" t="s">
        <v>10148</v>
      </c>
    </row>
    <row r="1097" spans="1:15" x14ac:dyDescent="0.2">
      <c r="A1097" s="2">
        <v>40007326</v>
      </c>
      <c r="B1097" s="2" t="s">
        <v>2566</v>
      </c>
      <c r="C1097" s="5" t="s">
        <v>8260</v>
      </c>
      <c r="D1097" s="21">
        <v>2</v>
      </c>
      <c r="E1097" s="21"/>
      <c r="F1097" s="21" t="s">
        <v>10438</v>
      </c>
      <c r="G1097" s="21"/>
      <c r="H1097" s="54">
        <v>454</v>
      </c>
      <c r="I1097" s="51"/>
      <c r="J1097" s="27"/>
      <c r="K1097" s="27"/>
      <c r="L1097" s="15"/>
      <c r="M1097" s="15"/>
      <c r="N1097" s="4" t="s">
        <v>4916</v>
      </c>
      <c r="O1097" s="4"/>
    </row>
    <row r="1098" spans="1:15" x14ac:dyDescent="0.2">
      <c r="A1098" s="2">
        <v>40008033</v>
      </c>
      <c r="B1098" s="2" t="s">
        <v>3172</v>
      </c>
      <c r="C1098" s="5" t="s">
        <v>8866</v>
      </c>
      <c r="D1098" s="21">
        <v>3</v>
      </c>
      <c r="E1098" s="21"/>
      <c r="F1098" s="21" t="s">
        <v>10438</v>
      </c>
      <c r="G1098" s="21"/>
      <c r="H1098" s="54">
        <v>770</v>
      </c>
      <c r="I1098" s="51"/>
      <c r="J1098" s="27"/>
      <c r="K1098" s="27"/>
      <c r="L1098" s="15"/>
      <c r="M1098" s="15"/>
      <c r="N1098" s="4" t="s">
        <v>5170</v>
      </c>
      <c r="O1098" s="4"/>
    </row>
    <row r="1099" spans="1:15" x14ac:dyDescent="0.2">
      <c r="A1099" s="2">
        <v>40006902</v>
      </c>
      <c r="B1099" s="2" t="s">
        <v>2197</v>
      </c>
      <c r="C1099" s="5" t="s">
        <v>7906</v>
      </c>
      <c r="D1099" s="21"/>
      <c r="E1099" s="21"/>
      <c r="F1099" s="21" t="s">
        <v>10438</v>
      </c>
      <c r="G1099" s="21"/>
      <c r="H1099" s="54">
        <v>125</v>
      </c>
      <c r="I1099" s="51"/>
      <c r="J1099" s="27"/>
      <c r="K1099" s="27"/>
      <c r="L1099" s="15"/>
      <c r="M1099" s="15"/>
      <c r="N1099" s="4" t="s">
        <v>4737</v>
      </c>
      <c r="O1099" s="4"/>
    </row>
    <row r="1100" spans="1:15" x14ac:dyDescent="0.2">
      <c r="A1100" s="2">
        <v>40007551</v>
      </c>
      <c r="B1100" s="2" t="s">
        <v>2751</v>
      </c>
      <c r="C1100" s="5" t="s">
        <v>8451</v>
      </c>
      <c r="D1100" s="21">
        <v>14</v>
      </c>
      <c r="E1100" s="21"/>
      <c r="F1100" s="21" t="s">
        <v>10438</v>
      </c>
      <c r="G1100" s="21"/>
      <c r="H1100" s="54">
        <v>408</v>
      </c>
      <c r="I1100" s="51"/>
      <c r="J1100" s="27"/>
      <c r="K1100" s="27"/>
      <c r="L1100" s="15"/>
      <c r="M1100" s="15"/>
      <c r="N1100" s="4" t="s">
        <v>4066</v>
      </c>
      <c r="O1100" s="4"/>
    </row>
    <row r="1101" spans="1:15" x14ac:dyDescent="0.2">
      <c r="A1101" s="2">
        <v>40005243</v>
      </c>
      <c r="B1101" s="2" t="s">
        <v>764</v>
      </c>
      <c r="C1101" s="5" t="s">
        <v>6478</v>
      </c>
      <c r="D1101" s="21">
        <v>1</v>
      </c>
      <c r="E1101" s="21"/>
      <c r="F1101" s="21" t="s">
        <v>10438</v>
      </c>
      <c r="G1101" s="21"/>
      <c r="H1101" s="54">
        <v>1191</v>
      </c>
      <c r="I1101" s="51"/>
      <c r="J1101" s="27"/>
      <c r="K1101" s="27"/>
      <c r="L1101" s="15"/>
      <c r="M1101" s="15"/>
      <c r="N1101" s="4" t="s">
        <v>3959</v>
      </c>
      <c r="O1101" s="4"/>
    </row>
    <row r="1102" spans="1:15" x14ac:dyDescent="0.2">
      <c r="A1102" s="2">
        <v>40007970</v>
      </c>
      <c r="B1102" s="2" t="s">
        <v>3118</v>
      </c>
      <c r="C1102" s="5" t="s">
        <v>8814</v>
      </c>
      <c r="D1102" s="21">
        <v>1</v>
      </c>
      <c r="E1102" s="21"/>
      <c r="F1102" s="21" t="s">
        <v>10438</v>
      </c>
      <c r="G1102" s="21"/>
      <c r="H1102" s="54">
        <v>551</v>
      </c>
      <c r="I1102" s="51"/>
      <c r="J1102" s="27"/>
      <c r="K1102" s="27"/>
      <c r="L1102" s="15"/>
      <c r="M1102" s="15"/>
      <c r="N1102" s="4" t="s">
        <v>4236</v>
      </c>
      <c r="O1102" s="4"/>
    </row>
    <row r="1103" spans="1:15" x14ac:dyDescent="0.2">
      <c r="A1103" s="2">
        <v>40007992</v>
      </c>
      <c r="B1103" s="2" t="s">
        <v>3133</v>
      </c>
      <c r="C1103" s="5" t="s">
        <v>8831</v>
      </c>
      <c r="D1103" s="21">
        <v>3</v>
      </c>
      <c r="E1103" s="21"/>
      <c r="F1103" s="21" t="s">
        <v>10438</v>
      </c>
      <c r="G1103" s="21"/>
      <c r="H1103" s="54">
        <v>403</v>
      </c>
      <c r="I1103" s="51"/>
      <c r="J1103" s="27"/>
      <c r="K1103" s="27"/>
      <c r="L1103" s="15"/>
      <c r="M1103" s="15"/>
      <c r="N1103" s="4"/>
      <c r="O1103" s="4" t="s">
        <v>10332</v>
      </c>
    </row>
    <row r="1104" spans="1:15" x14ac:dyDescent="0.2">
      <c r="A1104" s="2">
        <v>40006997</v>
      </c>
      <c r="B1104" s="2" t="s">
        <v>2283</v>
      </c>
      <c r="C1104" s="5" t="s">
        <v>7991</v>
      </c>
      <c r="D1104" s="21">
        <v>4</v>
      </c>
      <c r="E1104" s="21"/>
      <c r="F1104" s="21" t="s">
        <v>10438</v>
      </c>
      <c r="G1104" s="21"/>
      <c r="H1104" s="54">
        <v>495</v>
      </c>
      <c r="I1104" s="51"/>
      <c r="J1104" s="27"/>
      <c r="K1104" s="27"/>
      <c r="L1104" s="15"/>
      <c r="M1104" s="15"/>
      <c r="N1104" s="4" t="s">
        <v>4783</v>
      </c>
      <c r="O1104" s="4"/>
    </row>
    <row r="1105" spans="1:15" x14ac:dyDescent="0.2">
      <c r="A1105" s="2">
        <v>40008307</v>
      </c>
      <c r="B1105" s="2" t="s">
        <v>3415</v>
      </c>
      <c r="C1105" s="5" t="s">
        <v>9108</v>
      </c>
      <c r="D1105" s="21">
        <v>2</v>
      </c>
      <c r="E1105" s="21"/>
      <c r="F1105" s="21" t="s">
        <v>10438</v>
      </c>
      <c r="G1105" s="21"/>
      <c r="H1105" s="54">
        <v>409</v>
      </c>
      <c r="I1105" s="51"/>
      <c r="J1105" s="27"/>
      <c r="K1105" s="27"/>
      <c r="L1105" s="15"/>
      <c r="M1105" s="15"/>
      <c r="N1105" s="4" t="s">
        <v>5238</v>
      </c>
      <c r="O1105" s="4"/>
    </row>
    <row r="1106" spans="1:15" x14ac:dyDescent="0.2">
      <c r="A1106" s="2">
        <v>40007149</v>
      </c>
      <c r="B1106" s="2" t="s">
        <v>2417</v>
      </c>
      <c r="C1106" s="5" t="s">
        <v>8119</v>
      </c>
      <c r="D1106" s="21">
        <v>2</v>
      </c>
      <c r="E1106" s="21"/>
      <c r="F1106" s="21" t="s">
        <v>10438</v>
      </c>
      <c r="G1106" s="21"/>
      <c r="H1106" s="54">
        <v>397</v>
      </c>
      <c r="I1106" s="51"/>
      <c r="J1106" s="27"/>
      <c r="K1106" s="27"/>
      <c r="L1106" s="15"/>
      <c r="M1106" s="15"/>
      <c r="N1106" s="4" t="s">
        <v>4847</v>
      </c>
      <c r="O1106" s="4"/>
    </row>
    <row r="1107" spans="1:15" x14ac:dyDescent="0.2">
      <c r="A1107" s="2">
        <v>40008037</v>
      </c>
      <c r="B1107" s="2" t="s">
        <v>3176</v>
      </c>
      <c r="C1107" s="5" t="s">
        <v>8869</v>
      </c>
      <c r="D1107" s="21">
        <v>5</v>
      </c>
      <c r="E1107" s="21"/>
      <c r="F1107" s="21" t="s">
        <v>10438</v>
      </c>
      <c r="G1107" s="21"/>
      <c r="H1107" s="54">
        <v>1152</v>
      </c>
      <c r="I1107" s="51"/>
      <c r="J1107" s="27"/>
      <c r="K1107" s="27"/>
      <c r="L1107" s="15"/>
      <c r="M1107" s="15"/>
      <c r="N1107" s="4" t="s">
        <v>5049</v>
      </c>
      <c r="O1107" s="4"/>
    </row>
    <row r="1108" spans="1:15" x14ac:dyDescent="0.2">
      <c r="A1108" s="2">
        <v>40006444</v>
      </c>
      <c r="B1108" s="2" t="s">
        <v>1801</v>
      </c>
      <c r="C1108" s="5" t="s">
        <v>7508</v>
      </c>
      <c r="D1108" s="21">
        <v>8</v>
      </c>
      <c r="E1108" s="21"/>
      <c r="F1108" s="21" t="s">
        <v>10438</v>
      </c>
      <c r="G1108" s="21"/>
      <c r="H1108" s="54">
        <v>882</v>
      </c>
      <c r="I1108" s="51"/>
      <c r="J1108" s="27"/>
      <c r="K1108" s="27"/>
      <c r="L1108" s="15"/>
      <c r="M1108" s="15"/>
      <c r="N1108" s="4" t="s">
        <v>4597</v>
      </c>
      <c r="O1108" s="4" t="s">
        <v>10105</v>
      </c>
    </row>
    <row r="1109" spans="1:15" x14ac:dyDescent="0.2">
      <c r="A1109" s="2">
        <v>40011403</v>
      </c>
      <c r="B1109" s="2" t="s">
        <v>5410</v>
      </c>
      <c r="C1109" s="5" t="s">
        <v>9385</v>
      </c>
      <c r="D1109" s="21">
        <v>1</v>
      </c>
      <c r="E1109" s="21"/>
      <c r="F1109" s="21" t="s">
        <v>10438</v>
      </c>
      <c r="G1109" s="21"/>
      <c r="H1109" s="54">
        <v>1331</v>
      </c>
      <c r="I1109" s="51"/>
      <c r="J1109" s="27"/>
      <c r="K1109" s="27"/>
      <c r="L1109" s="15"/>
      <c r="M1109" s="15"/>
      <c r="N1109" s="4"/>
      <c r="O1109" s="4">
        <v>100</v>
      </c>
    </row>
    <row r="1110" spans="1:15" x14ac:dyDescent="0.2">
      <c r="A1110" s="2">
        <v>40005745</v>
      </c>
      <c r="B1110" s="2" t="s">
        <v>1172</v>
      </c>
      <c r="C1110" s="5" t="s">
        <v>6884</v>
      </c>
      <c r="D1110" s="21">
        <v>1</v>
      </c>
      <c r="E1110" s="21"/>
      <c r="F1110" s="21" t="s">
        <v>10438</v>
      </c>
      <c r="G1110" s="21"/>
      <c r="H1110" s="54">
        <v>233</v>
      </c>
      <c r="I1110" s="51"/>
      <c r="J1110" s="27"/>
      <c r="K1110" s="27"/>
      <c r="L1110" s="15"/>
      <c r="M1110" s="15"/>
      <c r="N1110" s="4"/>
      <c r="O1110" s="4">
        <v>90</v>
      </c>
    </row>
    <row r="1111" spans="1:15" x14ac:dyDescent="0.2">
      <c r="A1111" s="2">
        <v>40005351</v>
      </c>
      <c r="B1111" s="2" t="s">
        <v>836</v>
      </c>
      <c r="C1111" s="5" t="s">
        <v>6554</v>
      </c>
      <c r="D1111" s="21">
        <v>1</v>
      </c>
      <c r="E1111" s="21"/>
      <c r="F1111" s="21" t="s">
        <v>10438</v>
      </c>
      <c r="G1111" s="21"/>
      <c r="H1111" s="54">
        <v>1777</v>
      </c>
      <c r="I1111" s="51"/>
      <c r="J1111" s="27"/>
      <c r="K1111" s="27"/>
      <c r="L1111" s="15"/>
      <c r="M1111" s="15"/>
      <c r="N1111" s="4" t="s">
        <v>4062</v>
      </c>
      <c r="O1111" s="4"/>
    </row>
    <row r="1112" spans="1:15" x14ac:dyDescent="0.2">
      <c r="A1112" s="2">
        <v>40010789</v>
      </c>
      <c r="B1112" s="2" t="s">
        <v>3570</v>
      </c>
      <c r="C1112" s="5" t="s">
        <v>9290</v>
      </c>
      <c r="D1112" s="21">
        <v>8</v>
      </c>
      <c r="E1112" s="21"/>
      <c r="F1112" s="30">
        <v>4</v>
      </c>
      <c r="G1112" s="21"/>
      <c r="H1112" s="54">
        <v>1200</v>
      </c>
      <c r="I1112" s="51"/>
      <c r="J1112" s="27"/>
      <c r="K1112" s="27"/>
      <c r="L1112" s="15"/>
      <c r="M1112" s="15"/>
      <c r="N1112" s="4" t="s">
        <v>5280</v>
      </c>
      <c r="O1112" s="4" t="s">
        <v>10085</v>
      </c>
    </row>
    <row r="1113" spans="1:15" x14ac:dyDescent="0.2">
      <c r="A1113" s="2">
        <v>40010296</v>
      </c>
      <c r="B1113" s="2" t="s">
        <v>3486</v>
      </c>
      <c r="C1113" s="5" t="s">
        <v>9180</v>
      </c>
      <c r="D1113" s="21">
        <v>1</v>
      </c>
      <c r="E1113" s="21"/>
      <c r="F1113" s="21" t="s">
        <v>10438</v>
      </c>
      <c r="G1113" s="21"/>
      <c r="H1113" s="54">
        <v>737</v>
      </c>
      <c r="I1113" s="51"/>
      <c r="J1113" s="27"/>
      <c r="K1113" s="27"/>
      <c r="L1113" s="15"/>
      <c r="M1113" s="15"/>
      <c r="N1113" s="4" t="s">
        <v>5262</v>
      </c>
      <c r="O1113" s="4"/>
    </row>
    <row r="1114" spans="1:15" x14ac:dyDescent="0.2">
      <c r="A1114" s="2">
        <v>40005369</v>
      </c>
      <c r="B1114" s="2" t="s">
        <v>850</v>
      </c>
      <c r="C1114" s="5" t="s">
        <v>6570</v>
      </c>
      <c r="D1114" s="21">
        <v>3</v>
      </c>
      <c r="E1114" s="21"/>
      <c r="F1114" s="21" t="s">
        <v>10438</v>
      </c>
      <c r="G1114" s="21"/>
      <c r="H1114" s="54">
        <v>860</v>
      </c>
      <c r="I1114" s="51"/>
      <c r="J1114" s="27"/>
      <c r="K1114" s="27"/>
      <c r="L1114" s="15"/>
      <c r="M1114" s="15"/>
      <c r="N1114" s="4" t="s">
        <v>10719</v>
      </c>
      <c r="O1114" s="4"/>
    </row>
    <row r="1115" spans="1:15" x14ac:dyDescent="0.2">
      <c r="A1115" s="2">
        <v>40005440</v>
      </c>
      <c r="B1115" s="2" t="s">
        <v>914</v>
      </c>
      <c r="C1115" s="5" t="s">
        <v>6636</v>
      </c>
      <c r="D1115" s="21">
        <v>3</v>
      </c>
      <c r="E1115" s="21"/>
      <c r="F1115" s="21" t="s">
        <v>10438</v>
      </c>
      <c r="G1115" s="21"/>
      <c r="H1115" s="54">
        <v>1430</v>
      </c>
      <c r="I1115" s="51"/>
      <c r="J1115" s="27"/>
      <c r="K1115" s="27"/>
      <c r="L1115" s="15"/>
      <c r="M1115" s="15"/>
      <c r="N1115" s="4" t="s">
        <v>4117</v>
      </c>
      <c r="O1115" s="4"/>
    </row>
    <row r="1116" spans="1:15" x14ac:dyDescent="0.2">
      <c r="A1116" s="2">
        <v>40005946</v>
      </c>
      <c r="B1116" s="2" t="s">
        <v>1353</v>
      </c>
      <c r="C1116" s="5" t="s">
        <v>7059</v>
      </c>
      <c r="D1116" s="21">
        <v>3</v>
      </c>
      <c r="E1116" s="21"/>
      <c r="F1116" s="21" t="s">
        <v>10438</v>
      </c>
      <c r="G1116" s="21"/>
      <c r="H1116" s="54">
        <v>388</v>
      </c>
      <c r="I1116" s="51"/>
      <c r="J1116" s="27"/>
      <c r="K1116" s="27"/>
      <c r="L1116" s="15"/>
      <c r="M1116" s="15"/>
      <c r="N1116" s="4"/>
      <c r="O1116" s="4" t="s">
        <v>10214</v>
      </c>
    </row>
    <row r="1117" spans="1:15" x14ac:dyDescent="0.2">
      <c r="A1117" s="2">
        <v>40005748</v>
      </c>
      <c r="B1117" s="2" t="s">
        <v>1175</v>
      </c>
      <c r="C1117" s="5" t="s">
        <v>6887</v>
      </c>
      <c r="D1117" s="21">
        <v>1</v>
      </c>
      <c r="E1117" s="21"/>
      <c r="F1117" s="21" t="s">
        <v>10438</v>
      </c>
      <c r="G1117" s="21"/>
      <c r="H1117" s="54">
        <v>809</v>
      </c>
      <c r="I1117" s="51"/>
      <c r="J1117" s="27"/>
      <c r="K1117" s="27"/>
      <c r="L1117" s="15"/>
      <c r="M1117" s="15"/>
      <c r="N1117" s="4"/>
      <c r="O1117" s="4">
        <v>90</v>
      </c>
    </row>
    <row r="1118" spans="1:15" x14ac:dyDescent="0.2">
      <c r="A1118" s="2">
        <v>40006212</v>
      </c>
      <c r="B1118" s="2" t="s">
        <v>1595</v>
      </c>
      <c r="C1118" s="5" t="s">
        <v>7302</v>
      </c>
      <c r="D1118" s="21">
        <v>7</v>
      </c>
      <c r="E1118" s="21"/>
      <c r="F1118" s="21" t="s">
        <v>10438</v>
      </c>
      <c r="G1118" s="21"/>
      <c r="H1118" s="54">
        <v>1065</v>
      </c>
      <c r="I1118" s="51"/>
      <c r="J1118" s="27"/>
      <c r="K1118" s="27"/>
      <c r="L1118" s="15"/>
      <c r="M1118" s="15"/>
      <c r="N1118" s="4"/>
      <c r="O1118" s="4" t="s">
        <v>10242</v>
      </c>
    </row>
    <row r="1119" spans="1:15" x14ac:dyDescent="0.2">
      <c r="A1119" s="2">
        <v>40005410</v>
      </c>
      <c r="B1119" s="2" t="s">
        <v>886</v>
      </c>
      <c r="C1119" s="5" t="s">
        <v>6609</v>
      </c>
      <c r="D1119" s="21">
        <v>6</v>
      </c>
      <c r="E1119" s="21"/>
      <c r="F1119" s="21" t="s">
        <v>10438</v>
      </c>
      <c r="G1119" s="21"/>
      <c r="H1119" s="54">
        <v>245</v>
      </c>
      <c r="I1119" s="51"/>
      <c r="J1119" s="27"/>
      <c r="K1119" s="27"/>
      <c r="L1119" s="15"/>
      <c r="M1119" s="15"/>
      <c r="N1119" s="4" t="s">
        <v>4106</v>
      </c>
      <c r="O1119" s="4"/>
    </row>
    <row r="1120" spans="1:15" x14ac:dyDescent="0.2">
      <c r="A1120" s="2">
        <v>40005842</v>
      </c>
      <c r="B1120" s="2" t="s">
        <v>1260</v>
      </c>
      <c r="C1120" s="5" t="s">
        <v>6972</v>
      </c>
      <c r="D1120" s="21">
        <v>8</v>
      </c>
      <c r="E1120" s="21"/>
      <c r="F1120" s="21" t="s">
        <v>10438</v>
      </c>
      <c r="G1120" s="21"/>
      <c r="H1120" s="54">
        <v>995</v>
      </c>
      <c r="I1120" s="51"/>
      <c r="J1120" s="27"/>
      <c r="K1120" s="27"/>
      <c r="L1120" s="15"/>
      <c r="M1120" s="15"/>
      <c r="N1120" s="4" t="s">
        <v>4288</v>
      </c>
      <c r="O1120" s="4"/>
    </row>
    <row r="1121" spans="1:15" x14ac:dyDescent="0.2">
      <c r="A1121" s="2">
        <v>40005833</v>
      </c>
      <c r="B1121" s="2" t="s">
        <v>1252</v>
      </c>
      <c r="C1121" s="5" t="s">
        <v>6964</v>
      </c>
      <c r="D1121" s="21">
        <v>5</v>
      </c>
      <c r="E1121" s="21"/>
      <c r="F1121" s="21" t="s">
        <v>10438</v>
      </c>
      <c r="G1121" s="21"/>
      <c r="H1121" s="54">
        <v>942</v>
      </c>
      <c r="I1121" s="51"/>
      <c r="J1121" s="27"/>
      <c r="K1121" s="27"/>
      <c r="L1121" s="15"/>
      <c r="M1121" s="15"/>
      <c r="N1121" s="4" t="s">
        <v>4283</v>
      </c>
      <c r="O1121" s="4"/>
    </row>
    <row r="1122" spans="1:15" x14ac:dyDescent="0.2">
      <c r="A1122" s="2">
        <v>40011212</v>
      </c>
      <c r="B1122" s="2" t="s">
        <v>3779</v>
      </c>
      <c r="C1122" s="5" t="s">
        <v>9356</v>
      </c>
      <c r="D1122" s="21"/>
      <c r="E1122" s="21"/>
      <c r="F1122" s="21" t="s">
        <v>10438</v>
      </c>
      <c r="G1122" s="21"/>
      <c r="H1122" s="54">
        <v>1112</v>
      </c>
      <c r="I1122" s="51"/>
      <c r="J1122" s="27"/>
      <c r="K1122" s="27"/>
      <c r="L1122" s="15"/>
      <c r="M1122" s="15"/>
      <c r="N1122" s="4"/>
      <c r="O1122" s="4" t="s">
        <v>10333</v>
      </c>
    </row>
    <row r="1123" spans="1:15" x14ac:dyDescent="0.2">
      <c r="A1123" s="2">
        <v>40006533</v>
      </c>
      <c r="B1123" s="2" t="s">
        <v>1875</v>
      </c>
      <c r="C1123" s="5" t="s">
        <v>7583</v>
      </c>
      <c r="D1123" s="21">
        <v>2</v>
      </c>
      <c r="E1123" s="21"/>
      <c r="F1123" s="21" t="s">
        <v>10438</v>
      </c>
      <c r="G1123" s="21"/>
      <c r="H1123" s="54">
        <v>1800</v>
      </c>
      <c r="I1123" s="51"/>
      <c r="J1123" s="27"/>
      <c r="K1123" s="27"/>
      <c r="L1123" s="15"/>
      <c r="M1123" s="15"/>
      <c r="N1123" s="4"/>
      <c r="O1123" s="4">
        <v>90</v>
      </c>
    </row>
    <row r="1124" spans="1:15" x14ac:dyDescent="0.2">
      <c r="A1124" s="2">
        <v>40006490</v>
      </c>
      <c r="B1124" s="2" t="s">
        <v>1841</v>
      </c>
      <c r="C1124" s="5" t="s">
        <v>7549</v>
      </c>
      <c r="D1124" s="21">
        <v>6</v>
      </c>
      <c r="E1124" s="21"/>
      <c r="F1124" s="21" t="s">
        <v>10438</v>
      </c>
      <c r="G1124" s="21"/>
      <c r="H1124" s="54">
        <v>381</v>
      </c>
      <c r="I1124" s="51"/>
      <c r="J1124" s="27"/>
      <c r="K1124" s="27"/>
      <c r="L1124" s="15"/>
      <c r="M1124" s="15"/>
      <c r="N1124" s="4" t="s">
        <v>4259</v>
      </c>
      <c r="O1124" s="4" t="s">
        <v>10128</v>
      </c>
    </row>
    <row r="1125" spans="1:15" x14ac:dyDescent="0.2">
      <c r="A1125" s="2">
        <v>10018484</v>
      </c>
      <c r="B1125" s="2" t="s">
        <v>189</v>
      </c>
      <c r="C1125" s="5" t="s">
        <v>5742</v>
      </c>
      <c r="D1125" s="21">
        <v>19</v>
      </c>
      <c r="E1125" s="21"/>
      <c r="F1125" s="21" t="s">
        <v>10438</v>
      </c>
      <c r="G1125" s="21"/>
      <c r="H1125" s="54">
        <v>693</v>
      </c>
      <c r="I1125" s="51"/>
      <c r="J1125" s="27"/>
      <c r="K1125" s="27"/>
      <c r="L1125" s="15"/>
      <c r="M1125" s="15"/>
      <c r="N1125" s="4" t="s">
        <v>3942</v>
      </c>
      <c r="O1125" s="4"/>
    </row>
    <row r="1126" spans="1:15" x14ac:dyDescent="0.2">
      <c r="A1126" s="2">
        <v>40005788</v>
      </c>
      <c r="B1126" s="2" t="s">
        <v>1212</v>
      </c>
      <c r="C1126" s="5" t="s">
        <v>6925</v>
      </c>
      <c r="D1126" s="21">
        <v>6</v>
      </c>
      <c r="E1126" s="21"/>
      <c r="F1126" s="21" t="s">
        <v>10438</v>
      </c>
      <c r="G1126" s="21"/>
      <c r="H1126" s="54">
        <v>999</v>
      </c>
      <c r="I1126" s="51"/>
      <c r="J1126" s="27"/>
      <c r="K1126" s="27"/>
      <c r="L1126" s="15"/>
      <c r="M1126" s="15"/>
      <c r="N1126" s="4" t="s">
        <v>4262</v>
      </c>
      <c r="O1126" s="4"/>
    </row>
    <row r="1127" spans="1:15" x14ac:dyDescent="0.2">
      <c r="A1127" s="2">
        <v>40005750</v>
      </c>
      <c r="B1127" s="2" t="s">
        <v>1177</v>
      </c>
      <c r="C1127" s="5" t="s">
        <v>6889</v>
      </c>
      <c r="D1127" s="21">
        <v>1</v>
      </c>
      <c r="E1127" s="21"/>
      <c r="F1127" s="21" t="s">
        <v>10438</v>
      </c>
      <c r="G1127" s="21"/>
      <c r="H1127" s="54">
        <v>1711</v>
      </c>
      <c r="I1127" s="51"/>
      <c r="J1127" s="27"/>
      <c r="K1127" s="27"/>
      <c r="L1127" s="15"/>
      <c r="M1127" s="15"/>
      <c r="N1127" s="4"/>
      <c r="O1127" s="4">
        <v>90</v>
      </c>
    </row>
    <row r="1128" spans="1:15" x14ac:dyDescent="0.2">
      <c r="A1128" s="2">
        <v>40010552</v>
      </c>
      <c r="B1128" s="2" t="s">
        <v>5493</v>
      </c>
      <c r="C1128" s="10" t="s">
        <v>9440</v>
      </c>
      <c r="D1128" s="21">
        <v>3</v>
      </c>
      <c r="E1128" s="21"/>
      <c r="F1128" s="21" t="s">
        <v>10438</v>
      </c>
      <c r="G1128" s="21"/>
      <c r="H1128" s="54">
        <v>678</v>
      </c>
      <c r="I1128" s="51"/>
      <c r="J1128" s="27"/>
      <c r="K1128" s="27"/>
      <c r="L1128" s="15"/>
      <c r="M1128" s="15"/>
      <c r="N1128" s="4" t="s">
        <v>9932</v>
      </c>
      <c r="O1128" s="4"/>
    </row>
    <row r="1129" spans="1:15" x14ac:dyDescent="0.2">
      <c r="A1129" s="2">
        <v>40010315</v>
      </c>
      <c r="B1129" s="2" t="s">
        <v>3501</v>
      </c>
      <c r="C1129" s="5" t="s">
        <v>9196</v>
      </c>
      <c r="D1129" s="21">
        <v>2</v>
      </c>
      <c r="E1129" s="21"/>
      <c r="F1129" s="21" t="s">
        <v>10438</v>
      </c>
      <c r="G1129" s="21"/>
      <c r="H1129" s="54">
        <v>1147</v>
      </c>
      <c r="I1129" s="51"/>
      <c r="J1129" s="27"/>
      <c r="K1129" s="27"/>
      <c r="L1129" s="15"/>
      <c r="M1129" s="15"/>
      <c r="N1129" s="4" t="s">
        <v>5244</v>
      </c>
      <c r="O1129" s="4"/>
    </row>
    <row r="1130" spans="1:15" x14ac:dyDescent="0.2">
      <c r="A1130" s="2">
        <v>40005314</v>
      </c>
      <c r="B1130" s="2" t="s">
        <v>806</v>
      </c>
      <c r="C1130" s="5" t="s">
        <v>6523</v>
      </c>
      <c r="D1130" s="21">
        <v>3</v>
      </c>
      <c r="E1130" s="21"/>
      <c r="F1130" s="21" t="s">
        <v>10438</v>
      </c>
      <c r="G1130" s="21"/>
      <c r="H1130" s="54">
        <v>1033</v>
      </c>
      <c r="I1130" s="51"/>
      <c r="J1130" s="27"/>
      <c r="K1130" s="27"/>
      <c r="L1130" s="15"/>
      <c r="M1130" s="15"/>
      <c r="N1130" s="4" t="s">
        <v>4047</v>
      </c>
      <c r="O1130" s="4"/>
    </row>
    <row r="1131" spans="1:15" x14ac:dyDescent="0.2">
      <c r="A1131" s="2">
        <v>40005339</v>
      </c>
      <c r="B1131" s="2" t="s">
        <v>826</v>
      </c>
      <c r="C1131" s="5" t="s">
        <v>6543</v>
      </c>
      <c r="D1131" s="21">
        <v>2</v>
      </c>
      <c r="E1131" s="21"/>
      <c r="F1131" s="21" t="s">
        <v>10438</v>
      </c>
      <c r="G1131" s="21"/>
      <c r="H1131" s="54">
        <v>1206</v>
      </c>
      <c r="I1131" s="51"/>
      <c r="J1131" s="27"/>
      <c r="K1131" s="27"/>
      <c r="L1131" s="15"/>
      <c r="M1131" s="15"/>
      <c r="N1131" s="4" t="s">
        <v>3986</v>
      </c>
      <c r="O1131" s="4">
        <v>66</v>
      </c>
    </row>
    <row r="1132" spans="1:15" x14ac:dyDescent="0.2">
      <c r="A1132" s="2">
        <v>40005352</v>
      </c>
      <c r="B1132" s="2" t="s">
        <v>837</v>
      </c>
      <c r="C1132" s="5" t="s">
        <v>6555</v>
      </c>
      <c r="D1132" s="21">
        <v>1</v>
      </c>
      <c r="E1132" s="21"/>
      <c r="F1132" s="21" t="s">
        <v>10438</v>
      </c>
      <c r="G1132" s="21"/>
      <c r="H1132" s="54">
        <v>1043</v>
      </c>
      <c r="I1132" s="51"/>
      <c r="J1132" s="27"/>
      <c r="K1132" s="27"/>
      <c r="L1132" s="15"/>
      <c r="M1132" s="15"/>
      <c r="N1132" s="4" t="s">
        <v>4066</v>
      </c>
      <c r="O1132" s="4"/>
    </row>
    <row r="1133" spans="1:15" x14ac:dyDescent="0.2">
      <c r="A1133" s="2">
        <v>40007580</v>
      </c>
      <c r="B1133" s="2" t="s">
        <v>2775</v>
      </c>
      <c r="C1133" s="5">
        <v>970104021</v>
      </c>
      <c r="D1133" s="21">
        <v>5</v>
      </c>
      <c r="E1133" s="21"/>
      <c r="F1133" s="21" t="s">
        <v>10438</v>
      </c>
      <c r="G1133" s="21"/>
      <c r="H1133" s="54">
        <v>547</v>
      </c>
      <c r="I1133" s="51"/>
      <c r="J1133" s="27"/>
      <c r="K1133" s="27"/>
      <c r="L1133" s="15"/>
      <c r="M1133" s="15"/>
      <c r="N1133" s="4"/>
      <c r="O1133" s="4" t="s">
        <v>10334</v>
      </c>
    </row>
    <row r="1134" spans="1:15" x14ac:dyDescent="0.2">
      <c r="A1134" s="2">
        <v>40006842</v>
      </c>
      <c r="B1134" s="2" t="s">
        <v>2140</v>
      </c>
      <c r="C1134" s="5" t="s">
        <v>7849</v>
      </c>
      <c r="D1134" s="21">
        <v>1</v>
      </c>
      <c r="E1134" s="21"/>
      <c r="F1134" s="21" t="s">
        <v>10438</v>
      </c>
      <c r="G1134" s="21"/>
      <c r="H1134" s="54">
        <v>169</v>
      </c>
      <c r="I1134" s="51"/>
      <c r="J1134" s="27"/>
      <c r="K1134" s="27"/>
      <c r="L1134" s="15"/>
      <c r="M1134" s="15"/>
      <c r="N1134" s="4"/>
      <c r="O1134" s="4" t="s">
        <v>10335</v>
      </c>
    </row>
    <row r="1135" spans="1:15" x14ac:dyDescent="0.2">
      <c r="A1135" s="2">
        <v>40005844</v>
      </c>
      <c r="B1135" s="2" t="s">
        <v>1262</v>
      </c>
      <c r="C1135" s="5" t="s">
        <v>6974</v>
      </c>
      <c r="D1135" s="21">
        <v>20</v>
      </c>
      <c r="E1135" s="21"/>
      <c r="F1135" s="21" t="s">
        <v>10438</v>
      </c>
      <c r="G1135" s="21"/>
      <c r="H1135" s="54">
        <v>210</v>
      </c>
      <c r="I1135" s="51"/>
      <c r="J1135" s="27"/>
      <c r="K1135" s="27"/>
      <c r="L1135" s="15"/>
      <c r="M1135" s="15"/>
      <c r="N1135" s="4" t="s">
        <v>4066</v>
      </c>
      <c r="O1135" s="4"/>
    </row>
    <row r="1136" spans="1:15" x14ac:dyDescent="0.2">
      <c r="A1136" s="2">
        <v>40010290</v>
      </c>
      <c r="B1136" s="2" t="s">
        <v>3480</v>
      </c>
      <c r="C1136" s="5" t="s">
        <v>9174</v>
      </c>
      <c r="D1136" s="21">
        <v>2</v>
      </c>
      <c r="E1136" s="21"/>
      <c r="F1136" s="21" t="s">
        <v>10438</v>
      </c>
      <c r="G1136" s="21"/>
      <c r="H1136" s="54">
        <v>433</v>
      </c>
      <c r="I1136" s="51"/>
      <c r="J1136" s="27"/>
      <c r="K1136" s="27"/>
      <c r="L1136" s="15"/>
      <c r="M1136" s="15"/>
      <c r="N1136" s="4" t="s">
        <v>5262</v>
      </c>
      <c r="O1136" s="4"/>
    </row>
    <row r="1137" spans="1:15" x14ac:dyDescent="0.2">
      <c r="A1137" s="2">
        <v>40005819</v>
      </c>
      <c r="B1137" s="2" t="s">
        <v>1239</v>
      </c>
      <c r="C1137" s="5" t="s">
        <v>6951</v>
      </c>
      <c r="D1137" s="21">
        <v>1</v>
      </c>
      <c r="E1137" s="21"/>
      <c r="F1137" s="21" t="s">
        <v>10438</v>
      </c>
      <c r="G1137" s="21"/>
      <c r="H1137" s="54">
        <v>315</v>
      </c>
      <c r="I1137" s="51"/>
      <c r="J1137" s="27"/>
      <c r="K1137" s="27"/>
      <c r="L1137" s="15"/>
      <c r="M1137" s="15"/>
      <c r="N1137" s="4" t="s">
        <v>4277</v>
      </c>
      <c r="O1137" s="4"/>
    </row>
    <row r="1138" spans="1:15" x14ac:dyDescent="0.2">
      <c r="A1138" s="2">
        <v>40010380</v>
      </c>
      <c r="B1138" s="2" t="s">
        <v>3523</v>
      </c>
      <c r="C1138" s="5" t="s">
        <v>9225</v>
      </c>
      <c r="D1138" s="21">
        <v>1</v>
      </c>
      <c r="E1138" s="21"/>
      <c r="F1138" s="21" t="s">
        <v>10438</v>
      </c>
      <c r="G1138" s="21"/>
      <c r="H1138" s="54">
        <v>583</v>
      </c>
      <c r="I1138" s="51"/>
      <c r="J1138" s="27"/>
      <c r="K1138" s="27"/>
      <c r="L1138" s="15"/>
      <c r="M1138" s="15"/>
      <c r="N1138" s="4" t="s">
        <v>5220</v>
      </c>
      <c r="O1138" s="4"/>
    </row>
    <row r="1139" spans="1:15" x14ac:dyDescent="0.2">
      <c r="A1139" s="2">
        <v>40006194</v>
      </c>
      <c r="B1139" s="2" t="s">
        <v>1577</v>
      </c>
      <c r="C1139" s="5" t="s">
        <v>7284</v>
      </c>
      <c r="D1139" s="21">
        <v>1</v>
      </c>
      <c r="E1139" s="21"/>
      <c r="F1139" s="21" t="s">
        <v>10438</v>
      </c>
      <c r="G1139" s="21"/>
      <c r="H1139" s="54">
        <v>12</v>
      </c>
      <c r="I1139" s="51"/>
      <c r="J1139" s="27"/>
      <c r="K1139" s="27"/>
      <c r="L1139" s="15"/>
      <c r="M1139" s="15"/>
      <c r="N1139" s="4" t="s">
        <v>4465</v>
      </c>
      <c r="O1139" s="4"/>
    </row>
    <row r="1140" spans="1:15" x14ac:dyDescent="0.2">
      <c r="A1140" s="2">
        <v>40010381</v>
      </c>
      <c r="B1140" s="2" t="s">
        <v>3524</v>
      </c>
      <c r="C1140" s="5" t="s">
        <v>9226</v>
      </c>
      <c r="D1140" s="21">
        <v>8</v>
      </c>
      <c r="E1140" s="21"/>
      <c r="F1140" s="21" t="s">
        <v>10438</v>
      </c>
      <c r="G1140" s="21"/>
      <c r="H1140" s="54">
        <v>7</v>
      </c>
      <c r="I1140" s="51"/>
      <c r="J1140" s="27"/>
      <c r="K1140" s="27"/>
      <c r="L1140" s="15"/>
      <c r="M1140" s="15"/>
      <c r="N1140" s="4" t="s">
        <v>4042</v>
      </c>
      <c r="O1140" s="4"/>
    </row>
    <row r="1141" spans="1:15" x14ac:dyDescent="0.2">
      <c r="A1141" s="2">
        <v>40011145</v>
      </c>
      <c r="B1141" s="2" t="s">
        <v>3711</v>
      </c>
      <c r="C1141" s="5" t="s">
        <v>9325</v>
      </c>
      <c r="D1141" s="21">
        <v>10</v>
      </c>
      <c r="E1141" s="21"/>
      <c r="F1141" s="21" t="s">
        <v>10438</v>
      </c>
      <c r="G1141" s="21"/>
      <c r="H1141" s="54">
        <v>12</v>
      </c>
      <c r="I1141" s="51"/>
      <c r="J1141" s="27"/>
      <c r="K1141" s="27"/>
      <c r="L1141" s="15"/>
      <c r="M1141" s="15"/>
      <c r="N1141" s="4" t="s">
        <v>4013</v>
      </c>
      <c r="O1141" s="4"/>
    </row>
    <row r="1142" spans="1:15" x14ac:dyDescent="0.2">
      <c r="A1142" s="2">
        <v>40010962</v>
      </c>
      <c r="B1142" s="2" t="s">
        <v>3581</v>
      </c>
      <c r="C1142" s="5" t="s">
        <v>9301</v>
      </c>
      <c r="D1142" s="21">
        <v>10</v>
      </c>
      <c r="E1142" s="21"/>
      <c r="F1142" s="21" t="s">
        <v>10438</v>
      </c>
      <c r="G1142" s="21"/>
      <c r="H1142" s="54">
        <v>24</v>
      </c>
      <c r="I1142" s="51"/>
      <c r="J1142" s="27"/>
      <c r="K1142" s="27"/>
      <c r="L1142" s="15"/>
      <c r="M1142" s="15"/>
      <c r="N1142" s="4" t="s">
        <v>4013</v>
      </c>
      <c r="O1142" s="4"/>
    </row>
    <row r="1143" spans="1:15" x14ac:dyDescent="0.2">
      <c r="A1143" s="2">
        <v>40011144</v>
      </c>
      <c r="B1143" s="2" t="s">
        <v>3710</v>
      </c>
      <c r="C1143" s="5" t="s">
        <v>9324</v>
      </c>
      <c r="D1143" s="21">
        <v>18</v>
      </c>
      <c r="E1143" s="21"/>
      <c r="F1143" s="21" t="s">
        <v>10438</v>
      </c>
      <c r="G1143" s="21"/>
      <c r="H1143" s="54">
        <v>12</v>
      </c>
      <c r="I1143" s="51"/>
      <c r="J1143" s="27"/>
      <c r="K1143" s="27"/>
      <c r="L1143" s="15"/>
      <c r="M1143" s="15"/>
      <c r="N1143" s="4" t="s">
        <v>4589</v>
      </c>
      <c r="O1143" s="4"/>
    </row>
    <row r="1144" spans="1:15" x14ac:dyDescent="0.2">
      <c r="A1144" s="2">
        <v>40010382</v>
      </c>
      <c r="B1144" s="2" t="s">
        <v>3525</v>
      </c>
      <c r="C1144" s="5" t="s">
        <v>9227</v>
      </c>
      <c r="D1144" s="21">
        <v>18</v>
      </c>
      <c r="E1144" s="21"/>
      <c r="F1144" s="21" t="s">
        <v>10438</v>
      </c>
      <c r="G1144" s="21"/>
      <c r="H1144" s="54">
        <v>13.24</v>
      </c>
      <c r="I1144" s="51"/>
      <c r="J1144" s="27"/>
      <c r="K1144" s="27"/>
      <c r="L1144" s="15"/>
      <c r="M1144" s="15"/>
      <c r="N1144" s="4" t="s">
        <v>4015</v>
      </c>
      <c r="O1144" s="4"/>
    </row>
    <row r="1145" spans="1:15" x14ac:dyDescent="0.2">
      <c r="A1145" s="2">
        <v>40011143</v>
      </c>
      <c r="B1145" s="2" t="s">
        <v>3709</v>
      </c>
      <c r="C1145" s="5" t="s">
        <v>9323</v>
      </c>
      <c r="D1145" s="21"/>
      <c r="E1145" s="21"/>
      <c r="F1145" s="21" t="s">
        <v>10438</v>
      </c>
      <c r="G1145" s="21"/>
      <c r="H1145" s="54">
        <v>7</v>
      </c>
      <c r="I1145" s="51"/>
      <c r="J1145" s="27"/>
      <c r="K1145" s="27"/>
      <c r="L1145" s="15">
        <v>20</v>
      </c>
      <c r="M1145" s="15"/>
      <c r="N1145" s="4" t="s">
        <v>5283</v>
      </c>
      <c r="O1145" s="4"/>
    </row>
    <row r="1146" spans="1:15" x14ac:dyDescent="0.2">
      <c r="A1146" s="2">
        <v>40011202</v>
      </c>
      <c r="B1146" s="2" t="s">
        <v>3772</v>
      </c>
      <c r="C1146" s="5" t="s">
        <v>9347</v>
      </c>
      <c r="D1146" s="21">
        <v>4</v>
      </c>
      <c r="E1146" s="21"/>
      <c r="F1146" s="21" t="s">
        <v>10438</v>
      </c>
      <c r="G1146" s="21"/>
      <c r="H1146" s="54">
        <v>6</v>
      </c>
      <c r="I1146" s="51"/>
      <c r="J1146" s="27"/>
      <c r="K1146" s="27"/>
      <c r="L1146" s="15"/>
      <c r="M1146" s="15">
        <v>1</v>
      </c>
      <c r="N1146" s="4" t="s">
        <v>5286</v>
      </c>
      <c r="O1146" s="4"/>
    </row>
    <row r="1147" spans="1:15" x14ac:dyDescent="0.2">
      <c r="A1147" s="2">
        <v>40005693</v>
      </c>
      <c r="B1147" s="2" t="s">
        <v>1126</v>
      </c>
      <c r="C1147" s="5" t="s">
        <v>6843</v>
      </c>
      <c r="D1147" s="21">
        <v>24</v>
      </c>
      <c r="E1147" s="21"/>
      <c r="F1147" s="21" t="s">
        <v>10438</v>
      </c>
      <c r="G1147" s="21"/>
      <c r="H1147" s="54">
        <v>21</v>
      </c>
      <c r="I1147" s="51"/>
      <c r="J1147" s="27"/>
      <c r="K1147" s="27"/>
      <c r="L1147" s="15"/>
      <c r="M1147" s="15"/>
      <c r="N1147" s="4" t="s">
        <v>4219</v>
      </c>
      <c r="O1147" s="4" t="s">
        <v>10228</v>
      </c>
    </row>
    <row r="1148" spans="1:15" x14ac:dyDescent="0.2">
      <c r="A1148" s="2">
        <v>40011210</v>
      </c>
      <c r="B1148" s="2" t="s">
        <v>3777</v>
      </c>
      <c r="C1148" s="5" t="s">
        <v>9354</v>
      </c>
      <c r="D1148" s="21">
        <v>13</v>
      </c>
      <c r="E1148" s="21"/>
      <c r="F1148" s="21" t="s">
        <v>10438</v>
      </c>
      <c r="G1148" s="21"/>
      <c r="H1148" s="54">
        <v>15</v>
      </c>
      <c r="I1148" s="51"/>
      <c r="J1148" s="27"/>
      <c r="K1148" s="27"/>
      <c r="L1148" s="15"/>
      <c r="M1148" s="15"/>
      <c r="N1148" s="4" t="s">
        <v>4041</v>
      </c>
      <c r="O1148" s="4"/>
    </row>
    <row r="1149" spans="1:15" x14ac:dyDescent="0.2">
      <c r="A1149" s="2">
        <v>10018089</v>
      </c>
      <c r="B1149" s="2" t="s">
        <v>70</v>
      </c>
      <c r="C1149" s="5" t="s">
        <v>5603</v>
      </c>
      <c r="D1149" s="21">
        <v>12</v>
      </c>
      <c r="E1149" s="21"/>
      <c r="F1149" s="21" t="s">
        <v>10438</v>
      </c>
      <c r="G1149" s="21"/>
      <c r="H1149" s="54">
        <v>7725</v>
      </c>
      <c r="I1149" s="51">
        <v>6955</v>
      </c>
      <c r="J1149" s="27">
        <v>6</v>
      </c>
      <c r="K1149" s="27"/>
      <c r="L1149" s="15"/>
      <c r="M1149" s="15"/>
      <c r="N1149" s="4" t="s">
        <v>10713</v>
      </c>
      <c r="O1149" s="4" t="s">
        <v>10447</v>
      </c>
    </row>
    <row r="1150" spans="1:15" x14ac:dyDescent="0.2">
      <c r="A1150" s="2">
        <v>10018585</v>
      </c>
      <c r="B1150" s="2" t="s">
        <v>5349</v>
      </c>
      <c r="C1150" s="5" t="s">
        <v>5785</v>
      </c>
      <c r="D1150" s="21">
        <v>2</v>
      </c>
      <c r="E1150" s="21"/>
      <c r="F1150" s="21" t="s">
        <v>10438</v>
      </c>
      <c r="G1150" s="21"/>
      <c r="H1150" s="54">
        <v>2173</v>
      </c>
      <c r="I1150" s="51">
        <v>1956</v>
      </c>
      <c r="J1150" s="27"/>
      <c r="K1150" s="27"/>
      <c r="L1150" s="15"/>
      <c r="M1150" s="15"/>
      <c r="N1150" s="4"/>
      <c r="O1150" s="4" t="s">
        <v>10446</v>
      </c>
    </row>
    <row r="1151" spans="1:15" x14ac:dyDescent="0.2">
      <c r="A1151" s="2">
        <v>10019142</v>
      </c>
      <c r="B1151" s="2" t="s">
        <v>441</v>
      </c>
      <c r="C1151" s="5" t="s">
        <v>6046</v>
      </c>
      <c r="D1151" s="21">
        <v>2</v>
      </c>
      <c r="E1151" s="21"/>
      <c r="F1151" s="21" t="s">
        <v>10438</v>
      </c>
      <c r="G1151" s="21"/>
      <c r="H1151" s="54">
        <v>5709</v>
      </c>
      <c r="I1151" s="51">
        <v>4855</v>
      </c>
      <c r="J1151" s="27"/>
      <c r="K1151" s="27"/>
      <c r="L1151" s="15"/>
      <c r="M1151" s="15"/>
      <c r="N1151" s="4" t="s">
        <v>10713</v>
      </c>
      <c r="O1151" s="4"/>
    </row>
    <row r="1152" spans="1:15" x14ac:dyDescent="0.2">
      <c r="A1152" s="2">
        <v>40010383</v>
      </c>
      <c r="B1152" s="2" t="s">
        <v>3526</v>
      </c>
      <c r="C1152" s="5" t="s">
        <v>9228</v>
      </c>
      <c r="D1152" s="21">
        <v>2</v>
      </c>
      <c r="E1152" s="21"/>
      <c r="F1152" s="21" t="s">
        <v>10438</v>
      </c>
      <c r="G1152" s="21"/>
      <c r="H1152" s="54">
        <v>785</v>
      </c>
      <c r="I1152" s="51"/>
      <c r="J1152" s="27"/>
      <c r="K1152" s="27"/>
      <c r="L1152" s="15"/>
      <c r="M1152" s="15"/>
      <c r="N1152" s="4" t="s">
        <v>5259</v>
      </c>
      <c r="O1152" s="4"/>
    </row>
    <row r="1153" spans="1:15" x14ac:dyDescent="0.2">
      <c r="A1153" s="2">
        <v>40005658</v>
      </c>
      <c r="B1153" s="2" t="s">
        <v>1096</v>
      </c>
      <c r="C1153" s="5" t="s">
        <v>6814</v>
      </c>
      <c r="D1153" s="21">
        <v>33</v>
      </c>
      <c r="E1153" s="21"/>
      <c r="F1153" s="21" t="s">
        <v>10438</v>
      </c>
      <c r="G1153" s="21"/>
      <c r="H1153" s="54">
        <v>3</v>
      </c>
      <c r="I1153" s="51"/>
      <c r="J1153" s="27"/>
      <c r="K1153" s="27"/>
      <c r="L1153" s="15"/>
      <c r="M1153" s="15"/>
      <c r="N1153" s="4" t="s">
        <v>4197</v>
      </c>
      <c r="O1153" s="4"/>
    </row>
    <row r="1154" spans="1:15" x14ac:dyDescent="0.2">
      <c r="A1154" s="2">
        <v>40006143</v>
      </c>
      <c r="B1154" s="2" t="s">
        <v>1534</v>
      </c>
      <c r="C1154" s="5" t="s">
        <v>7238</v>
      </c>
      <c r="D1154" s="21">
        <v>14</v>
      </c>
      <c r="E1154" s="21"/>
      <c r="F1154" s="21" t="s">
        <v>10438</v>
      </c>
      <c r="G1154" s="21"/>
      <c r="H1154" s="54">
        <v>3</v>
      </c>
      <c r="I1154" s="51"/>
      <c r="J1154" s="27"/>
      <c r="K1154" s="27"/>
      <c r="L1154" s="15"/>
      <c r="M1154" s="15"/>
      <c r="N1154" s="4" t="s">
        <v>3968</v>
      </c>
      <c r="O1154" s="4"/>
    </row>
    <row r="1155" spans="1:15" x14ac:dyDescent="0.2">
      <c r="A1155" s="2">
        <v>40007160</v>
      </c>
      <c r="B1155" s="2" t="s">
        <v>2428</v>
      </c>
      <c r="C1155" s="5" t="s">
        <v>8130</v>
      </c>
      <c r="D1155" s="21">
        <v>31</v>
      </c>
      <c r="E1155" s="21"/>
      <c r="F1155" s="21" t="s">
        <v>10438</v>
      </c>
      <c r="G1155" s="21"/>
      <c r="H1155" s="54">
        <v>2</v>
      </c>
      <c r="I1155" s="51"/>
      <c r="J1155" s="27"/>
      <c r="K1155" s="27"/>
      <c r="L1155" s="15"/>
      <c r="M1155" s="15"/>
      <c r="N1155" s="4" t="s">
        <v>4852</v>
      </c>
      <c r="O1155" s="4"/>
    </row>
    <row r="1156" spans="1:15" x14ac:dyDescent="0.2">
      <c r="A1156" s="2">
        <v>40005692</v>
      </c>
      <c r="B1156" s="2" t="s">
        <v>1125</v>
      </c>
      <c r="C1156" s="5" t="s">
        <v>6842</v>
      </c>
      <c r="D1156" s="21">
        <v>3</v>
      </c>
      <c r="E1156" s="21"/>
      <c r="F1156" s="21" t="s">
        <v>10438</v>
      </c>
      <c r="G1156" s="21"/>
      <c r="H1156" s="54">
        <v>2</v>
      </c>
      <c r="I1156" s="51"/>
      <c r="J1156" s="27"/>
      <c r="K1156" s="27"/>
      <c r="L1156" s="15"/>
      <c r="M1156" s="15"/>
      <c r="N1156" s="4" t="s">
        <v>4215</v>
      </c>
      <c r="O1156" s="4"/>
    </row>
    <row r="1157" spans="1:15" x14ac:dyDescent="0.2">
      <c r="A1157" s="2">
        <v>40008154</v>
      </c>
      <c r="B1157" s="2" t="s">
        <v>3277</v>
      </c>
      <c r="C1157" s="5" t="s">
        <v>8972</v>
      </c>
      <c r="D1157" s="21">
        <v>18</v>
      </c>
      <c r="E1157" s="21"/>
      <c r="F1157" s="21" t="s">
        <v>10438</v>
      </c>
      <c r="G1157" s="21"/>
      <c r="H1157" s="54">
        <v>2</v>
      </c>
      <c r="I1157" s="51"/>
      <c r="J1157" s="27"/>
      <c r="K1157" s="27"/>
      <c r="L1157" s="15"/>
      <c r="M1157" s="15"/>
      <c r="N1157" s="4" t="s">
        <v>4209</v>
      </c>
      <c r="O1157" s="4"/>
    </row>
    <row r="1158" spans="1:15" x14ac:dyDescent="0.2">
      <c r="A1158" s="2">
        <v>40006797</v>
      </c>
      <c r="B1158" s="2" t="s">
        <v>2096</v>
      </c>
      <c r="C1158" s="5" t="s">
        <v>7805</v>
      </c>
      <c r="D1158" s="21">
        <v>15</v>
      </c>
      <c r="E1158" s="21"/>
      <c r="F1158" s="21" t="s">
        <v>10438</v>
      </c>
      <c r="G1158" s="21"/>
      <c r="H1158" s="54">
        <v>7</v>
      </c>
      <c r="I1158" s="51"/>
      <c r="J1158" s="27"/>
      <c r="K1158" s="27"/>
      <c r="L1158" s="15"/>
      <c r="M1158" s="15"/>
      <c r="N1158" s="4" t="s">
        <v>4433</v>
      </c>
      <c r="O1158" s="4"/>
    </row>
    <row r="1159" spans="1:15" x14ac:dyDescent="0.2">
      <c r="A1159" s="2">
        <v>40005968</v>
      </c>
      <c r="B1159" s="2" t="s">
        <v>1373</v>
      </c>
      <c r="C1159" s="5" t="s">
        <v>7079</v>
      </c>
      <c r="D1159" s="21">
        <v>2</v>
      </c>
      <c r="E1159" s="21"/>
      <c r="F1159" s="21" t="s">
        <v>10438</v>
      </c>
      <c r="G1159" s="21"/>
      <c r="H1159" s="54">
        <v>90</v>
      </c>
      <c r="I1159" s="51"/>
      <c r="J1159" s="27"/>
      <c r="K1159" s="27"/>
      <c r="L1159" s="15"/>
      <c r="M1159" s="15"/>
      <c r="N1159" s="4" t="s">
        <v>3976</v>
      </c>
      <c r="O1159" s="4"/>
    </row>
    <row r="1160" spans="1:15" x14ac:dyDescent="0.2">
      <c r="A1160" s="2">
        <v>40007146</v>
      </c>
      <c r="B1160" s="2" t="s">
        <v>2414</v>
      </c>
      <c r="C1160" s="5" t="s">
        <v>8116</v>
      </c>
      <c r="D1160" s="21"/>
      <c r="E1160" s="21"/>
      <c r="F1160" s="21" t="s">
        <v>10438</v>
      </c>
      <c r="G1160" s="21"/>
      <c r="H1160" s="54">
        <v>8</v>
      </c>
      <c r="I1160" s="51"/>
      <c r="J1160" s="27"/>
      <c r="K1160" s="27"/>
      <c r="L1160" s="15"/>
      <c r="M1160" s="15"/>
      <c r="N1160" s="4" t="s">
        <v>10468</v>
      </c>
      <c r="O1160" s="4" t="s">
        <v>10194</v>
      </c>
    </row>
    <row r="1161" spans="1:15" x14ac:dyDescent="0.2">
      <c r="A1161" s="2">
        <v>40005596</v>
      </c>
      <c r="B1161" s="2" t="s">
        <v>1041</v>
      </c>
      <c r="C1161" s="5" t="s">
        <v>6769</v>
      </c>
      <c r="D1161" s="21">
        <v>14</v>
      </c>
      <c r="E1161" s="21"/>
      <c r="F1161" s="21" t="s">
        <v>10438</v>
      </c>
      <c r="G1161" s="21"/>
      <c r="H1161" s="54">
        <v>1</v>
      </c>
      <c r="I1161" s="51"/>
      <c r="J1161" s="27"/>
      <c r="K1161" s="27"/>
      <c r="L1161" s="15"/>
      <c r="M1161" s="15"/>
      <c r="N1161" s="4" t="s">
        <v>4164</v>
      </c>
      <c r="O1161" s="4"/>
    </row>
    <row r="1162" spans="1:15" x14ac:dyDescent="0.2">
      <c r="A1162" s="2">
        <v>40007095</v>
      </c>
      <c r="B1162" s="2" t="s">
        <v>2367</v>
      </c>
      <c r="C1162" s="5">
        <v>225212012</v>
      </c>
      <c r="D1162" s="21">
        <v>5</v>
      </c>
      <c r="E1162" s="21"/>
      <c r="F1162" s="21" t="s">
        <v>10438</v>
      </c>
      <c r="G1162" s="21"/>
      <c r="H1162" s="54">
        <v>67</v>
      </c>
      <c r="I1162" s="51"/>
      <c r="J1162" s="27"/>
      <c r="K1162" s="27"/>
      <c r="L1162" s="15"/>
      <c r="M1162" s="15"/>
      <c r="N1162" s="4" t="s">
        <v>4826</v>
      </c>
      <c r="O1162" s="4"/>
    </row>
    <row r="1163" spans="1:15" x14ac:dyDescent="0.2">
      <c r="A1163" s="2">
        <v>40011146</v>
      </c>
      <c r="B1163" s="2" t="s">
        <v>3712</v>
      </c>
      <c r="C1163" s="5" t="s">
        <v>9326</v>
      </c>
      <c r="D1163" s="21">
        <v>2</v>
      </c>
      <c r="E1163" s="21"/>
      <c r="F1163" s="21" t="s">
        <v>10438</v>
      </c>
      <c r="G1163" s="21"/>
      <c r="H1163" s="54">
        <v>194</v>
      </c>
      <c r="I1163" s="51"/>
      <c r="J1163" s="27"/>
      <c r="K1163" s="27"/>
      <c r="L1163" s="15"/>
      <c r="M1163" s="15"/>
      <c r="N1163" s="4"/>
      <c r="O1163" s="4">
        <v>64</v>
      </c>
    </row>
    <row r="1164" spans="1:15" x14ac:dyDescent="0.2">
      <c r="A1164" s="2">
        <v>40006893</v>
      </c>
      <c r="B1164" s="2" t="s">
        <v>2188</v>
      </c>
      <c r="C1164" s="5" t="s">
        <v>7897</v>
      </c>
      <c r="D1164" s="21">
        <v>9</v>
      </c>
      <c r="E1164" s="21"/>
      <c r="F1164" s="21" t="s">
        <v>10438</v>
      </c>
      <c r="G1164" s="21"/>
      <c r="H1164" s="54">
        <v>225</v>
      </c>
      <c r="I1164" s="51"/>
      <c r="J1164" s="27"/>
      <c r="K1164" s="27"/>
      <c r="L1164" s="15"/>
      <c r="M1164" s="15"/>
      <c r="N1164" s="4"/>
      <c r="O1164" s="4" t="s">
        <v>10158</v>
      </c>
    </row>
    <row r="1165" spans="1:15" x14ac:dyDescent="0.2">
      <c r="A1165" s="2">
        <v>40005904</v>
      </c>
      <c r="B1165" s="2" t="s">
        <v>1317</v>
      </c>
      <c r="C1165" s="5" t="s">
        <v>7025</v>
      </c>
      <c r="D1165" s="21">
        <v>2</v>
      </c>
      <c r="E1165" s="21"/>
      <c r="F1165" s="21" t="s">
        <v>10438</v>
      </c>
      <c r="G1165" s="21"/>
      <c r="H1165" s="54">
        <v>14</v>
      </c>
      <c r="I1165" s="51"/>
      <c r="J1165" s="27"/>
      <c r="K1165" s="27"/>
      <c r="L1165" s="15"/>
      <c r="M1165" s="15"/>
      <c r="N1165" s="4" t="s">
        <v>4313</v>
      </c>
      <c r="O1165" s="4"/>
    </row>
    <row r="1166" spans="1:15" x14ac:dyDescent="0.2">
      <c r="A1166" s="2">
        <v>40007995</v>
      </c>
      <c r="B1166" s="2" t="s">
        <v>3135</v>
      </c>
      <c r="C1166" s="5" t="s">
        <v>8834</v>
      </c>
      <c r="D1166" s="21">
        <v>3</v>
      </c>
      <c r="E1166" s="21"/>
      <c r="F1166" s="21" t="s">
        <v>10438</v>
      </c>
      <c r="G1166" s="21"/>
      <c r="H1166" s="54">
        <v>8</v>
      </c>
      <c r="I1166" s="51"/>
      <c r="J1166" s="27"/>
      <c r="K1166" s="27"/>
      <c r="L1166" s="15">
        <v>2</v>
      </c>
      <c r="M1166" s="15"/>
      <c r="N1166" s="4" t="s">
        <v>4983</v>
      </c>
      <c r="O1166" s="4"/>
    </row>
    <row r="1167" spans="1:15" x14ac:dyDescent="0.2">
      <c r="A1167" s="2">
        <v>40006049</v>
      </c>
      <c r="B1167" s="2" t="s">
        <v>1448</v>
      </c>
      <c r="C1167" s="5" t="s">
        <v>7151</v>
      </c>
      <c r="D1167" s="21">
        <v>1</v>
      </c>
      <c r="E1167" s="21"/>
      <c r="F1167" s="21" t="s">
        <v>10438</v>
      </c>
      <c r="G1167" s="21"/>
      <c r="H1167" s="54">
        <v>25</v>
      </c>
      <c r="I1167" s="51"/>
      <c r="J1167" s="27"/>
      <c r="K1167" s="27"/>
      <c r="L1167" s="15"/>
      <c r="M1167" s="15"/>
      <c r="N1167" s="4" t="s">
        <v>4387</v>
      </c>
      <c r="O1167" s="4"/>
    </row>
    <row r="1168" spans="1:15" x14ac:dyDescent="0.2">
      <c r="A1168" s="2">
        <v>40005507</v>
      </c>
      <c r="B1168" s="2" t="s">
        <v>973</v>
      </c>
      <c r="C1168" s="5" t="s">
        <v>6695</v>
      </c>
      <c r="D1168" s="21">
        <v>1</v>
      </c>
      <c r="E1168" s="21"/>
      <c r="F1168" s="21" t="s">
        <v>10438</v>
      </c>
      <c r="G1168" s="21"/>
      <c r="H1168" s="54">
        <v>44</v>
      </c>
      <c r="I1168" s="51"/>
      <c r="J1168" s="27"/>
      <c r="K1168" s="27"/>
      <c r="L1168" s="15"/>
      <c r="M1168" s="15"/>
      <c r="N1168" s="4"/>
      <c r="O1168" s="4">
        <v>90</v>
      </c>
    </row>
    <row r="1169" spans="1:15" x14ac:dyDescent="0.2">
      <c r="A1169" s="2">
        <v>40011404</v>
      </c>
      <c r="B1169" s="2" t="s">
        <v>5411</v>
      </c>
      <c r="C1169" s="5" t="s">
        <v>9386</v>
      </c>
      <c r="D1169" s="21">
        <v>2</v>
      </c>
      <c r="E1169" s="21"/>
      <c r="F1169" s="21" t="s">
        <v>10438</v>
      </c>
      <c r="G1169" s="21"/>
      <c r="H1169" s="54">
        <v>25</v>
      </c>
      <c r="I1169" s="51"/>
      <c r="J1169" s="27"/>
      <c r="K1169" s="27"/>
      <c r="L1169" s="15"/>
      <c r="M1169" s="15"/>
      <c r="N1169" s="4" t="s">
        <v>5173</v>
      </c>
      <c r="O1169" s="4"/>
    </row>
    <row r="1170" spans="1:15" x14ac:dyDescent="0.2">
      <c r="A1170" s="2">
        <v>40006980</v>
      </c>
      <c r="B1170" s="2" t="s">
        <v>2269</v>
      </c>
      <c r="C1170" s="5" t="s">
        <v>7975</v>
      </c>
      <c r="D1170" s="21">
        <v>19</v>
      </c>
      <c r="E1170" s="21"/>
      <c r="F1170" s="21" t="s">
        <v>10438</v>
      </c>
      <c r="G1170" s="21"/>
      <c r="H1170" s="54">
        <v>35</v>
      </c>
      <c r="I1170" s="51"/>
      <c r="J1170" s="27"/>
      <c r="K1170" s="27"/>
      <c r="L1170" s="15"/>
      <c r="M1170" s="15"/>
      <c r="N1170" s="4"/>
      <c r="O1170" s="4" t="s">
        <v>10234</v>
      </c>
    </row>
    <row r="1171" spans="1:15" x14ac:dyDescent="0.2">
      <c r="A1171" s="2">
        <v>40006901</v>
      </c>
      <c r="B1171" s="2" t="s">
        <v>2196</v>
      </c>
      <c r="C1171" s="5" t="s">
        <v>7905</v>
      </c>
      <c r="D1171" s="21">
        <v>10</v>
      </c>
      <c r="E1171" s="21"/>
      <c r="F1171" s="21" t="s">
        <v>10438</v>
      </c>
      <c r="G1171" s="21"/>
      <c r="H1171" s="54">
        <v>52</v>
      </c>
      <c r="I1171" s="51"/>
      <c r="J1171" s="27"/>
      <c r="K1171" s="27"/>
      <c r="L1171" s="15"/>
      <c r="M1171" s="15"/>
      <c r="N1171" s="4"/>
      <c r="O1171" s="4" t="s">
        <v>10336</v>
      </c>
    </row>
    <row r="1172" spans="1:15" x14ac:dyDescent="0.2">
      <c r="A1172" s="2">
        <v>40011203</v>
      </c>
      <c r="B1172" s="2" t="s">
        <v>3773</v>
      </c>
      <c r="C1172" s="5" t="s">
        <v>9348</v>
      </c>
      <c r="D1172" s="21">
        <v>7</v>
      </c>
      <c r="E1172" s="21"/>
      <c r="F1172" s="21" t="s">
        <v>10438</v>
      </c>
      <c r="G1172" s="21"/>
      <c r="H1172" s="54">
        <v>398</v>
      </c>
      <c r="I1172" s="51"/>
      <c r="J1172" s="27"/>
      <c r="K1172" s="27"/>
      <c r="L1172" s="15"/>
      <c r="M1172" s="15"/>
      <c r="N1172" s="4"/>
      <c r="O1172" s="4" t="s">
        <v>5190</v>
      </c>
    </row>
    <row r="1173" spans="1:15" x14ac:dyDescent="0.2">
      <c r="A1173" s="2">
        <v>40010314</v>
      </c>
      <c r="B1173" s="2" t="s">
        <v>3500</v>
      </c>
      <c r="C1173" s="5" t="s">
        <v>9195</v>
      </c>
      <c r="D1173" s="21">
        <v>2</v>
      </c>
      <c r="E1173" s="21"/>
      <c r="F1173" s="21" t="s">
        <v>10438</v>
      </c>
      <c r="G1173" s="21"/>
      <c r="H1173" s="54">
        <v>449</v>
      </c>
      <c r="I1173" s="51"/>
      <c r="J1173" s="27"/>
      <c r="K1173" s="27"/>
      <c r="L1173" s="15"/>
      <c r="M1173" s="15"/>
      <c r="N1173" s="4" t="s">
        <v>5260</v>
      </c>
      <c r="O1173" s="4" t="s">
        <v>10102</v>
      </c>
    </row>
    <row r="1174" spans="1:15" x14ac:dyDescent="0.2">
      <c r="A1174" s="2">
        <v>40005648</v>
      </c>
      <c r="B1174" s="2" t="s">
        <v>1087</v>
      </c>
      <c r="C1174" s="5" t="s">
        <v>6806</v>
      </c>
      <c r="D1174" s="21">
        <v>8</v>
      </c>
      <c r="E1174" s="21"/>
      <c r="F1174" s="21" t="s">
        <v>10438</v>
      </c>
      <c r="G1174" s="21"/>
      <c r="H1174" s="54">
        <v>429</v>
      </c>
      <c r="I1174" s="51"/>
      <c r="J1174" s="27"/>
      <c r="K1174" s="27"/>
      <c r="L1174" s="15"/>
      <c r="M1174" s="15"/>
      <c r="N1174" s="4"/>
      <c r="O1174" s="4" t="s">
        <v>10116</v>
      </c>
    </row>
    <row r="1175" spans="1:15" x14ac:dyDescent="0.2">
      <c r="A1175" s="2">
        <v>40005511</v>
      </c>
      <c r="B1175" s="2" t="s">
        <v>977</v>
      </c>
      <c r="C1175" s="5" t="s">
        <v>6699</v>
      </c>
      <c r="D1175" s="21">
        <v>1</v>
      </c>
      <c r="E1175" s="21"/>
      <c r="F1175" s="21" t="s">
        <v>10438</v>
      </c>
      <c r="G1175" s="21"/>
      <c r="H1175" s="54">
        <v>20</v>
      </c>
      <c r="I1175" s="51"/>
      <c r="J1175" s="27"/>
      <c r="K1175" s="27"/>
      <c r="L1175" s="15"/>
      <c r="M1175" s="15"/>
      <c r="N1175" s="4"/>
      <c r="O1175" s="4" t="s">
        <v>10328</v>
      </c>
    </row>
    <row r="1176" spans="1:15" x14ac:dyDescent="0.2">
      <c r="A1176" s="2">
        <v>40006260</v>
      </c>
      <c r="B1176" s="2" t="s">
        <v>1636</v>
      </c>
      <c r="C1176" s="5" t="s">
        <v>7341</v>
      </c>
      <c r="D1176" s="21">
        <v>1</v>
      </c>
      <c r="E1176" s="21"/>
      <c r="F1176" s="21" t="s">
        <v>10438</v>
      </c>
      <c r="G1176" s="21"/>
      <c r="H1176" s="54">
        <v>12</v>
      </c>
      <c r="I1176" s="51"/>
      <c r="J1176" s="27"/>
      <c r="K1176" s="27"/>
      <c r="L1176" s="15"/>
      <c r="M1176" s="15"/>
      <c r="N1176" s="4" t="s">
        <v>4493</v>
      </c>
      <c r="O1176" s="4"/>
    </row>
    <row r="1177" spans="1:15" x14ac:dyDescent="0.2">
      <c r="A1177" s="2">
        <v>40006895</v>
      </c>
      <c r="B1177" s="2" t="s">
        <v>2190</v>
      </c>
      <c r="C1177" s="5" t="s">
        <v>7899</v>
      </c>
      <c r="D1177" s="21">
        <v>10</v>
      </c>
      <c r="E1177" s="21"/>
      <c r="F1177" s="21" t="s">
        <v>10438</v>
      </c>
      <c r="G1177" s="21"/>
      <c r="H1177" s="54">
        <v>41</v>
      </c>
      <c r="I1177" s="51"/>
      <c r="J1177" s="27"/>
      <c r="K1177" s="27"/>
      <c r="L1177" s="15"/>
      <c r="M1177" s="15"/>
      <c r="N1177" s="4"/>
      <c r="O1177" s="4">
        <v>75</v>
      </c>
    </row>
    <row r="1178" spans="1:15" x14ac:dyDescent="0.2">
      <c r="A1178" s="2">
        <v>40005815</v>
      </c>
      <c r="B1178" s="2" t="s">
        <v>1236</v>
      </c>
      <c r="C1178" s="5" t="s">
        <v>6949</v>
      </c>
      <c r="D1178" s="21">
        <v>4</v>
      </c>
      <c r="E1178" s="21"/>
      <c r="F1178" s="21" t="s">
        <v>10438</v>
      </c>
      <c r="G1178" s="21"/>
      <c r="H1178" s="54">
        <v>210</v>
      </c>
      <c r="I1178" s="51"/>
      <c r="J1178" s="27"/>
      <c r="K1178" s="27"/>
      <c r="L1178" s="15"/>
      <c r="M1178" s="15"/>
      <c r="N1178" s="4" t="s">
        <v>4275</v>
      </c>
      <c r="O1178" s="4"/>
    </row>
    <row r="1179" spans="1:15" x14ac:dyDescent="0.2">
      <c r="A1179" s="2">
        <v>40005983</v>
      </c>
      <c r="B1179" s="2" t="s">
        <v>1388</v>
      </c>
      <c r="C1179" s="5" t="s">
        <v>7094</v>
      </c>
      <c r="D1179" s="21">
        <v>13</v>
      </c>
      <c r="E1179" s="21"/>
      <c r="F1179" s="21" t="s">
        <v>10438</v>
      </c>
      <c r="G1179" s="21"/>
      <c r="H1179" s="54">
        <v>139</v>
      </c>
      <c r="I1179" s="51"/>
      <c r="J1179" s="27"/>
      <c r="K1179" s="27"/>
      <c r="L1179" s="15"/>
      <c r="M1179" s="15"/>
      <c r="N1179" s="4"/>
      <c r="O1179" s="4" t="s">
        <v>10178</v>
      </c>
    </row>
    <row r="1180" spans="1:15" x14ac:dyDescent="0.2">
      <c r="A1180" s="2">
        <v>40008067</v>
      </c>
      <c r="B1180" s="2" t="s">
        <v>3199</v>
      </c>
      <c r="C1180" s="5" t="s">
        <v>8894</v>
      </c>
      <c r="D1180" s="21">
        <v>1</v>
      </c>
      <c r="E1180" s="21"/>
      <c r="F1180" s="21" t="s">
        <v>10438</v>
      </c>
      <c r="G1180" s="21"/>
      <c r="H1180" s="54">
        <v>128</v>
      </c>
      <c r="I1180" s="51"/>
      <c r="J1180" s="27"/>
      <c r="K1180" s="27"/>
      <c r="L1180" s="15"/>
      <c r="M1180" s="15"/>
      <c r="N1180" s="4" t="s">
        <v>5184</v>
      </c>
      <c r="O1180" s="4"/>
    </row>
    <row r="1181" spans="1:15" x14ac:dyDescent="0.2">
      <c r="A1181" s="2">
        <v>40005570</v>
      </c>
      <c r="B1181" s="2" t="s">
        <v>1022</v>
      </c>
      <c r="C1181" s="5" t="s">
        <v>6747</v>
      </c>
      <c r="D1181" s="21">
        <v>1</v>
      </c>
      <c r="E1181" s="21"/>
      <c r="F1181" s="21" t="s">
        <v>10438</v>
      </c>
      <c r="G1181" s="21"/>
      <c r="H1181" s="54">
        <v>84</v>
      </c>
      <c r="I1181" s="51"/>
      <c r="J1181" s="27"/>
      <c r="K1181" s="27"/>
      <c r="L1181" s="15"/>
      <c r="M1181" s="15"/>
      <c r="N1181" s="4" t="s">
        <v>4149</v>
      </c>
      <c r="O1181" s="4"/>
    </row>
    <row r="1182" spans="1:15" x14ac:dyDescent="0.2">
      <c r="A1182" s="2">
        <v>40011162</v>
      </c>
      <c r="B1182" s="2" t="s">
        <v>3602</v>
      </c>
      <c r="C1182" s="5" t="s">
        <v>9336</v>
      </c>
      <c r="D1182" s="21">
        <v>2</v>
      </c>
      <c r="E1182" s="21"/>
      <c r="F1182" s="21" t="s">
        <v>10438</v>
      </c>
      <c r="G1182" s="21"/>
      <c r="H1182" s="54">
        <v>170</v>
      </c>
      <c r="I1182" s="51"/>
      <c r="J1182" s="27"/>
      <c r="K1182" s="27"/>
      <c r="L1182" s="15"/>
      <c r="M1182" s="15"/>
      <c r="N1182" s="4" t="s">
        <v>4282</v>
      </c>
      <c r="O1182" s="4"/>
    </row>
    <row r="1183" spans="1:15" x14ac:dyDescent="0.2">
      <c r="A1183" s="2">
        <v>40005728</v>
      </c>
      <c r="B1183" s="2" t="s">
        <v>1156</v>
      </c>
      <c r="C1183" s="5" t="s">
        <v>6874</v>
      </c>
      <c r="D1183" s="21">
        <v>3</v>
      </c>
      <c r="E1183" s="21"/>
      <c r="F1183" s="21" t="s">
        <v>10438</v>
      </c>
      <c r="G1183" s="21"/>
      <c r="H1183" s="54">
        <v>425</v>
      </c>
      <c r="I1183" s="51"/>
      <c r="J1183" s="27"/>
      <c r="K1183" s="27"/>
      <c r="L1183" s="15"/>
      <c r="M1183" s="15"/>
      <c r="N1183" s="4"/>
      <c r="O1183" s="4" t="s">
        <v>10159</v>
      </c>
    </row>
    <row r="1184" spans="1:15" x14ac:dyDescent="0.2">
      <c r="A1184" s="2">
        <v>40005234</v>
      </c>
      <c r="B1184" s="2" t="s">
        <v>760</v>
      </c>
      <c r="C1184" s="5" t="s">
        <v>6474</v>
      </c>
      <c r="D1184" s="21">
        <v>13</v>
      </c>
      <c r="E1184" s="21"/>
      <c r="F1184" s="21" t="s">
        <v>10438</v>
      </c>
      <c r="G1184" s="21"/>
      <c r="H1184" s="54">
        <v>121</v>
      </c>
      <c r="I1184" s="51"/>
      <c r="J1184" s="27"/>
      <c r="K1184" s="27"/>
      <c r="L1184" s="15"/>
      <c r="M1184" s="15"/>
      <c r="N1184" s="4" t="s">
        <v>4016</v>
      </c>
      <c r="O1184" s="4"/>
    </row>
    <row r="1185" spans="1:15" x14ac:dyDescent="0.2">
      <c r="A1185" s="2">
        <v>40011405</v>
      </c>
      <c r="B1185" s="2" t="s">
        <v>5485</v>
      </c>
      <c r="C1185" s="5" t="s">
        <v>9387</v>
      </c>
      <c r="D1185" s="21">
        <v>1</v>
      </c>
      <c r="E1185" s="21"/>
      <c r="F1185" s="21" t="s">
        <v>10438</v>
      </c>
      <c r="G1185" s="21"/>
      <c r="H1185" s="54">
        <v>968</v>
      </c>
      <c r="I1185" s="51"/>
      <c r="J1185" s="27"/>
      <c r="K1185" s="27"/>
      <c r="L1185" s="15"/>
      <c r="M1185" s="15"/>
      <c r="N1185" s="4"/>
      <c r="O1185" s="4">
        <v>86</v>
      </c>
    </row>
    <row r="1186" spans="1:15" x14ac:dyDescent="0.2">
      <c r="A1186" s="2">
        <v>40011406</v>
      </c>
      <c r="B1186" s="2" t="s">
        <v>5486</v>
      </c>
      <c r="C1186" s="5" t="s">
        <v>9388</v>
      </c>
      <c r="D1186" s="21">
        <v>2</v>
      </c>
      <c r="E1186" s="21"/>
      <c r="F1186" s="21" t="s">
        <v>10438</v>
      </c>
      <c r="G1186" s="21"/>
      <c r="H1186" s="54">
        <v>733</v>
      </c>
      <c r="I1186" s="51"/>
      <c r="J1186" s="27"/>
      <c r="K1186" s="27"/>
      <c r="L1186" s="15"/>
      <c r="M1186" s="15"/>
      <c r="N1186" s="4"/>
      <c r="O1186" s="4">
        <v>100</v>
      </c>
    </row>
    <row r="1187" spans="1:15" x14ac:dyDescent="0.2">
      <c r="A1187" s="2">
        <v>40006468</v>
      </c>
      <c r="B1187" s="2" t="s">
        <v>1822</v>
      </c>
      <c r="C1187" s="5" t="s">
        <v>7530</v>
      </c>
      <c r="D1187" s="21">
        <v>8</v>
      </c>
      <c r="E1187" s="21"/>
      <c r="F1187" s="21" t="s">
        <v>10438</v>
      </c>
      <c r="G1187" s="21"/>
      <c r="H1187" s="54">
        <v>517</v>
      </c>
      <c r="I1187" s="51"/>
      <c r="J1187" s="27"/>
      <c r="K1187" s="27"/>
      <c r="L1187" s="15"/>
      <c r="M1187" s="15"/>
      <c r="N1187" s="4" t="s">
        <v>10720</v>
      </c>
      <c r="O1187" s="4" t="s">
        <v>10120</v>
      </c>
    </row>
    <row r="1188" spans="1:15" x14ac:dyDescent="0.2">
      <c r="A1188" s="2">
        <v>40007001</v>
      </c>
      <c r="B1188" s="2" t="s">
        <v>2287</v>
      </c>
      <c r="C1188" s="5">
        <v>957151102</v>
      </c>
      <c r="D1188" s="21">
        <v>10</v>
      </c>
      <c r="E1188" s="21"/>
      <c r="F1188" s="21" t="s">
        <v>10438</v>
      </c>
      <c r="G1188" s="21"/>
      <c r="H1188" s="54">
        <v>1559</v>
      </c>
      <c r="I1188" s="51"/>
      <c r="J1188" s="27"/>
      <c r="K1188" s="27"/>
      <c r="L1188" s="15"/>
      <c r="M1188" s="15"/>
      <c r="N1188" s="4"/>
      <c r="O1188" s="4">
        <v>17</v>
      </c>
    </row>
    <row r="1189" spans="1:15" x14ac:dyDescent="0.2">
      <c r="A1189" s="2">
        <v>40007263</v>
      </c>
      <c r="B1189" s="2" t="s">
        <v>3924</v>
      </c>
      <c r="C1189" s="5" t="s">
        <v>8209</v>
      </c>
      <c r="D1189" s="21">
        <v>16</v>
      </c>
      <c r="E1189" s="21"/>
      <c r="F1189" s="21" t="s">
        <v>10438</v>
      </c>
      <c r="G1189" s="21"/>
      <c r="H1189" s="54">
        <v>6</v>
      </c>
      <c r="I1189" s="51"/>
      <c r="J1189" s="27"/>
      <c r="K1189" s="27"/>
      <c r="L1189" s="15"/>
      <c r="M1189" s="15"/>
      <c r="N1189" s="4" t="s">
        <v>4507</v>
      </c>
      <c r="O1189" s="4"/>
    </row>
    <row r="1190" spans="1:15" x14ac:dyDescent="0.2">
      <c r="A1190" s="2">
        <v>40006034</v>
      </c>
      <c r="B1190" s="2" t="s">
        <v>1435</v>
      </c>
      <c r="C1190" s="5" t="s">
        <v>7137</v>
      </c>
      <c r="D1190" s="21">
        <v>20</v>
      </c>
      <c r="E1190" s="21"/>
      <c r="F1190" s="21" t="s">
        <v>10438</v>
      </c>
      <c r="G1190" s="21"/>
      <c r="H1190" s="54">
        <v>6</v>
      </c>
      <c r="I1190" s="51"/>
      <c r="J1190" s="27"/>
      <c r="K1190" s="27"/>
      <c r="L1190" s="15"/>
      <c r="M1190" s="15"/>
      <c r="N1190" s="4" t="s">
        <v>4377</v>
      </c>
      <c r="O1190" s="4"/>
    </row>
    <row r="1191" spans="1:15" x14ac:dyDescent="0.2">
      <c r="A1191" s="2">
        <v>10018227</v>
      </c>
      <c r="B1191" s="2" t="s">
        <v>113</v>
      </c>
      <c r="C1191" s="5" t="s">
        <v>5650</v>
      </c>
      <c r="D1191" s="21">
        <v>1</v>
      </c>
      <c r="E1191" s="21"/>
      <c r="F1191" s="21" t="s">
        <v>10438</v>
      </c>
      <c r="G1191" s="21"/>
      <c r="H1191" s="54">
        <v>5334</v>
      </c>
      <c r="I1191" s="51">
        <v>4001</v>
      </c>
      <c r="J1191" s="27"/>
      <c r="K1191" s="27"/>
      <c r="L1191" s="15"/>
      <c r="M1191" s="15"/>
      <c r="N1191" s="4"/>
      <c r="O1191" s="4" t="s">
        <v>10469</v>
      </c>
    </row>
    <row r="1192" spans="1:15" x14ac:dyDescent="0.2">
      <c r="A1192" s="2">
        <v>40005869</v>
      </c>
      <c r="B1192" s="2" t="s">
        <v>1285</v>
      </c>
      <c r="C1192" s="5" t="s">
        <v>6996</v>
      </c>
      <c r="D1192" s="21">
        <v>5</v>
      </c>
      <c r="E1192" s="21"/>
      <c r="F1192" s="21" t="s">
        <v>10438</v>
      </c>
      <c r="G1192" s="21"/>
      <c r="H1192" s="54">
        <v>439</v>
      </c>
      <c r="I1192" s="51"/>
      <c r="J1192" s="27"/>
      <c r="K1192" s="27"/>
      <c r="L1192" s="15"/>
      <c r="M1192" s="15"/>
      <c r="N1192" s="4" t="s">
        <v>4297</v>
      </c>
      <c r="O1192" s="4"/>
    </row>
    <row r="1193" spans="1:15" x14ac:dyDescent="0.2">
      <c r="A1193" s="2">
        <v>40008256</v>
      </c>
      <c r="B1193" s="2" t="s">
        <v>3371</v>
      </c>
      <c r="C1193" s="5" t="s">
        <v>9063</v>
      </c>
      <c r="D1193" s="21">
        <v>30</v>
      </c>
      <c r="E1193" s="21"/>
      <c r="F1193" s="21" t="s">
        <v>10438</v>
      </c>
      <c r="G1193" s="21"/>
      <c r="H1193" s="54">
        <v>7</v>
      </c>
      <c r="I1193" s="51"/>
      <c r="J1193" s="27"/>
      <c r="K1193" s="27"/>
      <c r="L1193" s="15"/>
      <c r="M1193" s="15"/>
      <c r="N1193" s="4" t="s">
        <v>5002</v>
      </c>
      <c r="O1193" s="4"/>
    </row>
    <row r="1194" spans="1:15" x14ac:dyDescent="0.2">
      <c r="A1194" s="2">
        <v>40006182</v>
      </c>
      <c r="B1194" s="2" t="s">
        <v>1567</v>
      </c>
      <c r="C1194" s="5" t="s">
        <v>7274</v>
      </c>
      <c r="D1194" s="21">
        <v>1</v>
      </c>
      <c r="E1194" s="21"/>
      <c r="F1194" s="21" t="s">
        <v>10438</v>
      </c>
      <c r="G1194" s="21"/>
      <c r="H1194" s="54">
        <v>13</v>
      </c>
      <c r="I1194" s="51"/>
      <c r="J1194" s="27"/>
      <c r="K1194" s="27"/>
      <c r="L1194" s="15"/>
      <c r="M1194" s="15"/>
      <c r="N1194" s="4" t="s">
        <v>4457</v>
      </c>
      <c r="O1194" s="4"/>
    </row>
    <row r="1195" spans="1:15" x14ac:dyDescent="0.2">
      <c r="A1195" s="2">
        <v>40006819</v>
      </c>
      <c r="B1195" s="2" t="s">
        <v>2118</v>
      </c>
      <c r="C1195" s="5" t="s">
        <v>7827</v>
      </c>
      <c r="D1195" s="21">
        <v>163</v>
      </c>
      <c r="E1195" s="21"/>
      <c r="F1195" s="21" t="s">
        <v>10438</v>
      </c>
      <c r="G1195" s="21"/>
      <c r="H1195" s="54">
        <v>5</v>
      </c>
      <c r="I1195" s="51"/>
      <c r="J1195" s="27"/>
      <c r="K1195" s="27"/>
      <c r="L1195" s="15"/>
      <c r="M1195" s="15"/>
      <c r="N1195" s="4" t="s">
        <v>4695</v>
      </c>
      <c r="O1195" s="4" t="s">
        <v>10225</v>
      </c>
    </row>
    <row r="1196" spans="1:15" x14ac:dyDescent="0.2">
      <c r="A1196" s="2">
        <v>40005650</v>
      </c>
      <c r="B1196" s="2" t="s">
        <v>1089</v>
      </c>
      <c r="C1196" s="5" t="s">
        <v>6808</v>
      </c>
      <c r="D1196" s="21">
        <v>17</v>
      </c>
      <c r="E1196" s="21"/>
      <c r="F1196" s="21" t="s">
        <v>10438</v>
      </c>
      <c r="G1196" s="21"/>
      <c r="H1196" s="54">
        <v>6</v>
      </c>
      <c r="I1196" s="51"/>
      <c r="J1196" s="27"/>
      <c r="K1196" s="27"/>
      <c r="L1196" s="15"/>
      <c r="M1196" s="15"/>
      <c r="N1196" s="4" t="s">
        <v>4191</v>
      </c>
      <c r="O1196" s="4"/>
    </row>
    <row r="1197" spans="1:15" x14ac:dyDescent="0.2">
      <c r="A1197" s="2">
        <v>40005672</v>
      </c>
      <c r="B1197" s="2" t="s">
        <v>1108</v>
      </c>
      <c r="C1197" s="5" t="s">
        <v>6826</v>
      </c>
      <c r="D1197" s="21">
        <v>8</v>
      </c>
      <c r="E1197" s="21"/>
      <c r="F1197" s="21" t="s">
        <v>10438</v>
      </c>
      <c r="G1197" s="21"/>
      <c r="H1197" s="54">
        <v>5</v>
      </c>
      <c r="I1197" s="51"/>
      <c r="J1197" s="27"/>
      <c r="K1197" s="27"/>
      <c r="L1197" s="15"/>
      <c r="M1197" s="15"/>
      <c r="N1197" s="4" t="s">
        <v>4208</v>
      </c>
      <c r="O1197" s="4"/>
    </row>
    <row r="1198" spans="1:15" x14ac:dyDescent="0.2">
      <c r="A1198" s="2">
        <v>40006397</v>
      </c>
      <c r="B1198" s="2" t="s">
        <v>1757</v>
      </c>
      <c r="C1198" s="5" t="s">
        <v>7468</v>
      </c>
      <c r="D1198" s="21">
        <v>4</v>
      </c>
      <c r="E1198" s="21"/>
      <c r="F1198" s="21" t="s">
        <v>10438</v>
      </c>
      <c r="G1198" s="21"/>
      <c r="H1198" s="54">
        <v>8</v>
      </c>
      <c r="I1198" s="51"/>
      <c r="J1198" s="27"/>
      <c r="K1198" s="27"/>
      <c r="L1198" s="15"/>
      <c r="M1198" s="15"/>
      <c r="N1198" s="4" t="s">
        <v>4399</v>
      </c>
      <c r="O1198" s="4"/>
    </row>
    <row r="1199" spans="1:15" x14ac:dyDescent="0.2">
      <c r="A1199" s="2">
        <v>40005866</v>
      </c>
      <c r="B1199" s="2" t="s">
        <v>1282</v>
      </c>
      <c r="C1199" s="5" t="s">
        <v>6993</v>
      </c>
      <c r="D1199" s="21">
        <v>8</v>
      </c>
      <c r="E1199" s="21"/>
      <c r="F1199" s="30">
        <v>2</v>
      </c>
      <c r="G1199" s="21"/>
      <c r="H1199" s="54">
        <v>16</v>
      </c>
      <c r="I1199" s="51"/>
      <c r="J1199" s="27"/>
      <c r="K1199" s="27"/>
      <c r="L1199" s="15"/>
      <c r="M1199" s="15">
        <v>4</v>
      </c>
      <c r="N1199" s="4" t="s">
        <v>4295</v>
      </c>
      <c r="O1199" s="4"/>
    </row>
    <row r="1200" spans="1:15" x14ac:dyDescent="0.2">
      <c r="A1200" s="2">
        <v>40006703</v>
      </c>
      <c r="B1200" s="2" t="s">
        <v>2017</v>
      </c>
      <c r="C1200" s="5" t="s">
        <v>7727</v>
      </c>
      <c r="D1200" s="21"/>
      <c r="E1200" s="21"/>
      <c r="F1200" s="21" t="s">
        <v>10438</v>
      </c>
      <c r="G1200" s="21"/>
      <c r="H1200" s="54">
        <v>11</v>
      </c>
      <c r="I1200" s="51"/>
      <c r="J1200" s="27"/>
      <c r="K1200" s="27"/>
      <c r="L1200" s="15"/>
      <c r="M1200" s="15"/>
      <c r="N1200" s="4" t="s">
        <v>4652</v>
      </c>
      <c r="O1200" s="4"/>
    </row>
    <row r="1201" spans="1:15" x14ac:dyDescent="0.2">
      <c r="A1201" s="2">
        <v>40005490</v>
      </c>
      <c r="B1201" s="2" t="s">
        <v>959</v>
      </c>
      <c r="C1201" s="5" t="s">
        <v>6681</v>
      </c>
      <c r="D1201" s="21">
        <v>2</v>
      </c>
      <c r="E1201" s="21"/>
      <c r="F1201" s="21" t="s">
        <v>10438</v>
      </c>
      <c r="G1201" s="21"/>
      <c r="H1201" s="54">
        <v>14</v>
      </c>
      <c r="I1201" s="51"/>
      <c r="J1201" s="27"/>
      <c r="K1201" s="27"/>
      <c r="L1201" s="15"/>
      <c r="M1201" s="15"/>
      <c r="N1201" s="4"/>
      <c r="O1201" s="4" t="s">
        <v>10331</v>
      </c>
    </row>
    <row r="1202" spans="1:15" x14ac:dyDescent="0.2">
      <c r="A1202" s="2">
        <v>40005504</v>
      </c>
      <c r="B1202" s="2" t="s">
        <v>972</v>
      </c>
      <c r="C1202" s="5" t="s">
        <v>6694</v>
      </c>
      <c r="D1202" s="21">
        <v>8</v>
      </c>
      <c r="E1202" s="21"/>
      <c r="F1202" s="21" t="s">
        <v>10438</v>
      </c>
      <c r="G1202" s="21"/>
      <c r="H1202" s="54">
        <v>17</v>
      </c>
      <c r="I1202" s="51"/>
      <c r="J1202" s="27"/>
      <c r="K1202" s="27"/>
      <c r="L1202" s="15"/>
      <c r="M1202" s="15"/>
      <c r="N1202" s="4"/>
      <c r="O1202" s="4" t="s">
        <v>4676</v>
      </c>
    </row>
    <row r="1203" spans="1:15" x14ac:dyDescent="0.2">
      <c r="A1203" s="2">
        <v>40011166</v>
      </c>
      <c r="B1203" s="2" t="s">
        <v>3605</v>
      </c>
      <c r="C1203" s="5" t="s">
        <v>9339</v>
      </c>
      <c r="D1203" s="21">
        <v>1</v>
      </c>
      <c r="E1203" s="21"/>
      <c r="F1203" s="21" t="s">
        <v>10438</v>
      </c>
      <c r="G1203" s="21"/>
      <c r="H1203" s="54">
        <v>10</v>
      </c>
      <c r="I1203" s="51"/>
      <c r="J1203" s="27"/>
      <c r="K1203" s="27"/>
      <c r="L1203" s="15"/>
      <c r="M1203" s="15"/>
      <c r="N1203" s="4" t="s">
        <v>3986</v>
      </c>
      <c r="O1203" s="4"/>
    </row>
    <row r="1204" spans="1:15" x14ac:dyDescent="0.2">
      <c r="A1204" s="2">
        <v>40006361</v>
      </c>
      <c r="B1204" s="2" t="s">
        <v>1724</v>
      </c>
      <c r="C1204" s="5" t="s">
        <v>7434</v>
      </c>
      <c r="D1204" s="21">
        <v>2</v>
      </c>
      <c r="E1204" s="21"/>
      <c r="F1204" s="21" t="s">
        <v>10438</v>
      </c>
      <c r="G1204" s="21"/>
      <c r="H1204" s="54">
        <v>2</v>
      </c>
      <c r="I1204" s="51"/>
      <c r="J1204" s="27"/>
      <c r="K1204" s="27"/>
      <c r="L1204" s="15"/>
      <c r="M1204" s="15"/>
      <c r="N1204" s="4" t="s">
        <v>4546</v>
      </c>
      <c r="O1204" s="4"/>
    </row>
    <row r="1205" spans="1:15" x14ac:dyDescent="0.2">
      <c r="A1205" s="2">
        <v>10019949</v>
      </c>
      <c r="B1205" s="2" t="s">
        <v>639</v>
      </c>
      <c r="C1205" s="5" t="s">
        <v>6279</v>
      </c>
      <c r="D1205" s="21">
        <v>71</v>
      </c>
      <c r="E1205" s="21"/>
      <c r="F1205" s="21" t="s">
        <v>10438</v>
      </c>
      <c r="G1205" s="21"/>
      <c r="H1205" s="54">
        <v>46</v>
      </c>
      <c r="I1205" s="51"/>
      <c r="J1205" s="27"/>
      <c r="K1205" s="27"/>
      <c r="L1205" s="15"/>
      <c r="M1205" s="15"/>
      <c r="N1205" s="4">
        <v>102</v>
      </c>
      <c r="O1205" s="4" t="s">
        <v>10470</v>
      </c>
    </row>
    <row r="1206" spans="1:15" x14ac:dyDescent="0.2">
      <c r="A1206" s="2">
        <v>10019950</v>
      </c>
      <c r="B1206" s="2" t="s">
        <v>640</v>
      </c>
      <c r="C1206" s="5" t="s">
        <v>6280</v>
      </c>
      <c r="D1206" s="21">
        <v>173</v>
      </c>
      <c r="E1206" s="21"/>
      <c r="F1206" s="21" t="s">
        <v>10438</v>
      </c>
      <c r="G1206" s="21"/>
      <c r="H1206" s="54">
        <v>81</v>
      </c>
      <c r="I1206" s="51"/>
      <c r="J1206" s="27"/>
      <c r="K1206" s="27"/>
      <c r="L1206" s="15"/>
      <c r="M1206" s="15"/>
      <c r="N1206" s="4">
        <v>112</v>
      </c>
      <c r="O1206" s="4" t="s">
        <v>10470</v>
      </c>
    </row>
    <row r="1207" spans="1:15" x14ac:dyDescent="0.2">
      <c r="A1207" s="2">
        <v>10019020</v>
      </c>
      <c r="B1207" s="2" t="s">
        <v>405</v>
      </c>
      <c r="C1207" s="5" t="s">
        <v>6008</v>
      </c>
      <c r="D1207" s="21">
        <v>1010</v>
      </c>
      <c r="E1207" s="21"/>
      <c r="F1207" s="21" t="s">
        <v>10438</v>
      </c>
      <c r="G1207" s="21"/>
      <c r="H1207" s="54">
        <v>11</v>
      </c>
      <c r="I1207" s="51"/>
      <c r="J1207" s="27"/>
      <c r="K1207" s="27"/>
      <c r="L1207" s="15">
        <v>1000</v>
      </c>
      <c r="M1207" s="15">
        <v>500</v>
      </c>
      <c r="N1207" s="4">
        <v>101</v>
      </c>
      <c r="O1207" s="4"/>
    </row>
    <row r="1208" spans="1:15" x14ac:dyDescent="0.2">
      <c r="A1208" s="2">
        <v>10019051</v>
      </c>
      <c r="B1208" s="2" t="s">
        <v>417</v>
      </c>
      <c r="C1208" s="5" t="s">
        <v>6020</v>
      </c>
      <c r="D1208" s="21">
        <v>14</v>
      </c>
      <c r="E1208" s="21">
        <v>14</v>
      </c>
      <c r="F1208" s="21" t="s">
        <v>10438</v>
      </c>
      <c r="G1208" s="21">
        <v>4</v>
      </c>
      <c r="H1208" s="54">
        <v>4920</v>
      </c>
      <c r="I1208" s="51">
        <v>4530</v>
      </c>
      <c r="J1208" s="27">
        <v>38</v>
      </c>
      <c r="K1208" s="27">
        <v>38</v>
      </c>
      <c r="L1208" s="15">
        <v>40</v>
      </c>
      <c r="M1208" s="15">
        <v>60</v>
      </c>
      <c r="N1208" s="4" t="s">
        <v>10713</v>
      </c>
      <c r="O1208" s="4" t="s">
        <v>10455</v>
      </c>
    </row>
    <row r="1209" spans="1:15" x14ac:dyDescent="0.2">
      <c r="A1209" s="2">
        <v>10019975</v>
      </c>
      <c r="B1209" s="2" t="s">
        <v>3871</v>
      </c>
      <c r="C1209" s="5" t="s">
        <v>6292</v>
      </c>
      <c r="D1209" s="21">
        <v>2</v>
      </c>
      <c r="E1209" s="21"/>
      <c r="F1209" s="21" t="s">
        <v>10438</v>
      </c>
      <c r="G1209" s="21"/>
      <c r="H1209" s="54">
        <v>12540</v>
      </c>
      <c r="I1209" s="51">
        <v>10660</v>
      </c>
      <c r="J1209" s="27">
        <v>3</v>
      </c>
      <c r="K1209" s="27"/>
      <c r="L1209" s="15"/>
      <c r="M1209" s="15"/>
      <c r="N1209" s="4"/>
      <c r="O1209" s="4" t="s">
        <v>10462</v>
      </c>
    </row>
    <row r="1210" spans="1:15" x14ac:dyDescent="0.2">
      <c r="A1210" s="2">
        <v>10018771</v>
      </c>
      <c r="B1210" s="2" t="s">
        <v>302</v>
      </c>
      <c r="C1210" s="5" t="s">
        <v>5884</v>
      </c>
      <c r="D1210" s="21">
        <v>75</v>
      </c>
      <c r="E1210" s="21"/>
      <c r="F1210" s="21" t="s">
        <v>10438</v>
      </c>
      <c r="G1210" s="21"/>
      <c r="H1210" s="54">
        <v>46</v>
      </c>
      <c r="I1210" s="51"/>
      <c r="J1210" s="27"/>
      <c r="K1210" s="27"/>
      <c r="L1210" s="15">
        <v>100</v>
      </c>
      <c r="M1210" s="15">
        <v>100</v>
      </c>
      <c r="N1210" s="4">
        <v>102</v>
      </c>
      <c r="O1210" s="4"/>
    </row>
    <row r="1211" spans="1:15" x14ac:dyDescent="0.2">
      <c r="A1211" s="2">
        <v>10019960</v>
      </c>
      <c r="B1211" s="2" t="s">
        <v>10453</v>
      </c>
      <c r="C1211" s="5" t="s">
        <v>6286</v>
      </c>
      <c r="D1211" s="21">
        <v>555</v>
      </c>
      <c r="E1211" s="21"/>
      <c r="F1211" s="21" t="s">
        <v>10438</v>
      </c>
      <c r="G1211" s="21"/>
      <c r="H1211" s="54">
        <v>56</v>
      </c>
      <c r="I1211" s="51"/>
      <c r="J1211" s="27"/>
      <c r="K1211" s="27"/>
      <c r="L1211" s="15">
        <v>500</v>
      </c>
      <c r="M1211" s="15">
        <v>500</v>
      </c>
      <c r="N1211" s="4">
        <v>112</v>
      </c>
      <c r="O1211" s="4" t="s">
        <v>10470</v>
      </c>
    </row>
    <row r="1212" spans="1:15" x14ac:dyDescent="0.2">
      <c r="A1212" s="2">
        <v>10041628</v>
      </c>
      <c r="B1212" s="7" t="s">
        <v>5474</v>
      </c>
      <c r="C1212" s="5" t="s">
        <v>6405</v>
      </c>
      <c r="D1212" s="21">
        <v>91</v>
      </c>
      <c r="E1212" s="21"/>
      <c r="F1212" s="21" t="s">
        <v>10438</v>
      </c>
      <c r="G1212" s="21"/>
      <c r="H1212" s="54">
        <v>24</v>
      </c>
      <c r="I1212" s="51"/>
      <c r="J1212" s="27"/>
      <c r="K1212" s="27"/>
      <c r="L1212" s="15">
        <v>100</v>
      </c>
      <c r="M1212" s="15"/>
      <c r="N1212" s="4">
        <v>102</v>
      </c>
      <c r="O1212" s="4"/>
    </row>
    <row r="1213" spans="1:15" x14ac:dyDescent="0.2">
      <c r="A1213" s="2">
        <v>10019992</v>
      </c>
      <c r="B1213" s="2" t="s">
        <v>652</v>
      </c>
      <c r="C1213" s="5" t="s">
        <v>6298</v>
      </c>
      <c r="D1213" s="21">
        <v>6</v>
      </c>
      <c r="E1213" s="21"/>
      <c r="F1213" s="21" t="s">
        <v>10438</v>
      </c>
      <c r="G1213" s="21"/>
      <c r="H1213" s="54">
        <v>2250</v>
      </c>
      <c r="I1213" s="51">
        <v>2025</v>
      </c>
      <c r="J1213" s="27">
        <v>18</v>
      </c>
      <c r="K1213" s="27"/>
      <c r="L1213" s="15"/>
      <c r="M1213" s="15"/>
      <c r="N1213" s="4" t="s">
        <v>3607</v>
      </c>
      <c r="O1213" s="4" t="s">
        <v>10445</v>
      </c>
    </row>
    <row r="1214" spans="1:15" x14ac:dyDescent="0.2">
      <c r="A1214" s="2">
        <v>10018970</v>
      </c>
      <c r="B1214" s="2" t="s">
        <v>388</v>
      </c>
      <c r="C1214" s="5" t="s">
        <v>5985</v>
      </c>
      <c r="D1214" s="21"/>
      <c r="E1214" s="21"/>
      <c r="F1214" s="21" t="s">
        <v>10438</v>
      </c>
      <c r="G1214" s="21"/>
      <c r="H1214" s="54">
        <v>576</v>
      </c>
      <c r="I1214" s="51"/>
      <c r="J1214" s="27"/>
      <c r="K1214" s="27"/>
      <c r="L1214" s="15"/>
      <c r="M1214" s="15"/>
      <c r="N1214" s="4" t="s">
        <v>10713</v>
      </c>
      <c r="O1214" s="4"/>
    </row>
    <row r="1215" spans="1:15" x14ac:dyDescent="0.2">
      <c r="A1215" s="2">
        <v>40005796</v>
      </c>
      <c r="B1215" s="2" t="s">
        <v>1219</v>
      </c>
      <c r="C1215" s="5" t="s">
        <v>6932</v>
      </c>
      <c r="D1215" s="21">
        <v>1</v>
      </c>
      <c r="E1215" s="21"/>
      <c r="F1215" s="21" t="s">
        <v>10438</v>
      </c>
      <c r="G1215" s="21"/>
      <c r="H1215" s="54">
        <v>2985</v>
      </c>
      <c r="I1215" s="51"/>
      <c r="J1215" s="27"/>
      <c r="K1215" s="27"/>
      <c r="L1215" s="15"/>
      <c r="M1215" s="15"/>
      <c r="N1215" s="4"/>
      <c r="O1215" s="4">
        <v>20</v>
      </c>
    </row>
    <row r="1216" spans="1:15" x14ac:dyDescent="0.2">
      <c r="A1216" s="2">
        <v>40007033</v>
      </c>
      <c r="B1216" s="2" t="s">
        <v>2312</v>
      </c>
      <c r="C1216" s="5" t="s">
        <v>8022</v>
      </c>
      <c r="D1216" s="21">
        <v>4</v>
      </c>
      <c r="E1216" s="21"/>
      <c r="F1216" s="21" t="s">
        <v>10438</v>
      </c>
      <c r="G1216" s="21"/>
      <c r="H1216" s="54">
        <v>1915</v>
      </c>
      <c r="I1216" s="51"/>
      <c r="J1216" s="27"/>
      <c r="K1216" s="27"/>
      <c r="L1216" s="15"/>
      <c r="M1216" s="15"/>
      <c r="N1216" s="4"/>
      <c r="O1216" s="4">
        <v>94</v>
      </c>
    </row>
    <row r="1217" spans="1:15" x14ac:dyDescent="0.2">
      <c r="A1217" s="2">
        <v>40007246</v>
      </c>
      <c r="B1217" s="2" t="s">
        <v>2500</v>
      </c>
      <c r="C1217" s="5" t="s">
        <v>8197</v>
      </c>
      <c r="D1217" s="21">
        <v>13</v>
      </c>
      <c r="E1217" s="21"/>
      <c r="F1217" s="21" t="s">
        <v>10438</v>
      </c>
      <c r="G1217" s="21"/>
      <c r="H1217" s="54">
        <v>1198</v>
      </c>
      <c r="I1217" s="51"/>
      <c r="J1217" s="27"/>
      <c r="K1217" s="27"/>
      <c r="L1217" s="15"/>
      <c r="M1217" s="15"/>
      <c r="N1217" s="4"/>
      <c r="O1217" s="4">
        <v>94</v>
      </c>
    </row>
    <row r="1218" spans="1:15" x14ac:dyDescent="0.2">
      <c r="A1218" s="2">
        <v>40006262</v>
      </c>
      <c r="B1218" s="2" t="s">
        <v>1638</v>
      </c>
      <c r="C1218" s="5" t="s">
        <v>7343</v>
      </c>
      <c r="D1218" s="21">
        <v>1</v>
      </c>
      <c r="E1218" s="21"/>
      <c r="F1218" s="21" t="s">
        <v>10438</v>
      </c>
      <c r="G1218" s="21"/>
      <c r="H1218" s="54">
        <v>234</v>
      </c>
      <c r="I1218" s="51"/>
      <c r="J1218" s="27"/>
      <c r="K1218" s="27"/>
      <c r="L1218" s="15"/>
      <c r="M1218" s="15"/>
      <c r="N1218" s="4"/>
      <c r="O1218" s="4" t="s">
        <v>10169</v>
      </c>
    </row>
    <row r="1219" spans="1:15" x14ac:dyDescent="0.2">
      <c r="A1219" s="2">
        <v>10018854</v>
      </c>
      <c r="B1219" s="2" t="s">
        <v>338</v>
      </c>
      <c r="C1219" s="10" t="s">
        <v>5928</v>
      </c>
      <c r="D1219" s="21">
        <v>15</v>
      </c>
      <c r="E1219" s="21"/>
      <c r="F1219" s="21" t="s">
        <v>10438</v>
      </c>
      <c r="G1219" s="21"/>
      <c r="H1219" s="54">
        <v>580</v>
      </c>
      <c r="I1219" s="51"/>
      <c r="J1219" s="27"/>
      <c r="K1219" s="27"/>
      <c r="L1219" s="15"/>
      <c r="M1219" s="15"/>
      <c r="N1219" s="4" t="s">
        <v>3948</v>
      </c>
      <c r="O1219" s="4" t="s">
        <v>10337</v>
      </c>
    </row>
    <row r="1220" spans="1:15" x14ac:dyDescent="0.2">
      <c r="A1220" s="2">
        <v>40005367</v>
      </c>
      <c r="B1220" s="2" t="s">
        <v>848</v>
      </c>
      <c r="C1220" s="5" t="s">
        <v>6568</v>
      </c>
      <c r="D1220" s="21">
        <v>5</v>
      </c>
      <c r="E1220" s="21"/>
      <c r="F1220" s="21" t="s">
        <v>10438</v>
      </c>
      <c r="G1220" s="21"/>
      <c r="H1220" s="54">
        <v>4466</v>
      </c>
      <c r="I1220" s="51"/>
      <c r="J1220" s="27"/>
      <c r="K1220" s="27"/>
      <c r="L1220" s="15"/>
      <c r="M1220" s="15"/>
      <c r="N1220" s="4">
        <v>23</v>
      </c>
      <c r="O1220" s="4"/>
    </row>
    <row r="1221" spans="1:15" x14ac:dyDescent="0.2">
      <c r="A1221" s="2">
        <v>40006570</v>
      </c>
      <c r="B1221" s="2" t="s">
        <v>1907</v>
      </c>
      <c r="C1221" s="5" t="s">
        <v>7615</v>
      </c>
      <c r="D1221" s="21">
        <v>1</v>
      </c>
      <c r="E1221" s="21"/>
      <c r="F1221" s="21" t="s">
        <v>10438</v>
      </c>
      <c r="G1221" s="21"/>
      <c r="H1221" s="54">
        <v>763</v>
      </c>
      <c r="I1221" s="51"/>
      <c r="J1221" s="27"/>
      <c r="K1221" s="27"/>
      <c r="L1221" s="15"/>
      <c r="M1221" s="15"/>
      <c r="N1221" s="4"/>
      <c r="O1221" s="4" t="s">
        <v>10216</v>
      </c>
    </row>
    <row r="1222" spans="1:15" x14ac:dyDescent="0.2">
      <c r="A1222" s="2">
        <v>40010279</v>
      </c>
      <c r="B1222" s="2" t="s">
        <v>3470</v>
      </c>
      <c r="C1222" s="5" t="s">
        <v>9164</v>
      </c>
      <c r="D1222" s="21">
        <v>8</v>
      </c>
      <c r="E1222" s="21"/>
      <c r="F1222" s="21" t="s">
        <v>10438</v>
      </c>
      <c r="G1222" s="21"/>
      <c r="H1222" s="54">
        <v>49</v>
      </c>
      <c r="I1222" s="51"/>
      <c r="J1222" s="27"/>
      <c r="K1222" s="27"/>
      <c r="L1222" s="15"/>
      <c r="M1222" s="15"/>
      <c r="N1222" s="4" t="s">
        <v>4052</v>
      </c>
      <c r="O1222" s="4"/>
    </row>
    <row r="1223" spans="1:15" x14ac:dyDescent="0.2">
      <c r="A1223" s="2">
        <v>40006245</v>
      </c>
      <c r="B1223" s="2" t="s">
        <v>1622</v>
      </c>
      <c r="C1223" s="5" t="s">
        <v>7326</v>
      </c>
      <c r="D1223" s="21">
        <v>2</v>
      </c>
      <c r="E1223" s="21"/>
      <c r="F1223" s="21" t="s">
        <v>10438</v>
      </c>
      <c r="G1223" s="21"/>
      <c r="H1223" s="54">
        <v>57</v>
      </c>
      <c r="I1223" s="51"/>
      <c r="J1223" s="27"/>
      <c r="K1223" s="27"/>
      <c r="L1223" s="15"/>
      <c r="M1223" s="15"/>
      <c r="N1223" s="4"/>
      <c r="O1223" s="4">
        <v>75</v>
      </c>
    </row>
    <row r="1224" spans="1:15" x14ac:dyDescent="0.2">
      <c r="A1224" s="2">
        <v>40006780</v>
      </c>
      <c r="B1224" s="2" t="s">
        <v>2080</v>
      </c>
      <c r="C1224" s="5" t="s">
        <v>7790</v>
      </c>
      <c r="D1224" s="21">
        <v>2</v>
      </c>
      <c r="E1224" s="21"/>
      <c r="F1224" s="21" t="s">
        <v>10438</v>
      </c>
      <c r="G1224" s="21"/>
      <c r="H1224" s="54">
        <v>3422</v>
      </c>
      <c r="I1224" s="51"/>
      <c r="J1224" s="27"/>
      <c r="K1224" s="27"/>
      <c r="L1224" s="15"/>
      <c r="M1224" s="15"/>
      <c r="N1224" s="4"/>
      <c r="O1224" s="4">
        <v>94</v>
      </c>
    </row>
    <row r="1225" spans="1:15" x14ac:dyDescent="0.2">
      <c r="A1225" s="2">
        <v>40006202</v>
      </c>
      <c r="B1225" s="2" t="s">
        <v>1585</v>
      </c>
      <c r="C1225" s="5" t="s">
        <v>7292</v>
      </c>
      <c r="D1225" s="21">
        <v>3</v>
      </c>
      <c r="E1225" s="21"/>
      <c r="F1225" s="21" t="s">
        <v>10438</v>
      </c>
      <c r="G1225" s="21"/>
      <c r="H1225" s="54">
        <v>4657</v>
      </c>
      <c r="I1225" s="51"/>
      <c r="J1225" s="27"/>
      <c r="K1225" s="27"/>
      <c r="L1225" s="15"/>
      <c r="M1225" s="15"/>
      <c r="N1225" s="4" t="s">
        <v>4472</v>
      </c>
      <c r="O1225" s="4"/>
    </row>
    <row r="1226" spans="1:15" x14ac:dyDescent="0.2">
      <c r="A1226" s="2">
        <v>40007352</v>
      </c>
      <c r="B1226" s="2" t="s">
        <v>2585</v>
      </c>
      <c r="C1226" s="5" t="s">
        <v>8283</v>
      </c>
      <c r="D1226" s="21">
        <v>1</v>
      </c>
      <c r="E1226" s="21"/>
      <c r="F1226" s="21" t="s">
        <v>10438</v>
      </c>
      <c r="G1226" s="21"/>
      <c r="H1226" s="54">
        <v>3410</v>
      </c>
      <c r="I1226" s="51"/>
      <c r="J1226" s="27"/>
      <c r="K1226" s="27"/>
      <c r="L1226" s="15"/>
      <c r="M1226" s="15"/>
      <c r="N1226" s="4" t="s">
        <v>4927</v>
      </c>
      <c r="O1226" s="4"/>
    </row>
    <row r="1227" spans="1:15" x14ac:dyDescent="0.2">
      <c r="A1227" s="2">
        <v>40006264</v>
      </c>
      <c r="B1227" s="2" t="s">
        <v>1640</v>
      </c>
      <c r="C1227" s="5" t="s">
        <v>7345</v>
      </c>
      <c r="D1227" s="21">
        <v>1</v>
      </c>
      <c r="E1227" s="21"/>
      <c r="F1227" s="21" t="s">
        <v>10438</v>
      </c>
      <c r="G1227" s="21"/>
      <c r="H1227" s="54">
        <v>3801</v>
      </c>
      <c r="I1227" s="51"/>
      <c r="J1227" s="27"/>
      <c r="K1227" s="27"/>
      <c r="L1227" s="15"/>
      <c r="M1227" s="15"/>
      <c r="N1227" s="4"/>
      <c r="O1227" s="4">
        <v>94</v>
      </c>
    </row>
    <row r="1228" spans="1:15" x14ac:dyDescent="0.2">
      <c r="A1228" s="2">
        <v>40007862</v>
      </c>
      <c r="B1228" s="2" t="s">
        <v>3019</v>
      </c>
      <c r="C1228" s="5">
        <v>195131202</v>
      </c>
      <c r="D1228" s="21">
        <v>1</v>
      </c>
      <c r="E1228" s="21"/>
      <c r="F1228" s="21" t="s">
        <v>10438</v>
      </c>
      <c r="G1228" s="21"/>
      <c r="H1228" s="54">
        <v>2014</v>
      </c>
      <c r="I1228" s="51"/>
      <c r="J1228" s="27"/>
      <c r="K1228" s="27"/>
      <c r="L1228" s="15"/>
      <c r="M1228" s="15"/>
      <c r="N1228" s="4"/>
      <c r="O1228" s="4">
        <v>94</v>
      </c>
    </row>
    <row r="1229" spans="1:15" x14ac:dyDescent="0.2">
      <c r="A1229" s="2">
        <v>40008020</v>
      </c>
      <c r="B1229" s="2" t="s">
        <v>3160</v>
      </c>
      <c r="C1229" s="5" t="s">
        <v>8854</v>
      </c>
      <c r="D1229" s="21">
        <v>7</v>
      </c>
      <c r="E1229" s="21"/>
      <c r="F1229" s="21" t="s">
        <v>10438</v>
      </c>
      <c r="G1229" s="21"/>
      <c r="H1229" s="54">
        <v>730</v>
      </c>
      <c r="I1229" s="51"/>
      <c r="J1229" s="27"/>
      <c r="K1229" s="27"/>
      <c r="L1229" s="15"/>
      <c r="M1229" s="15"/>
      <c r="N1229" s="4"/>
      <c r="O1229" s="4" t="s">
        <v>10091</v>
      </c>
    </row>
    <row r="1230" spans="1:15" x14ac:dyDescent="0.2">
      <c r="A1230" s="2">
        <v>40007923</v>
      </c>
      <c r="B1230" s="2" t="s">
        <v>3077</v>
      </c>
      <c r="C1230" s="5" t="s">
        <v>8769</v>
      </c>
      <c r="D1230" s="21">
        <v>15</v>
      </c>
      <c r="E1230" s="21"/>
      <c r="F1230" s="21" t="s">
        <v>10438</v>
      </c>
      <c r="G1230" s="21"/>
      <c r="H1230" s="54">
        <v>105</v>
      </c>
      <c r="I1230" s="51"/>
      <c r="J1230" s="27"/>
      <c r="K1230" s="27"/>
      <c r="L1230" s="15"/>
      <c r="M1230" s="15"/>
      <c r="N1230" s="4" t="s">
        <v>5130</v>
      </c>
      <c r="O1230" s="4"/>
    </row>
    <row r="1231" spans="1:15" x14ac:dyDescent="0.2">
      <c r="A1231" s="2">
        <v>40005797</v>
      </c>
      <c r="B1231" s="2" t="s">
        <v>1220</v>
      </c>
      <c r="C1231" s="5" t="s">
        <v>6933</v>
      </c>
      <c r="D1231" s="21">
        <v>1</v>
      </c>
      <c r="E1231" s="21"/>
      <c r="F1231" s="21" t="s">
        <v>10438</v>
      </c>
      <c r="G1231" s="21"/>
      <c r="H1231" s="54">
        <v>3775</v>
      </c>
      <c r="I1231" s="51"/>
      <c r="J1231" s="27"/>
      <c r="K1231" s="27"/>
      <c r="L1231" s="15"/>
      <c r="M1231" s="15"/>
      <c r="N1231" s="4"/>
      <c r="O1231" s="4">
        <v>94</v>
      </c>
    </row>
    <row r="1232" spans="1:15" x14ac:dyDescent="0.2">
      <c r="A1232" s="2">
        <v>40005427</v>
      </c>
      <c r="B1232" s="2" t="s">
        <v>902</v>
      </c>
      <c r="C1232" s="5" t="s">
        <v>6624</v>
      </c>
      <c r="D1232" s="21">
        <v>1</v>
      </c>
      <c r="E1232" s="21"/>
      <c r="F1232" s="21" t="s">
        <v>10438</v>
      </c>
      <c r="G1232" s="21"/>
      <c r="H1232" s="54">
        <v>14</v>
      </c>
      <c r="I1232" s="51"/>
      <c r="J1232" s="27"/>
      <c r="K1232" s="27"/>
      <c r="L1232" s="15"/>
      <c r="M1232" s="15"/>
      <c r="N1232" s="4"/>
      <c r="O1232" s="4" t="s">
        <v>10216</v>
      </c>
    </row>
    <row r="1233" spans="1:15" x14ac:dyDescent="0.2">
      <c r="A1233" s="2">
        <v>40007925</v>
      </c>
      <c r="B1233" s="2" t="s">
        <v>3079</v>
      </c>
      <c r="C1233" s="5" t="s">
        <v>8771</v>
      </c>
      <c r="D1233" s="21">
        <v>4</v>
      </c>
      <c r="E1233" s="21"/>
      <c r="F1233" s="21" t="s">
        <v>10438</v>
      </c>
      <c r="G1233" s="21"/>
      <c r="H1233" s="54">
        <v>373</v>
      </c>
      <c r="I1233" s="51"/>
      <c r="J1233" s="27"/>
      <c r="K1233" s="27"/>
      <c r="L1233" s="15"/>
      <c r="M1233" s="15"/>
      <c r="N1233" s="4" t="s">
        <v>3941</v>
      </c>
      <c r="O1233" s="4"/>
    </row>
    <row r="1234" spans="1:15" x14ac:dyDescent="0.2">
      <c r="A1234" s="2">
        <v>40006926</v>
      </c>
      <c r="B1234" s="2" t="s">
        <v>2219</v>
      </c>
      <c r="C1234" s="5" t="s">
        <v>7928</v>
      </c>
      <c r="D1234" s="21">
        <v>35</v>
      </c>
      <c r="E1234" s="21"/>
      <c r="F1234" s="21" t="s">
        <v>10438</v>
      </c>
      <c r="G1234" s="21"/>
      <c r="H1234" s="54">
        <v>4</v>
      </c>
      <c r="I1234" s="51"/>
      <c r="J1234" s="27"/>
      <c r="K1234" s="27"/>
      <c r="L1234" s="15"/>
      <c r="M1234" s="15"/>
      <c r="N1234" s="4" t="s">
        <v>4747</v>
      </c>
      <c r="O1234" s="4"/>
    </row>
    <row r="1235" spans="1:15" x14ac:dyDescent="0.2">
      <c r="A1235" s="2">
        <v>10018672</v>
      </c>
      <c r="B1235" s="2" t="s">
        <v>264</v>
      </c>
      <c r="C1235" s="5" t="s">
        <v>5832</v>
      </c>
      <c r="D1235" s="21">
        <v>11</v>
      </c>
      <c r="E1235" s="21"/>
      <c r="F1235" s="21" t="s">
        <v>10438</v>
      </c>
      <c r="G1235" s="21"/>
      <c r="H1235" s="54">
        <v>3855</v>
      </c>
      <c r="I1235" s="51">
        <v>3280</v>
      </c>
      <c r="J1235" s="27">
        <v>6</v>
      </c>
      <c r="K1235" s="27"/>
      <c r="L1235" s="15"/>
      <c r="M1235" s="15">
        <v>10</v>
      </c>
      <c r="N1235" s="4" t="s">
        <v>10713</v>
      </c>
      <c r="O1235" s="4" t="s">
        <v>10445</v>
      </c>
    </row>
    <row r="1236" spans="1:15" x14ac:dyDescent="0.2">
      <c r="A1236" s="2">
        <v>10018714</v>
      </c>
      <c r="B1236" s="2" t="s">
        <v>283</v>
      </c>
      <c r="C1236" s="5" t="s">
        <v>5857</v>
      </c>
      <c r="D1236" s="21">
        <v>6</v>
      </c>
      <c r="E1236" s="21">
        <v>6</v>
      </c>
      <c r="F1236" s="21" t="s">
        <v>10438</v>
      </c>
      <c r="G1236" s="21">
        <v>2</v>
      </c>
      <c r="H1236" s="54">
        <v>9890</v>
      </c>
      <c r="I1236" s="51">
        <v>8705</v>
      </c>
      <c r="J1236" s="27">
        <v>5</v>
      </c>
      <c r="K1236" s="27">
        <v>5</v>
      </c>
      <c r="L1236" s="15"/>
      <c r="M1236" s="15">
        <v>15</v>
      </c>
      <c r="N1236" s="4"/>
      <c r="O1236" s="4" t="s">
        <v>10449</v>
      </c>
    </row>
    <row r="1237" spans="1:15" x14ac:dyDescent="0.2">
      <c r="A1237" s="2">
        <v>10018883</v>
      </c>
      <c r="B1237" s="2" t="s">
        <v>5362</v>
      </c>
      <c r="C1237" s="5" t="s">
        <v>5938</v>
      </c>
      <c r="D1237" s="21">
        <v>9</v>
      </c>
      <c r="E1237" s="21"/>
      <c r="F1237" s="21" t="s">
        <v>10438</v>
      </c>
      <c r="G1237" s="21"/>
      <c r="H1237" s="54">
        <v>4250</v>
      </c>
      <c r="I1237" s="51">
        <v>3825</v>
      </c>
      <c r="J1237" s="27"/>
      <c r="K1237" s="27"/>
      <c r="L1237" s="15"/>
      <c r="M1237" s="15">
        <v>5</v>
      </c>
      <c r="N1237" s="4"/>
      <c r="O1237" s="4"/>
    </row>
    <row r="1238" spans="1:15" x14ac:dyDescent="0.2">
      <c r="A1238" s="2">
        <v>10041612</v>
      </c>
      <c r="B1238" s="2" t="s">
        <v>5440</v>
      </c>
      <c r="C1238" s="5" t="s">
        <v>9416</v>
      </c>
      <c r="D1238" s="21">
        <v>2</v>
      </c>
      <c r="E1238" s="21"/>
      <c r="F1238" s="21" t="s">
        <v>10438</v>
      </c>
      <c r="G1238" s="21"/>
      <c r="H1238" s="54">
        <v>9805</v>
      </c>
      <c r="I1238" s="51">
        <v>8630</v>
      </c>
      <c r="J1238" s="27">
        <v>3</v>
      </c>
      <c r="K1238" s="27"/>
      <c r="L1238" s="15"/>
      <c r="M1238" s="15"/>
      <c r="N1238" s="4"/>
      <c r="O1238" s="4" t="s">
        <v>10457</v>
      </c>
    </row>
    <row r="1239" spans="1:15" x14ac:dyDescent="0.2">
      <c r="A1239" s="2">
        <v>10019007</v>
      </c>
      <c r="B1239" s="2" t="s">
        <v>3874</v>
      </c>
      <c r="C1239" s="5" t="s">
        <v>6002</v>
      </c>
      <c r="D1239" s="21"/>
      <c r="E1239" s="21"/>
      <c r="F1239" s="21" t="s">
        <v>10438</v>
      </c>
      <c r="G1239" s="21"/>
      <c r="H1239" s="54">
        <v>11830</v>
      </c>
      <c r="I1239" s="51"/>
      <c r="J1239" s="27"/>
      <c r="K1239" s="27"/>
      <c r="L1239" s="15"/>
      <c r="M1239" s="15">
        <v>1</v>
      </c>
      <c r="N1239" s="4"/>
      <c r="O1239" s="4"/>
    </row>
    <row r="1240" spans="1:15" x14ac:dyDescent="0.2">
      <c r="A1240" s="2">
        <v>10017942</v>
      </c>
      <c r="B1240" s="2" t="s">
        <v>27</v>
      </c>
      <c r="C1240" s="5" t="s">
        <v>5554</v>
      </c>
      <c r="D1240" s="21">
        <v>1</v>
      </c>
      <c r="E1240" s="21"/>
      <c r="F1240" s="21" t="s">
        <v>10438</v>
      </c>
      <c r="G1240" s="21"/>
      <c r="H1240" s="54">
        <v>1575</v>
      </c>
      <c r="I1240" s="51">
        <v>1420</v>
      </c>
      <c r="J1240" s="27"/>
      <c r="K1240" s="27"/>
      <c r="L1240" s="15"/>
      <c r="M1240" s="15"/>
      <c r="N1240" s="4" t="s">
        <v>10713</v>
      </c>
      <c r="O1240" s="4"/>
    </row>
    <row r="1241" spans="1:15" x14ac:dyDescent="0.2">
      <c r="A1241" s="2">
        <v>10017944</v>
      </c>
      <c r="B1241" s="2" t="s">
        <v>28</v>
      </c>
      <c r="C1241" s="5" t="s">
        <v>5555</v>
      </c>
      <c r="D1241" s="21">
        <v>2</v>
      </c>
      <c r="E1241" s="21"/>
      <c r="F1241" s="21" t="s">
        <v>10438</v>
      </c>
      <c r="G1241" s="21"/>
      <c r="H1241" s="54">
        <v>5095</v>
      </c>
      <c r="I1241" s="51">
        <v>4080</v>
      </c>
      <c r="J1241" s="27"/>
      <c r="K1241" s="27"/>
      <c r="L1241" s="15"/>
      <c r="M1241" s="15"/>
      <c r="N1241" s="4"/>
      <c r="O1241" s="4" t="s">
        <v>10447</v>
      </c>
    </row>
    <row r="1242" spans="1:15" x14ac:dyDescent="0.2">
      <c r="A1242" s="2">
        <v>10041619</v>
      </c>
      <c r="B1242" s="2" t="s">
        <v>5448</v>
      </c>
      <c r="C1242" s="5" t="s">
        <v>9422</v>
      </c>
      <c r="D1242" s="21"/>
      <c r="E1242" s="21"/>
      <c r="F1242" s="21" t="s">
        <v>10438</v>
      </c>
      <c r="G1242" s="21"/>
      <c r="H1242" s="54">
        <v>4180</v>
      </c>
      <c r="I1242" s="51"/>
      <c r="J1242" s="27"/>
      <c r="K1242" s="27"/>
      <c r="L1242" s="15"/>
      <c r="M1242" s="15">
        <v>8</v>
      </c>
      <c r="N1242" s="4"/>
      <c r="O1242" s="4"/>
    </row>
    <row r="1243" spans="1:15" x14ac:dyDescent="0.2">
      <c r="A1243" s="2">
        <v>10018913</v>
      </c>
      <c r="B1243" s="2" t="s">
        <v>361</v>
      </c>
      <c r="C1243" s="5" t="s">
        <v>5958</v>
      </c>
      <c r="D1243" s="21">
        <v>11</v>
      </c>
      <c r="E1243" s="21">
        <v>11</v>
      </c>
      <c r="F1243" s="21" t="s">
        <v>10438</v>
      </c>
      <c r="G1243" s="21">
        <v>6</v>
      </c>
      <c r="H1243" s="54">
        <v>1205</v>
      </c>
      <c r="I1243" s="51">
        <v>1110</v>
      </c>
      <c r="J1243" s="27">
        <v>23</v>
      </c>
      <c r="K1243" s="27">
        <v>23</v>
      </c>
      <c r="L1243" s="15">
        <v>20</v>
      </c>
      <c r="M1243" s="15">
        <v>30</v>
      </c>
      <c r="N1243" s="4" t="s">
        <v>3607</v>
      </c>
      <c r="O1243" s="4" t="s">
        <v>10448</v>
      </c>
    </row>
    <row r="1244" spans="1:15" x14ac:dyDescent="0.2">
      <c r="A1244" s="2">
        <v>10018973</v>
      </c>
      <c r="B1244" s="2" t="s">
        <v>389</v>
      </c>
      <c r="C1244" s="5" t="s">
        <v>5986</v>
      </c>
      <c r="D1244" s="21">
        <v>8</v>
      </c>
      <c r="E1244" s="21"/>
      <c r="F1244" s="21" t="s">
        <v>10438</v>
      </c>
      <c r="G1244" s="21"/>
      <c r="H1244" s="54">
        <v>1400</v>
      </c>
      <c r="I1244" s="51">
        <v>1290</v>
      </c>
      <c r="J1244" s="27">
        <v>17</v>
      </c>
      <c r="K1244" s="27"/>
      <c r="L1244" s="15"/>
      <c r="M1244" s="15"/>
      <c r="N1244" s="4" t="s">
        <v>10713</v>
      </c>
      <c r="O1244" s="4" t="s">
        <v>10450</v>
      </c>
    </row>
    <row r="1245" spans="1:15" x14ac:dyDescent="0.2">
      <c r="A1245" s="2">
        <v>10017980</v>
      </c>
      <c r="B1245" s="2" t="s">
        <v>40</v>
      </c>
      <c r="C1245" s="10" t="s">
        <v>5571</v>
      </c>
      <c r="D1245" s="21">
        <v>1</v>
      </c>
      <c r="E1245" s="21"/>
      <c r="F1245" s="21" t="s">
        <v>10438</v>
      </c>
      <c r="G1245" s="21"/>
      <c r="H1245" s="54">
        <v>2495</v>
      </c>
      <c r="I1245" s="51">
        <v>2000</v>
      </c>
      <c r="J1245" s="27"/>
      <c r="K1245" s="27"/>
      <c r="L1245" s="15"/>
      <c r="M1245" s="15"/>
      <c r="N1245" s="4"/>
      <c r="O1245" s="4" t="s">
        <v>10469</v>
      </c>
    </row>
    <row r="1246" spans="1:15" x14ac:dyDescent="0.2">
      <c r="A1246" s="2">
        <v>10017994</v>
      </c>
      <c r="B1246" s="2" t="s">
        <v>49</v>
      </c>
      <c r="C1246" s="5" t="s">
        <v>5579</v>
      </c>
      <c r="D1246" s="21">
        <v>1</v>
      </c>
      <c r="E1246" s="21"/>
      <c r="F1246" s="21" t="s">
        <v>10438</v>
      </c>
      <c r="G1246" s="21"/>
      <c r="H1246" s="54">
        <v>4395</v>
      </c>
      <c r="I1246" s="51">
        <v>3520</v>
      </c>
      <c r="J1246" s="27"/>
      <c r="K1246" s="27"/>
      <c r="L1246" s="15"/>
      <c r="M1246" s="15"/>
      <c r="N1246" s="4"/>
      <c r="O1246" s="4" t="s">
        <v>10469</v>
      </c>
    </row>
    <row r="1247" spans="1:15" x14ac:dyDescent="0.2">
      <c r="A1247" s="2">
        <v>10017947</v>
      </c>
      <c r="B1247" s="2" t="s">
        <v>5338</v>
      </c>
      <c r="C1247" s="5" t="s">
        <v>5557</v>
      </c>
      <c r="D1247" s="21">
        <v>2</v>
      </c>
      <c r="E1247" s="21"/>
      <c r="F1247" s="21" t="s">
        <v>10438</v>
      </c>
      <c r="G1247" s="21"/>
      <c r="H1247" s="54">
        <v>3685</v>
      </c>
      <c r="I1247" s="51">
        <v>3135</v>
      </c>
      <c r="J1247" s="27"/>
      <c r="K1247" s="27"/>
      <c r="L1247" s="15"/>
      <c r="M1247" s="15"/>
      <c r="N1247" s="4"/>
      <c r="O1247" s="4"/>
    </row>
    <row r="1248" spans="1:15" x14ac:dyDescent="0.2">
      <c r="A1248" s="2">
        <v>10039968</v>
      </c>
      <c r="B1248" s="2" t="s">
        <v>3881</v>
      </c>
      <c r="C1248" s="5" t="s">
        <v>6383</v>
      </c>
      <c r="D1248" s="21">
        <v>2</v>
      </c>
      <c r="E1248" s="21"/>
      <c r="F1248" s="21" t="s">
        <v>10438</v>
      </c>
      <c r="G1248" s="21"/>
      <c r="H1248" s="54">
        <v>5520</v>
      </c>
      <c r="I1248" s="51">
        <v>4695</v>
      </c>
      <c r="J1248" s="27">
        <v>2</v>
      </c>
      <c r="K1248" s="27"/>
      <c r="L1248" s="15"/>
      <c r="M1248" s="15"/>
      <c r="N1248" s="4"/>
      <c r="O1248" s="4" t="s">
        <v>10456</v>
      </c>
    </row>
    <row r="1249" spans="1:15" x14ac:dyDescent="0.2">
      <c r="A1249" s="2">
        <v>10017941</v>
      </c>
      <c r="B1249" s="2" t="s">
        <v>5336</v>
      </c>
      <c r="C1249" s="5" t="s">
        <v>5553</v>
      </c>
      <c r="D1249" s="21">
        <v>2</v>
      </c>
      <c r="E1249" s="21"/>
      <c r="F1249" s="21" t="s">
        <v>10438</v>
      </c>
      <c r="G1249" s="21"/>
      <c r="H1249" s="54">
        <v>6592</v>
      </c>
      <c r="I1249" s="51">
        <v>5605</v>
      </c>
      <c r="J1249" s="27"/>
      <c r="K1249" s="27"/>
      <c r="L1249" s="15"/>
      <c r="M1249" s="15"/>
      <c r="N1249" s="4"/>
      <c r="O1249" s="4" t="s">
        <v>10452</v>
      </c>
    </row>
    <row r="1250" spans="1:15" x14ac:dyDescent="0.2">
      <c r="A1250" s="2">
        <v>10017945</v>
      </c>
      <c r="B1250" s="2" t="s">
        <v>5337</v>
      </c>
      <c r="C1250" s="5" t="s">
        <v>5556</v>
      </c>
      <c r="D1250" s="21">
        <v>1</v>
      </c>
      <c r="E1250" s="21"/>
      <c r="F1250" s="21" t="s">
        <v>10438</v>
      </c>
      <c r="G1250" s="21"/>
      <c r="H1250" s="54">
        <v>9023</v>
      </c>
      <c r="I1250" s="51">
        <v>7670</v>
      </c>
      <c r="J1250" s="27"/>
      <c r="K1250" s="27"/>
      <c r="L1250" s="15"/>
      <c r="M1250" s="15"/>
      <c r="N1250" s="4"/>
      <c r="O1250" s="4"/>
    </row>
    <row r="1251" spans="1:15" x14ac:dyDescent="0.2">
      <c r="A1251" s="2">
        <v>10018501</v>
      </c>
      <c r="B1251" s="2" t="s">
        <v>3741</v>
      </c>
      <c r="C1251" s="5" t="s">
        <v>5750</v>
      </c>
      <c r="D1251" s="21">
        <v>2</v>
      </c>
      <c r="E1251" s="21"/>
      <c r="F1251" s="21" t="s">
        <v>10438</v>
      </c>
      <c r="G1251" s="21"/>
      <c r="H1251" s="54">
        <v>9245</v>
      </c>
      <c r="I1251" s="51">
        <v>7860</v>
      </c>
      <c r="J1251" s="27"/>
      <c r="K1251" s="27"/>
      <c r="L1251" s="15"/>
      <c r="M1251" s="15"/>
      <c r="N1251" s="4"/>
      <c r="O1251" s="4"/>
    </row>
    <row r="1252" spans="1:15" x14ac:dyDescent="0.2">
      <c r="A1252" s="2">
        <v>10018500</v>
      </c>
      <c r="B1252" s="2" t="s">
        <v>5421</v>
      </c>
      <c r="C1252" s="5" t="s">
        <v>5749</v>
      </c>
      <c r="D1252" s="21"/>
      <c r="E1252" s="21"/>
      <c r="F1252" s="21" t="s">
        <v>10438</v>
      </c>
      <c r="G1252" s="21"/>
      <c r="H1252" s="54">
        <v>16650</v>
      </c>
      <c r="I1252" s="51"/>
      <c r="J1252" s="27"/>
      <c r="K1252" s="27"/>
      <c r="L1252" s="15"/>
      <c r="M1252" s="15">
        <v>10</v>
      </c>
      <c r="N1252" s="4"/>
      <c r="O1252" s="4"/>
    </row>
    <row r="1253" spans="1:15" x14ac:dyDescent="0.2">
      <c r="A1253" s="2">
        <v>10041610</v>
      </c>
      <c r="B1253" s="2" t="s">
        <v>5442</v>
      </c>
      <c r="C1253" s="5" t="s">
        <v>9414</v>
      </c>
      <c r="D1253" s="21">
        <v>1</v>
      </c>
      <c r="E1253" s="21"/>
      <c r="F1253" s="21" t="s">
        <v>10438</v>
      </c>
      <c r="G1253" s="21"/>
      <c r="H1253" s="54">
        <v>400</v>
      </c>
      <c r="I1253" s="51"/>
      <c r="J1253" s="27"/>
      <c r="K1253" s="27"/>
      <c r="L1253" s="15"/>
      <c r="M1253" s="15"/>
      <c r="N1253" s="4"/>
      <c r="O1253" s="4" t="s">
        <v>10448</v>
      </c>
    </row>
    <row r="1254" spans="1:15" x14ac:dyDescent="0.2">
      <c r="A1254" s="2">
        <v>10018536</v>
      </c>
      <c r="B1254" s="2" t="s">
        <v>209</v>
      </c>
      <c r="C1254" s="5" t="s">
        <v>5766</v>
      </c>
      <c r="D1254" s="21">
        <v>9</v>
      </c>
      <c r="E1254" s="21"/>
      <c r="F1254" s="21" t="s">
        <v>10438</v>
      </c>
      <c r="G1254" s="21"/>
      <c r="H1254" s="54">
        <v>4100</v>
      </c>
      <c r="I1254" s="51">
        <v>3775</v>
      </c>
      <c r="J1254" s="27">
        <v>14</v>
      </c>
      <c r="K1254" s="27"/>
      <c r="L1254" s="15"/>
      <c r="M1254" s="15"/>
      <c r="N1254" s="4" t="s">
        <v>3607</v>
      </c>
      <c r="O1254" s="4" t="s">
        <v>10457</v>
      </c>
    </row>
    <row r="1255" spans="1:15" x14ac:dyDescent="0.2">
      <c r="A1255" s="2">
        <v>10018703</v>
      </c>
      <c r="B1255" s="2" t="s">
        <v>277</v>
      </c>
      <c r="C1255" s="5" t="s">
        <v>5849</v>
      </c>
      <c r="D1255" s="21">
        <v>10</v>
      </c>
      <c r="E1255" s="21"/>
      <c r="F1255" s="21" t="s">
        <v>10438</v>
      </c>
      <c r="G1255" s="21"/>
      <c r="H1255" s="54">
        <v>3640</v>
      </c>
      <c r="I1255" s="51">
        <v>3280</v>
      </c>
      <c r="J1255" s="27">
        <v>3</v>
      </c>
      <c r="K1255" s="27"/>
      <c r="L1255" s="15"/>
      <c r="M1255" s="15"/>
      <c r="N1255" s="4" t="s">
        <v>3607</v>
      </c>
      <c r="O1255" s="4" t="s">
        <v>10445</v>
      </c>
    </row>
    <row r="1256" spans="1:15" x14ac:dyDescent="0.2">
      <c r="A1256" s="2">
        <v>10018695</v>
      </c>
      <c r="B1256" s="2" t="s">
        <v>275</v>
      </c>
      <c r="C1256" s="5" t="s">
        <v>5844</v>
      </c>
      <c r="D1256" s="21"/>
      <c r="E1256" s="21"/>
      <c r="F1256" s="21" t="s">
        <v>10438</v>
      </c>
      <c r="G1256" s="21"/>
      <c r="H1256" s="54">
        <v>5220</v>
      </c>
      <c r="I1256" s="51"/>
      <c r="J1256" s="27"/>
      <c r="K1256" s="27"/>
      <c r="L1256" s="15"/>
      <c r="M1256" s="15"/>
      <c r="N1256" s="4" t="s">
        <v>3607</v>
      </c>
      <c r="O1256" s="4"/>
    </row>
    <row r="1257" spans="1:15" x14ac:dyDescent="0.2">
      <c r="A1257" s="2">
        <v>10017960</v>
      </c>
      <c r="B1257" s="2" t="s">
        <v>30</v>
      </c>
      <c r="C1257" s="5" t="s">
        <v>5560</v>
      </c>
      <c r="D1257" s="21">
        <v>1</v>
      </c>
      <c r="E1257" s="21"/>
      <c r="F1257" s="21" t="s">
        <v>10438</v>
      </c>
      <c r="G1257" s="21"/>
      <c r="H1257" s="54">
        <v>7900</v>
      </c>
      <c r="I1257" s="51">
        <v>6715</v>
      </c>
      <c r="J1257" s="27"/>
      <c r="K1257" s="27"/>
      <c r="L1257" s="15"/>
      <c r="M1257" s="15"/>
      <c r="N1257" s="4"/>
      <c r="O1257" s="4"/>
    </row>
    <row r="1258" spans="1:15" x14ac:dyDescent="0.2">
      <c r="A1258" s="2">
        <v>10041611</v>
      </c>
      <c r="B1258" s="2" t="s">
        <v>5447</v>
      </c>
      <c r="C1258" s="5" t="s">
        <v>9415</v>
      </c>
      <c r="D1258" s="21">
        <v>1</v>
      </c>
      <c r="E1258" s="21"/>
      <c r="F1258" s="21" t="s">
        <v>10438</v>
      </c>
      <c r="G1258" s="21"/>
      <c r="H1258" s="54">
        <v>13045</v>
      </c>
      <c r="I1258" s="51">
        <v>7830</v>
      </c>
      <c r="J1258" s="27"/>
      <c r="K1258" s="27"/>
      <c r="L1258" s="15"/>
      <c r="M1258" s="15"/>
      <c r="N1258" s="4"/>
      <c r="O1258" s="4"/>
    </row>
    <row r="1259" spans="1:15" x14ac:dyDescent="0.2">
      <c r="A1259" s="2">
        <v>10019018</v>
      </c>
      <c r="B1259" s="2" t="s">
        <v>403</v>
      </c>
      <c r="C1259" s="5" t="s">
        <v>6006</v>
      </c>
      <c r="D1259" s="21">
        <v>2</v>
      </c>
      <c r="E1259" s="21"/>
      <c r="F1259" s="21" t="s">
        <v>10438</v>
      </c>
      <c r="G1259" s="21"/>
      <c r="H1259" s="54">
        <v>6945</v>
      </c>
      <c r="I1259" s="51">
        <v>5905</v>
      </c>
      <c r="J1259" s="27">
        <v>3</v>
      </c>
      <c r="K1259" s="27"/>
      <c r="L1259" s="15"/>
      <c r="M1259" s="15"/>
      <c r="N1259" s="4"/>
      <c r="O1259" s="4"/>
    </row>
    <row r="1260" spans="1:15" x14ac:dyDescent="0.2">
      <c r="A1260" s="2">
        <v>10038195</v>
      </c>
      <c r="B1260" s="2" t="s">
        <v>3748</v>
      </c>
      <c r="C1260" s="10" t="s">
        <v>6366</v>
      </c>
      <c r="D1260" s="21">
        <v>13</v>
      </c>
      <c r="E1260" s="21"/>
      <c r="F1260" s="21" t="s">
        <v>10438</v>
      </c>
      <c r="G1260" s="21"/>
      <c r="H1260" s="54">
        <v>1215</v>
      </c>
      <c r="I1260" s="51">
        <v>1120</v>
      </c>
      <c r="J1260" s="27">
        <v>32</v>
      </c>
      <c r="K1260" s="27"/>
      <c r="L1260" s="15"/>
      <c r="M1260" s="15"/>
      <c r="N1260" s="4"/>
      <c r="O1260" s="4" t="s">
        <v>10447</v>
      </c>
    </row>
    <row r="1261" spans="1:15" x14ac:dyDescent="0.2">
      <c r="A1261" s="2">
        <v>10033337</v>
      </c>
      <c r="B1261" s="2" t="s">
        <v>5380</v>
      </c>
      <c r="C1261" s="10" t="s">
        <v>6359</v>
      </c>
      <c r="D1261" s="21">
        <v>3</v>
      </c>
      <c r="E1261" s="21"/>
      <c r="F1261" s="21" t="s">
        <v>10438</v>
      </c>
      <c r="G1261" s="21"/>
      <c r="H1261" s="54">
        <v>3180</v>
      </c>
      <c r="I1261" s="51">
        <v>2865</v>
      </c>
      <c r="J1261" s="27">
        <v>4</v>
      </c>
      <c r="K1261" s="27"/>
      <c r="L1261" s="15"/>
      <c r="M1261" s="15"/>
      <c r="N1261" s="4"/>
      <c r="O1261" s="4" t="s">
        <v>10450</v>
      </c>
    </row>
    <row r="1262" spans="1:15" x14ac:dyDescent="0.2">
      <c r="A1262" s="2">
        <v>10017896</v>
      </c>
      <c r="B1262" s="2" t="s">
        <v>3877</v>
      </c>
      <c r="C1262" s="5" t="s">
        <v>5540</v>
      </c>
      <c r="D1262" s="21">
        <v>6</v>
      </c>
      <c r="E1262" s="21"/>
      <c r="F1262" s="21" t="s">
        <v>10438</v>
      </c>
      <c r="G1262" s="21"/>
      <c r="H1262" s="54">
        <v>7185</v>
      </c>
      <c r="I1262" s="51">
        <v>6110</v>
      </c>
      <c r="J1262" s="27"/>
      <c r="K1262" s="27"/>
      <c r="L1262" s="15"/>
      <c r="M1262" s="15"/>
      <c r="N1262" s="4"/>
      <c r="O1262" s="4" t="s">
        <v>10450</v>
      </c>
    </row>
    <row r="1263" spans="1:15" x14ac:dyDescent="0.2">
      <c r="A1263" s="2">
        <v>10017904</v>
      </c>
      <c r="B1263" s="2" t="s">
        <v>5332</v>
      </c>
      <c r="C1263" s="5" t="s">
        <v>5545</v>
      </c>
      <c r="D1263" s="21">
        <v>5</v>
      </c>
      <c r="E1263" s="21"/>
      <c r="F1263" s="21" t="s">
        <v>10438</v>
      </c>
      <c r="G1263" s="21"/>
      <c r="H1263" s="54">
        <v>1310</v>
      </c>
      <c r="I1263" s="51">
        <v>1210</v>
      </c>
      <c r="J1263" s="27">
        <v>11</v>
      </c>
      <c r="K1263" s="27"/>
      <c r="L1263" s="15"/>
      <c r="M1263" s="15"/>
      <c r="N1263" s="4"/>
      <c r="O1263" s="4" t="s">
        <v>10449</v>
      </c>
    </row>
    <row r="1264" spans="1:15" x14ac:dyDescent="0.2">
      <c r="A1264" s="2">
        <v>10018493</v>
      </c>
      <c r="B1264" s="2" t="s">
        <v>5347</v>
      </c>
      <c r="C1264" s="5" t="s">
        <v>5746</v>
      </c>
      <c r="D1264" s="21">
        <v>7</v>
      </c>
      <c r="E1264" s="21"/>
      <c r="F1264" s="21" t="s">
        <v>10438</v>
      </c>
      <c r="G1264" s="21"/>
      <c r="H1264" s="54">
        <v>1820</v>
      </c>
      <c r="I1264" s="51">
        <v>1640</v>
      </c>
      <c r="J1264" s="27"/>
      <c r="K1264" s="27"/>
      <c r="L1264" s="15"/>
      <c r="M1264" s="15"/>
      <c r="N1264" s="4"/>
      <c r="O1264" s="4" t="s">
        <v>10449</v>
      </c>
    </row>
    <row r="1265" spans="1:15" x14ac:dyDescent="0.2">
      <c r="A1265" s="2">
        <v>10017910</v>
      </c>
      <c r="B1265" s="2" t="s">
        <v>5334</v>
      </c>
      <c r="C1265" s="5" t="s">
        <v>9402</v>
      </c>
      <c r="D1265" s="21">
        <v>3</v>
      </c>
      <c r="E1265" s="21"/>
      <c r="F1265" s="21" t="s">
        <v>10438</v>
      </c>
      <c r="G1265" s="21"/>
      <c r="H1265" s="54">
        <v>4020</v>
      </c>
      <c r="I1265" s="51"/>
      <c r="J1265" s="27">
        <v>3</v>
      </c>
      <c r="K1265" s="27"/>
      <c r="L1265" s="15"/>
      <c r="M1265" s="15"/>
      <c r="N1265" s="4" t="s">
        <v>10713</v>
      </c>
      <c r="O1265" s="4"/>
    </row>
    <row r="1266" spans="1:15" x14ac:dyDescent="0.2">
      <c r="A1266" s="2">
        <v>10039960</v>
      </c>
      <c r="B1266" s="2" t="s">
        <v>3878</v>
      </c>
      <c r="C1266" s="5" t="s">
        <v>6379</v>
      </c>
      <c r="D1266" s="21"/>
      <c r="E1266" s="21"/>
      <c r="F1266" s="21" t="s">
        <v>10438</v>
      </c>
      <c r="G1266" s="21"/>
      <c r="H1266" s="54">
        <v>3515</v>
      </c>
      <c r="I1266" s="51"/>
      <c r="J1266" s="27"/>
      <c r="K1266" s="27"/>
      <c r="L1266" s="15"/>
      <c r="M1266" s="15">
        <v>10</v>
      </c>
      <c r="N1266" s="4"/>
      <c r="O1266" s="4"/>
    </row>
    <row r="1267" spans="1:15" x14ac:dyDescent="0.2">
      <c r="A1267" s="2">
        <v>10018759</v>
      </c>
      <c r="B1267" s="2" t="s">
        <v>298</v>
      </c>
      <c r="C1267" s="5" t="s">
        <v>5878</v>
      </c>
      <c r="D1267" s="21">
        <v>12</v>
      </c>
      <c r="E1267" s="21">
        <v>12</v>
      </c>
      <c r="F1267" s="30" t="s">
        <v>10438</v>
      </c>
      <c r="G1267" s="21">
        <v>3</v>
      </c>
      <c r="H1267" s="54">
        <v>9740</v>
      </c>
      <c r="I1267" s="51">
        <v>8770</v>
      </c>
      <c r="J1267" s="27">
        <v>94</v>
      </c>
      <c r="K1267" s="27">
        <v>94</v>
      </c>
      <c r="L1267" s="15">
        <v>55</v>
      </c>
      <c r="M1267" s="15"/>
      <c r="N1267" s="4" t="s">
        <v>10713</v>
      </c>
      <c r="O1267" s="4" t="s">
        <v>10457</v>
      </c>
    </row>
    <row r="1268" spans="1:15" x14ac:dyDescent="0.2">
      <c r="A1268" s="2">
        <v>10018692</v>
      </c>
      <c r="B1268" s="2" t="s">
        <v>273</v>
      </c>
      <c r="C1268" s="5" t="s">
        <v>5842</v>
      </c>
      <c r="D1268" s="21">
        <v>2</v>
      </c>
      <c r="E1268" s="21"/>
      <c r="F1268" s="21" t="s">
        <v>10438</v>
      </c>
      <c r="G1268" s="21"/>
      <c r="H1268" s="54">
        <v>5835</v>
      </c>
      <c r="I1268" s="51">
        <v>4670</v>
      </c>
      <c r="J1268" s="27">
        <v>1</v>
      </c>
      <c r="K1268" s="27"/>
      <c r="L1268" s="15"/>
      <c r="M1268" s="15"/>
      <c r="N1268" s="4"/>
      <c r="O1268" s="4" t="s">
        <v>10462</v>
      </c>
    </row>
    <row r="1269" spans="1:15" x14ac:dyDescent="0.2">
      <c r="A1269" s="2">
        <v>10017906</v>
      </c>
      <c r="B1269" s="2" t="s">
        <v>3872</v>
      </c>
      <c r="C1269" s="5" t="s">
        <v>5547</v>
      </c>
      <c r="D1269" s="21">
        <v>6</v>
      </c>
      <c r="E1269" s="21"/>
      <c r="F1269" s="21" t="s">
        <v>10438</v>
      </c>
      <c r="G1269" s="21"/>
      <c r="H1269" s="54">
        <v>4280</v>
      </c>
      <c r="I1269" s="51">
        <v>3425</v>
      </c>
      <c r="J1269" s="27"/>
      <c r="K1269" s="27"/>
      <c r="L1269" s="15"/>
      <c r="M1269" s="15"/>
      <c r="N1269" s="4"/>
      <c r="O1269" s="4"/>
    </row>
    <row r="1270" spans="1:15" x14ac:dyDescent="0.2">
      <c r="A1270" s="2">
        <v>10039961</v>
      </c>
      <c r="B1270" s="2" t="s">
        <v>3882</v>
      </c>
      <c r="C1270" s="5" t="s">
        <v>6380</v>
      </c>
      <c r="D1270" s="21">
        <v>2</v>
      </c>
      <c r="E1270" s="21"/>
      <c r="F1270" s="21" t="s">
        <v>10438</v>
      </c>
      <c r="G1270" s="21"/>
      <c r="H1270" s="54">
        <v>9145</v>
      </c>
      <c r="I1270" s="51">
        <v>5490</v>
      </c>
      <c r="J1270" s="27">
        <v>2</v>
      </c>
      <c r="K1270" s="27"/>
      <c r="L1270" s="15"/>
      <c r="M1270" s="15"/>
      <c r="N1270" s="4"/>
      <c r="O1270" s="4" t="s">
        <v>10445</v>
      </c>
    </row>
    <row r="1271" spans="1:15" x14ac:dyDescent="0.2">
      <c r="A1271" s="2">
        <v>10018934</v>
      </c>
      <c r="B1271" s="2" t="s">
        <v>371</v>
      </c>
      <c r="C1271" s="5" t="s">
        <v>5967</v>
      </c>
      <c r="D1271" s="21">
        <v>19</v>
      </c>
      <c r="E1271" s="21"/>
      <c r="F1271" s="21" t="s">
        <v>10438</v>
      </c>
      <c r="G1271" s="21"/>
      <c r="H1271" s="54">
        <v>3820</v>
      </c>
      <c r="I1271" s="51">
        <v>3250</v>
      </c>
      <c r="J1271" s="27">
        <v>10</v>
      </c>
      <c r="K1271" s="27"/>
      <c r="L1271" s="15"/>
      <c r="M1271" s="15"/>
      <c r="N1271" s="4" t="s">
        <v>10713</v>
      </c>
      <c r="O1271" s="4" t="s">
        <v>10449</v>
      </c>
    </row>
    <row r="1272" spans="1:15" x14ac:dyDescent="0.2">
      <c r="A1272" s="2">
        <v>10018707</v>
      </c>
      <c r="B1272" s="2" t="s">
        <v>280</v>
      </c>
      <c r="C1272" s="5" t="s">
        <v>5853</v>
      </c>
      <c r="D1272" s="21">
        <v>1</v>
      </c>
      <c r="E1272" s="21"/>
      <c r="F1272" s="21" t="s">
        <v>10438</v>
      </c>
      <c r="G1272" s="21"/>
      <c r="H1272" s="54">
        <v>1820</v>
      </c>
      <c r="I1272" s="51">
        <v>1675</v>
      </c>
      <c r="J1272" s="27"/>
      <c r="K1272" s="27"/>
      <c r="L1272" s="15"/>
      <c r="M1272" s="15"/>
      <c r="N1272" s="4" t="s">
        <v>10713</v>
      </c>
      <c r="O1272" s="4" t="s">
        <v>10452</v>
      </c>
    </row>
    <row r="1273" spans="1:15" x14ac:dyDescent="0.2">
      <c r="A1273" s="2">
        <v>10018992</v>
      </c>
      <c r="B1273" s="2" t="s">
        <v>5464</v>
      </c>
      <c r="C1273" s="5" t="s">
        <v>5994</v>
      </c>
      <c r="D1273" s="21">
        <v>1</v>
      </c>
      <c r="E1273" s="21"/>
      <c r="F1273" s="21" t="s">
        <v>10438</v>
      </c>
      <c r="G1273" s="21"/>
      <c r="H1273" s="54">
        <v>14130</v>
      </c>
      <c r="I1273" s="51">
        <v>11305</v>
      </c>
      <c r="J1273" s="27"/>
      <c r="K1273" s="27"/>
      <c r="L1273" s="15"/>
      <c r="M1273" s="15"/>
      <c r="N1273" s="4" t="s">
        <v>3607</v>
      </c>
      <c r="O1273" s="4"/>
    </row>
    <row r="1274" spans="1:15" x14ac:dyDescent="0.2">
      <c r="A1274" s="2">
        <v>10031419</v>
      </c>
      <c r="B1274" s="2" t="s">
        <v>687</v>
      </c>
      <c r="C1274" s="5" t="s">
        <v>6351</v>
      </c>
      <c r="D1274" s="21">
        <v>4</v>
      </c>
      <c r="E1274" s="21"/>
      <c r="F1274" s="21" t="s">
        <v>10438</v>
      </c>
      <c r="G1274" s="21"/>
      <c r="H1274" s="54">
        <v>13086</v>
      </c>
      <c r="I1274" s="51">
        <v>9165</v>
      </c>
      <c r="J1274" s="27">
        <v>10</v>
      </c>
      <c r="K1274" s="27"/>
      <c r="L1274" s="15"/>
      <c r="M1274" s="15"/>
      <c r="N1274" s="4" t="s">
        <v>3607</v>
      </c>
      <c r="O1274" s="4" t="s">
        <v>10448</v>
      </c>
    </row>
    <row r="1275" spans="1:15" x14ac:dyDescent="0.2">
      <c r="A1275" s="2">
        <v>10018995</v>
      </c>
      <c r="B1275" s="2" t="s">
        <v>395</v>
      </c>
      <c r="C1275" s="5" t="s">
        <v>5995</v>
      </c>
      <c r="D1275" s="21">
        <v>3</v>
      </c>
      <c r="E1275" s="21"/>
      <c r="F1275" s="21" t="s">
        <v>10438</v>
      </c>
      <c r="G1275" s="21"/>
      <c r="H1275" s="54">
        <v>4385</v>
      </c>
      <c r="I1275" s="51">
        <v>3950</v>
      </c>
      <c r="J1275" s="27"/>
      <c r="K1275" s="27"/>
      <c r="L1275" s="15"/>
      <c r="M1275" s="15"/>
      <c r="N1275" s="4" t="s">
        <v>3607</v>
      </c>
      <c r="O1275" s="4" t="s">
        <v>10449</v>
      </c>
    </row>
    <row r="1276" spans="1:15" x14ac:dyDescent="0.2">
      <c r="A1276" s="2">
        <v>10018965</v>
      </c>
      <c r="B1276" s="2" t="s">
        <v>387</v>
      </c>
      <c r="C1276" s="5" t="s">
        <v>5984</v>
      </c>
      <c r="D1276" s="21">
        <v>1</v>
      </c>
      <c r="E1276" s="21"/>
      <c r="F1276" s="21" t="s">
        <v>10438</v>
      </c>
      <c r="G1276" s="21"/>
      <c r="H1276" s="54">
        <v>8890</v>
      </c>
      <c r="I1276" s="51">
        <v>4445</v>
      </c>
      <c r="J1276" s="27">
        <v>1</v>
      </c>
      <c r="K1276" s="27"/>
      <c r="L1276" s="15"/>
      <c r="M1276" s="15"/>
      <c r="N1276" s="4"/>
      <c r="O1276" s="4"/>
    </row>
    <row r="1277" spans="1:15" x14ac:dyDescent="0.2">
      <c r="A1277" s="2">
        <v>10040628</v>
      </c>
      <c r="B1277" s="2" t="s">
        <v>5387</v>
      </c>
      <c r="C1277" s="5" t="s">
        <v>6390</v>
      </c>
      <c r="D1277" s="21">
        <v>3</v>
      </c>
      <c r="E1277" s="21"/>
      <c r="F1277" s="21" t="s">
        <v>10438</v>
      </c>
      <c r="G1277" s="21"/>
      <c r="H1277" s="54">
        <v>3047</v>
      </c>
      <c r="I1277" s="51">
        <v>2745</v>
      </c>
      <c r="J1277" s="27"/>
      <c r="K1277" s="27"/>
      <c r="L1277" s="15"/>
      <c r="M1277" s="15"/>
      <c r="N1277" s="4"/>
      <c r="O1277" s="4"/>
    </row>
    <row r="1278" spans="1:15" x14ac:dyDescent="0.2">
      <c r="A1278" s="2">
        <v>10018747</v>
      </c>
      <c r="B1278" s="2" t="s">
        <v>3612</v>
      </c>
      <c r="C1278" s="5" t="s">
        <v>5874</v>
      </c>
      <c r="D1278" s="21">
        <v>2</v>
      </c>
      <c r="E1278" s="21"/>
      <c r="F1278" s="21" t="s">
        <v>10438</v>
      </c>
      <c r="G1278" s="21"/>
      <c r="H1278" s="54">
        <v>3765</v>
      </c>
      <c r="I1278" s="51">
        <v>3015</v>
      </c>
      <c r="J1278" s="27"/>
      <c r="K1278" s="27"/>
      <c r="L1278" s="15"/>
      <c r="M1278" s="15"/>
      <c r="N1278" s="4"/>
      <c r="O1278" s="4"/>
    </row>
    <row r="1279" spans="1:15" x14ac:dyDescent="0.2">
      <c r="A1279" s="2">
        <v>10018750</v>
      </c>
      <c r="B1279" s="2" t="s">
        <v>296</v>
      </c>
      <c r="C1279" s="5" t="s">
        <v>5875</v>
      </c>
      <c r="D1279" s="21">
        <v>3</v>
      </c>
      <c r="E1279" s="21"/>
      <c r="F1279" s="21" t="s">
        <v>10438</v>
      </c>
      <c r="G1279" s="21"/>
      <c r="H1279" s="54">
        <v>2950</v>
      </c>
      <c r="I1279" s="51">
        <v>2655</v>
      </c>
      <c r="J1279" s="27"/>
      <c r="K1279" s="27"/>
      <c r="L1279" s="15">
        <v>3</v>
      </c>
      <c r="M1279" s="15">
        <v>3</v>
      </c>
      <c r="N1279" s="4">
        <v>99</v>
      </c>
      <c r="O1279" s="4" t="s">
        <v>10445</v>
      </c>
    </row>
    <row r="1280" spans="1:15" x14ac:dyDescent="0.2">
      <c r="A1280" s="2">
        <v>10033336</v>
      </c>
      <c r="B1280" s="2" t="s">
        <v>691</v>
      </c>
      <c r="C1280" s="5" t="s">
        <v>6358</v>
      </c>
      <c r="D1280" s="21"/>
      <c r="E1280" s="21"/>
      <c r="F1280" s="21" t="s">
        <v>10438</v>
      </c>
      <c r="G1280" s="21"/>
      <c r="H1280" s="54">
        <v>2965</v>
      </c>
      <c r="I1280" s="51"/>
      <c r="J1280" s="27"/>
      <c r="K1280" s="27"/>
      <c r="L1280" s="15"/>
      <c r="M1280" s="15"/>
      <c r="N1280" s="4" t="s">
        <v>10713</v>
      </c>
      <c r="O1280" s="4"/>
    </row>
    <row r="1281" spans="1:15" x14ac:dyDescent="0.2">
      <c r="A1281" s="2">
        <v>10017953</v>
      </c>
      <c r="B1281" s="2" t="s">
        <v>5417</v>
      </c>
      <c r="C1281" s="5" t="s">
        <v>9404</v>
      </c>
      <c r="D1281" s="21">
        <v>2</v>
      </c>
      <c r="E1281" s="21"/>
      <c r="F1281" s="21" t="s">
        <v>10438</v>
      </c>
      <c r="G1281" s="21"/>
      <c r="H1281" s="54">
        <v>815</v>
      </c>
      <c r="I1281" s="51">
        <v>655</v>
      </c>
      <c r="J1281" s="27">
        <v>8</v>
      </c>
      <c r="K1281" s="27"/>
      <c r="L1281" s="15"/>
      <c r="M1281" s="15"/>
      <c r="N1281" s="4"/>
      <c r="O1281" s="4" t="s">
        <v>10452</v>
      </c>
    </row>
    <row r="1282" spans="1:15" x14ac:dyDescent="0.2">
      <c r="A1282" s="2">
        <v>10017951</v>
      </c>
      <c r="B1282" s="2" t="s">
        <v>29</v>
      </c>
      <c r="C1282" s="5" t="s">
        <v>5558</v>
      </c>
      <c r="D1282" s="21">
        <v>1</v>
      </c>
      <c r="E1282" s="21"/>
      <c r="F1282" s="21" t="s">
        <v>10438</v>
      </c>
      <c r="G1282" s="21"/>
      <c r="H1282" s="54">
        <v>6325</v>
      </c>
      <c r="I1282" s="51">
        <v>5060</v>
      </c>
      <c r="J1282" s="27"/>
      <c r="K1282" s="27"/>
      <c r="L1282" s="15"/>
      <c r="M1282" s="15"/>
      <c r="N1282" s="4"/>
      <c r="O1282" s="4"/>
    </row>
    <row r="1283" spans="1:15" x14ac:dyDescent="0.2">
      <c r="A1283" s="2">
        <v>10018760</v>
      </c>
      <c r="B1283" s="7" t="s">
        <v>5423</v>
      </c>
      <c r="C1283" s="10" t="s">
        <v>9409</v>
      </c>
      <c r="D1283" s="21"/>
      <c r="E1283" s="21"/>
      <c r="F1283" s="21" t="s">
        <v>10438</v>
      </c>
      <c r="G1283" s="21"/>
      <c r="H1283" s="54">
        <v>4695</v>
      </c>
      <c r="I1283" s="51"/>
      <c r="J1283" s="27"/>
      <c r="K1283" s="27"/>
      <c r="L1283" s="15"/>
      <c r="M1283" s="15">
        <v>2</v>
      </c>
      <c r="N1283" s="4"/>
      <c r="O1283" s="4"/>
    </row>
    <row r="1284" spans="1:15" x14ac:dyDescent="0.2">
      <c r="A1284" s="2">
        <v>10018704</v>
      </c>
      <c r="B1284" s="2" t="s">
        <v>5356</v>
      </c>
      <c r="C1284" s="5" t="s">
        <v>5850</v>
      </c>
      <c r="D1284" s="21">
        <v>5</v>
      </c>
      <c r="E1284" s="21"/>
      <c r="F1284" s="21" t="s">
        <v>10438</v>
      </c>
      <c r="G1284" s="21"/>
      <c r="H1284" s="54">
        <v>2543</v>
      </c>
      <c r="I1284" s="51">
        <v>2240</v>
      </c>
      <c r="J1284" s="27"/>
      <c r="K1284" s="27"/>
      <c r="L1284" s="15"/>
      <c r="M1284" s="15"/>
      <c r="N1284" s="4"/>
      <c r="O1284" s="4" t="s">
        <v>10469</v>
      </c>
    </row>
    <row r="1285" spans="1:15" x14ac:dyDescent="0.2">
      <c r="A1285" s="2">
        <v>10018494</v>
      </c>
      <c r="B1285" s="2" t="s">
        <v>5348</v>
      </c>
      <c r="C1285" s="5" t="s">
        <v>5747</v>
      </c>
      <c r="D1285" s="21">
        <v>3</v>
      </c>
      <c r="E1285" s="21"/>
      <c r="F1285" s="21" t="s">
        <v>10438</v>
      </c>
      <c r="G1285" s="21"/>
      <c r="H1285" s="54">
        <v>6475</v>
      </c>
      <c r="I1285" s="51">
        <v>5505</v>
      </c>
      <c r="J1285" s="27"/>
      <c r="K1285" s="27"/>
      <c r="L1285" s="15"/>
      <c r="M1285" s="15"/>
      <c r="N1285" s="4"/>
      <c r="O1285" s="4"/>
    </row>
    <row r="1286" spans="1:15" x14ac:dyDescent="0.2">
      <c r="A1286" s="2">
        <v>10033334</v>
      </c>
      <c r="B1286" s="2" t="s">
        <v>3873</v>
      </c>
      <c r="C1286" s="5" t="s">
        <v>6357</v>
      </c>
      <c r="D1286" s="21">
        <v>10</v>
      </c>
      <c r="E1286" s="21"/>
      <c r="F1286" s="21" t="s">
        <v>10438</v>
      </c>
      <c r="G1286" s="21"/>
      <c r="H1286" s="54">
        <v>3335</v>
      </c>
      <c r="I1286" s="51">
        <v>3005</v>
      </c>
      <c r="J1286" s="27"/>
      <c r="K1286" s="27"/>
      <c r="L1286" s="15"/>
      <c r="M1286" s="15"/>
      <c r="N1286" s="4" t="s">
        <v>10713</v>
      </c>
      <c r="O1286" s="4"/>
    </row>
    <row r="1287" spans="1:15" x14ac:dyDescent="0.2">
      <c r="A1287" s="2">
        <v>10018693</v>
      </c>
      <c r="B1287" s="2" t="s">
        <v>274</v>
      </c>
      <c r="C1287" s="5" t="s">
        <v>5843</v>
      </c>
      <c r="D1287" s="21">
        <v>1</v>
      </c>
      <c r="E1287" s="21"/>
      <c r="F1287" s="21" t="s">
        <v>10438</v>
      </c>
      <c r="G1287" s="21"/>
      <c r="H1287" s="54">
        <v>15590</v>
      </c>
      <c r="I1287" s="51">
        <v>13255</v>
      </c>
      <c r="J1287" s="27"/>
      <c r="K1287" s="27"/>
      <c r="L1287" s="15"/>
      <c r="M1287" s="15"/>
      <c r="N1287" s="4" t="s">
        <v>3607</v>
      </c>
      <c r="O1287" s="4"/>
    </row>
    <row r="1288" spans="1:15" x14ac:dyDescent="0.2">
      <c r="A1288" s="2">
        <v>10018708</v>
      </c>
      <c r="B1288" s="2" t="s">
        <v>281</v>
      </c>
      <c r="C1288" s="5" t="s">
        <v>5854</v>
      </c>
      <c r="D1288" s="21">
        <v>5</v>
      </c>
      <c r="E1288" s="21"/>
      <c r="F1288" s="21" t="s">
        <v>10438</v>
      </c>
      <c r="G1288" s="21"/>
      <c r="H1288" s="54">
        <v>8004</v>
      </c>
      <c r="I1288" s="51">
        <v>7205</v>
      </c>
      <c r="J1288" s="27"/>
      <c r="K1288" s="27"/>
      <c r="L1288" s="15"/>
      <c r="M1288" s="15"/>
      <c r="N1288" s="4" t="s">
        <v>3607</v>
      </c>
      <c r="O1288" s="4" t="s">
        <v>10447</v>
      </c>
    </row>
    <row r="1289" spans="1:15" x14ac:dyDescent="0.2">
      <c r="A1289" s="2">
        <v>10018999</v>
      </c>
      <c r="B1289" s="2" t="s">
        <v>5363</v>
      </c>
      <c r="C1289" s="5" t="s">
        <v>5997</v>
      </c>
      <c r="D1289" s="21">
        <v>10</v>
      </c>
      <c r="E1289" s="21"/>
      <c r="F1289" s="21" t="s">
        <v>10438</v>
      </c>
      <c r="G1289" s="21"/>
      <c r="H1289" s="54">
        <v>14125</v>
      </c>
      <c r="I1289" s="51">
        <v>12715</v>
      </c>
      <c r="J1289" s="27">
        <v>12</v>
      </c>
      <c r="K1289" s="27"/>
      <c r="L1289" s="15"/>
      <c r="M1289" s="15"/>
      <c r="N1289" s="4" t="s">
        <v>3607</v>
      </c>
      <c r="O1289" s="4"/>
    </row>
    <row r="1290" spans="1:15" x14ac:dyDescent="0.2">
      <c r="A1290" s="2">
        <v>10019001</v>
      </c>
      <c r="B1290" s="2" t="s">
        <v>397</v>
      </c>
      <c r="C1290" s="5" t="s">
        <v>5998</v>
      </c>
      <c r="D1290" s="21"/>
      <c r="E1290" s="21"/>
      <c r="F1290" s="21" t="s">
        <v>10438</v>
      </c>
      <c r="G1290" s="21"/>
      <c r="H1290" s="54">
        <v>3520</v>
      </c>
      <c r="I1290" s="51"/>
      <c r="J1290" s="27">
        <v>5</v>
      </c>
      <c r="K1290" s="27"/>
      <c r="L1290" s="15"/>
      <c r="M1290" s="15">
        <v>4</v>
      </c>
      <c r="N1290" s="4" t="s">
        <v>3607</v>
      </c>
      <c r="O1290" s="4"/>
    </row>
    <row r="1291" spans="1:15" x14ac:dyDescent="0.2">
      <c r="A1291" s="2">
        <v>10017909</v>
      </c>
      <c r="B1291" s="2" t="s">
        <v>5333</v>
      </c>
      <c r="C1291" s="5" t="s">
        <v>5548</v>
      </c>
      <c r="D1291" s="21">
        <v>3</v>
      </c>
      <c r="E1291" s="21"/>
      <c r="F1291" s="21" t="s">
        <v>10438</v>
      </c>
      <c r="G1291" s="21"/>
      <c r="H1291" s="54">
        <v>3985</v>
      </c>
      <c r="I1291" s="51">
        <v>3590</v>
      </c>
      <c r="J1291" s="27"/>
      <c r="K1291" s="27"/>
      <c r="L1291" s="15"/>
      <c r="M1291" s="15"/>
      <c r="N1291" s="4"/>
      <c r="O1291" s="4"/>
    </row>
    <row r="1292" spans="1:15" x14ac:dyDescent="0.2">
      <c r="A1292" s="2">
        <v>10018487</v>
      </c>
      <c r="B1292" s="2" t="s">
        <v>5346</v>
      </c>
      <c r="C1292" s="5" t="s">
        <v>5743</v>
      </c>
      <c r="D1292" s="21">
        <v>2</v>
      </c>
      <c r="E1292" s="21"/>
      <c r="F1292" s="21" t="s">
        <v>10438</v>
      </c>
      <c r="G1292" s="21"/>
      <c r="H1292" s="54">
        <v>2060</v>
      </c>
      <c r="I1292" s="51">
        <v>1900</v>
      </c>
      <c r="J1292" s="27">
        <v>8</v>
      </c>
      <c r="K1292" s="27"/>
      <c r="L1292" s="15">
        <v>10</v>
      </c>
      <c r="M1292" s="15"/>
      <c r="N1292" s="4" t="s">
        <v>10713</v>
      </c>
      <c r="O1292" s="4"/>
    </row>
    <row r="1293" spans="1:15" x14ac:dyDescent="0.2">
      <c r="A1293" s="2">
        <v>10018945</v>
      </c>
      <c r="B1293" s="2" t="s">
        <v>376</v>
      </c>
      <c r="C1293" s="5" t="s">
        <v>5972</v>
      </c>
      <c r="D1293" s="21">
        <v>4</v>
      </c>
      <c r="E1293" s="21"/>
      <c r="F1293" s="21" t="s">
        <v>10438</v>
      </c>
      <c r="G1293" s="21"/>
      <c r="H1293" s="54">
        <v>7310</v>
      </c>
      <c r="I1293" s="51">
        <v>6580</v>
      </c>
      <c r="J1293" s="27"/>
      <c r="K1293" s="27"/>
      <c r="L1293" s="15"/>
      <c r="M1293" s="15"/>
      <c r="N1293" s="4" t="s">
        <v>10713</v>
      </c>
      <c r="O1293" s="4" t="s">
        <v>10448</v>
      </c>
    </row>
    <row r="1294" spans="1:15" x14ac:dyDescent="0.2">
      <c r="A1294" s="2">
        <v>10017897</v>
      </c>
      <c r="B1294" s="2" t="s">
        <v>21</v>
      </c>
      <c r="C1294" s="5" t="s">
        <v>5541</v>
      </c>
      <c r="D1294" s="21"/>
      <c r="E1294" s="21"/>
      <c r="F1294" s="21" t="s">
        <v>10438</v>
      </c>
      <c r="G1294" s="21"/>
      <c r="H1294" s="54">
        <v>7930</v>
      </c>
      <c r="I1294" s="51">
        <v>7140</v>
      </c>
      <c r="J1294" s="27"/>
      <c r="K1294" s="27"/>
      <c r="L1294" s="15">
        <v>15</v>
      </c>
      <c r="M1294" s="15"/>
      <c r="N1294" s="4" t="s">
        <v>10713</v>
      </c>
      <c r="O1294" s="4"/>
    </row>
    <row r="1295" spans="1:15" x14ac:dyDescent="0.2">
      <c r="A1295" s="2">
        <v>10017898</v>
      </c>
      <c r="B1295" s="2" t="s">
        <v>22</v>
      </c>
      <c r="C1295" s="5" t="s">
        <v>5542</v>
      </c>
      <c r="D1295" s="21">
        <v>6</v>
      </c>
      <c r="E1295" s="21"/>
      <c r="F1295" s="21" t="s">
        <v>10438</v>
      </c>
      <c r="G1295" s="21"/>
      <c r="H1295" s="54">
        <v>7075</v>
      </c>
      <c r="I1295" s="51">
        <v>6370</v>
      </c>
      <c r="J1295" s="27">
        <v>10</v>
      </c>
      <c r="K1295" s="27"/>
      <c r="L1295" s="15">
        <v>20</v>
      </c>
      <c r="M1295" s="15"/>
      <c r="N1295" s="4" t="s">
        <v>3607</v>
      </c>
      <c r="O1295" s="4"/>
    </row>
    <row r="1296" spans="1:15" x14ac:dyDescent="0.2">
      <c r="A1296" s="2">
        <v>10018489</v>
      </c>
      <c r="B1296" s="2" t="s">
        <v>191</v>
      </c>
      <c r="C1296" s="5" t="s">
        <v>5744</v>
      </c>
      <c r="D1296" s="21">
        <v>3</v>
      </c>
      <c r="E1296" s="21"/>
      <c r="F1296" s="21" t="s">
        <v>10438</v>
      </c>
      <c r="G1296" s="21"/>
      <c r="H1296" s="54">
        <v>11585</v>
      </c>
      <c r="I1296" s="51">
        <v>10430</v>
      </c>
      <c r="J1296" s="27"/>
      <c r="K1296" s="27"/>
      <c r="L1296" s="15"/>
      <c r="M1296" s="15">
        <v>4</v>
      </c>
      <c r="N1296" s="4" t="s">
        <v>3607</v>
      </c>
      <c r="O1296" s="4" t="s">
        <v>10447</v>
      </c>
    </row>
    <row r="1297" spans="1:15" x14ac:dyDescent="0.2">
      <c r="A1297" s="2">
        <v>10018963</v>
      </c>
      <c r="B1297" s="2" t="s">
        <v>386</v>
      </c>
      <c r="C1297" s="5" t="s">
        <v>5983</v>
      </c>
      <c r="D1297" s="21">
        <v>9</v>
      </c>
      <c r="E1297" s="21"/>
      <c r="F1297" s="21" t="s">
        <v>10438</v>
      </c>
      <c r="G1297" s="21"/>
      <c r="H1297" s="54">
        <v>3910</v>
      </c>
      <c r="I1297" s="51">
        <v>3520</v>
      </c>
      <c r="J1297" s="27">
        <v>42</v>
      </c>
      <c r="K1297" s="27"/>
      <c r="L1297" s="15"/>
      <c r="M1297" s="15"/>
      <c r="N1297" s="4" t="s">
        <v>10713</v>
      </c>
      <c r="O1297" s="4" t="s">
        <v>10446</v>
      </c>
    </row>
    <row r="1298" spans="1:15" x14ac:dyDescent="0.2">
      <c r="A1298" s="2">
        <v>10018688</v>
      </c>
      <c r="B1298" s="2" t="s">
        <v>3617</v>
      </c>
      <c r="C1298" s="5" t="s">
        <v>9408</v>
      </c>
      <c r="D1298" s="21">
        <v>10</v>
      </c>
      <c r="E1298" s="21"/>
      <c r="F1298" s="21" t="s">
        <v>10438</v>
      </c>
      <c r="G1298" s="21"/>
      <c r="H1298" s="54">
        <v>1390</v>
      </c>
      <c r="I1298" s="51">
        <v>1280</v>
      </c>
      <c r="J1298" s="27"/>
      <c r="K1298" s="27"/>
      <c r="L1298" s="15"/>
      <c r="M1298" s="15">
        <v>5</v>
      </c>
      <c r="N1298" s="4"/>
      <c r="O1298" s="4"/>
    </row>
    <row r="1299" spans="1:15" x14ac:dyDescent="0.2">
      <c r="A1299" s="2">
        <v>10041614</v>
      </c>
      <c r="B1299" s="2" t="s">
        <v>5443</v>
      </c>
      <c r="C1299" s="5" t="s">
        <v>9417</v>
      </c>
      <c r="D1299" s="21">
        <v>2</v>
      </c>
      <c r="E1299" s="21"/>
      <c r="F1299" s="21" t="s">
        <v>10438</v>
      </c>
      <c r="G1299" s="21"/>
      <c r="H1299" s="54">
        <v>295</v>
      </c>
      <c r="I1299" s="51"/>
      <c r="J1299" s="27"/>
      <c r="K1299" s="27"/>
      <c r="L1299" s="15"/>
      <c r="M1299" s="15"/>
      <c r="N1299" s="4"/>
      <c r="O1299" s="4" t="s">
        <v>10452</v>
      </c>
    </row>
    <row r="1300" spans="1:15" x14ac:dyDescent="0.2">
      <c r="A1300" s="2">
        <v>10041615</v>
      </c>
      <c r="B1300" s="2" t="s">
        <v>5444</v>
      </c>
      <c r="C1300" s="5" t="s">
        <v>9418</v>
      </c>
      <c r="D1300" s="21"/>
      <c r="E1300" s="21"/>
      <c r="F1300" s="21" t="s">
        <v>10438</v>
      </c>
      <c r="G1300" s="21"/>
      <c r="H1300" s="54">
        <v>525</v>
      </c>
      <c r="I1300" s="51">
        <v>500</v>
      </c>
      <c r="J1300" s="27"/>
      <c r="K1300" s="27"/>
      <c r="L1300" s="15"/>
      <c r="M1300" s="15"/>
      <c r="N1300" s="4"/>
      <c r="O1300" s="4" t="s">
        <v>10469</v>
      </c>
    </row>
    <row r="1301" spans="1:15" x14ac:dyDescent="0.2">
      <c r="A1301" s="2">
        <v>10017891</v>
      </c>
      <c r="B1301" s="2" t="s">
        <v>18</v>
      </c>
      <c r="C1301" s="5" t="s">
        <v>5536</v>
      </c>
      <c r="D1301" s="21">
        <v>2</v>
      </c>
      <c r="E1301" s="21"/>
      <c r="F1301" s="21" t="s">
        <v>10438</v>
      </c>
      <c r="G1301" s="21"/>
      <c r="H1301" s="54">
        <v>4428</v>
      </c>
      <c r="I1301" s="51">
        <v>3990</v>
      </c>
      <c r="J1301" s="27"/>
      <c r="K1301" s="27"/>
      <c r="L1301" s="15"/>
      <c r="M1301" s="15"/>
      <c r="N1301" s="4"/>
      <c r="O1301" s="4" t="s">
        <v>10469</v>
      </c>
    </row>
    <row r="1302" spans="1:15" x14ac:dyDescent="0.2">
      <c r="A1302" s="2">
        <v>10017899</v>
      </c>
      <c r="B1302" s="2" t="s">
        <v>23</v>
      </c>
      <c r="C1302" s="5" t="s">
        <v>5543</v>
      </c>
      <c r="D1302" s="21">
        <v>1</v>
      </c>
      <c r="E1302" s="21"/>
      <c r="F1302" s="21" t="s">
        <v>10438</v>
      </c>
      <c r="G1302" s="21"/>
      <c r="H1302" s="54">
        <v>3165</v>
      </c>
      <c r="I1302" s="51">
        <v>2850</v>
      </c>
      <c r="J1302" s="27"/>
      <c r="K1302" s="27"/>
      <c r="L1302" s="15"/>
      <c r="M1302" s="15"/>
      <c r="N1302" s="4"/>
      <c r="O1302" s="4" t="s">
        <v>10469</v>
      </c>
    </row>
    <row r="1303" spans="1:15" x14ac:dyDescent="0.2">
      <c r="A1303" s="2">
        <v>10017915</v>
      </c>
      <c r="B1303" s="2" t="s">
        <v>25</v>
      </c>
      <c r="C1303" s="5" t="s">
        <v>5549</v>
      </c>
      <c r="D1303" s="21">
        <v>2</v>
      </c>
      <c r="E1303" s="21"/>
      <c r="F1303" s="21" t="s">
        <v>10438</v>
      </c>
      <c r="G1303" s="21"/>
      <c r="H1303" s="54">
        <v>6620</v>
      </c>
      <c r="I1303" s="51">
        <v>5630</v>
      </c>
      <c r="J1303" s="27"/>
      <c r="K1303" s="27"/>
      <c r="L1303" s="15"/>
      <c r="M1303" s="15"/>
      <c r="N1303" s="4"/>
      <c r="O1303" s="4" t="s">
        <v>10469</v>
      </c>
    </row>
    <row r="1304" spans="1:15" x14ac:dyDescent="0.2">
      <c r="A1304" s="2">
        <v>10017949</v>
      </c>
      <c r="B1304" s="2" t="s">
        <v>5339</v>
      </c>
      <c r="C1304" s="5" t="s">
        <v>9403</v>
      </c>
      <c r="D1304" s="21">
        <v>3</v>
      </c>
      <c r="E1304" s="21"/>
      <c r="F1304" s="21" t="s">
        <v>10438</v>
      </c>
      <c r="G1304" s="21"/>
      <c r="H1304" s="54">
        <v>10225</v>
      </c>
      <c r="I1304" s="51">
        <v>8695</v>
      </c>
      <c r="J1304" s="27"/>
      <c r="K1304" s="27"/>
      <c r="L1304" s="15"/>
      <c r="M1304" s="15"/>
      <c r="N1304" s="4"/>
      <c r="O1304" s="4" t="s">
        <v>10469</v>
      </c>
    </row>
    <row r="1305" spans="1:15" x14ac:dyDescent="0.2">
      <c r="A1305" s="2">
        <v>10018996</v>
      </c>
      <c r="B1305" s="2" t="s">
        <v>396</v>
      </c>
      <c r="C1305" s="5" t="s">
        <v>5996</v>
      </c>
      <c r="D1305" s="21">
        <v>2</v>
      </c>
      <c r="E1305" s="21"/>
      <c r="F1305" s="21" t="s">
        <v>10438</v>
      </c>
      <c r="G1305" s="21"/>
      <c r="H1305" s="54">
        <v>6445</v>
      </c>
      <c r="I1305" s="51">
        <v>5480</v>
      </c>
      <c r="J1305" s="27"/>
      <c r="K1305" s="27"/>
      <c r="L1305" s="15"/>
      <c r="M1305" s="15"/>
      <c r="N1305" s="4"/>
      <c r="O1305" s="4"/>
    </row>
    <row r="1306" spans="1:15" x14ac:dyDescent="0.2">
      <c r="A1306" s="2">
        <v>10031418</v>
      </c>
      <c r="B1306" s="2" t="s">
        <v>5466</v>
      </c>
      <c r="C1306" s="5" t="s">
        <v>6350</v>
      </c>
      <c r="D1306" s="21"/>
      <c r="E1306" s="21"/>
      <c r="F1306" s="21" t="s">
        <v>10438</v>
      </c>
      <c r="G1306" s="21"/>
      <c r="H1306" s="54">
        <v>2235</v>
      </c>
      <c r="I1306" s="51">
        <v>2015</v>
      </c>
      <c r="J1306" s="27"/>
      <c r="K1306" s="27"/>
      <c r="L1306" s="15"/>
      <c r="M1306" s="15">
        <v>4</v>
      </c>
      <c r="N1306" s="4"/>
      <c r="O1306" s="4"/>
    </row>
    <row r="1307" spans="1:15" x14ac:dyDescent="0.2">
      <c r="A1307" s="2">
        <v>10018887</v>
      </c>
      <c r="B1307" s="2" t="s">
        <v>3743</v>
      </c>
      <c r="C1307" s="5" t="s">
        <v>5939</v>
      </c>
      <c r="D1307" s="21">
        <v>18</v>
      </c>
      <c r="E1307" s="21"/>
      <c r="F1307" s="21" t="s">
        <v>10438</v>
      </c>
      <c r="G1307" s="21"/>
      <c r="H1307" s="54">
        <v>2905</v>
      </c>
      <c r="I1307" s="51">
        <v>2615</v>
      </c>
      <c r="J1307" s="27"/>
      <c r="K1307" s="27"/>
      <c r="L1307" s="15"/>
      <c r="M1307" s="15"/>
      <c r="N1307" s="4"/>
      <c r="O1307" s="4"/>
    </row>
    <row r="1308" spans="1:15" x14ac:dyDescent="0.2">
      <c r="A1308" s="2">
        <v>10018712</v>
      </c>
      <c r="B1308" s="2" t="s">
        <v>282</v>
      </c>
      <c r="C1308" s="5" t="s">
        <v>5855</v>
      </c>
      <c r="D1308" s="21">
        <v>1</v>
      </c>
      <c r="E1308" s="21"/>
      <c r="F1308" s="21" t="s">
        <v>10438</v>
      </c>
      <c r="G1308" s="21"/>
      <c r="H1308" s="54">
        <v>8245</v>
      </c>
      <c r="I1308" s="51">
        <v>7425</v>
      </c>
      <c r="J1308" s="27"/>
      <c r="K1308" s="27"/>
      <c r="L1308" s="15"/>
      <c r="M1308" s="15">
        <v>5</v>
      </c>
      <c r="N1308" s="4" t="s">
        <v>10713</v>
      </c>
      <c r="O1308" s="4" t="s">
        <v>10445</v>
      </c>
    </row>
    <row r="1309" spans="1:15" x14ac:dyDescent="0.2">
      <c r="A1309" s="2">
        <v>10018713</v>
      </c>
      <c r="B1309" s="2" t="s">
        <v>5357</v>
      </c>
      <c r="C1309" s="5" t="s">
        <v>5856</v>
      </c>
      <c r="D1309" s="21">
        <v>8</v>
      </c>
      <c r="E1309" s="21"/>
      <c r="F1309" s="21" t="s">
        <v>10438</v>
      </c>
      <c r="G1309" s="21"/>
      <c r="H1309" s="54">
        <v>3625</v>
      </c>
      <c r="I1309" s="51">
        <v>3265</v>
      </c>
      <c r="J1309" s="27"/>
      <c r="K1309" s="27"/>
      <c r="L1309" s="15"/>
      <c r="M1309" s="15">
        <v>5</v>
      </c>
      <c r="N1309" s="4" t="s">
        <v>10713</v>
      </c>
      <c r="O1309" s="4"/>
    </row>
    <row r="1310" spans="1:15" x14ac:dyDescent="0.2">
      <c r="A1310" s="2">
        <v>10018701</v>
      </c>
      <c r="B1310" s="2" t="s">
        <v>276</v>
      </c>
      <c r="C1310" s="5" t="s">
        <v>5847</v>
      </c>
      <c r="D1310" s="21">
        <v>8</v>
      </c>
      <c r="E1310" s="21"/>
      <c r="F1310" s="21" t="s">
        <v>10438</v>
      </c>
      <c r="G1310" s="21"/>
      <c r="H1310" s="54">
        <v>8215</v>
      </c>
      <c r="I1310" s="51">
        <v>7395</v>
      </c>
      <c r="J1310" s="27">
        <v>23</v>
      </c>
      <c r="K1310" s="27"/>
      <c r="L1310" s="15"/>
      <c r="M1310" s="15"/>
      <c r="N1310" s="4" t="s">
        <v>3607</v>
      </c>
      <c r="O1310" s="4" t="s">
        <v>10457</v>
      </c>
    </row>
    <row r="1311" spans="1:15" x14ac:dyDescent="0.2">
      <c r="A1311" s="2">
        <v>10018697</v>
      </c>
      <c r="B1311" s="2" t="s">
        <v>5353</v>
      </c>
      <c r="C1311" s="5" t="s">
        <v>5845</v>
      </c>
      <c r="D1311" s="21">
        <v>14</v>
      </c>
      <c r="E1311" s="21"/>
      <c r="F1311" s="21" t="s">
        <v>10438</v>
      </c>
      <c r="G1311" s="21"/>
      <c r="H1311" s="54">
        <v>1570</v>
      </c>
      <c r="I1311" s="51">
        <v>1445</v>
      </c>
      <c r="J1311" s="27"/>
      <c r="K1311" s="27"/>
      <c r="L1311" s="15"/>
      <c r="M1311" s="15"/>
      <c r="N1311" s="4"/>
      <c r="O1311" s="4" t="s">
        <v>10452</v>
      </c>
    </row>
    <row r="1312" spans="1:15" x14ac:dyDescent="0.2">
      <c r="A1312" s="2">
        <v>10039965</v>
      </c>
      <c r="B1312" s="2" t="s">
        <v>3879</v>
      </c>
      <c r="C1312" s="5" t="s">
        <v>6381</v>
      </c>
      <c r="D1312" s="21">
        <v>7</v>
      </c>
      <c r="E1312" s="21"/>
      <c r="F1312" s="21" t="s">
        <v>10438</v>
      </c>
      <c r="G1312" s="21"/>
      <c r="H1312" s="54">
        <v>9370</v>
      </c>
      <c r="I1312" s="51">
        <v>8435</v>
      </c>
      <c r="J1312" s="27">
        <v>29</v>
      </c>
      <c r="K1312" s="27"/>
      <c r="L1312" s="15"/>
      <c r="M1312" s="15"/>
      <c r="N1312" s="4"/>
      <c r="O1312" s="4" t="s">
        <v>10457</v>
      </c>
    </row>
    <row r="1313" spans="1:15" x14ac:dyDescent="0.2">
      <c r="A1313" s="2">
        <v>10039966</v>
      </c>
      <c r="B1313" s="2" t="s">
        <v>3880</v>
      </c>
      <c r="C1313" s="5" t="s">
        <v>6382</v>
      </c>
      <c r="D1313" s="21"/>
      <c r="E1313" s="21"/>
      <c r="F1313" s="21" t="s">
        <v>10438</v>
      </c>
      <c r="G1313" s="21"/>
      <c r="H1313" s="54">
        <v>3145</v>
      </c>
      <c r="I1313" s="51">
        <v>2895</v>
      </c>
      <c r="J1313" s="27"/>
      <c r="K1313" s="27"/>
      <c r="L1313" s="15"/>
      <c r="M1313" s="15"/>
      <c r="N1313" s="4"/>
      <c r="O1313" s="4" t="s">
        <v>10452</v>
      </c>
    </row>
    <row r="1314" spans="1:15" x14ac:dyDescent="0.2">
      <c r="A1314" s="2">
        <v>10018756</v>
      </c>
      <c r="B1314" s="2" t="s">
        <v>5359</v>
      </c>
      <c r="C1314" s="5" t="s">
        <v>5877</v>
      </c>
      <c r="D1314" s="21">
        <v>6</v>
      </c>
      <c r="E1314" s="21"/>
      <c r="F1314" s="21" t="s">
        <v>10438</v>
      </c>
      <c r="G1314" s="21"/>
      <c r="H1314" s="54">
        <v>3185</v>
      </c>
      <c r="I1314" s="51">
        <v>2870</v>
      </c>
      <c r="J1314" s="27"/>
      <c r="K1314" s="27"/>
      <c r="L1314" s="15"/>
      <c r="M1314" s="15"/>
      <c r="N1314" s="4"/>
      <c r="O1314" s="4"/>
    </row>
    <row r="1315" spans="1:15" x14ac:dyDescent="0.2">
      <c r="A1315" s="2">
        <v>10019003</v>
      </c>
      <c r="B1315" s="2" t="s">
        <v>398</v>
      </c>
      <c r="C1315" s="5" t="s">
        <v>5999</v>
      </c>
      <c r="D1315" s="21">
        <v>2</v>
      </c>
      <c r="E1315" s="21"/>
      <c r="F1315" s="21" t="s">
        <v>10438</v>
      </c>
      <c r="G1315" s="21"/>
      <c r="H1315" s="54">
        <v>12485</v>
      </c>
      <c r="I1315" s="51">
        <v>11240</v>
      </c>
      <c r="J1315" s="27">
        <v>6</v>
      </c>
      <c r="K1315" s="27"/>
      <c r="L1315" s="15"/>
      <c r="M1315" s="15">
        <v>5</v>
      </c>
      <c r="N1315" s="4" t="s">
        <v>3607</v>
      </c>
      <c r="O1315" s="4" t="s">
        <v>10450</v>
      </c>
    </row>
    <row r="1316" spans="1:15" x14ac:dyDescent="0.2">
      <c r="A1316" s="2">
        <v>10019005</v>
      </c>
      <c r="B1316" s="2" t="s">
        <v>5415</v>
      </c>
      <c r="C1316" s="5" t="s">
        <v>6001</v>
      </c>
      <c r="D1316" s="21">
        <v>2</v>
      </c>
      <c r="E1316" s="21"/>
      <c r="F1316" s="21" t="s">
        <v>10438</v>
      </c>
      <c r="G1316" s="21"/>
      <c r="H1316" s="54">
        <v>4485</v>
      </c>
      <c r="I1316" s="51">
        <v>4040</v>
      </c>
      <c r="J1316" s="27"/>
      <c r="K1316" s="27"/>
      <c r="L1316" s="15"/>
      <c r="M1316" s="15"/>
      <c r="N1316" s="4"/>
      <c r="O1316" s="4"/>
    </row>
    <row r="1317" spans="1:15" x14ac:dyDescent="0.2">
      <c r="A1317" s="2">
        <v>10019030</v>
      </c>
      <c r="B1317" s="2" t="s">
        <v>3806</v>
      </c>
      <c r="C1317" s="5" t="s">
        <v>6012</v>
      </c>
      <c r="D1317" s="21">
        <v>7</v>
      </c>
      <c r="E1317" s="21"/>
      <c r="F1317" s="21" t="s">
        <v>10438</v>
      </c>
      <c r="G1317" s="21"/>
      <c r="H1317" s="54">
        <v>9470</v>
      </c>
      <c r="I1317" s="51">
        <v>8525</v>
      </c>
      <c r="J1317" s="27">
        <v>11</v>
      </c>
      <c r="K1317" s="27"/>
      <c r="L1317" s="15"/>
      <c r="M1317" s="15"/>
      <c r="N1317" s="4"/>
      <c r="O1317" s="4" t="s">
        <v>10457</v>
      </c>
    </row>
    <row r="1318" spans="1:15" x14ac:dyDescent="0.2">
      <c r="A1318" s="2">
        <v>10018929</v>
      </c>
      <c r="B1318" s="2" t="s">
        <v>368</v>
      </c>
      <c r="C1318" s="5" t="s">
        <v>9425</v>
      </c>
      <c r="D1318" s="21">
        <v>2</v>
      </c>
      <c r="E1318" s="21"/>
      <c r="F1318" s="21" t="s">
        <v>10438</v>
      </c>
      <c r="G1318" s="21"/>
      <c r="H1318" s="54">
        <v>4505</v>
      </c>
      <c r="I1318" s="51">
        <v>4055</v>
      </c>
      <c r="J1318" s="27"/>
      <c r="K1318" s="27"/>
      <c r="L1318" s="15">
        <v>5</v>
      </c>
      <c r="M1318" s="15"/>
      <c r="N1318" s="4" t="s">
        <v>10713</v>
      </c>
      <c r="O1318" s="4"/>
    </row>
    <row r="1319" spans="1:15" x14ac:dyDescent="0.2">
      <c r="A1319" s="2">
        <v>10018699</v>
      </c>
      <c r="B1319" s="2" t="s">
        <v>5354</v>
      </c>
      <c r="C1319" s="5" t="s">
        <v>5846</v>
      </c>
      <c r="D1319" s="21">
        <v>11</v>
      </c>
      <c r="E1319" s="21"/>
      <c r="F1319" s="21" t="s">
        <v>10438</v>
      </c>
      <c r="G1319" s="21"/>
      <c r="H1319" s="54">
        <v>1705</v>
      </c>
      <c r="I1319" s="51">
        <v>1570</v>
      </c>
      <c r="J1319" s="27"/>
      <c r="K1319" s="27"/>
      <c r="L1319" s="15"/>
      <c r="M1319" s="15"/>
      <c r="N1319" s="4" t="s">
        <v>10713</v>
      </c>
      <c r="O1319" s="4"/>
    </row>
    <row r="1320" spans="1:15" x14ac:dyDescent="0.2">
      <c r="A1320" s="2">
        <v>10029887</v>
      </c>
      <c r="B1320" s="2" t="s">
        <v>5378</v>
      </c>
      <c r="C1320" s="5" t="s">
        <v>6337</v>
      </c>
      <c r="D1320" s="21">
        <v>4</v>
      </c>
      <c r="E1320" s="21"/>
      <c r="F1320" s="21" t="s">
        <v>10438</v>
      </c>
      <c r="G1320" s="21"/>
      <c r="H1320" s="54">
        <v>4237</v>
      </c>
      <c r="I1320" s="51">
        <v>3815</v>
      </c>
      <c r="J1320" s="27"/>
      <c r="K1320" s="27"/>
      <c r="L1320" s="15"/>
      <c r="M1320" s="15"/>
      <c r="N1320" s="4"/>
      <c r="O1320" s="4"/>
    </row>
    <row r="1321" spans="1:15" x14ac:dyDescent="0.2">
      <c r="A1321" s="2">
        <v>10038196</v>
      </c>
      <c r="B1321" s="2" t="s">
        <v>3749</v>
      </c>
      <c r="C1321" s="5" t="s">
        <v>6367</v>
      </c>
      <c r="D1321" s="21"/>
      <c r="E1321" s="21"/>
      <c r="F1321" s="21" t="s">
        <v>10438</v>
      </c>
      <c r="G1321" s="21"/>
      <c r="H1321" s="54">
        <v>7455</v>
      </c>
      <c r="I1321" s="51"/>
      <c r="J1321" s="27"/>
      <c r="K1321" s="27"/>
      <c r="L1321" s="15"/>
      <c r="M1321" s="15">
        <v>2</v>
      </c>
      <c r="N1321" s="4"/>
      <c r="O1321" s="4"/>
    </row>
    <row r="1322" spans="1:15" x14ac:dyDescent="0.2">
      <c r="A1322" s="2">
        <v>10038197</v>
      </c>
      <c r="B1322" s="2" t="s">
        <v>3750</v>
      </c>
      <c r="C1322" s="5" t="s">
        <v>6368</v>
      </c>
      <c r="D1322" s="21">
        <v>1</v>
      </c>
      <c r="E1322" s="21"/>
      <c r="F1322" s="21" t="s">
        <v>10438</v>
      </c>
      <c r="G1322" s="21"/>
      <c r="H1322" s="54">
        <v>14105</v>
      </c>
      <c r="I1322" s="51">
        <v>9875</v>
      </c>
      <c r="J1322" s="27"/>
      <c r="K1322" s="27"/>
      <c r="L1322" s="15"/>
      <c r="M1322" s="15"/>
      <c r="N1322" s="4"/>
      <c r="O1322" s="4"/>
    </row>
    <row r="1323" spans="1:15" x14ac:dyDescent="0.2">
      <c r="A1323" s="2">
        <v>10017974</v>
      </c>
      <c r="B1323" s="2" t="s">
        <v>5489</v>
      </c>
      <c r="C1323" s="5" t="s">
        <v>9426</v>
      </c>
      <c r="D1323" s="21">
        <v>1</v>
      </c>
      <c r="E1323" s="21"/>
      <c r="F1323" s="21" t="s">
        <v>10438</v>
      </c>
      <c r="G1323" s="21"/>
      <c r="H1323" s="54">
        <v>5445</v>
      </c>
      <c r="I1323" s="51">
        <v>4905</v>
      </c>
      <c r="J1323" s="27"/>
      <c r="K1323" s="27"/>
      <c r="L1323" s="15">
        <v>3</v>
      </c>
      <c r="M1323" s="15">
        <v>5</v>
      </c>
      <c r="N1323" s="4"/>
      <c r="O1323" s="4"/>
    </row>
    <row r="1324" spans="1:15" x14ac:dyDescent="0.2">
      <c r="A1324" s="2">
        <v>10018441</v>
      </c>
      <c r="B1324" s="2" t="s">
        <v>3613</v>
      </c>
      <c r="C1324" s="5" t="s">
        <v>5722</v>
      </c>
      <c r="D1324" s="21">
        <v>2</v>
      </c>
      <c r="E1324" s="21"/>
      <c r="F1324" s="21" t="s">
        <v>10438</v>
      </c>
      <c r="G1324" s="21"/>
      <c r="H1324" s="54">
        <v>1840</v>
      </c>
      <c r="I1324" s="51">
        <v>1695</v>
      </c>
      <c r="J1324" s="27"/>
      <c r="K1324" s="27"/>
      <c r="L1324" s="15">
        <v>3</v>
      </c>
      <c r="M1324" s="15"/>
      <c r="N1324" s="4"/>
      <c r="O1324" s="4" t="s">
        <v>10452</v>
      </c>
    </row>
    <row r="1325" spans="1:15" x14ac:dyDescent="0.2">
      <c r="A1325" s="2">
        <v>10017900</v>
      </c>
      <c r="B1325" s="2" t="s">
        <v>24</v>
      </c>
      <c r="C1325" s="5" t="s">
        <v>5544</v>
      </c>
      <c r="D1325" s="21"/>
      <c r="E1325" s="21"/>
      <c r="F1325" s="21" t="s">
        <v>10438</v>
      </c>
      <c r="G1325" s="21"/>
      <c r="H1325" s="54">
        <v>2775</v>
      </c>
      <c r="I1325" s="51"/>
      <c r="J1325" s="27"/>
      <c r="K1325" s="27"/>
      <c r="L1325" s="15">
        <v>3</v>
      </c>
      <c r="M1325" s="15"/>
      <c r="N1325" s="4"/>
      <c r="O1325" s="4"/>
    </row>
    <row r="1326" spans="1:15" x14ac:dyDescent="0.2">
      <c r="A1326" s="2">
        <v>10018702</v>
      </c>
      <c r="B1326" s="2" t="s">
        <v>5355</v>
      </c>
      <c r="C1326" s="5" t="s">
        <v>5848</v>
      </c>
      <c r="D1326" s="21">
        <v>3</v>
      </c>
      <c r="E1326" s="21"/>
      <c r="F1326" s="21" t="s">
        <v>10438</v>
      </c>
      <c r="G1326" s="21"/>
      <c r="H1326" s="54">
        <v>1675</v>
      </c>
      <c r="I1326" s="51">
        <v>1545</v>
      </c>
      <c r="J1326" s="27"/>
      <c r="K1326" s="27"/>
      <c r="L1326" s="15"/>
      <c r="M1326" s="15"/>
      <c r="N1326" s="4" t="s">
        <v>10713</v>
      </c>
      <c r="O1326" s="4"/>
    </row>
    <row r="1327" spans="1:15" x14ac:dyDescent="0.2">
      <c r="A1327" s="2">
        <v>40006837</v>
      </c>
      <c r="B1327" s="2" t="s">
        <v>2135</v>
      </c>
      <c r="C1327" s="5" t="s">
        <v>7844</v>
      </c>
      <c r="D1327" s="21">
        <v>4</v>
      </c>
      <c r="E1327" s="21"/>
      <c r="F1327" s="21" t="s">
        <v>10438</v>
      </c>
      <c r="G1327" s="21"/>
      <c r="H1327" s="54">
        <v>7</v>
      </c>
      <c r="I1327" s="51"/>
      <c r="J1327" s="27"/>
      <c r="K1327" s="27"/>
      <c r="L1327" s="15"/>
      <c r="M1327" s="15"/>
      <c r="N1327" s="4" t="s">
        <v>4519</v>
      </c>
      <c r="O1327" s="4"/>
    </row>
    <row r="1328" spans="1:15" x14ac:dyDescent="0.2">
      <c r="A1328" s="2">
        <v>10018520</v>
      </c>
      <c r="B1328" s="9" t="s">
        <v>200</v>
      </c>
      <c r="C1328" s="5" t="s">
        <v>9427</v>
      </c>
      <c r="D1328" s="21">
        <v>1</v>
      </c>
      <c r="E1328" s="21"/>
      <c r="F1328" s="21" t="s">
        <v>10438</v>
      </c>
      <c r="G1328" s="21"/>
      <c r="H1328" s="54">
        <v>11545</v>
      </c>
      <c r="I1328" s="51">
        <v>10395</v>
      </c>
      <c r="J1328" s="27"/>
      <c r="K1328" s="27"/>
      <c r="L1328" s="15">
        <v>2</v>
      </c>
      <c r="M1328" s="15"/>
      <c r="N1328" s="4" t="s">
        <v>3607</v>
      </c>
      <c r="O1328" s="4" t="s">
        <v>10450</v>
      </c>
    </row>
    <row r="1329" spans="1:15" x14ac:dyDescent="0.2">
      <c r="A1329" s="2">
        <v>10040625</v>
      </c>
      <c r="B1329" s="2" t="s">
        <v>5385</v>
      </c>
      <c r="C1329" s="5" t="s">
        <v>6387</v>
      </c>
      <c r="D1329" s="21">
        <v>1</v>
      </c>
      <c r="E1329" s="21"/>
      <c r="F1329" s="21" t="s">
        <v>10438</v>
      </c>
      <c r="G1329" s="21"/>
      <c r="H1329" s="54">
        <v>9199</v>
      </c>
      <c r="I1329" s="51">
        <v>7820</v>
      </c>
      <c r="J1329" s="27"/>
      <c r="K1329" s="27"/>
      <c r="L1329" s="15"/>
      <c r="M1329" s="15">
        <v>5</v>
      </c>
      <c r="N1329" s="4"/>
      <c r="O1329" s="4"/>
    </row>
    <row r="1330" spans="1:15" x14ac:dyDescent="0.2">
      <c r="A1330" s="2">
        <v>10032258</v>
      </c>
      <c r="B1330" s="2" t="s">
        <v>688</v>
      </c>
      <c r="C1330" s="5" t="s">
        <v>6354</v>
      </c>
      <c r="D1330" s="21">
        <v>2</v>
      </c>
      <c r="E1330" s="21"/>
      <c r="F1330" s="21" t="s">
        <v>10438</v>
      </c>
      <c r="G1330" s="21"/>
      <c r="H1330" s="54">
        <v>5670</v>
      </c>
      <c r="I1330" s="51">
        <v>5220</v>
      </c>
      <c r="J1330" s="27"/>
      <c r="K1330" s="27"/>
      <c r="L1330" s="15"/>
      <c r="M1330" s="15"/>
      <c r="N1330" s="4"/>
      <c r="O1330" s="4"/>
    </row>
    <row r="1331" spans="1:15" x14ac:dyDescent="0.2">
      <c r="A1331" s="2">
        <v>10039108</v>
      </c>
      <c r="B1331" s="2" t="s">
        <v>5382</v>
      </c>
      <c r="C1331" s="5" t="s">
        <v>9429</v>
      </c>
      <c r="D1331" s="21">
        <v>1</v>
      </c>
      <c r="E1331" s="21"/>
      <c r="F1331" s="21" t="s">
        <v>10438</v>
      </c>
      <c r="G1331" s="21"/>
      <c r="H1331" s="54">
        <v>5825</v>
      </c>
      <c r="I1331" s="51">
        <v>5360</v>
      </c>
      <c r="J1331" s="27"/>
      <c r="K1331" s="27"/>
      <c r="L1331" s="15"/>
      <c r="M1331" s="15"/>
      <c r="N1331" s="4"/>
      <c r="O1331" s="4"/>
    </row>
    <row r="1332" spans="1:15" x14ac:dyDescent="0.2">
      <c r="A1332" s="2">
        <v>10040629</v>
      </c>
      <c r="B1332" s="2" t="s">
        <v>5469</v>
      </c>
      <c r="C1332" s="5" t="s">
        <v>6391</v>
      </c>
      <c r="D1332" s="21">
        <v>1</v>
      </c>
      <c r="E1332" s="21"/>
      <c r="F1332" s="21" t="s">
        <v>10438</v>
      </c>
      <c r="G1332" s="21"/>
      <c r="H1332" s="54">
        <v>19796</v>
      </c>
      <c r="I1332" s="51">
        <v>13860</v>
      </c>
      <c r="J1332" s="27"/>
      <c r="K1332" s="27"/>
      <c r="L1332" s="15"/>
      <c r="M1332" s="15"/>
      <c r="N1332" s="4"/>
      <c r="O1332" s="4"/>
    </row>
    <row r="1333" spans="1:15" x14ac:dyDescent="0.2">
      <c r="A1333" s="2">
        <v>10017964</v>
      </c>
      <c r="B1333" s="2" t="s">
        <v>5419</v>
      </c>
      <c r="C1333" s="10" t="s">
        <v>9406</v>
      </c>
      <c r="D1333" s="21">
        <v>2</v>
      </c>
      <c r="E1333" s="21"/>
      <c r="F1333" s="21" t="s">
        <v>10438</v>
      </c>
      <c r="G1333" s="21"/>
      <c r="H1333" s="54">
        <v>7345</v>
      </c>
      <c r="I1333" s="51">
        <v>6245</v>
      </c>
      <c r="J1333" s="27">
        <v>3</v>
      </c>
      <c r="K1333" s="27"/>
      <c r="L1333" s="15"/>
      <c r="M1333" s="15"/>
      <c r="N1333" s="4"/>
      <c r="O1333" s="4" t="s">
        <v>10455</v>
      </c>
    </row>
    <row r="1334" spans="1:15" x14ac:dyDescent="0.2">
      <c r="A1334" s="2">
        <v>10038678</v>
      </c>
      <c r="B1334" s="2" t="s">
        <v>5381</v>
      </c>
      <c r="C1334" s="10" t="s">
        <v>6369</v>
      </c>
      <c r="D1334" s="21"/>
      <c r="E1334" s="21"/>
      <c r="F1334" s="21" t="s">
        <v>10438</v>
      </c>
      <c r="G1334" s="21"/>
      <c r="H1334" s="54">
        <v>5283</v>
      </c>
      <c r="I1334" s="51"/>
      <c r="J1334" s="27"/>
      <c r="K1334" s="27"/>
      <c r="L1334" s="15"/>
      <c r="M1334" s="15"/>
      <c r="N1334" s="4"/>
      <c r="O1334" s="4" t="s">
        <v>10469</v>
      </c>
    </row>
    <row r="1335" spans="1:15" x14ac:dyDescent="0.2">
      <c r="A1335" s="2">
        <v>10017905</v>
      </c>
      <c r="B1335" s="2" t="s">
        <v>3840</v>
      </c>
      <c r="C1335" s="5" t="s">
        <v>5546</v>
      </c>
      <c r="D1335" s="21">
        <v>6</v>
      </c>
      <c r="E1335" s="21"/>
      <c r="F1335" s="21" t="s">
        <v>10438</v>
      </c>
      <c r="G1335" s="21"/>
      <c r="H1335" s="54">
        <v>10575</v>
      </c>
      <c r="I1335" s="51">
        <v>8990</v>
      </c>
      <c r="J1335" s="27"/>
      <c r="K1335" s="27"/>
      <c r="L1335" s="15"/>
      <c r="M1335" s="15"/>
      <c r="N1335" s="4"/>
      <c r="O1335" s="4" t="s">
        <v>10447</v>
      </c>
    </row>
    <row r="1336" spans="1:15" x14ac:dyDescent="0.2">
      <c r="A1336" s="2">
        <v>10017936</v>
      </c>
      <c r="B1336" s="2" t="s">
        <v>5335</v>
      </c>
      <c r="C1336" s="5" t="s">
        <v>5552</v>
      </c>
      <c r="D1336" s="21">
        <v>1</v>
      </c>
      <c r="E1336" s="21"/>
      <c r="F1336" s="21" t="s">
        <v>10438</v>
      </c>
      <c r="G1336" s="21"/>
      <c r="H1336" s="54">
        <v>2358</v>
      </c>
      <c r="I1336" s="51">
        <v>1655</v>
      </c>
      <c r="J1336" s="27">
        <v>25</v>
      </c>
      <c r="K1336" s="27"/>
      <c r="L1336" s="15"/>
      <c r="M1336" s="15"/>
      <c r="N1336" s="4"/>
      <c r="O1336" s="4"/>
    </row>
    <row r="1337" spans="1:15" x14ac:dyDescent="0.2">
      <c r="A1337" s="2">
        <v>40006448</v>
      </c>
      <c r="B1337" s="2" t="s">
        <v>1805</v>
      </c>
      <c r="C1337" s="5" t="s">
        <v>7512</v>
      </c>
      <c r="D1337" s="21">
        <v>14</v>
      </c>
      <c r="E1337" s="21"/>
      <c r="F1337" s="30">
        <v>1</v>
      </c>
      <c r="G1337" s="21"/>
      <c r="H1337" s="54">
        <v>120</v>
      </c>
      <c r="I1337" s="51"/>
      <c r="J1337" s="27"/>
      <c r="K1337" s="27"/>
      <c r="L1337" s="15"/>
      <c r="M1337" s="15">
        <v>4</v>
      </c>
      <c r="N1337" s="4" t="s">
        <v>4601</v>
      </c>
      <c r="O1337" s="4"/>
    </row>
    <row r="1338" spans="1:15" x14ac:dyDescent="0.2">
      <c r="A1338" s="2">
        <v>40006331</v>
      </c>
      <c r="B1338" s="2" t="s">
        <v>1698</v>
      </c>
      <c r="C1338" s="5" t="s">
        <v>7408</v>
      </c>
      <c r="D1338" s="21">
        <v>22</v>
      </c>
      <c r="E1338" s="21"/>
      <c r="F1338" s="21" t="s">
        <v>10438</v>
      </c>
      <c r="G1338" s="21"/>
      <c r="H1338" s="54">
        <v>71</v>
      </c>
      <c r="I1338" s="51"/>
      <c r="J1338" s="27"/>
      <c r="K1338" s="27"/>
      <c r="L1338" s="15"/>
      <c r="M1338" s="15"/>
      <c r="N1338" s="4" t="s">
        <v>4476</v>
      </c>
      <c r="O1338" s="4">
        <v>46</v>
      </c>
    </row>
    <row r="1339" spans="1:15" x14ac:dyDescent="0.2">
      <c r="A1339" s="2">
        <v>40008212</v>
      </c>
      <c r="B1339" s="2" t="s">
        <v>3332</v>
      </c>
      <c r="C1339" s="5" t="s">
        <v>9024</v>
      </c>
      <c r="D1339" s="21">
        <v>15</v>
      </c>
      <c r="E1339" s="21"/>
      <c r="F1339" s="21" t="s">
        <v>10438</v>
      </c>
      <c r="G1339" s="21"/>
      <c r="H1339" s="54">
        <v>375</v>
      </c>
      <c r="I1339" s="51"/>
      <c r="J1339" s="27"/>
      <c r="K1339" s="27"/>
      <c r="L1339" s="15"/>
      <c r="M1339" s="15"/>
      <c r="N1339" s="4"/>
      <c r="O1339" s="4">
        <v>51</v>
      </c>
    </row>
    <row r="1340" spans="1:15" x14ac:dyDescent="0.2">
      <c r="A1340" s="2">
        <v>40005931</v>
      </c>
      <c r="B1340" s="2" t="s">
        <v>1340</v>
      </c>
      <c r="C1340" s="5" t="s">
        <v>7046</v>
      </c>
      <c r="D1340" s="21">
        <v>19</v>
      </c>
      <c r="E1340" s="21"/>
      <c r="F1340" s="30">
        <v>2</v>
      </c>
      <c r="G1340" s="21"/>
      <c r="H1340" s="54">
        <v>110</v>
      </c>
      <c r="I1340" s="51"/>
      <c r="J1340" s="27"/>
      <c r="K1340" s="27"/>
      <c r="L1340" s="15">
        <v>20</v>
      </c>
      <c r="M1340" s="15">
        <v>20</v>
      </c>
      <c r="N1340" s="4" t="s">
        <v>10035</v>
      </c>
      <c r="O1340" s="4"/>
    </row>
    <row r="1341" spans="1:15" x14ac:dyDescent="0.2">
      <c r="A1341" s="2">
        <v>40007363</v>
      </c>
      <c r="B1341" s="2" t="s">
        <v>2594</v>
      </c>
      <c r="C1341" s="5" t="s">
        <v>8293</v>
      </c>
      <c r="D1341" s="21">
        <v>76</v>
      </c>
      <c r="E1341" s="21"/>
      <c r="F1341" s="21" t="s">
        <v>10438</v>
      </c>
      <c r="G1341" s="21"/>
      <c r="H1341" s="54">
        <v>172</v>
      </c>
      <c r="I1341" s="51"/>
      <c r="J1341" s="27"/>
      <c r="K1341" s="27"/>
      <c r="L1341" s="15"/>
      <c r="M1341" s="15"/>
      <c r="N1341" s="4" t="s">
        <v>4930</v>
      </c>
      <c r="O1341" s="4">
        <v>77</v>
      </c>
    </row>
    <row r="1342" spans="1:15" x14ac:dyDescent="0.2">
      <c r="A1342" s="2">
        <v>40007048</v>
      </c>
      <c r="B1342" s="2" t="s">
        <v>2326</v>
      </c>
      <c r="C1342" s="5" t="s">
        <v>8035</v>
      </c>
      <c r="D1342" s="21">
        <v>17</v>
      </c>
      <c r="E1342" s="21"/>
      <c r="F1342" s="21" t="s">
        <v>10438</v>
      </c>
      <c r="G1342" s="21"/>
      <c r="H1342" s="54">
        <v>143</v>
      </c>
      <c r="I1342" s="51"/>
      <c r="J1342" s="27"/>
      <c r="K1342" s="27"/>
      <c r="L1342" s="15"/>
      <c r="M1342" s="15"/>
      <c r="N1342" s="4"/>
      <c r="O1342" s="4">
        <v>46</v>
      </c>
    </row>
    <row r="1343" spans="1:15" x14ac:dyDescent="0.2">
      <c r="A1343" s="2">
        <v>40007043</v>
      </c>
      <c r="B1343" s="2" t="s">
        <v>2322</v>
      </c>
      <c r="C1343" s="5" t="s">
        <v>8032</v>
      </c>
      <c r="D1343" s="21">
        <v>10</v>
      </c>
      <c r="E1343" s="21"/>
      <c r="F1343" s="21" t="s">
        <v>10438</v>
      </c>
      <c r="G1343" s="21"/>
      <c r="H1343" s="54">
        <v>104</v>
      </c>
      <c r="I1343" s="51"/>
      <c r="J1343" s="27"/>
      <c r="K1343" s="27"/>
      <c r="L1343" s="15"/>
      <c r="M1343" s="15"/>
      <c r="N1343" s="4"/>
      <c r="O1343" s="4">
        <v>46</v>
      </c>
    </row>
    <row r="1344" spans="1:15" x14ac:dyDescent="0.2">
      <c r="A1344" s="2">
        <v>40007035</v>
      </c>
      <c r="B1344" s="2" t="s">
        <v>2314</v>
      </c>
      <c r="C1344" s="5" t="s">
        <v>8024</v>
      </c>
      <c r="D1344" s="21">
        <v>1</v>
      </c>
      <c r="E1344" s="21"/>
      <c r="F1344" s="21" t="s">
        <v>10438</v>
      </c>
      <c r="G1344" s="21"/>
      <c r="H1344" s="54">
        <v>95</v>
      </c>
      <c r="I1344" s="51"/>
      <c r="J1344" s="27"/>
      <c r="K1344" s="27"/>
      <c r="L1344" s="15"/>
      <c r="M1344" s="15"/>
      <c r="N1344" s="4" t="s">
        <v>4499</v>
      </c>
      <c r="O1344" s="4"/>
    </row>
    <row r="1345" spans="1:15" x14ac:dyDescent="0.2">
      <c r="A1345" s="2">
        <v>40010332</v>
      </c>
      <c r="B1345" s="2" t="s">
        <v>3505</v>
      </c>
      <c r="C1345" s="5" t="s">
        <v>9204</v>
      </c>
      <c r="D1345" s="21"/>
      <c r="E1345" s="21"/>
      <c r="F1345" s="21" t="s">
        <v>10438</v>
      </c>
      <c r="G1345" s="21"/>
      <c r="H1345" s="54">
        <v>50</v>
      </c>
      <c r="I1345" s="51"/>
      <c r="J1345" s="27"/>
      <c r="K1345" s="27"/>
      <c r="L1345" s="15"/>
      <c r="M1345" s="15"/>
      <c r="N1345" s="4" t="s">
        <v>4323</v>
      </c>
      <c r="O1345" s="4"/>
    </row>
    <row r="1346" spans="1:15" x14ac:dyDescent="0.2">
      <c r="A1346" s="2">
        <v>40007325</v>
      </c>
      <c r="B1346" s="2" t="s">
        <v>2565</v>
      </c>
      <c r="C1346" s="5" t="s">
        <v>8259</v>
      </c>
      <c r="D1346" s="21">
        <v>3</v>
      </c>
      <c r="E1346" s="21"/>
      <c r="F1346" s="21" t="s">
        <v>10438</v>
      </c>
      <c r="G1346" s="21"/>
      <c r="H1346" s="54">
        <v>125</v>
      </c>
      <c r="I1346" s="51"/>
      <c r="J1346" s="27"/>
      <c r="K1346" s="27"/>
      <c r="L1346" s="15"/>
      <c r="M1346" s="15"/>
      <c r="N1346" s="4" t="s">
        <v>4706</v>
      </c>
      <c r="O1346" s="4"/>
    </row>
    <row r="1347" spans="1:15" x14ac:dyDescent="0.2">
      <c r="A1347" s="2">
        <v>40007351</v>
      </c>
      <c r="B1347" s="2" t="s">
        <v>2584</v>
      </c>
      <c r="C1347" s="5" t="s">
        <v>8282</v>
      </c>
      <c r="D1347" s="21">
        <v>3</v>
      </c>
      <c r="E1347" s="21"/>
      <c r="F1347" s="21" t="s">
        <v>10438</v>
      </c>
      <c r="G1347" s="21"/>
      <c r="H1347" s="54">
        <v>122</v>
      </c>
      <c r="I1347" s="51"/>
      <c r="J1347" s="27"/>
      <c r="K1347" s="27"/>
      <c r="L1347" s="15"/>
      <c r="M1347" s="15"/>
      <c r="N1347" s="4" t="s">
        <v>4926</v>
      </c>
      <c r="O1347" s="4"/>
    </row>
    <row r="1348" spans="1:15" x14ac:dyDescent="0.2">
      <c r="A1348" s="2">
        <v>40010359</v>
      </c>
      <c r="B1348" s="2" t="s">
        <v>3510</v>
      </c>
      <c r="C1348" s="5" t="s">
        <v>9210</v>
      </c>
      <c r="D1348" s="21">
        <v>4</v>
      </c>
      <c r="E1348" s="21"/>
      <c r="F1348" s="21" t="s">
        <v>10438</v>
      </c>
      <c r="G1348" s="21"/>
      <c r="H1348" s="54">
        <v>245</v>
      </c>
      <c r="I1348" s="51"/>
      <c r="J1348" s="27"/>
      <c r="K1348" s="27"/>
      <c r="L1348" s="15"/>
      <c r="M1348" s="15"/>
      <c r="N1348" s="4" t="s">
        <v>5267</v>
      </c>
      <c r="O1348" s="4"/>
    </row>
    <row r="1349" spans="1:15" x14ac:dyDescent="0.2">
      <c r="A1349" s="2">
        <v>40006871</v>
      </c>
      <c r="B1349" s="2" t="s">
        <v>2167</v>
      </c>
      <c r="C1349" s="5" t="s">
        <v>7876</v>
      </c>
      <c r="D1349" s="21">
        <v>2</v>
      </c>
      <c r="E1349" s="21"/>
      <c r="F1349" s="21" t="s">
        <v>10438</v>
      </c>
      <c r="G1349" s="21"/>
      <c r="H1349" s="54">
        <v>359</v>
      </c>
      <c r="I1349" s="51"/>
      <c r="J1349" s="27"/>
      <c r="K1349" s="27"/>
      <c r="L1349" s="15"/>
      <c r="M1349" s="15"/>
      <c r="N1349" s="4"/>
      <c r="O1349" s="4">
        <v>52</v>
      </c>
    </row>
    <row r="1350" spans="1:15" x14ac:dyDescent="0.2">
      <c r="A1350" s="2">
        <v>40007171</v>
      </c>
      <c r="B1350" s="2" t="s">
        <v>2438</v>
      </c>
      <c r="C1350" s="5" t="s">
        <v>8140</v>
      </c>
      <c r="D1350" s="21">
        <v>5</v>
      </c>
      <c r="E1350" s="21"/>
      <c r="F1350" s="21" t="s">
        <v>10438</v>
      </c>
      <c r="G1350" s="21"/>
      <c r="H1350" s="54">
        <v>137</v>
      </c>
      <c r="I1350" s="51"/>
      <c r="J1350" s="27"/>
      <c r="K1350" s="27"/>
      <c r="L1350" s="15"/>
      <c r="M1350" s="15">
        <v>4</v>
      </c>
      <c r="N1350" s="4" t="s">
        <v>4857</v>
      </c>
      <c r="O1350" s="4"/>
    </row>
    <row r="1351" spans="1:15" x14ac:dyDescent="0.2">
      <c r="A1351" s="2">
        <v>40007167</v>
      </c>
      <c r="B1351" s="2" t="s">
        <v>2434</v>
      </c>
      <c r="C1351" s="5" t="s">
        <v>8136</v>
      </c>
      <c r="D1351" s="21">
        <v>2</v>
      </c>
      <c r="E1351" s="21"/>
      <c r="F1351" s="21" t="s">
        <v>10438</v>
      </c>
      <c r="G1351" s="21"/>
      <c r="H1351" s="54">
        <v>130</v>
      </c>
      <c r="I1351" s="51"/>
      <c r="J1351" s="27"/>
      <c r="K1351" s="27"/>
      <c r="L1351" s="15"/>
      <c r="M1351" s="15"/>
      <c r="N1351" s="4" t="s">
        <v>4477</v>
      </c>
      <c r="O1351" s="4">
        <v>52</v>
      </c>
    </row>
    <row r="1352" spans="1:15" x14ac:dyDescent="0.2">
      <c r="A1352" s="2">
        <v>40006846</v>
      </c>
      <c r="B1352" s="2" t="s">
        <v>2144</v>
      </c>
      <c r="C1352" s="5" t="s">
        <v>7853</v>
      </c>
      <c r="D1352" s="21">
        <v>9</v>
      </c>
      <c r="E1352" s="21"/>
      <c r="F1352" s="21" t="s">
        <v>10438</v>
      </c>
      <c r="G1352" s="21"/>
      <c r="H1352" s="54">
        <v>171</v>
      </c>
      <c r="I1352" s="51"/>
      <c r="J1352" s="27"/>
      <c r="K1352" s="27"/>
      <c r="L1352" s="15"/>
      <c r="M1352" s="15"/>
      <c r="N1352" s="4"/>
      <c r="O1352" s="4">
        <v>46</v>
      </c>
    </row>
    <row r="1353" spans="1:15" x14ac:dyDescent="0.2">
      <c r="A1353" s="2">
        <v>40006236</v>
      </c>
      <c r="B1353" s="2" t="s">
        <v>1614</v>
      </c>
      <c r="C1353" s="5" t="s">
        <v>7318</v>
      </c>
      <c r="D1353" s="21">
        <v>3</v>
      </c>
      <c r="E1353" s="21"/>
      <c r="F1353" s="21" t="s">
        <v>10438</v>
      </c>
      <c r="G1353" s="21"/>
      <c r="H1353" s="54">
        <v>622</v>
      </c>
      <c r="I1353" s="51"/>
      <c r="J1353" s="27"/>
      <c r="K1353" s="27"/>
      <c r="L1353" s="15"/>
      <c r="M1353" s="15"/>
      <c r="N1353" s="4" t="s">
        <v>4259</v>
      </c>
      <c r="O1353" s="4">
        <v>66</v>
      </c>
    </row>
    <row r="1354" spans="1:15" x14ac:dyDescent="0.2">
      <c r="A1354" s="2">
        <v>40007222</v>
      </c>
      <c r="B1354" s="2" t="s">
        <v>2480</v>
      </c>
      <c r="C1354" s="5" t="s">
        <v>8182</v>
      </c>
      <c r="D1354" s="21">
        <v>2</v>
      </c>
      <c r="E1354" s="21"/>
      <c r="F1354" s="21" t="s">
        <v>10438</v>
      </c>
      <c r="G1354" s="21"/>
      <c r="H1354" s="54">
        <v>479</v>
      </c>
      <c r="I1354" s="51"/>
      <c r="J1354" s="27"/>
      <c r="K1354" s="27"/>
      <c r="L1354" s="15"/>
      <c r="M1354" s="15"/>
      <c r="N1354" s="4"/>
      <c r="O1354" s="4">
        <v>46</v>
      </c>
    </row>
    <row r="1355" spans="1:15" x14ac:dyDescent="0.2">
      <c r="A1355" s="2">
        <v>40007983</v>
      </c>
      <c r="B1355" s="2" t="s">
        <v>3127</v>
      </c>
      <c r="C1355" s="5" t="s">
        <v>8824</v>
      </c>
      <c r="D1355" s="21">
        <v>37</v>
      </c>
      <c r="E1355" s="21"/>
      <c r="F1355" s="21" t="s">
        <v>10438</v>
      </c>
      <c r="G1355" s="21"/>
      <c r="H1355" s="54">
        <v>145</v>
      </c>
      <c r="I1355" s="51"/>
      <c r="J1355" s="27"/>
      <c r="K1355" s="27"/>
      <c r="L1355" s="15"/>
      <c r="M1355" s="15"/>
      <c r="N1355" s="4" t="s">
        <v>4078</v>
      </c>
      <c r="O1355" s="4">
        <v>51</v>
      </c>
    </row>
    <row r="1356" spans="1:15" x14ac:dyDescent="0.2">
      <c r="A1356" s="2">
        <v>40010406</v>
      </c>
      <c r="B1356" s="2" t="s">
        <v>3542</v>
      </c>
      <c r="C1356" s="5" t="s">
        <v>9246</v>
      </c>
      <c r="D1356" s="21">
        <v>4</v>
      </c>
      <c r="E1356" s="21"/>
      <c r="F1356" s="21" t="s">
        <v>10438</v>
      </c>
      <c r="G1356" s="21"/>
      <c r="H1356" s="54">
        <v>210</v>
      </c>
      <c r="I1356" s="51"/>
      <c r="J1356" s="27"/>
      <c r="K1356" s="27"/>
      <c r="L1356" s="15"/>
      <c r="M1356" s="15">
        <v>2</v>
      </c>
      <c r="N1356" s="4" t="s">
        <v>4226</v>
      </c>
      <c r="O1356" s="4"/>
    </row>
    <row r="1357" spans="1:15" x14ac:dyDescent="0.2">
      <c r="A1357" s="2">
        <v>40010333</v>
      </c>
      <c r="B1357" s="2" t="s">
        <v>3506</v>
      </c>
      <c r="C1357" s="5" t="s">
        <v>9205</v>
      </c>
      <c r="D1357" s="21">
        <v>5</v>
      </c>
      <c r="E1357" s="21"/>
      <c r="F1357" s="21" t="s">
        <v>10438</v>
      </c>
      <c r="G1357" s="21"/>
      <c r="H1357" s="54">
        <v>140</v>
      </c>
      <c r="I1357" s="51"/>
      <c r="J1357" s="27"/>
      <c r="K1357" s="27"/>
      <c r="L1357" s="15"/>
      <c r="M1357" s="15"/>
      <c r="N1357" s="4" t="s">
        <v>5267</v>
      </c>
      <c r="O1357" s="4"/>
    </row>
    <row r="1358" spans="1:15" x14ac:dyDescent="0.2">
      <c r="A1358" s="2">
        <v>40010980</v>
      </c>
      <c r="B1358" s="2" t="s">
        <v>3590</v>
      </c>
      <c r="C1358" s="5" t="s">
        <v>9310</v>
      </c>
      <c r="D1358" s="21"/>
      <c r="E1358" s="21"/>
      <c r="F1358" s="21" t="s">
        <v>10438</v>
      </c>
      <c r="G1358" s="21"/>
      <c r="H1358" s="54">
        <v>1218</v>
      </c>
      <c r="I1358" s="51"/>
      <c r="J1358" s="27"/>
      <c r="K1358" s="27"/>
      <c r="L1358" s="15"/>
      <c r="M1358" s="15"/>
      <c r="N1358" s="4"/>
      <c r="O1358" s="4">
        <v>19</v>
      </c>
    </row>
    <row r="1359" spans="1:15" x14ac:dyDescent="0.2">
      <c r="A1359" s="2">
        <v>40005373</v>
      </c>
      <c r="B1359" s="2" t="s">
        <v>3726</v>
      </c>
      <c r="C1359" s="5" t="s">
        <v>6574</v>
      </c>
      <c r="D1359" s="21">
        <v>2</v>
      </c>
      <c r="E1359" s="21"/>
      <c r="F1359" s="21" t="s">
        <v>10438</v>
      </c>
      <c r="G1359" s="21"/>
      <c r="H1359" s="54">
        <v>228</v>
      </c>
      <c r="I1359" s="51"/>
      <c r="J1359" s="27"/>
      <c r="K1359" s="27"/>
      <c r="L1359" s="15"/>
      <c r="M1359" s="15"/>
      <c r="N1359" s="4" t="s">
        <v>3986</v>
      </c>
      <c r="O1359" s="4">
        <v>66</v>
      </c>
    </row>
    <row r="1360" spans="1:15" x14ac:dyDescent="0.2">
      <c r="A1360" s="2">
        <v>40010252</v>
      </c>
      <c r="B1360" s="2" t="s">
        <v>3446</v>
      </c>
      <c r="C1360" s="5" t="s">
        <v>9140</v>
      </c>
      <c r="D1360" s="21">
        <v>2</v>
      </c>
      <c r="E1360" s="21"/>
      <c r="F1360" s="21" t="s">
        <v>10438</v>
      </c>
      <c r="G1360" s="21"/>
      <c r="H1360" s="54">
        <v>276</v>
      </c>
      <c r="I1360" s="51"/>
      <c r="J1360" s="27"/>
      <c r="K1360" s="27"/>
      <c r="L1360" s="15"/>
      <c r="M1360" s="15"/>
      <c r="N1360" s="4" t="s">
        <v>5242</v>
      </c>
      <c r="O1360" s="4"/>
    </row>
    <row r="1361" spans="1:15" x14ac:dyDescent="0.2">
      <c r="A1361" s="2">
        <v>40006452</v>
      </c>
      <c r="B1361" s="2" t="s">
        <v>1809</v>
      </c>
      <c r="C1361" s="5" t="s">
        <v>7516</v>
      </c>
      <c r="D1361" s="21">
        <v>35</v>
      </c>
      <c r="E1361" s="21"/>
      <c r="F1361" s="30">
        <v>3</v>
      </c>
      <c r="G1361" s="21"/>
      <c r="H1361" s="54">
        <v>133</v>
      </c>
      <c r="I1361" s="51"/>
      <c r="J1361" s="27"/>
      <c r="K1361" s="27"/>
      <c r="L1361" s="15"/>
      <c r="M1361" s="15">
        <v>16</v>
      </c>
      <c r="N1361" s="4" t="s">
        <v>4603</v>
      </c>
      <c r="O1361" s="4">
        <v>56</v>
      </c>
    </row>
    <row r="1362" spans="1:15" x14ac:dyDescent="0.2">
      <c r="A1362" s="2">
        <v>40010251</v>
      </c>
      <c r="B1362" s="2" t="s">
        <v>3445</v>
      </c>
      <c r="C1362" s="5" t="s">
        <v>9139</v>
      </c>
      <c r="D1362" s="21">
        <v>2</v>
      </c>
      <c r="E1362" s="21"/>
      <c r="F1362" s="21" t="s">
        <v>10438</v>
      </c>
      <c r="G1362" s="21"/>
      <c r="H1362" s="54">
        <v>232</v>
      </c>
      <c r="I1362" s="51"/>
      <c r="J1362" s="27"/>
      <c r="K1362" s="27"/>
      <c r="L1362" s="15"/>
      <c r="M1362" s="15"/>
      <c r="N1362" s="4" t="s">
        <v>4588</v>
      </c>
      <c r="O1362" s="4"/>
    </row>
    <row r="1363" spans="1:15" x14ac:dyDescent="0.2">
      <c r="A1363" s="2">
        <v>40005384</v>
      </c>
      <c r="B1363" s="9" t="s">
        <v>3834</v>
      </c>
      <c r="C1363" s="5" t="s">
        <v>9441</v>
      </c>
      <c r="D1363" s="21"/>
      <c r="E1363" s="21"/>
      <c r="F1363" s="21" t="s">
        <v>10438</v>
      </c>
      <c r="G1363" s="21"/>
      <c r="H1363" s="54">
        <v>169</v>
      </c>
      <c r="I1363" s="51"/>
      <c r="J1363" s="27"/>
      <c r="K1363" s="27"/>
      <c r="L1363" s="15"/>
      <c r="M1363" s="15"/>
      <c r="N1363" s="4" t="s">
        <v>4088</v>
      </c>
      <c r="O1363" s="4"/>
    </row>
    <row r="1364" spans="1:15" x14ac:dyDescent="0.2">
      <c r="A1364" s="2">
        <v>40010956</v>
      </c>
      <c r="B1364" s="2" t="s">
        <v>3575</v>
      </c>
      <c r="C1364" s="5" t="s">
        <v>9295</v>
      </c>
      <c r="D1364" s="21">
        <v>3</v>
      </c>
      <c r="E1364" s="21"/>
      <c r="F1364" s="21" t="s">
        <v>10438</v>
      </c>
      <c r="G1364" s="21"/>
      <c r="H1364" s="54">
        <v>347</v>
      </c>
      <c r="I1364" s="51"/>
      <c r="J1364" s="27"/>
      <c r="K1364" s="27"/>
      <c r="L1364" s="15"/>
      <c r="M1364" s="15"/>
      <c r="N1364" s="4" t="s">
        <v>5281</v>
      </c>
      <c r="O1364" s="4"/>
    </row>
    <row r="1365" spans="1:15" x14ac:dyDescent="0.2">
      <c r="A1365" s="2">
        <v>40005230</v>
      </c>
      <c r="B1365" s="2" t="s">
        <v>756</v>
      </c>
      <c r="C1365" s="5" t="s">
        <v>6470</v>
      </c>
      <c r="D1365" s="21">
        <v>2</v>
      </c>
      <c r="E1365" s="21"/>
      <c r="F1365" s="21" t="s">
        <v>10438</v>
      </c>
      <c r="G1365" s="21"/>
      <c r="H1365" s="54">
        <v>160</v>
      </c>
      <c r="I1365" s="51"/>
      <c r="J1365" s="27"/>
      <c r="K1365" s="27"/>
      <c r="L1365" s="15"/>
      <c r="M1365" s="15"/>
      <c r="N1365" s="4" t="s">
        <v>4014</v>
      </c>
      <c r="O1365" s="4"/>
    </row>
    <row r="1366" spans="1:15" x14ac:dyDescent="0.2">
      <c r="A1366" s="2">
        <v>10018502</v>
      </c>
      <c r="B1366" s="2" t="s">
        <v>196</v>
      </c>
      <c r="C1366" s="5" t="s">
        <v>5751</v>
      </c>
      <c r="D1366" s="21">
        <v>2</v>
      </c>
      <c r="E1366" s="21"/>
      <c r="F1366" s="21" t="s">
        <v>10438</v>
      </c>
      <c r="G1366" s="21"/>
      <c r="H1366" s="54">
        <v>3050</v>
      </c>
      <c r="I1366" s="51">
        <v>2440</v>
      </c>
      <c r="J1366" s="27"/>
      <c r="K1366" s="27"/>
      <c r="L1366" s="15"/>
      <c r="M1366" s="15"/>
      <c r="N1366" s="4"/>
      <c r="O1366" s="4" t="s">
        <v>10469</v>
      </c>
    </row>
    <row r="1367" spans="1:15" x14ac:dyDescent="0.2">
      <c r="A1367" s="2">
        <v>10018728</v>
      </c>
      <c r="B1367" s="2" t="s">
        <v>3614</v>
      </c>
      <c r="C1367" s="5" t="s">
        <v>9428</v>
      </c>
      <c r="D1367" s="21">
        <v>4</v>
      </c>
      <c r="E1367" s="21"/>
      <c r="F1367" s="21" t="s">
        <v>10438</v>
      </c>
      <c r="G1367" s="21"/>
      <c r="H1367" s="54">
        <v>3445</v>
      </c>
      <c r="I1367" s="51">
        <v>3105</v>
      </c>
      <c r="J1367" s="27"/>
      <c r="K1367" s="27"/>
      <c r="L1367" s="15"/>
      <c r="M1367" s="15"/>
      <c r="N1367" s="4"/>
      <c r="O1367" s="4"/>
    </row>
    <row r="1368" spans="1:15" x14ac:dyDescent="0.2">
      <c r="A1368" s="2">
        <v>10018783</v>
      </c>
      <c r="B1368" s="2" t="s">
        <v>311</v>
      </c>
      <c r="C1368" s="5" t="s">
        <v>5894</v>
      </c>
      <c r="D1368" s="21">
        <v>4</v>
      </c>
      <c r="E1368" s="21"/>
      <c r="F1368" s="21" t="s">
        <v>10438</v>
      </c>
      <c r="G1368" s="21"/>
      <c r="H1368" s="54">
        <v>7870</v>
      </c>
      <c r="I1368" s="51">
        <v>6690</v>
      </c>
      <c r="J1368" s="27"/>
      <c r="K1368" s="27"/>
      <c r="L1368" s="15"/>
      <c r="M1368" s="15"/>
      <c r="N1368" s="4" t="s">
        <v>3607</v>
      </c>
      <c r="O1368" s="4"/>
    </row>
    <row r="1369" spans="1:15" x14ac:dyDescent="0.2">
      <c r="A1369" s="2">
        <v>10018947</v>
      </c>
      <c r="B1369" s="2" t="s">
        <v>3841</v>
      </c>
      <c r="C1369" s="5" t="s">
        <v>5974</v>
      </c>
      <c r="D1369" s="21">
        <v>3</v>
      </c>
      <c r="E1369" s="21"/>
      <c r="F1369" s="21" t="s">
        <v>10438</v>
      </c>
      <c r="G1369" s="21"/>
      <c r="H1369" s="54">
        <v>5740</v>
      </c>
      <c r="I1369" s="51">
        <v>5055</v>
      </c>
      <c r="J1369" s="27"/>
      <c r="K1369" s="27"/>
      <c r="L1369" s="15"/>
      <c r="M1369" s="15"/>
      <c r="N1369" s="4" t="s">
        <v>10713</v>
      </c>
      <c r="O1369" s="4" t="s">
        <v>10445</v>
      </c>
    </row>
    <row r="1370" spans="1:15" x14ac:dyDescent="0.2">
      <c r="A1370" s="2">
        <v>10017932</v>
      </c>
      <c r="B1370" s="2" t="s">
        <v>5416</v>
      </c>
      <c r="C1370" s="5" t="s">
        <v>5551</v>
      </c>
      <c r="D1370" s="21">
        <v>3</v>
      </c>
      <c r="E1370" s="21"/>
      <c r="F1370" s="21" t="s">
        <v>10438</v>
      </c>
      <c r="G1370" s="21"/>
      <c r="H1370" s="54">
        <v>5615</v>
      </c>
      <c r="I1370" s="51">
        <v>4945</v>
      </c>
      <c r="J1370" s="27"/>
      <c r="K1370" s="27"/>
      <c r="L1370" s="15"/>
      <c r="M1370" s="15"/>
      <c r="N1370" s="4"/>
      <c r="O1370" s="4" t="s">
        <v>10445</v>
      </c>
    </row>
    <row r="1371" spans="1:15" x14ac:dyDescent="0.2">
      <c r="A1371" s="2">
        <v>10040626</v>
      </c>
      <c r="B1371" s="2" t="s">
        <v>5468</v>
      </c>
      <c r="C1371" s="5" t="s">
        <v>6388</v>
      </c>
      <c r="D1371" s="21">
        <v>2</v>
      </c>
      <c r="E1371" s="21"/>
      <c r="F1371" s="21" t="s">
        <v>10438</v>
      </c>
      <c r="G1371" s="21"/>
      <c r="H1371" s="54">
        <v>11128</v>
      </c>
      <c r="I1371" s="51">
        <v>9460</v>
      </c>
      <c r="J1371" s="27">
        <v>1</v>
      </c>
      <c r="K1371" s="27"/>
      <c r="L1371" s="15"/>
      <c r="M1371" s="15"/>
      <c r="N1371" s="4"/>
      <c r="O1371" s="4" t="s">
        <v>10469</v>
      </c>
    </row>
    <row r="1372" spans="1:15" x14ac:dyDescent="0.2">
      <c r="A1372" s="2">
        <v>10018953</v>
      </c>
      <c r="B1372" s="2" t="s">
        <v>5414</v>
      </c>
      <c r="C1372" s="5" t="s">
        <v>9410</v>
      </c>
      <c r="D1372" s="21">
        <v>1</v>
      </c>
      <c r="E1372" s="21"/>
      <c r="F1372" s="21" t="s">
        <v>10438</v>
      </c>
      <c r="G1372" s="21"/>
      <c r="H1372" s="54">
        <v>10950</v>
      </c>
      <c r="I1372" s="51">
        <v>5475</v>
      </c>
      <c r="J1372" s="27"/>
      <c r="K1372" s="27"/>
      <c r="L1372" s="15"/>
      <c r="M1372" s="15"/>
      <c r="N1372" s="4"/>
      <c r="O1372" s="4"/>
    </row>
    <row r="1373" spans="1:15" x14ac:dyDescent="0.2">
      <c r="A1373" s="2">
        <v>10040627</v>
      </c>
      <c r="B1373" s="2" t="s">
        <v>5386</v>
      </c>
      <c r="C1373" s="5" t="s">
        <v>6389</v>
      </c>
      <c r="D1373" s="21">
        <v>4</v>
      </c>
      <c r="E1373" s="21"/>
      <c r="F1373" s="21" t="s">
        <v>10438</v>
      </c>
      <c r="G1373" s="21"/>
      <c r="H1373" s="54">
        <v>2637</v>
      </c>
      <c r="I1373" s="51">
        <v>2325</v>
      </c>
      <c r="J1373" s="27">
        <v>10</v>
      </c>
      <c r="K1373" s="27"/>
      <c r="L1373" s="15"/>
      <c r="M1373" s="15"/>
      <c r="N1373" s="4"/>
      <c r="O1373" s="4" t="s">
        <v>10446</v>
      </c>
    </row>
    <row r="1374" spans="1:15" x14ac:dyDescent="0.2">
      <c r="A1374" s="2">
        <v>10029885</v>
      </c>
      <c r="B1374" s="2" t="s">
        <v>5377</v>
      </c>
      <c r="C1374" s="5" t="s">
        <v>6336</v>
      </c>
      <c r="D1374" s="21">
        <v>3</v>
      </c>
      <c r="E1374" s="21"/>
      <c r="F1374" s="21" t="s">
        <v>10438</v>
      </c>
      <c r="G1374" s="21"/>
      <c r="H1374" s="54">
        <v>4123</v>
      </c>
      <c r="I1374" s="51">
        <v>3630</v>
      </c>
      <c r="J1374" s="27"/>
      <c r="K1374" s="27"/>
      <c r="L1374" s="15"/>
      <c r="M1374" s="15"/>
      <c r="N1374" s="4"/>
      <c r="O1374" s="4" t="s">
        <v>10445</v>
      </c>
    </row>
    <row r="1375" spans="1:15" x14ac:dyDescent="0.2">
      <c r="A1375" s="2">
        <v>10039109</v>
      </c>
      <c r="B1375" s="2" t="s">
        <v>5383</v>
      </c>
      <c r="C1375" s="5" t="s">
        <v>6370</v>
      </c>
      <c r="D1375" s="21">
        <v>3</v>
      </c>
      <c r="E1375" s="21"/>
      <c r="F1375" s="21" t="s">
        <v>10438</v>
      </c>
      <c r="G1375" s="21"/>
      <c r="H1375" s="54">
        <v>2330</v>
      </c>
      <c r="I1375" s="51">
        <v>2100</v>
      </c>
      <c r="J1375" s="27"/>
      <c r="K1375" s="27"/>
      <c r="L1375" s="15"/>
      <c r="M1375" s="15"/>
      <c r="N1375" s="4"/>
      <c r="O1375" s="4"/>
    </row>
    <row r="1376" spans="1:15" x14ac:dyDescent="0.2">
      <c r="A1376" s="2">
        <v>10017927</v>
      </c>
      <c r="B1376" s="2" t="s">
        <v>26</v>
      </c>
      <c r="C1376" s="5" t="s">
        <v>5550</v>
      </c>
      <c r="D1376" s="21">
        <v>4</v>
      </c>
      <c r="E1376" s="21"/>
      <c r="F1376" s="21" t="s">
        <v>10438</v>
      </c>
      <c r="G1376" s="21"/>
      <c r="H1376" s="54">
        <v>13581</v>
      </c>
      <c r="I1376" s="51">
        <v>10865</v>
      </c>
      <c r="J1376" s="27">
        <v>1</v>
      </c>
      <c r="K1376" s="27"/>
      <c r="L1376" s="15"/>
      <c r="M1376" s="15"/>
      <c r="N1376" s="4"/>
      <c r="O1376" s="4" t="s">
        <v>10452</v>
      </c>
    </row>
    <row r="1377" spans="1:15" x14ac:dyDescent="0.2">
      <c r="A1377" s="2">
        <v>10018653</v>
      </c>
      <c r="B1377" s="2" t="s">
        <v>253</v>
      </c>
      <c r="C1377" s="5" t="s">
        <v>5821</v>
      </c>
      <c r="D1377" s="21">
        <v>3</v>
      </c>
      <c r="E1377" s="21"/>
      <c r="F1377" s="21" t="s">
        <v>10438</v>
      </c>
      <c r="G1377" s="21"/>
      <c r="H1377" s="54">
        <v>6950</v>
      </c>
      <c r="I1377" s="51">
        <v>6120</v>
      </c>
      <c r="J1377" s="27"/>
      <c r="K1377" s="27"/>
      <c r="L1377" s="15"/>
      <c r="M1377" s="15"/>
      <c r="N1377" s="4" t="s">
        <v>3607</v>
      </c>
      <c r="O1377" s="4" t="s">
        <v>10450</v>
      </c>
    </row>
    <row r="1378" spans="1:15" x14ac:dyDescent="0.2">
      <c r="A1378" s="2">
        <v>10040624</v>
      </c>
      <c r="B1378" s="2" t="s">
        <v>5384</v>
      </c>
      <c r="C1378" s="5" t="s">
        <v>6386</v>
      </c>
      <c r="D1378" s="21">
        <v>2</v>
      </c>
      <c r="E1378" s="21"/>
      <c r="F1378" s="21" t="s">
        <v>10438</v>
      </c>
      <c r="G1378" s="21"/>
      <c r="H1378" s="54">
        <v>1898</v>
      </c>
      <c r="I1378" s="51">
        <v>1710</v>
      </c>
      <c r="J1378" s="27"/>
      <c r="K1378" s="27"/>
      <c r="L1378" s="15"/>
      <c r="M1378" s="15"/>
      <c r="N1378" s="4"/>
      <c r="O1378" s="4"/>
    </row>
    <row r="1379" spans="1:15" x14ac:dyDescent="0.2">
      <c r="A1379" s="2">
        <v>10043021</v>
      </c>
      <c r="B1379" s="2" t="s">
        <v>5490</v>
      </c>
      <c r="C1379" s="5" t="s">
        <v>9447</v>
      </c>
      <c r="D1379" s="21">
        <v>3</v>
      </c>
      <c r="E1379" s="21"/>
      <c r="F1379" s="21" t="s">
        <v>10438</v>
      </c>
      <c r="G1379" s="21"/>
      <c r="H1379" s="54">
        <v>19470</v>
      </c>
      <c r="I1379" s="51">
        <v>16550</v>
      </c>
      <c r="J1379" s="27"/>
      <c r="K1379" s="27"/>
      <c r="L1379" s="15"/>
      <c r="M1379" s="15"/>
      <c r="N1379" s="4"/>
      <c r="O1379" s="4" t="s">
        <v>10452</v>
      </c>
    </row>
    <row r="1380" spans="1:15" x14ac:dyDescent="0.2">
      <c r="A1380" s="2">
        <v>10018765</v>
      </c>
      <c r="B1380" s="2" t="s">
        <v>299</v>
      </c>
      <c r="C1380" s="5" t="s">
        <v>5879</v>
      </c>
      <c r="D1380" s="21"/>
      <c r="E1380" s="21"/>
      <c r="F1380" s="21" t="s">
        <v>10438</v>
      </c>
      <c r="G1380" s="21"/>
      <c r="H1380" s="54">
        <v>1500</v>
      </c>
      <c r="I1380" s="51"/>
      <c r="J1380" s="27"/>
      <c r="K1380" s="27"/>
      <c r="L1380" s="15"/>
      <c r="M1380" s="15">
        <v>2</v>
      </c>
      <c r="N1380" s="4"/>
      <c r="O1380" s="4" t="s">
        <v>10445</v>
      </c>
    </row>
    <row r="1381" spans="1:15" x14ac:dyDescent="0.2">
      <c r="A1381" s="2">
        <v>10018499</v>
      </c>
      <c r="B1381" s="2" t="s">
        <v>195</v>
      </c>
      <c r="C1381" s="5" t="s">
        <v>5748</v>
      </c>
      <c r="D1381" s="21">
        <v>2</v>
      </c>
      <c r="E1381" s="21"/>
      <c r="F1381" s="21" t="s">
        <v>10438</v>
      </c>
      <c r="G1381" s="21"/>
      <c r="H1381" s="54">
        <v>12309</v>
      </c>
      <c r="I1381" s="51">
        <v>9850</v>
      </c>
      <c r="J1381" s="27">
        <v>4</v>
      </c>
      <c r="K1381" s="27"/>
      <c r="L1381" s="15"/>
      <c r="M1381" s="15"/>
      <c r="N1381" s="4"/>
      <c r="O1381" s="4" t="s">
        <v>10445</v>
      </c>
    </row>
    <row r="1382" spans="1:15" x14ac:dyDescent="0.2">
      <c r="A1382" s="2">
        <v>10041618</v>
      </c>
      <c r="B1382" s="2" t="s">
        <v>5441</v>
      </c>
      <c r="C1382" s="5" t="s">
        <v>9421</v>
      </c>
      <c r="D1382" s="21">
        <v>2</v>
      </c>
      <c r="E1382" s="21"/>
      <c r="F1382" s="21" t="s">
        <v>10438</v>
      </c>
      <c r="G1382" s="21"/>
      <c r="H1382" s="54">
        <v>4275</v>
      </c>
      <c r="I1382" s="51">
        <v>3420</v>
      </c>
      <c r="J1382" s="27">
        <v>2</v>
      </c>
      <c r="K1382" s="27"/>
      <c r="L1382" s="15"/>
      <c r="M1382" s="15"/>
      <c r="N1382" s="4"/>
      <c r="O1382" s="4" t="s">
        <v>10452</v>
      </c>
    </row>
    <row r="1383" spans="1:15" x14ac:dyDescent="0.2">
      <c r="A1383" s="2">
        <v>10032257</v>
      </c>
      <c r="B1383" s="2" t="s">
        <v>3875</v>
      </c>
      <c r="C1383" s="5" t="s">
        <v>6353</v>
      </c>
      <c r="D1383" s="21">
        <v>3</v>
      </c>
      <c r="E1383" s="21"/>
      <c r="F1383" s="21" t="s">
        <v>10438</v>
      </c>
      <c r="G1383" s="21"/>
      <c r="H1383" s="54">
        <v>4930</v>
      </c>
      <c r="I1383" s="51">
        <v>4195</v>
      </c>
      <c r="J1383" s="27"/>
      <c r="K1383" s="27"/>
      <c r="L1383" s="15"/>
      <c r="M1383" s="15"/>
      <c r="N1383" s="4"/>
      <c r="O1383" s="4"/>
    </row>
    <row r="1384" spans="1:15" x14ac:dyDescent="0.2">
      <c r="A1384" s="2">
        <v>10017957</v>
      </c>
      <c r="B1384" s="2" t="s">
        <v>3810</v>
      </c>
      <c r="C1384" s="5" t="s">
        <v>5559</v>
      </c>
      <c r="D1384" s="21">
        <v>2</v>
      </c>
      <c r="E1384" s="21"/>
      <c r="F1384" s="21" t="s">
        <v>10438</v>
      </c>
      <c r="G1384" s="21"/>
      <c r="H1384" s="54">
        <v>6225</v>
      </c>
      <c r="I1384" s="51">
        <v>5295</v>
      </c>
      <c r="J1384" s="27">
        <v>3</v>
      </c>
      <c r="K1384" s="27"/>
      <c r="L1384" s="15"/>
      <c r="M1384" s="15"/>
      <c r="N1384" s="4"/>
      <c r="O1384" s="4" t="s">
        <v>10452</v>
      </c>
    </row>
    <row r="1385" spans="1:15" x14ac:dyDescent="0.2">
      <c r="A1385" s="2">
        <v>10017959</v>
      </c>
      <c r="B1385" s="2" t="s">
        <v>5418</v>
      </c>
      <c r="C1385" s="5" t="s">
        <v>9405</v>
      </c>
      <c r="D1385" s="21">
        <v>2</v>
      </c>
      <c r="E1385" s="21"/>
      <c r="F1385" s="21" t="s">
        <v>10438</v>
      </c>
      <c r="G1385" s="21"/>
      <c r="H1385" s="54">
        <v>6825</v>
      </c>
      <c r="I1385" s="51">
        <v>5460</v>
      </c>
      <c r="J1385" s="27"/>
      <c r="K1385" s="27"/>
      <c r="L1385" s="15"/>
      <c r="M1385" s="15"/>
      <c r="N1385" s="4"/>
      <c r="O1385" s="4" t="s">
        <v>10452</v>
      </c>
    </row>
    <row r="1386" spans="1:15" x14ac:dyDescent="0.2">
      <c r="A1386" s="2">
        <v>10018911</v>
      </c>
      <c r="B1386" s="2" t="s">
        <v>360</v>
      </c>
      <c r="C1386" s="5" t="s">
        <v>5957</v>
      </c>
      <c r="D1386" s="21">
        <v>6</v>
      </c>
      <c r="E1386" s="21"/>
      <c r="F1386" s="21" t="s">
        <v>10438</v>
      </c>
      <c r="G1386" s="21"/>
      <c r="H1386" s="54">
        <v>548</v>
      </c>
      <c r="I1386" s="51"/>
      <c r="J1386" s="27"/>
      <c r="K1386" s="27"/>
      <c r="L1386" s="15"/>
      <c r="M1386" s="15"/>
      <c r="N1386" s="4">
        <v>87</v>
      </c>
      <c r="O1386" s="4"/>
    </row>
    <row r="1387" spans="1:15" x14ac:dyDescent="0.2">
      <c r="A1387" s="2">
        <v>10018909</v>
      </c>
      <c r="B1387" s="2" t="s">
        <v>359</v>
      </c>
      <c r="C1387" s="5" t="s">
        <v>5955</v>
      </c>
      <c r="D1387" s="21">
        <v>16</v>
      </c>
      <c r="E1387" s="21"/>
      <c r="F1387" s="21" t="s">
        <v>10438</v>
      </c>
      <c r="G1387" s="21"/>
      <c r="H1387" s="54">
        <v>2202</v>
      </c>
      <c r="I1387" s="51"/>
      <c r="J1387" s="27"/>
      <c r="K1387" s="27"/>
      <c r="L1387" s="15">
        <v>20</v>
      </c>
      <c r="M1387" s="15">
        <v>15</v>
      </c>
      <c r="N1387" s="4">
        <v>87</v>
      </c>
      <c r="O1387" s="4">
        <v>102</v>
      </c>
    </row>
    <row r="1388" spans="1:15" x14ac:dyDescent="0.2">
      <c r="A1388" s="2">
        <v>40005366</v>
      </c>
      <c r="B1388" s="2" t="s">
        <v>847</v>
      </c>
      <c r="C1388" s="5" t="s">
        <v>6567</v>
      </c>
      <c r="D1388" s="21">
        <v>5</v>
      </c>
      <c r="E1388" s="21"/>
      <c r="F1388" s="21" t="s">
        <v>10438</v>
      </c>
      <c r="G1388" s="21"/>
      <c r="H1388" s="54">
        <v>368</v>
      </c>
      <c r="I1388" s="51"/>
      <c r="J1388" s="27"/>
      <c r="K1388" s="27"/>
      <c r="L1388" s="15"/>
      <c r="M1388" s="15"/>
      <c r="N1388" s="4" t="s">
        <v>4077</v>
      </c>
      <c r="O1388" s="4"/>
    </row>
    <row r="1389" spans="1:15" x14ac:dyDescent="0.2">
      <c r="A1389" s="2">
        <v>40005460</v>
      </c>
      <c r="B1389" s="2" t="s">
        <v>933</v>
      </c>
      <c r="C1389" s="5" t="s">
        <v>6655</v>
      </c>
      <c r="D1389" s="21">
        <v>5</v>
      </c>
      <c r="E1389" s="21"/>
      <c r="F1389" s="21" t="s">
        <v>10438</v>
      </c>
      <c r="G1389" s="21"/>
      <c r="H1389" s="54">
        <v>276</v>
      </c>
      <c r="I1389" s="51"/>
      <c r="J1389" s="27"/>
      <c r="K1389" s="27"/>
      <c r="L1389" s="15"/>
      <c r="M1389" s="15"/>
      <c r="N1389" s="4" t="s">
        <v>5089</v>
      </c>
      <c r="O1389" s="4"/>
    </row>
    <row r="1390" spans="1:15" x14ac:dyDescent="0.2">
      <c r="A1390" s="2">
        <v>10018689</v>
      </c>
      <c r="B1390" s="2" t="s">
        <v>272</v>
      </c>
      <c r="C1390" s="5" t="s">
        <v>5841</v>
      </c>
      <c r="D1390" s="21">
        <v>4</v>
      </c>
      <c r="E1390" s="21"/>
      <c r="F1390" s="21" t="s">
        <v>10438</v>
      </c>
      <c r="G1390" s="21"/>
      <c r="H1390" s="54">
        <v>486</v>
      </c>
      <c r="I1390" s="51"/>
      <c r="J1390" s="27"/>
      <c r="K1390" s="27"/>
      <c r="L1390" s="15"/>
      <c r="M1390" s="15"/>
      <c r="N1390" s="4">
        <v>76</v>
      </c>
      <c r="O1390" s="4"/>
    </row>
    <row r="1391" spans="1:15" x14ac:dyDescent="0.2">
      <c r="A1391" s="2">
        <v>40005629</v>
      </c>
      <c r="B1391" s="2" t="s">
        <v>1072</v>
      </c>
      <c r="C1391" s="5">
        <v>42693</v>
      </c>
      <c r="D1391" s="21">
        <v>8</v>
      </c>
      <c r="E1391" s="21"/>
      <c r="F1391" s="21" t="s">
        <v>10438</v>
      </c>
      <c r="G1391" s="21"/>
      <c r="H1391" s="54">
        <v>153</v>
      </c>
      <c r="I1391" s="51"/>
      <c r="J1391" s="27"/>
      <c r="K1391" s="27"/>
      <c r="L1391" s="15"/>
      <c r="M1391" s="15"/>
      <c r="N1391" s="4"/>
      <c r="O1391" s="4" t="s">
        <v>10222</v>
      </c>
    </row>
    <row r="1392" spans="1:15" x14ac:dyDescent="0.2">
      <c r="A1392" s="2">
        <v>10018662</v>
      </c>
      <c r="B1392" s="2" t="s">
        <v>260</v>
      </c>
      <c r="C1392" s="5" t="s">
        <v>5828</v>
      </c>
      <c r="D1392" s="21">
        <v>1</v>
      </c>
      <c r="E1392" s="21"/>
      <c r="F1392" s="21" t="s">
        <v>10438</v>
      </c>
      <c r="G1392" s="21"/>
      <c r="H1392" s="54">
        <v>20956</v>
      </c>
      <c r="I1392" s="51">
        <v>14670</v>
      </c>
      <c r="J1392" s="27">
        <v>2</v>
      </c>
      <c r="K1392" s="27"/>
      <c r="L1392" s="15"/>
      <c r="M1392" s="15"/>
      <c r="N1392" s="4"/>
      <c r="O1392" s="4"/>
    </row>
    <row r="1393" spans="1:17" x14ac:dyDescent="0.2">
      <c r="A1393" s="2">
        <v>10019110</v>
      </c>
      <c r="B1393" s="2" t="s">
        <v>431</v>
      </c>
      <c r="C1393" s="5" t="s">
        <v>6033</v>
      </c>
      <c r="D1393" s="21">
        <v>7</v>
      </c>
      <c r="E1393" s="21"/>
      <c r="F1393" s="21" t="s">
        <v>10438</v>
      </c>
      <c r="G1393" s="21"/>
      <c r="H1393" s="54">
        <v>6990</v>
      </c>
      <c r="I1393" s="51">
        <v>6155</v>
      </c>
      <c r="J1393" s="27">
        <v>21</v>
      </c>
      <c r="K1393" s="27"/>
      <c r="L1393" s="15"/>
      <c r="M1393" s="15">
        <v>12</v>
      </c>
      <c r="N1393" s="4" t="s">
        <v>3607</v>
      </c>
      <c r="O1393" s="4" t="s">
        <v>10445</v>
      </c>
    </row>
    <row r="1394" spans="1:17" x14ac:dyDescent="0.2">
      <c r="A1394" s="2">
        <v>10019132</v>
      </c>
      <c r="B1394" s="2" t="s">
        <v>437</v>
      </c>
      <c r="C1394" s="5" t="s">
        <v>6040</v>
      </c>
      <c r="D1394" s="21"/>
      <c r="E1394" s="21"/>
      <c r="F1394" s="21" t="s">
        <v>10438</v>
      </c>
      <c r="G1394" s="21"/>
      <c r="H1394" s="54">
        <v>8125</v>
      </c>
      <c r="I1394" s="51"/>
      <c r="J1394" s="27"/>
      <c r="K1394" s="27"/>
      <c r="L1394" s="15"/>
      <c r="M1394" s="15">
        <v>5</v>
      </c>
      <c r="N1394" s="4" t="s">
        <v>3607</v>
      </c>
      <c r="O1394" s="4"/>
    </row>
    <row r="1395" spans="1:17" x14ac:dyDescent="0.2">
      <c r="A1395" s="2">
        <v>10018706</v>
      </c>
      <c r="B1395" s="2" t="s">
        <v>279</v>
      </c>
      <c r="C1395" s="5" t="s">
        <v>5852</v>
      </c>
      <c r="D1395" s="21">
        <v>4</v>
      </c>
      <c r="E1395" s="21"/>
      <c r="F1395" s="21" t="s">
        <v>10438</v>
      </c>
      <c r="G1395" s="21"/>
      <c r="H1395" s="54">
        <v>7905</v>
      </c>
      <c r="I1395" s="51">
        <v>6720</v>
      </c>
      <c r="J1395" s="27"/>
      <c r="K1395" s="27"/>
      <c r="L1395" s="15"/>
      <c r="M1395" s="15">
        <v>5</v>
      </c>
      <c r="N1395" s="4" t="s">
        <v>3607</v>
      </c>
      <c r="O1395" s="4" t="s">
        <v>10451</v>
      </c>
    </row>
    <row r="1396" spans="1:17" x14ac:dyDescent="0.2">
      <c r="A1396" s="2">
        <v>10019428</v>
      </c>
      <c r="B1396" s="2" t="s">
        <v>515</v>
      </c>
      <c r="C1396" s="5" t="s">
        <v>6135</v>
      </c>
      <c r="D1396" s="21">
        <v>1</v>
      </c>
      <c r="E1396" s="21"/>
      <c r="F1396" s="21" t="s">
        <v>10438</v>
      </c>
      <c r="G1396" s="21"/>
      <c r="H1396" s="54">
        <v>15144</v>
      </c>
      <c r="I1396" s="51">
        <v>12875</v>
      </c>
      <c r="J1396" s="27">
        <v>6</v>
      </c>
      <c r="K1396" s="27"/>
      <c r="L1396" s="15"/>
      <c r="M1396" s="15"/>
      <c r="N1396" s="4"/>
      <c r="O1396" s="4"/>
    </row>
    <row r="1397" spans="1:17" x14ac:dyDescent="0.2">
      <c r="A1397" s="2">
        <v>10013683</v>
      </c>
      <c r="B1397" s="2" t="s">
        <v>4</v>
      </c>
      <c r="C1397" s="5" t="s">
        <v>5524</v>
      </c>
      <c r="D1397" s="21">
        <v>1</v>
      </c>
      <c r="E1397" s="21"/>
      <c r="F1397" s="21" t="s">
        <v>10438</v>
      </c>
      <c r="G1397" s="21"/>
      <c r="H1397" s="54">
        <v>14495</v>
      </c>
      <c r="I1397" s="51">
        <v>13050</v>
      </c>
      <c r="J1397" s="27"/>
      <c r="K1397" s="27"/>
      <c r="L1397" s="15"/>
      <c r="M1397" s="15">
        <v>5</v>
      </c>
      <c r="N1397" s="4"/>
      <c r="O1397" s="4" t="s">
        <v>10455</v>
      </c>
    </row>
    <row r="1398" spans="1:17" x14ac:dyDescent="0.2">
      <c r="A1398" s="2">
        <v>10018347</v>
      </c>
      <c r="B1398" s="2" t="s">
        <v>3796</v>
      </c>
      <c r="C1398" s="5" t="s">
        <v>5697</v>
      </c>
      <c r="D1398" s="21"/>
      <c r="E1398" s="21"/>
      <c r="F1398" s="21" t="s">
        <v>10438</v>
      </c>
      <c r="G1398" s="21"/>
      <c r="H1398" s="54">
        <v>60</v>
      </c>
      <c r="I1398" s="51"/>
      <c r="J1398" s="27"/>
      <c r="K1398" s="27"/>
      <c r="L1398" s="15"/>
      <c r="M1398" s="15"/>
      <c r="N1398" s="4">
        <v>80</v>
      </c>
      <c r="O1398" s="4"/>
    </row>
    <row r="1399" spans="1:17" x14ac:dyDescent="0.2">
      <c r="A1399" s="2">
        <v>40006810</v>
      </c>
      <c r="B1399" s="2" t="s">
        <v>2109</v>
      </c>
      <c r="C1399" s="5" t="s">
        <v>7818</v>
      </c>
      <c r="D1399" s="21">
        <v>41</v>
      </c>
      <c r="E1399" s="21"/>
      <c r="F1399" s="21" t="s">
        <v>10438</v>
      </c>
      <c r="G1399" s="21"/>
      <c r="H1399" s="54">
        <v>8</v>
      </c>
      <c r="I1399" s="51"/>
      <c r="J1399" s="27"/>
      <c r="K1399" s="27"/>
      <c r="L1399" s="15"/>
      <c r="M1399" s="15"/>
      <c r="N1399" s="4" t="s">
        <v>4690</v>
      </c>
      <c r="O1399" s="4"/>
    </row>
    <row r="1400" spans="1:17" x14ac:dyDescent="0.2">
      <c r="A1400" s="2">
        <v>40006102</v>
      </c>
      <c r="B1400" s="2" t="s">
        <v>1493</v>
      </c>
      <c r="C1400" s="5" t="s">
        <v>7199</v>
      </c>
      <c r="D1400" s="21">
        <v>1</v>
      </c>
      <c r="E1400" s="21"/>
      <c r="F1400" s="21" t="s">
        <v>10438</v>
      </c>
      <c r="G1400" s="21"/>
      <c r="H1400" s="54">
        <v>164</v>
      </c>
      <c r="I1400" s="51"/>
      <c r="J1400" s="27"/>
      <c r="K1400" s="27"/>
      <c r="L1400" s="15"/>
      <c r="M1400" s="15"/>
      <c r="N1400" s="4"/>
      <c r="O1400" s="4" t="s">
        <v>10216</v>
      </c>
    </row>
    <row r="1401" spans="1:17" x14ac:dyDescent="0.2">
      <c r="A1401" s="2">
        <v>10019671</v>
      </c>
      <c r="B1401" s="2" t="s">
        <v>566</v>
      </c>
      <c r="C1401" s="5" t="s">
        <v>6195</v>
      </c>
      <c r="D1401" s="21">
        <v>1</v>
      </c>
      <c r="E1401" s="21"/>
      <c r="F1401" s="21" t="s">
        <v>10438</v>
      </c>
      <c r="G1401" s="21"/>
      <c r="H1401" s="54">
        <v>1105</v>
      </c>
      <c r="I1401" s="51"/>
      <c r="J1401" s="27"/>
      <c r="K1401" s="27"/>
      <c r="L1401" s="15"/>
      <c r="M1401" s="15"/>
      <c r="N1401" s="4">
        <v>107</v>
      </c>
      <c r="O1401" s="4"/>
    </row>
    <row r="1402" spans="1:17" x14ac:dyDescent="0.2">
      <c r="A1402" s="2">
        <v>10018139</v>
      </c>
      <c r="B1402" s="2" t="s">
        <v>78</v>
      </c>
      <c r="C1402" s="5" t="s">
        <v>5613</v>
      </c>
      <c r="D1402" s="21"/>
      <c r="E1402" s="21"/>
      <c r="F1402" s="21" t="s">
        <v>10438</v>
      </c>
      <c r="G1402" s="21"/>
      <c r="H1402" s="54">
        <v>645</v>
      </c>
      <c r="I1402" s="51"/>
      <c r="J1402" s="27"/>
      <c r="K1402" s="27"/>
      <c r="L1402" s="15"/>
      <c r="M1402" s="15"/>
      <c r="N1402" s="4">
        <v>107</v>
      </c>
      <c r="O1402" s="4"/>
      <c r="Q1402" s="8"/>
    </row>
    <row r="1403" spans="1:17" x14ac:dyDescent="0.2">
      <c r="A1403" s="2">
        <v>10018141</v>
      </c>
      <c r="B1403" s="2" t="s">
        <v>79</v>
      </c>
      <c r="C1403" s="5" t="s">
        <v>5614</v>
      </c>
      <c r="D1403" s="21">
        <v>2</v>
      </c>
      <c r="E1403" s="21"/>
      <c r="F1403" s="21" t="s">
        <v>10438</v>
      </c>
      <c r="G1403" s="21"/>
      <c r="H1403" s="54">
        <v>955</v>
      </c>
      <c r="I1403" s="51"/>
      <c r="J1403" s="27"/>
      <c r="K1403" s="27"/>
      <c r="L1403" s="15"/>
      <c r="M1403" s="15"/>
      <c r="N1403" s="4">
        <v>107</v>
      </c>
      <c r="O1403" s="4"/>
    </row>
    <row r="1404" spans="1:17" x14ac:dyDescent="0.2">
      <c r="A1404" s="2">
        <v>40005855</v>
      </c>
      <c r="B1404" s="2" t="s">
        <v>1271</v>
      </c>
      <c r="C1404" s="5" t="s">
        <v>6982</v>
      </c>
      <c r="D1404" s="21">
        <v>3</v>
      </c>
      <c r="E1404" s="21"/>
      <c r="F1404" s="21" t="s">
        <v>10438</v>
      </c>
      <c r="G1404" s="21"/>
      <c r="H1404" s="54">
        <v>577</v>
      </c>
      <c r="I1404" s="51"/>
      <c r="J1404" s="27"/>
      <c r="K1404" s="27"/>
      <c r="L1404" s="15"/>
      <c r="M1404" s="15"/>
      <c r="N1404" s="4"/>
      <c r="O1404" s="4"/>
    </row>
    <row r="1405" spans="1:17" x14ac:dyDescent="0.2">
      <c r="A1405" s="2">
        <v>40005856</v>
      </c>
      <c r="B1405" s="2" t="s">
        <v>1272</v>
      </c>
      <c r="C1405" s="5" t="s">
        <v>6983</v>
      </c>
      <c r="D1405" s="21">
        <v>2</v>
      </c>
      <c r="E1405" s="21"/>
      <c r="F1405" s="21" t="s">
        <v>10438</v>
      </c>
      <c r="G1405" s="21"/>
      <c r="H1405" s="54">
        <v>633</v>
      </c>
      <c r="I1405" s="51"/>
      <c r="J1405" s="27"/>
      <c r="K1405" s="27"/>
      <c r="L1405" s="15"/>
      <c r="M1405" s="15"/>
      <c r="N1405" s="4"/>
      <c r="O1405" s="4"/>
    </row>
    <row r="1406" spans="1:17" x14ac:dyDescent="0.2">
      <c r="A1406" s="2">
        <v>40005857</v>
      </c>
      <c r="B1406" s="2" t="s">
        <v>1273</v>
      </c>
      <c r="C1406" s="5" t="s">
        <v>6984</v>
      </c>
      <c r="D1406" s="21">
        <v>2</v>
      </c>
      <c r="E1406" s="21"/>
      <c r="F1406" s="21" t="s">
        <v>10438</v>
      </c>
      <c r="G1406" s="21"/>
      <c r="H1406" s="54">
        <v>630</v>
      </c>
      <c r="I1406" s="51"/>
      <c r="J1406" s="27"/>
      <c r="K1406" s="27"/>
      <c r="L1406" s="15"/>
      <c r="M1406" s="15"/>
      <c r="N1406" s="4"/>
      <c r="O1406" s="4"/>
    </row>
    <row r="1407" spans="1:17" x14ac:dyDescent="0.2">
      <c r="A1407" s="2">
        <v>10018551</v>
      </c>
      <c r="B1407" s="2" t="s">
        <v>216</v>
      </c>
      <c r="C1407" s="5" t="s">
        <v>5775</v>
      </c>
      <c r="D1407" s="21">
        <v>1</v>
      </c>
      <c r="E1407" s="21"/>
      <c r="F1407" s="21" t="s">
        <v>10438</v>
      </c>
      <c r="G1407" s="21"/>
      <c r="H1407" s="54">
        <v>184</v>
      </c>
      <c r="I1407" s="51"/>
      <c r="J1407" s="27"/>
      <c r="K1407" s="27"/>
      <c r="L1407" s="15"/>
      <c r="M1407" s="15"/>
      <c r="N1407" s="4">
        <v>82</v>
      </c>
      <c r="O1407" s="4"/>
    </row>
    <row r="1408" spans="1:17" x14ac:dyDescent="0.2">
      <c r="A1408" s="2">
        <v>10019842</v>
      </c>
      <c r="B1408" s="2" t="s">
        <v>597</v>
      </c>
      <c r="C1408" s="5" t="s">
        <v>6231</v>
      </c>
      <c r="D1408" s="21"/>
      <c r="E1408" s="21"/>
      <c r="F1408" s="21" t="s">
        <v>10438</v>
      </c>
      <c r="G1408" s="21"/>
      <c r="H1408" s="54">
        <v>389</v>
      </c>
      <c r="I1408" s="51"/>
      <c r="J1408" s="27"/>
      <c r="K1408" s="27"/>
      <c r="L1408" s="15"/>
      <c r="M1408" s="15"/>
      <c r="N1408" s="4">
        <v>93</v>
      </c>
      <c r="O1408" s="4"/>
    </row>
    <row r="1409" spans="1:15" x14ac:dyDescent="0.2">
      <c r="A1409" s="2">
        <v>10019754</v>
      </c>
      <c r="B1409" s="2" t="s">
        <v>579</v>
      </c>
      <c r="C1409" s="5" t="s">
        <v>6212</v>
      </c>
      <c r="D1409" s="21">
        <v>165</v>
      </c>
      <c r="E1409" s="21"/>
      <c r="F1409" s="21" t="s">
        <v>10438</v>
      </c>
      <c r="G1409" s="21"/>
      <c r="H1409" s="54">
        <v>87</v>
      </c>
      <c r="I1409" s="51"/>
      <c r="J1409" s="27"/>
      <c r="K1409" s="27"/>
      <c r="L1409" s="15">
        <v>195</v>
      </c>
      <c r="M1409" s="15">
        <v>189</v>
      </c>
      <c r="N1409" s="4">
        <v>105</v>
      </c>
      <c r="O1409" s="4"/>
    </row>
    <row r="1410" spans="1:15" x14ac:dyDescent="0.2">
      <c r="A1410" s="2">
        <v>10017961</v>
      </c>
      <c r="B1410" s="2" t="s">
        <v>31</v>
      </c>
      <c r="C1410" s="5" t="s">
        <v>5561</v>
      </c>
      <c r="D1410" s="21"/>
      <c r="E1410" s="21"/>
      <c r="F1410" s="21" t="s">
        <v>10438</v>
      </c>
      <c r="G1410" s="21"/>
      <c r="H1410" s="54">
        <v>67</v>
      </c>
      <c r="I1410" s="51"/>
      <c r="J1410" s="27"/>
      <c r="K1410" s="27"/>
      <c r="L1410" s="15"/>
      <c r="M1410" s="15"/>
      <c r="N1410" s="4">
        <v>111</v>
      </c>
      <c r="O1410" s="4"/>
    </row>
    <row r="1411" spans="1:15" x14ac:dyDescent="0.2">
      <c r="A1411" s="2">
        <v>10018539</v>
      </c>
      <c r="B1411" s="2" t="s">
        <v>3664</v>
      </c>
      <c r="C1411" s="5" t="s">
        <v>5768</v>
      </c>
      <c r="D1411" s="21"/>
      <c r="E1411" s="21"/>
      <c r="F1411" s="21" t="s">
        <v>10438</v>
      </c>
      <c r="G1411" s="21"/>
      <c r="H1411" s="54">
        <v>50</v>
      </c>
      <c r="I1411" s="51"/>
      <c r="J1411" s="27"/>
      <c r="K1411" s="27"/>
      <c r="L1411" s="15"/>
      <c r="M1411" s="15"/>
      <c r="N1411" s="4">
        <v>107</v>
      </c>
      <c r="O1411" s="4"/>
    </row>
    <row r="1412" spans="1:15" x14ac:dyDescent="0.2">
      <c r="A1412" s="2">
        <v>10019524</v>
      </c>
      <c r="B1412" s="2" t="s">
        <v>536</v>
      </c>
      <c r="C1412" s="5" t="s">
        <v>6158</v>
      </c>
      <c r="D1412" s="21">
        <v>288</v>
      </c>
      <c r="E1412" s="21"/>
      <c r="F1412" s="21" t="s">
        <v>10438</v>
      </c>
      <c r="G1412" s="21"/>
      <c r="H1412" s="54">
        <v>56</v>
      </c>
      <c r="I1412" s="51"/>
      <c r="J1412" s="27"/>
      <c r="K1412" s="27"/>
      <c r="L1412" s="15">
        <v>100</v>
      </c>
      <c r="M1412" s="15">
        <v>200</v>
      </c>
      <c r="N1412" s="4">
        <v>105</v>
      </c>
      <c r="O1412" s="4"/>
    </row>
    <row r="1413" spans="1:15" x14ac:dyDescent="0.2">
      <c r="A1413" s="2">
        <v>10019023</v>
      </c>
      <c r="B1413" s="2" t="s">
        <v>407</v>
      </c>
      <c r="C1413" s="5" t="s">
        <v>6010</v>
      </c>
      <c r="D1413" s="21"/>
      <c r="E1413" s="21"/>
      <c r="F1413" s="21" t="s">
        <v>10438</v>
      </c>
      <c r="G1413" s="21"/>
      <c r="H1413" s="54">
        <v>246</v>
      </c>
      <c r="I1413" s="51"/>
      <c r="J1413" s="27"/>
      <c r="K1413" s="27"/>
      <c r="L1413" s="15"/>
      <c r="M1413" s="15"/>
      <c r="N1413" s="4">
        <v>107</v>
      </c>
      <c r="O1413" s="4"/>
    </row>
    <row r="1414" spans="1:15" x14ac:dyDescent="0.2">
      <c r="A1414" s="2">
        <v>10029928</v>
      </c>
      <c r="B1414" s="2" t="s">
        <v>683</v>
      </c>
      <c r="C1414" s="5" t="s">
        <v>6346</v>
      </c>
      <c r="D1414" s="21">
        <v>20</v>
      </c>
      <c r="E1414" s="21"/>
      <c r="F1414" s="21" t="s">
        <v>10438</v>
      </c>
      <c r="G1414" s="21"/>
      <c r="H1414" s="54">
        <v>140</v>
      </c>
      <c r="I1414" s="51"/>
      <c r="J1414" s="27"/>
      <c r="K1414" s="27"/>
      <c r="L1414" s="15"/>
      <c r="M1414" s="15"/>
      <c r="N1414" s="4">
        <v>111</v>
      </c>
      <c r="O1414" s="4"/>
    </row>
    <row r="1415" spans="1:15" x14ac:dyDescent="0.2">
      <c r="A1415" s="2">
        <v>10018784</v>
      </c>
      <c r="B1415" s="2" t="s">
        <v>312</v>
      </c>
      <c r="C1415" s="5" t="s">
        <v>5895</v>
      </c>
      <c r="D1415" s="21"/>
      <c r="E1415" s="21"/>
      <c r="F1415" s="21" t="s">
        <v>10438</v>
      </c>
      <c r="G1415" s="21"/>
      <c r="H1415" s="54">
        <v>223</v>
      </c>
      <c r="I1415" s="51"/>
      <c r="J1415" s="27"/>
      <c r="K1415" s="27"/>
      <c r="L1415" s="15"/>
      <c r="M1415" s="15"/>
      <c r="N1415" s="4">
        <v>111</v>
      </c>
      <c r="O1415" s="4"/>
    </row>
    <row r="1416" spans="1:15" x14ac:dyDescent="0.2">
      <c r="A1416" s="2">
        <v>10019365</v>
      </c>
      <c r="B1416" s="2" t="s">
        <v>504</v>
      </c>
      <c r="C1416" s="5" t="s">
        <v>6122</v>
      </c>
      <c r="D1416" s="21">
        <v>7</v>
      </c>
      <c r="E1416" s="21"/>
      <c r="F1416" s="21" t="s">
        <v>10438</v>
      </c>
      <c r="G1416" s="21"/>
      <c r="H1416" s="54">
        <v>790</v>
      </c>
      <c r="I1416" s="51"/>
      <c r="J1416" s="27"/>
      <c r="K1416" s="27"/>
      <c r="L1416" s="15"/>
      <c r="M1416" s="15"/>
      <c r="N1416" s="4">
        <v>60</v>
      </c>
      <c r="O1416" s="4"/>
    </row>
    <row r="1417" spans="1:15" x14ac:dyDescent="0.2">
      <c r="A1417" s="2">
        <v>10019314</v>
      </c>
      <c r="B1417" s="2" t="s">
        <v>494</v>
      </c>
      <c r="C1417" s="5" t="s">
        <v>6110</v>
      </c>
      <c r="D1417" s="21">
        <v>18</v>
      </c>
      <c r="E1417" s="21"/>
      <c r="F1417" s="21" t="s">
        <v>10438</v>
      </c>
      <c r="G1417" s="21"/>
      <c r="H1417" s="54">
        <v>441</v>
      </c>
      <c r="I1417" s="51"/>
      <c r="J1417" s="27"/>
      <c r="K1417" s="27"/>
      <c r="L1417" s="15"/>
      <c r="M1417" s="15">
        <v>2</v>
      </c>
      <c r="N1417" s="4">
        <v>90</v>
      </c>
      <c r="O1417" s="4"/>
    </row>
    <row r="1418" spans="1:15" x14ac:dyDescent="0.2">
      <c r="A1418" s="2">
        <v>10019075</v>
      </c>
      <c r="B1418" s="2" t="s">
        <v>421</v>
      </c>
      <c r="C1418" s="5" t="s">
        <v>6024</v>
      </c>
      <c r="D1418" s="21">
        <v>16</v>
      </c>
      <c r="E1418" s="21"/>
      <c r="F1418" s="21" t="s">
        <v>10438</v>
      </c>
      <c r="G1418" s="21"/>
      <c r="H1418" s="54">
        <v>154</v>
      </c>
      <c r="I1418" s="51"/>
      <c r="J1418" s="27"/>
      <c r="K1418" s="27"/>
      <c r="L1418" s="15">
        <v>10</v>
      </c>
      <c r="M1418" s="15">
        <v>6</v>
      </c>
      <c r="N1418" s="4">
        <v>89</v>
      </c>
      <c r="O1418" s="4"/>
    </row>
    <row r="1419" spans="1:15" x14ac:dyDescent="0.2">
      <c r="A1419" s="2">
        <v>10018099</v>
      </c>
      <c r="B1419" s="2" t="s">
        <v>71</v>
      </c>
      <c r="C1419" s="5" t="s">
        <v>5604</v>
      </c>
      <c r="D1419" s="21">
        <v>3</v>
      </c>
      <c r="E1419" s="21"/>
      <c r="F1419" s="21" t="s">
        <v>10438</v>
      </c>
      <c r="G1419" s="21"/>
      <c r="H1419" s="54">
        <v>5885</v>
      </c>
      <c r="I1419" s="51"/>
      <c r="J1419" s="27"/>
      <c r="K1419" s="27"/>
      <c r="L1419" s="15"/>
      <c r="M1419" s="15"/>
      <c r="N1419" s="4"/>
      <c r="O1419" s="4"/>
    </row>
    <row r="1420" spans="1:15" x14ac:dyDescent="0.2">
      <c r="A1420" s="2">
        <v>10019204</v>
      </c>
      <c r="B1420" s="2" t="s">
        <v>459</v>
      </c>
      <c r="C1420" s="5" t="s">
        <v>6067</v>
      </c>
      <c r="D1420" s="21"/>
      <c r="E1420" s="21"/>
      <c r="F1420" s="21" t="s">
        <v>10438</v>
      </c>
      <c r="G1420" s="21"/>
      <c r="H1420" s="54">
        <v>1416</v>
      </c>
      <c r="I1420" s="51"/>
      <c r="J1420" s="27"/>
      <c r="K1420" s="27"/>
      <c r="L1420" s="15"/>
      <c r="M1420" s="15"/>
      <c r="N1420" s="4">
        <v>88</v>
      </c>
      <c r="O1420" s="4"/>
    </row>
    <row r="1421" spans="1:15" x14ac:dyDescent="0.2">
      <c r="A1421" s="2">
        <v>10019004</v>
      </c>
      <c r="B1421" s="2" t="s">
        <v>3665</v>
      </c>
      <c r="C1421" s="5" t="s">
        <v>6000</v>
      </c>
      <c r="D1421" s="21">
        <v>1</v>
      </c>
      <c r="E1421" s="21"/>
      <c r="F1421" s="21" t="s">
        <v>10438</v>
      </c>
      <c r="G1421" s="21"/>
      <c r="H1421" s="54">
        <v>241</v>
      </c>
      <c r="I1421" s="51"/>
      <c r="J1421" s="27"/>
      <c r="K1421" s="27"/>
      <c r="L1421" s="15">
        <v>20</v>
      </c>
      <c r="M1421" s="15">
        <v>10</v>
      </c>
      <c r="N1421" s="4">
        <v>111</v>
      </c>
      <c r="O1421" s="4"/>
    </row>
    <row r="1422" spans="1:15" x14ac:dyDescent="0.2">
      <c r="A1422" s="2">
        <v>10018255</v>
      </c>
      <c r="B1422" s="2" t="s">
        <v>129</v>
      </c>
      <c r="C1422" s="5" t="s">
        <v>5668</v>
      </c>
      <c r="D1422" s="21">
        <v>20</v>
      </c>
      <c r="E1422" s="21"/>
      <c r="F1422" s="21" t="s">
        <v>10438</v>
      </c>
      <c r="G1422" s="21"/>
      <c r="H1422" s="54">
        <v>280</v>
      </c>
      <c r="I1422" s="51"/>
      <c r="J1422" s="27"/>
      <c r="K1422" s="27"/>
      <c r="L1422" s="15">
        <v>50</v>
      </c>
      <c r="M1422" s="15">
        <v>16</v>
      </c>
      <c r="N1422" s="4">
        <v>92</v>
      </c>
      <c r="O1422" s="4"/>
    </row>
    <row r="1423" spans="1:15" x14ac:dyDescent="0.2">
      <c r="A1423" s="2">
        <v>10018251</v>
      </c>
      <c r="B1423" s="2" t="s">
        <v>125</v>
      </c>
      <c r="C1423" s="5" t="s">
        <v>5664</v>
      </c>
      <c r="D1423" s="21"/>
      <c r="E1423" s="21"/>
      <c r="F1423" s="21" t="s">
        <v>10438</v>
      </c>
      <c r="G1423" s="21"/>
      <c r="H1423" s="54">
        <v>65</v>
      </c>
      <c r="I1423" s="51"/>
      <c r="J1423" s="27"/>
      <c r="K1423" s="27"/>
      <c r="L1423" s="15"/>
      <c r="M1423" s="15"/>
      <c r="N1423" s="4">
        <v>55</v>
      </c>
      <c r="O1423" s="4"/>
    </row>
    <row r="1424" spans="1:15" x14ac:dyDescent="0.2">
      <c r="A1424" s="2">
        <v>10019476</v>
      </c>
      <c r="B1424" s="2" t="s">
        <v>525</v>
      </c>
      <c r="C1424" s="5" t="s">
        <v>6146</v>
      </c>
      <c r="D1424" s="21">
        <v>24</v>
      </c>
      <c r="E1424" s="21"/>
      <c r="F1424" s="21" t="s">
        <v>10438</v>
      </c>
      <c r="G1424" s="21"/>
      <c r="H1424" s="54">
        <v>93</v>
      </c>
      <c r="I1424" s="51"/>
      <c r="J1424" s="27"/>
      <c r="K1424" s="27"/>
      <c r="L1424" s="15">
        <v>20</v>
      </c>
      <c r="M1424" s="15">
        <v>160</v>
      </c>
      <c r="N1424" s="4">
        <v>105</v>
      </c>
      <c r="O1424" s="4"/>
    </row>
    <row r="1425" spans="1:15" x14ac:dyDescent="0.2">
      <c r="A1425" s="2">
        <v>10018842</v>
      </c>
      <c r="B1425" s="2" t="s">
        <v>336</v>
      </c>
      <c r="C1425" s="5" t="s">
        <v>5926</v>
      </c>
      <c r="D1425" s="21">
        <v>86</v>
      </c>
      <c r="E1425" s="21"/>
      <c r="F1425" s="21" t="s">
        <v>10438</v>
      </c>
      <c r="G1425" s="21"/>
      <c r="H1425" s="54">
        <v>59</v>
      </c>
      <c r="I1425" s="51"/>
      <c r="J1425" s="27"/>
      <c r="K1425" s="27"/>
      <c r="L1425" s="15">
        <v>25</v>
      </c>
      <c r="M1425" s="15"/>
      <c r="N1425" s="4">
        <v>49</v>
      </c>
      <c r="O1425" s="4"/>
    </row>
    <row r="1426" spans="1:15" x14ac:dyDescent="0.2">
      <c r="A1426" s="2">
        <v>40007336</v>
      </c>
      <c r="B1426" s="2" t="s">
        <v>2574</v>
      </c>
      <c r="C1426" s="5" t="s">
        <v>8270</v>
      </c>
      <c r="D1426" s="21">
        <v>9</v>
      </c>
      <c r="E1426" s="21"/>
      <c r="F1426" s="21" t="s">
        <v>10438</v>
      </c>
      <c r="G1426" s="21"/>
      <c r="H1426" s="54">
        <v>414</v>
      </c>
      <c r="I1426" s="51"/>
      <c r="J1426" s="27"/>
      <c r="K1426" s="27"/>
      <c r="L1426" s="15"/>
      <c r="M1426" s="15"/>
      <c r="N1426" s="4">
        <v>60</v>
      </c>
      <c r="O1426" s="4"/>
    </row>
    <row r="1427" spans="1:15" x14ac:dyDescent="0.2">
      <c r="A1427" s="2">
        <v>40007361</v>
      </c>
      <c r="B1427" s="2" t="s">
        <v>2593</v>
      </c>
      <c r="C1427" s="5" t="s">
        <v>8292</v>
      </c>
      <c r="D1427" s="21">
        <v>1</v>
      </c>
      <c r="E1427" s="21"/>
      <c r="F1427" s="21" t="s">
        <v>10438</v>
      </c>
      <c r="G1427" s="21"/>
      <c r="H1427" s="54">
        <v>2190</v>
      </c>
      <c r="I1427" s="51"/>
      <c r="J1427" s="27"/>
      <c r="K1427" s="27"/>
      <c r="L1427" s="15"/>
      <c r="M1427" s="15"/>
      <c r="N1427" s="4" t="s">
        <v>4558</v>
      </c>
      <c r="O1427" s="4"/>
    </row>
    <row r="1428" spans="1:15" x14ac:dyDescent="0.2">
      <c r="A1428" s="2">
        <v>40007337</v>
      </c>
      <c r="B1428" s="2" t="s">
        <v>3634</v>
      </c>
      <c r="C1428" s="5" t="s">
        <v>8271</v>
      </c>
      <c r="D1428" s="21">
        <v>3</v>
      </c>
      <c r="E1428" s="21"/>
      <c r="F1428" s="21" t="s">
        <v>10438</v>
      </c>
      <c r="G1428" s="21"/>
      <c r="H1428" s="54">
        <v>332</v>
      </c>
      <c r="I1428" s="51"/>
      <c r="J1428" s="27"/>
      <c r="K1428" s="27"/>
      <c r="L1428" s="15"/>
      <c r="M1428" s="15">
        <v>2</v>
      </c>
      <c r="N1428" s="4">
        <v>82</v>
      </c>
      <c r="O1428" s="4"/>
    </row>
    <row r="1429" spans="1:15" x14ac:dyDescent="0.2">
      <c r="A1429" s="2">
        <v>10018145</v>
      </c>
      <c r="B1429" s="2" t="s">
        <v>80</v>
      </c>
      <c r="C1429" s="5" t="s">
        <v>5616</v>
      </c>
      <c r="D1429" s="21">
        <v>-1</v>
      </c>
      <c r="E1429" s="21"/>
      <c r="F1429" s="21" t="s">
        <v>10438</v>
      </c>
      <c r="G1429" s="21"/>
      <c r="H1429" s="54">
        <v>382</v>
      </c>
      <c r="I1429" s="51"/>
      <c r="J1429" s="27"/>
      <c r="K1429" s="27"/>
      <c r="L1429" s="15">
        <v>3</v>
      </c>
      <c r="M1429" s="15">
        <v>10</v>
      </c>
      <c r="N1429" s="4">
        <v>89</v>
      </c>
      <c r="O1429" s="4"/>
    </row>
    <row r="1430" spans="1:15" x14ac:dyDescent="0.2">
      <c r="A1430" s="2">
        <v>10020019</v>
      </c>
      <c r="B1430" s="2" t="s">
        <v>657</v>
      </c>
      <c r="C1430" s="5" t="s">
        <v>6304</v>
      </c>
      <c r="D1430" s="21">
        <v>4</v>
      </c>
      <c r="E1430" s="21"/>
      <c r="F1430" s="21" t="s">
        <v>10438</v>
      </c>
      <c r="G1430" s="21"/>
      <c r="H1430" s="54">
        <v>957</v>
      </c>
      <c r="I1430" s="51"/>
      <c r="J1430" s="27"/>
      <c r="K1430" s="27"/>
      <c r="L1430" s="15">
        <v>10</v>
      </c>
      <c r="M1430" s="15"/>
      <c r="N1430" s="4">
        <v>98</v>
      </c>
      <c r="O1430" s="4"/>
    </row>
    <row r="1431" spans="1:15" x14ac:dyDescent="0.2">
      <c r="A1431" s="2">
        <v>10020018</v>
      </c>
      <c r="B1431" s="2" t="s">
        <v>656</v>
      </c>
      <c r="C1431" s="5" t="s">
        <v>6303</v>
      </c>
      <c r="D1431" s="21"/>
      <c r="E1431" s="21"/>
      <c r="F1431" s="21" t="s">
        <v>10438</v>
      </c>
      <c r="G1431" s="21"/>
      <c r="H1431" s="54">
        <v>263</v>
      </c>
      <c r="I1431" s="51"/>
      <c r="J1431" s="27"/>
      <c r="K1431" s="27"/>
      <c r="L1431" s="15">
        <v>10</v>
      </c>
      <c r="M1431" s="15">
        <v>10</v>
      </c>
      <c r="N1431" s="4">
        <v>89</v>
      </c>
      <c r="O1431" s="4"/>
    </row>
    <row r="1432" spans="1:15" x14ac:dyDescent="0.2">
      <c r="A1432" s="2">
        <v>10019259</v>
      </c>
      <c r="B1432" s="2" t="s">
        <v>476</v>
      </c>
      <c r="C1432" s="5" t="s">
        <v>6089</v>
      </c>
      <c r="D1432" s="21">
        <v>11</v>
      </c>
      <c r="E1432" s="21"/>
      <c r="F1432" s="21" t="s">
        <v>10438</v>
      </c>
      <c r="G1432" s="21"/>
      <c r="H1432" s="54">
        <v>189</v>
      </c>
      <c r="I1432" s="51"/>
      <c r="J1432" s="27"/>
      <c r="K1432" s="27"/>
      <c r="L1432" s="15"/>
      <c r="M1432" s="15"/>
      <c r="N1432" s="4">
        <v>89</v>
      </c>
      <c r="O1432" s="4"/>
    </row>
    <row r="1433" spans="1:15" x14ac:dyDescent="0.2">
      <c r="A1433" s="2">
        <v>40006310</v>
      </c>
      <c r="B1433" s="2" t="s">
        <v>1678</v>
      </c>
      <c r="C1433" s="5" t="s">
        <v>7388</v>
      </c>
      <c r="D1433" s="21">
        <v>1</v>
      </c>
      <c r="E1433" s="21"/>
      <c r="F1433" s="21" t="s">
        <v>10438</v>
      </c>
      <c r="G1433" s="21"/>
      <c r="H1433" s="54">
        <v>16</v>
      </c>
      <c r="I1433" s="51"/>
      <c r="J1433" s="27"/>
      <c r="K1433" s="27"/>
      <c r="L1433" s="15"/>
      <c r="M1433" s="15"/>
      <c r="N1433" s="4" t="s">
        <v>4250</v>
      </c>
      <c r="O1433" s="4"/>
    </row>
    <row r="1434" spans="1:15" x14ac:dyDescent="0.2">
      <c r="A1434" s="2">
        <v>40008006</v>
      </c>
      <c r="B1434" s="2" t="s">
        <v>3146</v>
      </c>
      <c r="C1434" s="5">
        <v>181224081</v>
      </c>
      <c r="D1434" s="21">
        <v>30</v>
      </c>
      <c r="E1434" s="21"/>
      <c r="F1434" s="21" t="s">
        <v>10438</v>
      </c>
      <c r="G1434" s="21"/>
      <c r="H1434" s="54">
        <v>38</v>
      </c>
      <c r="I1434" s="51"/>
      <c r="J1434" s="27"/>
      <c r="K1434" s="27"/>
      <c r="L1434" s="15"/>
      <c r="M1434" s="15"/>
      <c r="N1434" s="4" t="s">
        <v>4465</v>
      </c>
      <c r="O1434" s="4"/>
    </row>
    <row r="1435" spans="1:15" x14ac:dyDescent="0.2">
      <c r="A1435" s="2">
        <v>10020114</v>
      </c>
      <c r="B1435" s="2" t="s">
        <v>3616</v>
      </c>
      <c r="C1435" s="5" t="s">
        <v>6330</v>
      </c>
      <c r="D1435" s="21">
        <v>17</v>
      </c>
      <c r="E1435" s="21"/>
      <c r="F1435" s="21" t="s">
        <v>10438</v>
      </c>
      <c r="G1435" s="21"/>
      <c r="H1435" s="54">
        <v>2280</v>
      </c>
      <c r="I1435" s="51">
        <v>2100</v>
      </c>
      <c r="J1435" s="27">
        <v>50</v>
      </c>
      <c r="K1435" s="27"/>
      <c r="L1435" s="15"/>
      <c r="M1435" s="15"/>
      <c r="N1435" s="4"/>
      <c r="O1435" s="4" t="s">
        <v>10452</v>
      </c>
    </row>
    <row r="1436" spans="1:15" x14ac:dyDescent="0.2">
      <c r="A1436" s="2">
        <v>10018479</v>
      </c>
      <c r="B1436" s="2" t="s">
        <v>187</v>
      </c>
      <c r="C1436" s="5" t="s">
        <v>5739</v>
      </c>
      <c r="D1436" s="21">
        <v>1</v>
      </c>
      <c r="E1436" s="21"/>
      <c r="F1436" s="21" t="s">
        <v>10438</v>
      </c>
      <c r="G1436" s="21"/>
      <c r="H1436" s="54">
        <v>422</v>
      </c>
      <c r="I1436" s="51"/>
      <c r="J1436" s="27"/>
      <c r="K1436" s="27"/>
      <c r="L1436" s="15"/>
      <c r="M1436" s="15"/>
      <c r="N1436" s="4"/>
      <c r="O1436" s="4"/>
    </row>
    <row r="1437" spans="1:15" x14ac:dyDescent="0.2">
      <c r="A1437" s="2">
        <v>10019911</v>
      </c>
      <c r="B1437" s="2" t="s">
        <v>622</v>
      </c>
      <c r="C1437" s="5" t="s">
        <v>6261</v>
      </c>
      <c r="D1437" s="21">
        <v>8</v>
      </c>
      <c r="E1437" s="21"/>
      <c r="F1437" s="21" t="s">
        <v>10438</v>
      </c>
      <c r="G1437" s="21"/>
      <c r="H1437" s="54">
        <v>183</v>
      </c>
      <c r="I1437" s="51"/>
      <c r="J1437" s="27"/>
      <c r="K1437" s="27"/>
      <c r="L1437" s="15"/>
      <c r="M1437" s="15"/>
      <c r="N1437" s="4">
        <v>63</v>
      </c>
      <c r="O1437" s="4"/>
    </row>
    <row r="1438" spans="1:15" x14ac:dyDescent="0.2">
      <c r="A1438" s="2">
        <v>10018659</v>
      </c>
      <c r="B1438" s="2" t="s">
        <v>3610</v>
      </c>
      <c r="C1438" s="5">
        <v>6305</v>
      </c>
      <c r="D1438" s="21">
        <v>6</v>
      </c>
      <c r="E1438" s="21"/>
      <c r="F1438" s="21" t="s">
        <v>10438</v>
      </c>
      <c r="G1438" s="21"/>
      <c r="H1438" s="54">
        <v>4325</v>
      </c>
      <c r="I1438" s="51">
        <v>3895</v>
      </c>
      <c r="J1438" s="27">
        <v>5</v>
      </c>
      <c r="K1438" s="27"/>
      <c r="L1438" s="15"/>
      <c r="M1438" s="15"/>
      <c r="N1438" s="4"/>
      <c r="O1438" s="4" t="s">
        <v>10446</v>
      </c>
    </row>
    <row r="1439" spans="1:15" x14ac:dyDescent="0.2">
      <c r="A1439" s="2">
        <v>10013671</v>
      </c>
      <c r="B1439" s="2" t="s">
        <v>1</v>
      </c>
      <c r="C1439" s="5">
        <v>6412</v>
      </c>
      <c r="D1439" s="21">
        <v>22</v>
      </c>
      <c r="E1439" s="21"/>
      <c r="F1439" s="21" t="s">
        <v>10438</v>
      </c>
      <c r="G1439" s="21"/>
      <c r="H1439" s="54">
        <v>1200</v>
      </c>
      <c r="I1439" s="51">
        <v>1105</v>
      </c>
      <c r="J1439" s="27">
        <v>35</v>
      </c>
      <c r="K1439" s="27"/>
      <c r="L1439" s="15"/>
      <c r="M1439" s="15"/>
      <c r="N1439" s="4" t="s">
        <v>3934</v>
      </c>
      <c r="O1439" s="4" t="s">
        <v>10452</v>
      </c>
    </row>
    <row r="1440" spans="1:15" x14ac:dyDescent="0.2">
      <c r="A1440" s="2">
        <v>40005555</v>
      </c>
      <c r="B1440" s="2" t="s">
        <v>3657</v>
      </c>
      <c r="C1440" s="5" t="s">
        <v>6738</v>
      </c>
      <c r="D1440" s="21">
        <v>51</v>
      </c>
      <c r="E1440" s="21"/>
      <c r="F1440" s="21" t="s">
        <v>10438</v>
      </c>
      <c r="G1440" s="21"/>
      <c r="H1440" s="54">
        <v>19</v>
      </c>
      <c r="I1440" s="51"/>
      <c r="J1440" s="27"/>
      <c r="K1440" s="27"/>
      <c r="L1440" s="15"/>
      <c r="M1440" s="15"/>
      <c r="N1440" s="4">
        <v>104</v>
      </c>
      <c r="O1440" s="4"/>
    </row>
    <row r="1441" spans="1:15" x14ac:dyDescent="0.2">
      <c r="A1441" s="2">
        <v>10019270</v>
      </c>
      <c r="B1441" s="2" t="s">
        <v>480</v>
      </c>
      <c r="C1441" s="5" t="s">
        <v>6093</v>
      </c>
      <c r="D1441" s="21"/>
      <c r="E1441" s="21"/>
      <c r="F1441" s="21" t="s">
        <v>10438</v>
      </c>
      <c r="G1441" s="21"/>
      <c r="H1441" s="54">
        <v>55</v>
      </c>
      <c r="I1441" s="51"/>
      <c r="J1441" s="27"/>
      <c r="K1441" s="27"/>
      <c r="L1441" s="15"/>
      <c r="M1441" s="15">
        <v>15</v>
      </c>
      <c r="N1441" s="4">
        <v>56</v>
      </c>
      <c r="O1441" s="4"/>
    </row>
    <row r="1442" spans="1:15" x14ac:dyDescent="0.2">
      <c r="A1442" s="2">
        <v>10019272</v>
      </c>
      <c r="B1442" s="2" t="s">
        <v>5367</v>
      </c>
      <c r="C1442" s="5" t="s">
        <v>6095</v>
      </c>
      <c r="D1442" s="21"/>
      <c r="E1442" s="21"/>
      <c r="F1442" s="21" t="s">
        <v>10438</v>
      </c>
      <c r="G1442" s="21"/>
      <c r="H1442" s="54">
        <v>68</v>
      </c>
      <c r="I1442" s="51"/>
      <c r="J1442" s="27"/>
      <c r="K1442" s="27"/>
      <c r="L1442" s="15"/>
      <c r="M1442" s="15">
        <v>20</v>
      </c>
      <c r="N1442" s="4">
        <v>53</v>
      </c>
      <c r="O1442" s="4"/>
    </row>
    <row r="1443" spans="1:15" x14ac:dyDescent="0.2">
      <c r="A1443" s="2">
        <v>10019274</v>
      </c>
      <c r="B1443" s="2" t="s">
        <v>482</v>
      </c>
      <c r="C1443" s="5" t="s">
        <v>6096</v>
      </c>
      <c r="D1443" s="21">
        <v>10</v>
      </c>
      <c r="E1443" s="21"/>
      <c r="F1443" s="21" t="s">
        <v>10438</v>
      </c>
      <c r="G1443" s="21"/>
      <c r="H1443" s="54">
        <v>75</v>
      </c>
      <c r="I1443" s="51"/>
      <c r="J1443" s="27"/>
      <c r="K1443" s="27"/>
      <c r="L1443" s="15"/>
      <c r="M1443" s="15">
        <v>20</v>
      </c>
      <c r="N1443" s="4">
        <v>56</v>
      </c>
      <c r="O1443" s="4"/>
    </row>
    <row r="1444" spans="1:15" x14ac:dyDescent="0.2">
      <c r="A1444" s="2">
        <v>10019943</v>
      </c>
      <c r="B1444" s="2" t="s">
        <v>636</v>
      </c>
      <c r="C1444" s="5" t="s">
        <v>6275</v>
      </c>
      <c r="D1444" s="21">
        <v>3</v>
      </c>
      <c r="E1444" s="21"/>
      <c r="F1444" s="21" t="s">
        <v>10438</v>
      </c>
      <c r="G1444" s="21"/>
      <c r="H1444" s="54">
        <v>96</v>
      </c>
      <c r="I1444" s="51"/>
      <c r="J1444" s="27"/>
      <c r="K1444" s="27"/>
      <c r="L1444" s="15"/>
      <c r="M1444" s="15"/>
      <c r="N1444" s="4" t="s">
        <v>3941</v>
      </c>
      <c r="O1444" s="4"/>
    </row>
    <row r="1445" spans="1:15" x14ac:dyDescent="0.2">
      <c r="A1445" s="2">
        <v>10019942</v>
      </c>
      <c r="B1445" s="2" t="s">
        <v>635</v>
      </c>
      <c r="C1445" s="5" t="s">
        <v>6274</v>
      </c>
      <c r="D1445" s="21">
        <v>142</v>
      </c>
      <c r="E1445" s="21"/>
      <c r="F1445" s="21" t="s">
        <v>10438</v>
      </c>
      <c r="G1445" s="21"/>
      <c r="H1445" s="54">
        <v>542</v>
      </c>
      <c r="I1445" s="51"/>
      <c r="J1445" s="27"/>
      <c r="K1445" s="27"/>
      <c r="L1445" s="15"/>
      <c r="M1445" s="15">
        <v>30</v>
      </c>
      <c r="N1445" s="4" t="s">
        <v>3941</v>
      </c>
      <c r="O1445" s="4"/>
    </row>
    <row r="1446" spans="1:15" x14ac:dyDescent="0.2">
      <c r="A1446" s="2">
        <v>10019385</v>
      </c>
      <c r="B1446" s="2" t="s">
        <v>506</v>
      </c>
      <c r="C1446" s="5" t="s">
        <v>6125</v>
      </c>
      <c r="D1446" s="21">
        <v>21</v>
      </c>
      <c r="E1446" s="21"/>
      <c r="F1446" s="21" t="s">
        <v>10438</v>
      </c>
      <c r="G1446" s="21"/>
      <c r="H1446" s="54">
        <v>185</v>
      </c>
      <c r="I1446" s="51"/>
      <c r="J1446" s="27"/>
      <c r="K1446" s="27"/>
      <c r="L1446" s="15"/>
      <c r="M1446" s="15"/>
      <c r="N1446" s="4" t="s">
        <v>3941</v>
      </c>
      <c r="O1446" s="4"/>
    </row>
    <row r="1447" spans="1:15" x14ac:dyDescent="0.2">
      <c r="A1447" s="2">
        <v>40005702</v>
      </c>
      <c r="B1447" s="2" t="s">
        <v>1134</v>
      </c>
      <c r="C1447" s="5" t="s">
        <v>6852</v>
      </c>
      <c r="D1447" s="21">
        <v>46</v>
      </c>
      <c r="E1447" s="21"/>
      <c r="F1447" s="21" t="s">
        <v>10438</v>
      </c>
      <c r="G1447" s="21"/>
      <c r="H1447" s="54">
        <v>42</v>
      </c>
      <c r="I1447" s="51"/>
      <c r="J1447" s="27"/>
      <c r="K1447" s="27"/>
      <c r="L1447" s="15"/>
      <c r="M1447" s="15">
        <v>20</v>
      </c>
      <c r="N1447" s="4" t="s">
        <v>3941</v>
      </c>
      <c r="O1447" s="4"/>
    </row>
    <row r="1448" spans="1:15" x14ac:dyDescent="0.2">
      <c r="A1448" s="2">
        <v>40005703</v>
      </c>
      <c r="B1448" s="2" t="s">
        <v>1135</v>
      </c>
      <c r="C1448" s="5" t="s">
        <v>6853</v>
      </c>
      <c r="D1448" s="21"/>
      <c r="E1448" s="21"/>
      <c r="F1448" s="21" t="s">
        <v>10438</v>
      </c>
      <c r="G1448" s="21"/>
      <c r="H1448" s="54">
        <v>51</v>
      </c>
      <c r="I1448" s="51"/>
      <c r="J1448" s="27"/>
      <c r="K1448" s="27"/>
      <c r="L1448" s="15"/>
      <c r="M1448" s="15"/>
      <c r="N1448" s="4" t="s">
        <v>3941</v>
      </c>
      <c r="O1448" s="4"/>
    </row>
    <row r="1449" spans="1:15" x14ac:dyDescent="0.2">
      <c r="A1449" s="2">
        <v>10029929</v>
      </c>
      <c r="B1449" s="2" t="s">
        <v>684</v>
      </c>
      <c r="C1449" s="5" t="s">
        <v>6347</v>
      </c>
      <c r="D1449" s="21"/>
      <c r="E1449" s="21"/>
      <c r="F1449" s="21" t="s">
        <v>10438</v>
      </c>
      <c r="G1449" s="21"/>
      <c r="H1449" s="54">
        <v>75</v>
      </c>
      <c r="I1449" s="51"/>
      <c r="J1449" s="27"/>
      <c r="K1449" s="27"/>
      <c r="L1449" s="15"/>
      <c r="M1449" s="15"/>
      <c r="N1449" s="4" t="s">
        <v>3941</v>
      </c>
      <c r="O1449" s="4"/>
    </row>
    <row r="1450" spans="1:15" x14ac:dyDescent="0.2">
      <c r="A1450" s="2">
        <v>10018899</v>
      </c>
      <c r="B1450" s="2" t="s">
        <v>355</v>
      </c>
      <c r="C1450" s="5" t="s">
        <v>5948</v>
      </c>
      <c r="D1450" s="21">
        <v>27</v>
      </c>
      <c r="E1450" s="21"/>
      <c r="F1450" s="21" t="s">
        <v>10438</v>
      </c>
      <c r="G1450" s="21"/>
      <c r="H1450" s="54">
        <v>67</v>
      </c>
      <c r="I1450" s="51"/>
      <c r="J1450" s="27"/>
      <c r="K1450" s="27"/>
      <c r="L1450" s="15"/>
      <c r="M1450" s="15"/>
      <c r="N1450" s="4" t="s">
        <v>3941</v>
      </c>
      <c r="O1450" s="4"/>
    </row>
    <row r="1451" spans="1:15" x14ac:dyDescent="0.2">
      <c r="A1451" s="2">
        <v>10013659</v>
      </c>
      <c r="B1451" s="2" t="s">
        <v>5463</v>
      </c>
      <c r="C1451" s="5" t="s">
        <v>5519</v>
      </c>
      <c r="D1451" s="21">
        <v>36</v>
      </c>
      <c r="E1451" s="21">
        <v>36</v>
      </c>
      <c r="F1451" s="30" t="s">
        <v>10438</v>
      </c>
      <c r="G1451" s="21">
        <v>20</v>
      </c>
      <c r="H1451" s="54">
        <v>4104</v>
      </c>
      <c r="I1451" s="51">
        <v>3780</v>
      </c>
      <c r="J1451" s="27">
        <v>13</v>
      </c>
      <c r="K1451" s="27">
        <v>13</v>
      </c>
      <c r="L1451" s="15"/>
      <c r="M1451" s="15">
        <v>79</v>
      </c>
      <c r="N1451" s="4" t="s">
        <v>3934</v>
      </c>
      <c r="O1451" s="4" t="s">
        <v>10456</v>
      </c>
    </row>
    <row r="1452" spans="1:15" x14ac:dyDescent="0.2">
      <c r="A1452" s="2">
        <v>10019277</v>
      </c>
      <c r="B1452" s="2" t="s">
        <v>484</v>
      </c>
      <c r="C1452" s="5" t="s">
        <v>6098</v>
      </c>
      <c r="D1452" s="21">
        <v>14</v>
      </c>
      <c r="E1452" s="21">
        <v>14</v>
      </c>
      <c r="F1452" s="30" t="s">
        <v>10438</v>
      </c>
      <c r="G1452" s="21">
        <v>3</v>
      </c>
      <c r="H1452" s="54">
        <v>5015</v>
      </c>
      <c r="I1452" s="51">
        <v>4615</v>
      </c>
      <c r="J1452" s="27">
        <v>6</v>
      </c>
      <c r="K1452" s="27">
        <v>6</v>
      </c>
      <c r="L1452" s="15">
        <v>9</v>
      </c>
      <c r="M1452" s="15">
        <v>7</v>
      </c>
      <c r="N1452" s="4" t="s">
        <v>3607</v>
      </c>
      <c r="O1452" s="4" t="s">
        <v>10449</v>
      </c>
    </row>
    <row r="1453" spans="1:15" x14ac:dyDescent="0.2">
      <c r="A1453" s="2">
        <v>10018840</v>
      </c>
      <c r="B1453" s="2" t="s">
        <v>3903</v>
      </c>
      <c r="C1453" s="5" t="s">
        <v>5925</v>
      </c>
      <c r="D1453" s="21">
        <v>13</v>
      </c>
      <c r="E1453" s="21"/>
      <c r="F1453" s="21" t="s">
        <v>10438</v>
      </c>
      <c r="G1453" s="21"/>
      <c r="H1453" s="54">
        <v>131</v>
      </c>
      <c r="I1453" s="51"/>
      <c r="J1453" s="27"/>
      <c r="K1453" s="27"/>
      <c r="L1453" s="15"/>
      <c r="M1453" s="15">
        <v>5</v>
      </c>
      <c r="N1453" s="4">
        <v>55</v>
      </c>
      <c r="O1453" s="4"/>
    </row>
    <row r="1454" spans="1:15" x14ac:dyDescent="0.2">
      <c r="A1454" s="2">
        <v>10018683</v>
      </c>
      <c r="B1454" s="2" t="s">
        <v>270</v>
      </c>
      <c r="C1454" s="5" t="s">
        <v>5839</v>
      </c>
      <c r="D1454" s="21">
        <v>42</v>
      </c>
      <c r="E1454" s="21"/>
      <c r="F1454" s="30">
        <v>1</v>
      </c>
      <c r="G1454" s="21"/>
      <c r="H1454" s="54">
        <v>255</v>
      </c>
      <c r="I1454" s="51"/>
      <c r="J1454" s="27"/>
      <c r="K1454" s="27"/>
      <c r="L1454" s="15"/>
      <c r="M1454" s="15"/>
      <c r="N1454" s="4" t="s">
        <v>3941</v>
      </c>
      <c r="O1454" s="4"/>
    </row>
    <row r="1455" spans="1:15" x14ac:dyDescent="0.2">
      <c r="A1455" s="2">
        <v>40006243</v>
      </c>
      <c r="B1455" s="2" t="s">
        <v>1620</v>
      </c>
      <c r="C1455" s="5" t="s">
        <v>7324</v>
      </c>
      <c r="D1455" s="21">
        <v>1</v>
      </c>
      <c r="E1455" s="21"/>
      <c r="F1455" s="21" t="s">
        <v>10438</v>
      </c>
      <c r="G1455" s="21"/>
      <c r="H1455" s="54">
        <v>91</v>
      </c>
      <c r="I1455" s="51"/>
      <c r="J1455" s="27"/>
      <c r="K1455" s="27"/>
      <c r="L1455" s="15"/>
      <c r="M1455" s="15"/>
      <c r="N1455" s="4"/>
      <c r="O1455" s="4">
        <v>75</v>
      </c>
    </row>
    <row r="1456" spans="1:15" x14ac:dyDescent="0.2">
      <c r="A1456" s="2">
        <v>10029917</v>
      </c>
      <c r="B1456" s="2" t="s">
        <v>5425</v>
      </c>
      <c r="C1456" s="5" t="s">
        <v>6339</v>
      </c>
      <c r="D1456" s="21">
        <v>1</v>
      </c>
      <c r="E1456" s="21"/>
      <c r="F1456" s="21" t="s">
        <v>10438</v>
      </c>
      <c r="G1456" s="21"/>
      <c r="H1456" s="54">
        <v>185</v>
      </c>
      <c r="I1456" s="51"/>
      <c r="J1456" s="27"/>
      <c r="K1456" s="27"/>
      <c r="L1456" s="15"/>
      <c r="M1456" s="15"/>
      <c r="N1456" s="4" t="s">
        <v>4408</v>
      </c>
      <c r="O1456" s="4"/>
    </row>
    <row r="1457" spans="1:15" x14ac:dyDescent="0.2">
      <c r="A1457" s="2">
        <v>40005393</v>
      </c>
      <c r="B1457" s="2" t="s">
        <v>870</v>
      </c>
      <c r="C1457" s="5" t="s">
        <v>6592</v>
      </c>
      <c r="D1457" s="21">
        <v>21</v>
      </c>
      <c r="E1457" s="21"/>
      <c r="F1457" s="21" t="s">
        <v>10438</v>
      </c>
      <c r="G1457" s="21"/>
      <c r="H1457" s="54">
        <v>57</v>
      </c>
      <c r="I1457" s="51"/>
      <c r="J1457" s="27"/>
      <c r="K1457" s="27"/>
      <c r="L1457" s="15"/>
      <c r="M1457" s="15"/>
      <c r="N1457" s="4" t="s">
        <v>4096</v>
      </c>
      <c r="O1457" s="4"/>
    </row>
    <row r="1458" spans="1:15" x14ac:dyDescent="0.2">
      <c r="A1458" s="2">
        <v>40006415</v>
      </c>
      <c r="B1458" s="2" t="s">
        <v>1774</v>
      </c>
      <c r="C1458" s="5" t="s">
        <v>7484</v>
      </c>
      <c r="D1458" s="21">
        <v>2</v>
      </c>
      <c r="E1458" s="21"/>
      <c r="F1458" s="21" t="s">
        <v>10438</v>
      </c>
      <c r="G1458" s="21"/>
      <c r="H1458" s="54">
        <v>184</v>
      </c>
      <c r="I1458" s="51"/>
      <c r="J1458" s="27"/>
      <c r="K1458" s="27"/>
      <c r="L1458" s="15"/>
      <c r="M1458" s="15"/>
      <c r="N1458" s="4" t="s">
        <v>4253</v>
      </c>
      <c r="O1458" s="4"/>
    </row>
    <row r="1459" spans="1:15" x14ac:dyDescent="0.2">
      <c r="A1459" s="2">
        <v>40006266</v>
      </c>
      <c r="B1459" s="2" t="s">
        <v>1642</v>
      </c>
      <c r="C1459" s="5" t="s">
        <v>7347</v>
      </c>
      <c r="D1459" s="21"/>
      <c r="E1459" s="21"/>
      <c r="F1459" s="21" t="s">
        <v>10438</v>
      </c>
      <c r="G1459" s="21"/>
      <c r="H1459" s="54">
        <v>214</v>
      </c>
      <c r="I1459" s="51"/>
      <c r="J1459" s="27"/>
      <c r="K1459" s="27"/>
      <c r="L1459" s="15"/>
      <c r="M1459" s="15"/>
      <c r="N1459" s="4" t="s">
        <v>4496</v>
      </c>
      <c r="O1459" s="4"/>
    </row>
    <row r="1460" spans="1:15" x14ac:dyDescent="0.2">
      <c r="A1460" s="2">
        <v>40006387</v>
      </c>
      <c r="B1460" s="2" t="s">
        <v>1747</v>
      </c>
      <c r="C1460" s="5" t="s">
        <v>7458</v>
      </c>
      <c r="D1460" s="21">
        <v>5</v>
      </c>
      <c r="E1460" s="21"/>
      <c r="F1460" s="21" t="s">
        <v>10438</v>
      </c>
      <c r="G1460" s="21"/>
      <c r="H1460" s="54">
        <v>330</v>
      </c>
      <c r="I1460" s="51"/>
      <c r="J1460" s="27"/>
      <c r="K1460" s="27"/>
      <c r="L1460" s="15"/>
      <c r="M1460" s="15"/>
      <c r="N1460" s="4"/>
      <c r="O1460" s="4" t="s">
        <v>10338</v>
      </c>
    </row>
    <row r="1461" spans="1:15" x14ac:dyDescent="0.2">
      <c r="A1461" s="2">
        <v>40006685</v>
      </c>
      <c r="B1461" s="2" t="s">
        <v>2004</v>
      </c>
      <c r="C1461" s="5" t="s">
        <v>7713</v>
      </c>
      <c r="D1461" s="21">
        <v>1</v>
      </c>
      <c r="E1461" s="21"/>
      <c r="F1461" s="21" t="s">
        <v>10438</v>
      </c>
      <c r="G1461" s="21"/>
      <c r="H1461" s="54">
        <v>76</v>
      </c>
      <c r="I1461" s="51"/>
      <c r="J1461" s="27"/>
      <c r="K1461" s="27"/>
      <c r="L1461" s="15"/>
      <c r="M1461" s="15"/>
      <c r="N1461" s="4"/>
      <c r="O1461" s="4" t="s">
        <v>10216</v>
      </c>
    </row>
    <row r="1462" spans="1:15" x14ac:dyDescent="0.2">
      <c r="A1462" s="2">
        <v>40007301</v>
      </c>
      <c r="B1462" s="2" t="s">
        <v>2544</v>
      </c>
      <c r="C1462" s="5" t="s">
        <v>8240</v>
      </c>
      <c r="D1462" s="21">
        <v>6</v>
      </c>
      <c r="E1462" s="21"/>
      <c r="F1462" s="30">
        <v>1</v>
      </c>
      <c r="G1462" s="21"/>
      <c r="H1462" s="54">
        <v>260</v>
      </c>
      <c r="I1462" s="51"/>
      <c r="J1462" s="27"/>
      <c r="K1462" s="27"/>
      <c r="L1462" s="15"/>
      <c r="M1462" s="15"/>
      <c r="N1462" s="4"/>
      <c r="O1462" s="4">
        <v>88</v>
      </c>
    </row>
    <row r="1463" spans="1:15" x14ac:dyDescent="0.2">
      <c r="A1463" s="2">
        <v>40008102</v>
      </c>
      <c r="B1463" s="2" t="s">
        <v>3229</v>
      </c>
      <c r="C1463" s="5" t="s">
        <v>8925</v>
      </c>
      <c r="D1463" s="21">
        <v>6</v>
      </c>
      <c r="E1463" s="21"/>
      <c r="F1463" s="21" t="s">
        <v>10438</v>
      </c>
      <c r="G1463" s="21"/>
      <c r="H1463" s="54">
        <v>148</v>
      </c>
      <c r="I1463" s="51"/>
      <c r="J1463" s="27"/>
      <c r="K1463" s="27"/>
      <c r="L1463" s="15"/>
      <c r="M1463" s="15"/>
      <c r="N1463" s="4"/>
      <c r="O1463" s="4" t="s">
        <v>10099</v>
      </c>
    </row>
    <row r="1464" spans="1:15" x14ac:dyDescent="0.2">
      <c r="A1464" s="2">
        <v>40006912</v>
      </c>
      <c r="B1464" s="2" t="s">
        <v>2207</v>
      </c>
      <c r="C1464" s="5" t="s">
        <v>7916</v>
      </c>
      <c r="D1464" s="21">
        <v>4</v>
      </c>
      <c r="E1464" s="21"/>
      <c r="F1464" s="21" t="s">
        <v>10438</v>
      </c>
      <c r="G1464" s="21"/>
      <c r="H1464" s="54">
        <v>505</v>
      </c>
      <c r="I1464" s="51"/>
      <c r="J1464" s="27"/>
      <c r="K1464" s="27"/>
      <c r="L1464" s="15"/>
      <c r="M1464" s="15"/>
      <c r="N1464" s="4"/>
      <c r="O1464" s="4">
        <v>5</v>
      </c>
    </row>
    <row r="1465" spans="1:15" x14ac:dyDescent="0.2">
      <c r="A1465" s="2">
        <v>40007377</v>
      </c>
      <c r="B1465" s="2" t="s">
        <v>2605</v>
      </c>
      <c r="C1465" s="5" t="s">
        <v>8303</v>
      </c>
      <c r="D1465" s="21">
        <v>11</v>
      </c>
      <c r="E1465" s="21"/>
      <c r="F1465" s="21" t="s">
        <v>10438</v>
      </c>
      <c r="G1465" s="21"/>
      <c r="H1465" s="54">
        <v>431</v>
      </c>
      <c r="I1465" s="51"/>
      <c r="J1465" s="27"/>
      <c r="K1465" s="27"/>
      <c r="L1465" s="15"/>
      <c r="M1465" s="15"/>
      <c r="N1465" s="4" t="s">
        <v>4933</v>
      </c>
      <c r="O1465" s="4">
        <v>88</v>
      </c>
    </row>
    <row r="1466" spans="1:15" x14ac:dyDescent="0.2">
      <c r="A1466" s="2">
        <v>40007078</v>
      </c>
      <c r="B1466" s="2" t="s">
        <v>2352</v>
      </c>
      <c r="C1466" s="5" t="s">
        <v>8059</v>
      </c>
      <c r="D1466" s="21">
        <v>8</v>
      </c>
      <c r="E1466" s="21"/>
      <c r="F1466" s="21" t="s">
        <v>10438</v>
      </c>
      <c r="G1466" s="21"/>
      <c r="H1466" s="54">
        <v>311</v>
      </c>
      <c r="I1466" s="51"/>
      <c r="J1466" s="27"/>
      <c r="K1466" s="27"/>
      <c r="L1466" s="15"/>
      <c r="M1466" s="15"/>
      <c r="N1466" s="4"/>
      <c r="O1466" s="4" t="s">
        <v>4598</v>
      </c>
    </row>
    <row r="1467" spans="1:15" x14ac:dyDescent="0.2">
      <c r="A1467" s="2">
        <v>40007394</v>
      </c>
      <c r="B1467" s="2" t="s">
        <v>2621</v>
      </c>
      <c r="C1467" s="5" t="s">
        <v>8319</v>
      </c>
      <c r="D1467" s="21">
        <v>18</v>
      </c>
      <c r="E1467" s="21"/>
      <c r="F1467" s="21" t="s">
        <v>10438</v>
      </c>
      <c r="G1467" s="21"/>
      <c r="H1467" s="54">
        <v>321</v>
      </c>
      <c r="I1467" s="51"/>
      <c r="J1467" s="27"/>
      <c r="K1467" s="27"/>
      <c r="L1467" s="15"/>
      <c r="M1467" s="15"/>
      <c r="N1467" s="4"/>
      <c r="O1467" s="4">
        <v>21</v>
      </c>
    </row>
    <row r="1468" spans="1:15" x14ac:dyDescent="0.2">
      <c r="A1468" s="2">
        <v>40007576</v>
      </c>
      <c r="B1468" s="2" t="s">
        <v>2771</v>
      </c>
      <c r="C1468" s="5" t="s">
        <v>8471</v>
      </c>
      <c r="D1468" s="21">
        <v>3</v>
      </c>
      <c r="E1468" s="21"/>
      <c r="F1468" s="21" t="s">
        <v>10438</v>
      </c>
      <c r="G1468" s="21"/>
      <c r="H1468" s="54">
        <v>24</v>
      </c>
      <c r="I1468" s="51"/>
      <c r="J1468" s="27"/>
      <c r="K1468" s="27"/>
      <c r="L1468" s="15"/>
      <c r="M1468" s="15"/>
      <c r="N1468" s="4" t="s">
        <v>3936</v>
      </c>
      <c r="O1468" s="4"/>
    </row>
    <row r="1469" spans="1:15" x14ac:dyDescent="0.2">
      <c r="A1469" s="2">
        <v>40007512</v>
      </c>
      <c r="B1469" s="2" t="s">
        <v>2718</v>
      </c>
      <c r="C1469" s="5" t="s">
        <v>8421</v>
      </c>
      <c r="D1469" s="21">
        <v>2</v>
      </c>
      <c r="E1469" s="21"/>
      <c r="F1469" s="21" t="s">
        <v>10438</v>
      </c>
      <c r="G1469" s="21"/>
      <c r="H1469" s="54">
        <v>20</v>
      </c>
      <c r="I1469" s="51"/>
      <c r="J1469" s="27"/>
      <c r="K1469" s="27"/>
      <c r="L1469" s="15"/>
      <c r="M1469" s="15"/>
      <c r="N1469" s="4" t="s">
        <v>3984</v>
      </c>
      <c r="O1469" s="4"/>
    </row>
    <row r="1470" spans="1:15" x14ac:dyDescent="0.2">
      <c r="A1470" s="2">
        <v>40006213</v>
      </c>
      <c r="B1470" s="2" t="s">
        <v>1596</v>
      </c>
      <c r="C1470" s="5" t="s">
        <v>7303</v>
      </c>
      <c r="D1470" s="21">
        <v>1</v>
      </c>
      <c r="E1470" s="21"/>
      <c r="F1470" s="21" t="s">
        <v>10438</v>
      </c>
      <c r="G1470" s="21"/>
      <c r="H1470" s="54">
        <v>571</v>
      </c>
      <c r="I1470" s="51"/>
      <c r="J1470" s="27"/>
      <c r="K1470" s="27"/>
      <c r="L1470" s="15"/>
      <c r="M1470" s="15"/>
      <c r="N1470" s="4"/>
      <c r="O1470" s="4">
        <v>75</v>
      </c>
    </row>
    <row r="1471" spans="1:15" x14ac:dyDescent="0.2">
      <c r="A1471" s="2">
        <v>40007391</v>
      </c>
      <c r="B1471" s="2" t="s">
        <v>2618</v>
      </c>
      <c r="C1471" s="5" t="s">
        <v>8316</v>
      </c>
      <c r="D1471" s="21">
        <v>18</v>
      </c>
      <c r="E1471" s="21"/>
      <c r="F1471" s="21" t="s">
        <v>10438</v>
      </c>
      <c r="G1471" s="21"/>
      <c r="H1471" s="54">
        <v>92</v>
      </c>
      <c r="I1471" s="51"/>
      <c r="J1471" s="27"/>
      <c r="K1471" s="27"/>
      <c r="L1471" s="15"/>
      <c r="M1471" s="15"/>
      <c r="N1471" s="4" t="s">
        <v>4939</v>
      </c>
      <c r="O1471" s="4"/>
    </row>
    <row r="1472" spans="1:15" x14ac:dyDescent="0.2">
      <c r="A1472" s="2">
        <v>40005249</v>
      </c>
      <c r="B1472" s="2" t="s">
        <v>769</v>
      </c>
      <c r="C1472" s="5" t="s">
        <v>6484</v>
      </c>
      <c r="D1472" s="21">
        <v>2</v>
      </c>
      <c r="E1472" s="21"/>
      <c r="F1472" s="21" t="s">
        <v>10438</v>
      </c>
      <c r="G1472" s="21"/>
      <c r="H1472" s="54">
        <v>203</v>
      </c>
      <c r="I1472" s="51"/>
      <c r="J1472" s="27"/>
      <c r="K1472" s="27"/>
      <c r="L1472" s="15"/>
      <c r="M1472" s="15"/>
      <c r="N1472" s="4" t="s">
        <v>4016</v>
      </c>
      <c r="O1472" s="4"/>
    </row>
    <row r="1473" spans="1:15" x14ac:dyDescent="0.2">
      <c r="A1473" s="2">
        <v>40007513</v>
      </c>
      <c r="B1473" s="2" t="s">
        <v>2719</v>
      </c>
      <c r="C1473" s="5" t="s">
        <v>8422</v>
      </c>
      <c r="D1473" s="21">
        <v>20</v>
      </c>
      <c r="E1473" s="21"/>
      <c r="F1473" s="21" t="s">
        <v>10438</v>
      </c>
      <c r="G1473" s="21"/>
      <c r="H1473" s="54">
        <v>152</v>
      </c>
      <c r="I1473" s="51"/>
      <c r="J1473" s="27"/>
      <c r="K1473" s="27"/>
      <c r="L1473" s="15"/>
      <c r="M1473" s="15"/>
      <c r="N1473" s="4" t="s">
        <v>4819</v>
      </c>
      <c r="O1473" s="4"/>
    </row>
    <row r="1474" spans="1:15" x14ac:dyDescent="0.2">
      <c r="A1474" s="2">
        <v>40007948</v>
      </c>
      <c r="B1474" s="2" t="s">
        <v>3685</v>
      </c>
      <c r="C1474" s="5" t="s">
        <v>8793</v>
      </c>
      <c r="D1474" s="21">
        <v>7</v>
      </c>
      <c r="E1474" s="21"/>
      <c r="F1474" s="21" t="s">
        <v>10438</v>
      </c>
      <c r="G1474" s="21"/>
      <c r="H1474" s="54">
        <v>90</v>
      </c>
      <c r="I1474" s="51"/>
      <c r="J1474" s="27"/>
      <c r="K1474" s="27"/>
      <c r="L1474" s="15"/>
      <c r="M1474" s="15"/>
      <c r="N1474" s="4" t="s">
        <v>10471</v>
      </c>
      <c r="O1474" s="4"/>
    </row>
    <row r="1475" spans="1:15" x14ac:dyDescent="0.2">
      <c r="A1475" s="2">
        <v>10019550</v>
      </c>
      <c r="B1475" s="2" t="s">
        <v>540</v>
      </c>
      <c r="C1475" s="5" t="s">
        <v>6163</v>
      </c>
      <c r="D1475" s="21">
        <v>1</v>
      </c>
      <c r="E1475" s="21"/>
      <c r="F1475" s="21" t="s">
        <v>10438</v>
      </c>
      <c r="G1475" s="21"/>
      <c r="H1475" s="54">
        <v>453</v>
      </c>
      <c r="I1475" s="51"/>
      <c r="J1475" s="27"/>
      <c r="K1475" s="27"/>
      <c r="L1475" s="15"/>
      <c r="M1475" s="15"/>
      <c r="N1475" s="4"/>
      <c r="O1475" s="4"/>
    </row>
    <row r="1476" spans="1:15" x14ac:dyDescent="0.2">
      <c r="A1476" s="2">
        <v>40005632</v>
      </c>
      <c r="B1476" s="2" t="s">
        <v>1075</v>
      </c>
      <c r="C1476" s="5">
        <v>3640870</v>
      </c>
      <c r="D1476" s="21">
        <v>9</v>
      </c>
      <c r="E1476" s="21"/>
      <c r="F1476" s="21" t="s">
        <v>10438</v>
      </c>
      <c r="G1476" s="21"/>
      <c r="H1476" s="54">
        <v>28</v>
      </c>
      <c r="I1476" s="51"/>
      <c r="J1476" s="27"/>
      <c r="K1476" s="27"/>
      <c r="L1476" s="15"/>
      <c r="M1476" s="15"/>
      <c r="N1476" s="4"/>
      <c r="O1476" s="4" t="s">
        <v>10215</v>
      </c>
    </row>
    <row r="1477" spans="1:15" x14ac:dyDescent="0.2">
      <c r="A1477" s="2">
        <v>40005636</v>
      </c>
      <c r="B1477" s="2" t="s">
        <v>1078</v>
      </c>
      <c r="C1477" s="5">
        <v>3640880</v>
      </c>
      <c r="D1477" s="21">
        <v>8</v>
      </c>
      <c r="E1477" s="21"/>
      <c r="F1477" s="21" t="s">
        <v>10438</v>
      </c>
      <c r="G1477" s="21"/>
      <c r="H1477" s="54">
        <v>25</v>
      </c>
      <c r="I1477" s="51"/>
      <c r="J1477" s="27"/>
      <c r="K1477" s="27"/>
      <c r="L1477" s="15"/>
      <c r="M1477" s="15"/>
      <c r="N1477" s="4"/>
      <c r="O1477" s="4" t="s">
        <v>10212</v>
      </c>
    </row>
    <row r="1478" spans="1:15" x14ac:dyDescent="0.2">
      <c r="A1478" s="2">
        <v>40007567</v>
      </c>
      <c r="B1478" s="2" t="s">
        <v>2763</v>
      </c>
      <c r="C1478" s="5" t="s">
        <v>8464</v>
      </c>
      <c r="D1478" s="21">
        <v>17</v>
      </c>
      <c r="E1478" s="21"/>
      <c r="F1478" s="21" t="s">
        <v>10438</v>
      </c>
      <c r="G1478" s="21"/>
      <c r="H1478" s="54">
        <v>248</v>
      </c>
      <c r="I1478" s="51"/>
      <c r="J1478" s="27"/>
      <c r="K1478" s="27"/>
      <c r="L1478" s="15"/>
      <c r="M1478" s="15"/>
      <c r="N1478" s="4"/>
      <c r="O1478" s="4">
        <v>41</v>
      </c>
    </row>
    <row r="1479" spans="1:15" x14ac:dyDescent="0.2">
      <c r="A1479" s="2">
        <v>10039114</v>
      </c>
      <c r="B1479" s="2" t="s">
        <v>3845</v>
      </c>
      <c r="C1479" s="5" t="s">
        <v>6374</v>
      </c>
      <c r="D1479" s="21">
        <v>8</v>
      </c>
      <c r="E1479" s="21"/>
      <c r="F1479" s="21" t="s">
        <v>10438</v>
      </c>
      <c r="G1479" s="21"/>
      <c r="H1479" s="54">
        <v>16</v>
      </c>
      <c r="I1479" s="51"/>
      <c r="J1479" s="27"/>
      <c r="K1479" s="27"/>
      <c r="L1479" s="15"/>
      <c r="M1479" s="15"/>
      <c r="N1479" s="4">
        <v>108</v>
      </c>
      <c r="O1479" s="4"/>
    </row>
    <row r="1480" spans="1:15" x14ac:dyDescent="0.2">
      <c r="A1480" s="2">
        <v>40005248</v>
      </c>
      <c r="B1480" s="2" t="s">
        <v>768</v>
      </c>
      <c r="C1480" s="5" t="s">
        <v>6483</v>
      </c>
      <c r="D1480" s="21">
        <v>9</v>
      </c>
      <c r="E1480" s="21"/>
      <c r="F1480" s="21" t="s">
        <v>10438</v>
      </c>
      <c r="G1480" s="21"/>
      <c r="H1480" s="54">
        <v>105</v>
      </c>
      <c r="I1480" s="51"/>
      <c r="J1480" s="27"/>
      <c r="K1480" s="27"/>
      <c r="L1480" s="15"/>
      <c r="M1480" s="15"/>
      <c r="N1480" s="4"/>
      <c r="O1480" s="4">
        <v>74</v>
      </c>
    </row>
    <row r="1481" spans="1:15" x14ac:dyDescent="0.2">
      <c r="A1481" s="2">
        <v>10041633</v>
      </c>
      <c r="B1481" s="2" t="s">
        <v>5437</v>
      </c>
      <c r="C1481" s="5" t="s">
        <v>6406</v>
      </c>
      <c r="D1481" s="21">
        <v>4</v>
      </c>
      <c r="E1481" s="21"/>
      <c r="F1481" s="21" t="s">
        <v>10438</v>
      </c>
      <c r="G1481" s="21"/>
      <c r="H1481" s="54">
        <v>30</v>
      </c>
      <c r="I1481" s="51"/>
      <c r="J1481" s="27"/>
      <c r="K1481" s="27"/>
      <c r="L1481" s="15"/>
      <c r="M1481" s="15"/>
      <c r="N1481" s="4" t="s">
        <v>4120</v>
      </c>
      <c r="O1481" s="4"/>
    </row>
    <row r="1482" spans="1:15" x14ac:dyDescent="0.2">
      <c r="A1482" s="2">
        <v>40006569</v>
      </c>
      <c r="B1482" s="2" t="s">
        <v>1906</v>
      </c>
      <c r="C1482" s="5" t="s">
        <v>7614</v>
      </c>
      <c r="D1482" s="21">
        <v>1</v>
      </c>
      <c r="E1482" s="21"/>
      <c r="F1482" s="21" t="s">
        <v>10438</v>
      </c>
      <c r="G1482" s="21"/>
      <c r="H1482" s="54">
        <v>14</v>
      </c>
      <c r="I1482" s="51"/>
      <c r="J1482" s="27"/>
      <c r="K1482" s="27"/>
      <c r="L1482" s="15"/>
      <c r="M1482" s="15"/>
      <c r="N1482" s="4"/>
      <c r="O1482" s="4" t="s">
        <v>10216</v>
      </c>
    </row>
    <row r="1483" spans="1:15" x14ac:dyDescent="0.2">
      <c r="A1483" s="2">
        <v>40005851</v>
      </c>
      <c r="B1483" s="2" t="s">
        <v>1267</v>
      </c>
      <c r="C1483" s="5" t="s">
        <v>6979</v>
      </c>
      <c r="D1483" s="21">
        <v>4</v>
      </c>
      <c r="E1483" s="21"/>
      <c r="F1483" s="21" t="s">
        <v>10438</v>
      </c>
      <c r="G1483" s="21"/>
      <c r="H1483" s="54">
        <v>2069</v>
      </c>
      <c r="I1483" s="51"/>
      <c r="J1483" s="27"/>
      <c r="K1483" s="27"/>
      <c r="L1483" s="15"/>
      <c r="M1483" s="15"/>
      <c r="N1483" s="4">
        <v>109</v>
      </c>
      <c r="O1483" s="4" t="s">
        <v>10451</v>
      </c>
    </row>
    <row r="1484" spans="1:15" x14ac:dyDescent="0.2">
      <c r="A1484" s="2">
        <v>40006159</v>
      </c>
      <c r="B1484" s="2" t="s">
        <v>1546</v>
      </c>
      <c r="C1484" s="5" t="s">
        <v>7252</v>
      </c>
      <c r="D1484" s="21">
        <v>3</v>
      </c>
      <c r="E1484" s="21"/>
      <c r="F1484" s="21" t="s">
        <v>10438</v>
      </c>
      <c r="G1484" s="21"/>
      <c r="H1484" s="54">
        <v>4113</v>
      </c>
      <c r="I1484" s="51"/>
      <c r="J1484" s="27"/>
      <c r="K1484" s="27"/>
      <c r="L1484" s="15"/>
      <c r="M1484" s="15"/>
      <c r="N1484" s="4"/>
      <c r="O1484" s="4" t="s">
        <v>5091</v>
      </c>
    </row>
    <row r="1485" spans="1:15" x14ac:dyDescent="0.2">
      <c r="A1485" s="2">
        <v>40005724</v>
      </c>
      <c r="B1485" s="2" t="s">
        <v>1152</v>
      </c>
      <c r="C1485" s="5" t="s">
        <v>6870</v>
      </c>
      <c r="D1485" s="21">
        <v>1</v>
      </c>
      <c r="E1485" s="21"/>
      <c r="F1485" s="21" t="s">
        <v>10438</v>
      </c>
      <c r="G1485" s="21"/>
      <c r="H1485" s="54">
        <v>35</v>
      </c>
      <c r="I1485" s="51"/>
      <c r="J1485" s="27"/>
      <c r="K1485" s="27"/>
      <c r="L1485" s="15"/>
      <c r="M1485" s="15"/>
      <c r="N1485" s="4" t="s">
        <v>4236</v>
      </c>
      <c r="O1485" s="4"/>
    </row>
    <row r="1486" spans="1:15" x14ac:dyDescent="0.2">
      <c r="A1486" s="2">
        <v>40005683</v>
      </c>
      <c r="B1486" s="2" t="s">
        <v>1117</v>
      </c>
      <c r="C1486" s="5" t="s">
        <v>6835</v>
      </c>
      <c r="D1486" s="21">
        <v>17</v>
      </c>
      <c r="E1486" s="21"/>
      <c r="F1486" s="21" t="s">
        <v>10438</v>
      </c>
      <c r="G1486" s="21"/>
      <c r="H1486" s="54">
        <v>13</v>
      </c>
      <c r="I1486" s="51"/>
      <c r="J1486" s="27"/>
      <c r="K1486" s="27"/>
      <c r="L1486" s="15"/>
      <c r="M1486" s="15"/>
      <c r="N1486" s="4" t="s">
        <v>4214</v>
      </c>
      <c r="O1486" s="4"/>
    </row>
    <row r="1487" spans="1:15" x14ac:dyDescent="0.2">
      <c r="A1487" s="2">
        <v>40005491</v>
      </c>
      <c r="B1487" s="2" t="s">
        <v>960</v>
      </c>
      <c r="C1487" s="5" t="s">
        <v>6682</v>
      </c>
      <c r="D1487" s="21">
        <v>12</v>
      </c>
      <c r="E1487" s="21"/>
      <c r="F1487" s="21" t="s">
        <v>10438</v>
      </c>
      <c r="G1487" s="21"/>
      <c r="H1487" s="54">
        <v>20</v>
      </c>
      <c r="I1487" s="51"/>
      <c r="J1487" s="27"/>
      <c r="K1487" s="27"/>
      <c r="L1487" s="15"/>
      <c r="M1487" s="15"/>
      <c r="N1487" s="4"/>
      <c r="O1487" s="4" t="s">
        <v>10216</v>
      </c>
    </row>
    <row r="1488" spans="1:15" x14ac:dyDescent="0.2">
      <c r="A1488" s="2">
        <v>40005494</v>
      </c>
      <c r="B1488" s="2" t="s">
        <v>963</v>
      </c>
      <c r="C1488" s="5" t="s">
        <v>6685</v>
      </c>
      <c r="D1488" s="21">
        <v>1</v>
      </c>
      <c r="E1488" s="21"/>
      <c r="F1488" s="21" t="s">
        <v>10438</v>
      </c>
      <c r="G1488" s="21"/>
      <c r="H1488" s="54">
        <v>20</v>
      </c>
      <c r="I1488" s="51"/>
      <c r="J1488" s="27"/>
      <c r="K1488" s="27"/>
      <c r="L1488" s="15"/>
      <c r="M1488" s="15"/>
      <c r="N1488" s="4" t="s">
        <v>4135</v>
      </c>
      <c r="O1488" s="4"/>
    </row>
    <row r="1489" spans="1:15" x14ac:dyDescent="0.2">
      <c r="A1489" s="2">
        <v>40010317</v>
      </c>
      <c r="B1489" s="2" t="s">
        <v>3502</v>
      </c>
      <c r="C1489" s="5" t="s">
        <v>9197</v>
      </c>
      <c r="D1489" s="21">
        <v>10</v>
      </c>
      <c r="E1489" s="21"/>
      <c r="F1489" s="21" t="s">
        <v>10438</v>
      </c>
      <c r="G1489" s="21"/>
      <c r="H1489" s="54">
        <v>25</v>
      </c>
      <c r="I1489" s="51"/>
      <c r="J1489" s="27"/>
      <c r="K1489" s="27"/>
      <c r="L1489" s="15"/>
      <c r="M1489" s="15"/>
      <c r="N1489" s="4" t="s">
        <v>5251</v>
      </c>
      <c r="O1489" s="4"/>
    </row>
    <row r="1490" spans="1:15" x14ac:dyDescent="0.2">
      <c r="A1490" s="2">
        <v>10019452</v>
      </c>
      <c r="B1490" s="2" t="s">
        <v>519</v>
      </c>
      <c r="C1490" s="5" t="s">
        <v>6139</v>
      </c>
      <c r="D1490" s="21">
        <v>3</v>
      </c>
      <c r="E1490" s="21"/>
      <c r="F1490" s="21" t="s">
        <v>10438</v>
      </c>
      <c r="G1490" s="21"/>
      <c r="H1490" s="54">
        <v>1267</v>
      </c>
      <c r="I1490" s="51"/>
      <c r="J1490" s="27"/>
      <c r="K1490" s="27"/>
      <c r="L1490" s="15"/>
      <c r="M1490" s="15"/>
      <c r="N1490" s="4"/>
      <c r="O1490" s="4" t="s">
        <v>10451</v>
      </c>
    </row>
    <row r="1491" spans="1:15" x14ac:dyDescent="0.2">
      <c r="A1491" s="2">
        <v>40005270</v>
      </c>
      <c r="B1491" s="2" t="s">
        <v>3910</v>
      </c>
      <c r="C1491" s="5" t="s">
        <v>6496</v>
      </c>
      <c r="D1491" s="21"/>
      <c r="E1491" s="21"/>
      <c r="F1491" s="21" t="s">
        <v>10438</v>
      </c>
      <c r="G1491" s="21"/>
      <c r="H1491" s="54">
        <v>36</v>
      </c>
      <c r="I1491" s="51"/>
      <c r="J1491" s="27"/>
      <c r="K1491" s="27"/>
      <c r="L1491" s="15"/>
      <c r="M1491" s="15"/>
      <c r="N1491" s="4" t="s">
        <v>4852</v>
      </c>
      <c r="O1491" s="4"/>
    </row>
    <row r="1492" spans="1:15" x14ac:dyDescent="0.2">
      <c r="A1492" s="2">
        <v>40006943</v>
      </c>
      <c r="B1492" s="2" t="s">
        <v>2234</v>
      </c>
      <c r="C1492" s="5" t="s">
        <v>7941</v>
      </c>
      <c r="D1492" s="21">
        <v>5</v>
      </c>
      <c r="E1492" s="21"/>
      <c r="F1492" s="21" t="s">
        <v>10438</v>
      </c>
      <c r="G1492" s="21"/>
      <c r="H1492" s="54">
        <v>7</v>
      </c>
      <c r="I1492" s="51"/>
      <c r="J1492" s="27"/>
      <c r="K1492" s="27"/>
      <c r="L1492" s="15"/>
      <c r="M1492" s="15"/>
      <c r="N1492" s="4" t="s">
        <v>4755</v>
      </c>
      <c r="O1492" s="4"/>
    </row>
    <row r="1493" spans="1:15" x14ac:dyDescent="0.2">
      <c r="A1493" s="2">
        <v>40006806</v>
      </c>
      <c r="B1493" s="2" t="s">
        <v>2105</v>
      </c>
      <c r="C1493" s="5" t="s">
        <v>7814</v>
      </c>
      <c r="D1493" s="21">
        <v>4</v>
      </c>
      <c r="E1493" s="21"/>
      <c r="F1493" s="21" t="s">
        <v>10438</v>
      </c>
      <c r="G1493" s="21"/>
      <c r="H1493" s="54">
        <v>14</v>
      </c>
      <c r="I1493" s="51"/>
      <c r="J1493" s="27"/>
      <c r="K1493" s="27"/>
      <c r="L1493" s="15"/>
      <c r="M1493" s="15"/>
      <c r="N1493" s="4" t="s">
        <v>4347</v>
      </c>
      <c r="O1493" s="4"/>
    </row>
    <row r="1494" spans="1:15" x14ac:dyDescent="0.2">
      <c r="A1494" s="2">
        <v>10019121</v>
      </c>
      <c r="B1494" s="2" t="s">
        <v>3622</v>
      </c>
      <c r="C1494" s="5" t="s">
        <v>6036</v>
      </c>
      <c r="D1494" s="21">
        <v>10</v>
      </c>
      <c r="E1494" s="21"/>
      <c r="F1494" s="21" t="s">
        <v>10438</v>
      </c>
      <c r="G1494" s="21"/>
      <c r="H1494" s="54">
        <v>5475</v>
      </c>
      <c r="I1494" s="51">
        <v>5040</v>
      </c>
      <c r="J1494" s="27">
        <v>25</v>
      </c>
      <c r="K1494" s="27"/>
      <c r="L1494" s="15">
        <v>30</v>
      </c>
      <c r="M1494" s="15"/>
      <c r="N1494" s="4" t="s">
        <v>10713</v>
      </c>
      <c r="O1494" s="4" t="s">
        <v>10462</v>
      </c>
    </row>
    <row r="1495" spans="1:15" x14ac:dyDescent="0.2">
      <c r="A1495" s="2">
        <v>10019145</v>
      </c>
      <c r="B1495" s="2" t="s">
        <v>443</v>
      </c>
      <c r="C1495" s="5" t="s">
        <v>6048</v>
      </c>
      <c r="D1495" s="21">
        <v>10</v>
      </c>
      <c r="E1495" s="21"/>
      <c r="F1495" s="21" t="s">
        <v>10438</v>
      </c>
      <c r="G1495" s="21"/>
      <c r="H1495" s="54">
        <v>5365</v>
      </c>
      <c r="I1495" s="51">
        <v>4940</v>
      </c>
      <c r="J1495" s="27">
        <v>17</v>
      </c>
      <c r="K1495" s="27"/>
      <c r="L1495" s="15"/>
      <c r="M1495" s="15"/>
      <c r="N1495" s="4" t="s">
        <v>3607</v>
      </c>
      <c r="O1495" s="4" t="s">
        <v>10455</v>
      </c>
    </row>
    <row r="1496" spans="1:15" x14ac:dyDescent="0.2">
      <c r="A1496" s="2">
        <v>40006030</v>
      </c>
      <c r="B1496" s="2" t="s">
        <v>1431</v>
      </c>
      <c r="C1496" s="5" t="s">
        <v>7133</v>
      </c>
      <c r="D1496" s="21">
        <v>7</v>
      </c>
      <c r="E1496" s="21"/>
      <c r="F1496" s="21" t="s">
        <v>10438</v>
      </c>
      <c r="G1496" s="21"/>
      <c r="H1496" s="54">
        <v>153</v>
      </c>
      <c r="I1496" s="51"/>
      <c r="J1496" s="27"/>
      <c r="K1496" s="27"/>
      <c r="L1496" s="15"/>
      <c r="M1496" s="15"/>
      <c r="N1496" s="4" t="s">
        <v>4375</v>
      </c>
      <c r="O1496" s="4"/>
    </row>
    <row r="1497" spans="1:15" x14ac:dyDescent="0.2">
      <c r="A1497" s="2">
        <v>40006268</v>
      </c>
      <c r="B1497" s="2" t="s">
        <v>3836</v>
      </c>
      <c r="C1497" s="5" t="s">
        <v>7349</v>
      </c>
      <c r="D1497" s="21"/>
      <c r="E1497" s="21"/>
      <c r="F1497" s="21" t="s">
        <v>10438</v>
      </c>
      <c r="G1497" s="21"/>
      <c r="H1497" s="54">
        <v>46</v>
      </c>
      <c r="I1497" s="51"/>
      <c r="J1497" s="27"/>
      <c r="K1497" s="27"/>
      <c r="L1497" s="15"/>
      <c r="M1497" s="15"/>
      <c r="N1497" s="4" t="s">
        <v>4498</v>
      </c>
      <c r="O1497" s="4"/>
    </row>
    <row r="1498" spans="1:15" x14ac:dyDescent="0.2">
      <c r="A1498" s="2">
        <v>40007066</v>
      </c>
      <c r="B1498" s="2" t="s">
        <v>2341</v>
      </c>
      <c r="C1498" s="5" t="s">
        <v>8050</v>
      </c>
      <c r="D1498" s="21">
        <v>2</v>
      </c>
      <c r="E1498" s="21"/>
      <c r="F1498" s="21" t="s">
        <v>10438</v>
      </c>
      <c r="G1498" s="21"/>
      <c r="H1498" s="54">
        <v>46</v>
      </c>
      <c r="I1498" s="51"/>
      <c r="J1498" s="27"/>
      <c r="K1498" s="27"/>
      <c r="L1498" s="15"/>
      <c r="M1498" s="15"/>
      <c r="N1498" s="4" t="s">
        <v>4344</v>
      </c>
      <c r="O1498" s="4"/>
    </row>
    <row r="1499" spans="1:15" x14ac:dyDescent="0.2">
      <c r="A1499" s="2">
        <v>40005676</v>
      </c>
      <c r="B1499" s="2" t="s">
        <v>1112</v>
      </c>
      <c r="C1499" s="5" t="s">
        <v>6830</v>
      </c>
      <c r="D1499" s="21">
        <v>3</v>
      </c>
      <c r="E1499" s="21"/>
      <c r="F1499" s="21" t="s">
        <v>10438</v>
      </c>
      <c r="G1499" s="21"/>
      <c r="H1499" s="54">
        <v>114</v>
      </c>
      <c r="I1499" s="51"/>
      <c r="J1499" s="27"/>
      <c r="K1499" s="27"/>
      <c r="L1499" s="15"/>
      <c r="M1499" s="15"/>
      <c r="N1499" s="4"/>
      <c r="O1499" s="4">
        <v>78</v>
      </c>
    </row>
    <row r="1500" spans="1:15" x14ac:dyDescent="0.2">
      <c r="A1500" s="2">
        <v>40007238</v>
      </c>
      <c r="B1500" s="2" t="s">
        <v>2494</v>
      </c>
      <c r="C1500" s="5">
        <v>980008607</v>
      </c>
      <c r="D1500" s="21">
        <v>43</v>
      </c>
      <c r="E1500" s="21"/>
      <c r="F1500" s="21" t="s">
        <v>10438</v>
      </c>
      <c r="G1500" s="21"/>
      <c r="H1500" s="54">
        <v>124</v>
      </c>
      <c r="I1500" s="51"/>
      <c r="J1500" s="27"/>
      <c r="K1500" s="27"/>
      <c r="L1500" s="15">
        <v>12</v>
      </c>
      <c r="M1500" s="15"/>
      <c r="N1500" s="4">
        <v>73</v>
      </c>
      <c r="O1500" s="4"/>
    </row>
    <row r="1501" spans="1:15" x14ac:dyDescent="0.2">
      <c r="A1501" s="2">
        <v>10019532</v>
      </c>
      <c r="B1501" s="2" t="s">
        <v>538</v>
      </c>
      <c r="C1501" s="5">
        <v>980508620</v>
      </c>
      <c r="D1501" s="21">
        <v>29</v>
      </c>
      <c r="E1501" s="21"/>
      <c r="F1501" s="21" t="s">
        <v>10438</v>
      </c>
      <c r="G1501" s="21"/>
      <c r="H1501" s="54">
        <v>51</v>
      </c>
      <c r="I1501" s="51"/>
      <c r="J1501" s="27"/>
      <c r="K1501" s="27"/>
      <c r="L1501" s="15"/>
      <c r="M1501" s="15"/>
      <c r="N1501" s="4">
        <v>73</v>
      </c>
      <c r="O1501" s="4">
        <v>106</v>
      </c>
    </row>
    <row r="1502" spans="1:15" x14ac:dyDescent="0.2">
      <c r="A1502" s="2">
        <v>40007998</v>
      </c>
      <c r="B1502" s="2" t="s">
        <v>3138</v>
      </c>
      <c r="C1502" s="5">
        <v>3320130</v>
      </c>
      <c r="D1502" s="21">
        <v>3</v>
      </c>
      <c r="E1502" s="21"/>
      <c r="F1502" s="21" t="s">
        <v>10438</v>
      </c>
      <c r="G1502" s="21"/>
      <c r="H1502" s="54">
        <v>70</v>
      </c>
      <c r="I1502" s="51"/>
      <c r="J1502" s="27"/>
      <c r="K1502" s="27"/>
      <c r="L1502" s="15"/>
      <c r="M1502" s="15"/>
      <c r="N1502" s="4" t="s">
        <v>4498</v>
      </c>
      <c r="O1502" s="4"/>
    </row>
    <row r="1503" spans="1:15" x14ac:dyDescent="0.2">
      <c r="A1503" s="2">
        <v>40005837</v>
      </c>
      <c r="B1503" s="2" t="s">
        <v>1256</v>
      </c>
      <c r="C1503" s="5" t="s">
        <v>6968</v>
      </c>
      <c r="D1503" s="21">
        <v>14</v>
      </c>
      <c r="E1503" s="21"/>
      <c r="F1503" s="21" t="s">
        <v>10438</v>
      </c>
      <c r="G1503" s="21"/>
      <c r="H1503" s="54">
        <v>439</v>
      </c>
      <c r="I1503" s="51"/>
      <c r="J1503" s="27"/>
      <c r="K1503" s="27"/>
      <c r="L1503" s="15"/>
      <c r="M1503" s="15"/>
      <c r="N1503" s="4" t="s">
        <v>4286</v>
      </c>
      <c r="O1503" s="4">
        <v>43</v>
      </c>
    </row>
    <row r="1504" spans="1:15" x14ac:dyDescent="0.2">
      <c r="A1504" s="2">
        <v>40007535</v>
      </c>
      <c r="B1504" s="2" t="s">
        <v>2736</v>
      </c>
      <c r="C1504" s="5" t="s">
        <v>8439</v>
      </c>
      <c r="D1504" s="21">
        <v>2</v>
      </c>
      <c r="E1504" s="21"/>
      <c r="F1504" s="21" t="s">
        <v>10438</v>
      </c>
      <c r="G1504" s="21"/>
      <c r="H1504" s="54">
        <v>7</v>
      </c>
      <c r="I1504" s="51"/>
      <c r="J1504" s="27"/>
      <c r="K1504" s="27"/>
      <c r="L1504" s="15"/>
      <c r="M1504" s="15"/>
      <c r="N1504" s="4" t="s">
        <v>4195</v>
      </c>
      <c r="O1504" s="4"/>
    </row>
    <row r="1505" spans="1:15" x14ac:dyDescent="0.2">
      <c r="A1505" s="2">
        <v>40007892</v>
      </c>
      <c r="B1505" s="2" t="s">
        <v>3047</v>
      </c>
      <c r="C1505" s="5" t="s">
        <v>8739</v>
      </c>
      <c r="D1505" s="21"/>
      <c r="E1505" s="21"/>
      <c r="F1505" s="21" t="s">
        <v>10438</v>
      </c>
      <c r="G1505" s="21"/>
      <c r="H1505" s="54">
        <v>4</v>
      </c>
      <c r="I1505" s="51"/>
      <c r="J1505" s="27"/>
      <c r="K1505" s="27"/>
      <c r="L1505" s="15">
        <v>1</v>
      </c>
      <c r="M1505" s="15"/>
      <c r="N1505" s="4" t="s">
        <v>4266</v>
      </c>
      <c r="O1505" s="4"/>
    </row>
    <row r="1506" spans="1:15" x14ac:dyDescent="0.2">
      <c r="A1506" s="2">
        <v>40005468</v>
      </c>
      <c r="B1506" s="2" t="s">
        <v>939</v>
      </c>
      <c r="C1506" s="5" t="s">
        <v>6661</v>
      </c>
      <c r="D1506" s="21">
        <v>6</v>
      </c>
      <c r="E1506" s="21"/>
      <c r="F1506" s="21" t="s">
        <v>10438</v>
      </c>
      <c r="G1506" s="21"/>
      <c r="H1506" s="54">
        <v>7</v>
      </c>
      <c r="I1506" s="51"/>
      <c r="J1506" s="27"/>
      <c r="K1506" s="27"/>
      <c r="L1506" s="15"/>
      <c r="M1506" s="15"/>
      <c r="N1506" s="4" t="s">
        <v>4486</v>
      </c>
      <c r="O1506" s="4"/>
    </row>
    <row r="1507" spans="1:15" x14ac:dyDescent="0.2">
      <c r="A1507" s="2">
        <v>40008039</v>
      </c>
      <c r="B1507" s="2" t="s">
        <v>3178</v>
      </c>
      <c r="C1507" s="5" t="s">
        <v>8871</v>
      </c>
      <c r="D1507" s="21">
        <v>17</v>
      </c>
      <c r="E1507" s="21"/>
      <c r="F1507" s="21" t="s">
        <v>10438</v>
      </c>
      <c r="G1507" s="21"/>
      <c r="H1507" s="54">
        <v>10</v>
      </c>
      <c r="I1507" s="51"/>
      <c r="J1507" s="27"/>
      <c r="K1507" s="27"/>
      <c r="L1507" s="15"/>
      <c r="M1507" s="15"/>
      <c r="N1507" s="4" t="s">
        <v>4663</v>
      </c>
      <c r="O1507" s="4"/>
    </row>
    <row r="1508" spans="1:15" x14ac:dyDescent="0.2">
      <c r="A1508" s="2">
        <v>40005920</v>
      </c>
      <c r="B1508" s="2" t="s">
        <v>1330</v>
      </c>
      <c r="C1508" s="5" t="s">
        <v>7036</v>
      </c>
      <c r="D1508" s="21">
        <v>2</v>
      </c>
      <c r="E1508" s="21"/>
      <c r="F1508" s="21" t="s">
        <v>10438</v>
      </c>
      <c r="G1508" s="21"/>
      <c r="H1508" s="54">
        <v>30</v>
      </c>
      <c r="I1508" s="51"/>
      <c r="J1508" s="27"/>
      <c r="K1508" s="27"/>
      <c r="L1508" s="15"/>
      <c r="M1508" s="15"/>
      <c r="N1508" s="4" t="s">
        <v>4319</v>
      </c>
      <c r="O1508" s="4" t="s">
        <v>10177</v>
      </c>
    </row>
    <row r="1509" spans="1:15" x14ac:dyDescent="0.2">
      <c r="A1509" s="2">
        <v>40005708</v>
      </c>
      <c r="B1509" s="2" t="s">
        <v>1138</v>
      </c>
      <c r="C1509" s="5" t="s">
        <v>6856</v>
      </c>
      <c r="D1509" s="21"/>
      <c r="E1509" s="21"/>
      <c r="F1509" s="21" t="s">
        <v>10438</v>
      </c>
      <c r="G1509" s="21"/>
      <c r="H1509" s="54">
        <v>62</v>
      </c>
      <c r="I1509" s="51"/>
      <c r="J1509" s="27"/>
      <c r="K1509" s="27"/>
      <c r="L1509" s="15"/>
      <c r="M1509" s="15">
        <v>2</v>
      </c>
      <c r="N1509" s="4" t="s">
        <v>4228</v>
      </c>
      <c r="O1509" s="4"/>
    </row>
    <row r="1510" spans="1:15" x14ac:dyDescent="0.2">
      <c r="A1510" s="2">
        <v>40007347</v>
      </c>
      <c r="B1510" s="2" t="s">
        <v>3823</v>
      </c>
      <c r="C1510" s="5" t="s">
        <v>8278</v>
      </c>
      <c r="D1510" s="21">
        <v>21</v>
      </c>
      <c r="E1510" s="21"/>
      <c r="F1510" s="30">
        <v>1</v>
      </c>
      <c r="G1510" s="21"/>
      <c r="H1510" s="54">
        <v>103</v>
      </c>
      <c r="I1510" s="51"/>
      <c r="J1510" s="27"/>
      <c r="K1510" s="27"/>
      <c r="L1510" s="15"/>
      <c r="M1510" s="15"/>
      <c r="N1510" s="4" t="s">
        <v>4924</v>
      </c>
      <c r="O1510" s="4"/>
    </row>
    <row r="1511" spans="1:15" x14ac:dyDescent="0.2">
      <c r="A1511" s="2">
        <v>40010287</v>
      </c>
      <c r="B1511" s="2" t="s">
        <v>3478</v>
      </c>
      <c r="C1511" s="5" t="s">
        <v>9172</v>
      </c>
      <c r="D1511" s="21">
        <v>2</v>
      </c>
      <c r="E1511" s="21"/>
      <c r="F1511" s="21" t="s">
        <v>10438</v>
      </c>
      <c r="G1511" s="21"/>
      <c r="H1511" s="54">
        <v>39</v>
      </c>
      <c r="I1511" s="51"/>
      <c r="J1511" s="27"/>
      <c r="K1511" s="27"/>
      <c r="L1511" s="15"/>
      <c r="M1511" s="15"/>
      <c r="N1511" s="4" t="s">
        <v>4048</v>
      </c>
      <c r="O1511" s="4"/>
    </row>
    <row r="1512" spans="1:15" x14ac:dyDescent="0.2">
      <c r="A1512" s="2">
        <v>40006127</v>
      </c>
      <c r="B1512" s="2" t="s">
        <v>1518</v>
      </c>
      <c r="C1512" s="5" t="s">
        <v>7223</v>
      </c>
      <c r="D1512" s="21">
        <v>16</v>
      </c>
      <c r="E1512" s="21"/>
      <c r="F1512" s="21" t="s">
        <v>10438</v>
      </c>
      <c r="G1512" s="21"/>
      <c r="H1512" s="54">
        <v>38</v>
      </c>
      <c r="I1512" s="51"/>
      <c r="J1512" s="27"/>
      <c r="K1512" s="27"/>
      <c r="L1512" s="15"/>
      <c r="M1512" s="15"/>
      <c r="N1512" s="4"/>
      <c r="O1512" s="4" t="s">
        <v>10220</v>
      </c>
    </row>
    <row r="1513" spans="1:15" x14ac:dyDescent="0.2">
      <c r="A1513" s="2">
        <v>40006234</v>
      </c>
      <c r="B1513" s="2" t="s">
        <v>1612</v>
      </c>
      <c r="C1513" s="5" t="s">
        <v>7316</v>
      </c>
      <c r="D1513" s="21">
        <v>2</v>
      </c>
      <c r="E1513" s="21"/>
      <c r="F1513" s="21" t="s">
        <v>10438</v>
      </c>
      <c r="G1513" s="21"/>
      <c r="H1513" s="54">
        <v>61</v>
      </c>
      <c r="I1513" s="51"/>
      <c r="J1513" s="27"/>
      <c r="K1513" s="27"/>
      <c r="L1513" s="15"/>
      <c r="M1513" s="15"/>
      <c r="N1513" s="4"/>
      <c r="O1513" s="4">
        <v>75</v>
      </c>
    </row>
    <row r="1514" spans="1:15" x14ac:dyDescent="0.2">
      <c r="A1514" s="2">
        <v>40005350</v>
      </c>
      <c r="B1514" s="2" t="s">
        <v>835</v>
      </c>
      <c r="C1514" s="5" t="s">
        <v>6553</v>
      </c>
      <c r="D1514" s="21">
        <v>8</v>
      </c>
      <c r="E1514" s="21"/>
      <c r="F1514" s="21" t="s">
        <v>10438</v>
      </c>
      <c r="G1514" s="21"/>
      <c r="H1514" s="54">
        <v>95</v>
      </c>
      <c r="I1514" s="51"/>
      <c r="J1514" s="27"/>
      <c r="K1514" s="27"/>
      <c r="L1514" s="15"/>
      <c r="M1514" s="15"/>
      <c r="N1514" s="4" t="s">
        <v>4065</v>
      </c>
      <c r="O1514" s="4"/>
    </row>
    <row r="1515" spans="1:15" x14ac:dyDescent="0.2">
      <c r="A1515" s="2">
        <v>40011407</v>
      </c>
      <c r="B1515" s="2" t="s">
        <v>5412</v>
      </c>
      <c r="C1515" s="5" t="s">
        <v>9389</v>
      </c>
      <c r="D1515" s="21">
        <v>1</v>
      </c>
      <c r="E1515" s="21"/>
      <c r="F1515" s="21" t="s">
        <v>10438</v>
      </c>
      <c r="G1515" s="21"/>
      <c r="H1515" s="54">
        <v>71</v>
      </c>
      <c r="I1515" s="51"/>
      <c r="J1515" s="27"/>
      <c r="K1515" s="27"/>
      <c r="L1515" s="15"/>
      <c r="M1515" s="15"/>
      <c r="N1515" s="4" t="s">
        <v>5173</v>
      </c>
      <c r="O1515" s="4"/>
    </row>
    <row r="1516" spans="1:15" x14ac:dyDescent="0.2">
      <c r="A1516" s="2">
        <v>40011217</v>
      </c>
      <c r="B1516" s="2" t="s">
        <v>3784</v>
      </c>
      <c r="C1516" s="5" t="s">
        <v>9361</v>
      </c>
      <c r="D1516" s="21">
        <v>2</v>
      </c>
      <c r="E1516" s="21"/>
      <c r="F1516" s="21" t="s">
        <v>10438</v>
      </c>
      <c r="G1516" s="21"/>
      <c r="H1516" s="54">
        <v>25</v>
      </c>
      <c r="I1516" s="51"/>
      <c r="J1516" s="27"/>
      <c r="K1516" s="27"/>
      <c r="L1516" s="15"/>
      <c r="M1516" s="15"/>
      <c r="N1516" s="4"/>
      <c r="O1516" s="4" t="s">
        <v>10320</v>
      </c>
    </row>
    <row r="1517" spans="1:15" x14ac:dyDescent="0.2">
      <c r="A1517" s="2">
        <v>40006128</v>
      </c>
      <c r="B1517" s="2" t="s">
        <v>1519</v>
      </c>
      <c r="C1517" s="5" t="s">
        <v>7224</v>
      </c>
      <c r="D1517" s="21">
        <v>2</v>
      </c>
      <c r="E1517" s="21"/>
      <c r="F1517" s="21" t="s">
        <v>10438</v>
      </c>
      <c r="G1517" s="21"/>
      <c r="H1517" s="54">
        <v>28</v>
      </c>
      <c r="I1517" s="51"/>
      <c r="J1517" s="27"/>
      <c r="K1517" s="27"/>
      <c r="L1517" s="15"/>
      <c r="M1517" s="15"/>
      <c r="N1517" s="4" t="s">
        <v>4431</v>
      </c>
      <c r="O1517" s="4"/>
    </row>
    <row r="1518" spans="1:15" x14ac:dyDescent="0.2">
      <c r="A1518" s="2">
        <v>40008038</v>
      </c>
      <c r="B1518" s="2" t="s">
        <v>3177</v>
      </c>
      <c r="C1518" s="5" t="s">
        <v>8870</v>
      </c>
      <c r="D1518" s="21">
        <v>11</v>
      </c>
      <c r="E1518" s="21"/>
      <c r="F1518" s="21" t="s">
        <v>10438</v>
      </c>
      <c r="G1518" s="21"/>
      <c r="H1518" s="54">
        <v>29</v>
      </c>
      <c r="I1518" s="51"/>
      <c r="J1518" s="27"/>
      <c r="K1518" s="27"/>
      <c r="L1518" s="15"/>
      <c r="M1518" s="15"/>
      <c r="N1518" s="4" t="s">
        <v>5173</v>
      </c>
      <c r="O1518" s="4" t="s">
        <v>10101</v>
      </c>
    </row>
    <row r="1519" spans="1:15" x14ac:dyDescent="0.2">
      <c r="A1519" s="2">
        <v>10019291</v>
      </c>
      <c r="B1519" s="2" t="s">
        <v>488</v>
      </c>
      <c r="C1519" s="5" t="s">
        <v>6102</v>
      </c>
      <c r="D1519" s="21">
        <v>42</v>
      </c>
      <c r="E1519" s="21"/>
      <c r="F1519" s="21" t="s">
        <v>10438</v>
      </c>
      <c r="G1519" s="21"/>
      <c r="H1519" s="54">
        <v>1321</v>
      </c>
      <c r="I1519" s="51"/>
      <c r="J1519" s="27"/>
      <c r="K1519" s="27"/>
      <c r="L1519" s="15"/>
      <c r="M1519" s="15">
        <v>26</v>
      </c>
      <c r="N1519" s="4">
        <v>87</v>
      </c>
      <c r="O1519" s="4"/>
    </row>
    <row r="1520" spans="1:15" x14ac:dyDescent="0.2">
      <c r="A1520" s="2">
        <v>40007837</v>
      </c>
      <c r="B1520" s="2" t="s">
        <v>2997</v>
      </c>
      <c r="C1520" s="5" t="s">
        <v>8697</v>
      </c>
      <c r="D1520" s="21">
        <v>10</v>
      </c>
      <c r="E1520" s="21"/>
      <c r="F1520" s="21" t="s">
        <v>10438</v>
      </c>
      <c r="G1520" s="21"/>
      <c r="H1520" s="54">
        <v>2</v>
      </c>
      <c r="I1520" s="51"/>
      <c r="J1520" s="27"/>
      <c r="K1520" s="27"/>
      <c r="L1520" s="15"/>
      <c r="M1520" s="15"/>
      <c r="N1520" s="4" t="s">
        <v>5099</v>
      </c>
      <c r="O1520" s="4"/>
    </row>
    <row r="1521" spans="1:15" x14ac:dyDescent="0.2">
      <c r="A1521" s="2">
        <v>40005998</v>
      </c>
      <c r="B1521" s="2" t="s">
        <v>1403</v>
      </c>
      <c r="C1521" s="5" t="s">
        <v>7109</v>
      </c>
      <c r="D1521" s="21">
        <v>3</v>
      </c>
      <c r="E1521" s="21"/>
      <c r="F1521" s="21" t="s">
        <v>10438</v>
      </c>
      <c r="G1521" s="21"/>
      <c r="H1521" s="54">
        <v>49</v>
      </c>
      <c r="I1521" s="51"/>
      <c r="J1521" s="27"/>
      <c r="K1521" s="27"/>
      <c r="L1521" s="15"/>
      <c r="M1521" s="15"/>
      <c r="N1521" s="4" t="s">
        <v>4360</v>
      </c>
      <c r="O1521" s="4"/>
    </row>
    <row r="1522" spans="1:15" x14ac:dyDescent="0.2">
      <c r="A1522" s="2">
        <v>40005996</v>
      </c>
      <c r="B1522" s="2" t="s">
        <v>1401</v>
      </c>
      <c r="C1522" s="5" t="s">
        <v>7107</v>
      </c>
      <c r="D1522" s="21">
        <v>7</v>
      </c>
      <c r="E1522" s="21"/>
      <c r="F1522" s="21" t="s">
        <v>10438</v>
      </c>
      <c r="G1522" s="21"/>
      <c r="H1522" s="54">
        <v>158</v>
      </c>
      <c r="I1522" s="51"/>
      <c r="J1522" s="27"/>
      <c r="K1522" s="27"/>
      <c r="L1522" s="15"/>
      <c r="M1522" s="15"/>
      <c r="N1522" s="4" t="s">
        <v>4358</v>
      </c>
      <c r="O1522" s="4"/>
    </row>
    <row r="1523" spans="1:15" x14ac:dyDescent="0.2">
      <c r="A1523" s="2">
        <v>40005970</v>
      </c>
      <c r="B1523" s="2" t="s">
        <v>1375</v>
      </c>
      <c r="C1523" s="5" t="s">
        <v>7081</v>
      </c>
      <c r="D1523" s="21">
        <v>12</v>
      </c>
      <c r="E1523" s="21"/>
      <c r="F1523" s="21" t="s">
        <v>10438</v>
      </c>
      <c r="G1523" s="21"/>
      <c r="H1523" s="54">
        <v>7</v>
      </c>
      <c r="I1523" s="51"/>
      <c r="J1523" s="27"/>
      <c r="K1523" s="27"/>
      <c r="L1523" s="15"/>
      <c r="M1523" s="15"/>
      <c r="N1523" s="4" t="s">
        <v>4341</v>
      </c>
      <c r="O1523" s="4"/>
    </row>
    <row r="1524" spans="1:15" x14ac:dyDescent="0.2">
      <c r="A1524" s="2">
        <v>40005232</v>
      </c>
      <c r="B1524" s="2" t="s">
        <v>758</v>
      </c>
      <c r="C1524" s="5" t="s">
        <v>6472</v>
      </c>
      <c r="D1524" s="21">
        <v>3</v>
      </c>
      <c r="E1524" s="21"/>
      <c r="F1524" s="21" t="s">
        <v>10438</v>
      </c>
      <c r="G1524" s="21"/>
      <c r="H1524" s="54">
        <v>167</v>
      </c>
      <c r="I1524" s="51"/>
      <c r="J1524" s="27"/>
      <c r="K1524" s="27"/>
      <c r="L1524" s="15"/>
      <c r="M1524" s="15"/>
      <c r="N1524" s="4" t="s">
        <v>4014</v>
      </c>
      <c r="O1524" s="4"/>
    </row>
    <row r="1525" spans="1:15" x14ac:dyDescent="0.2">
      <c r="A1525" s="2">
        <v>40007787</v>
      </c>
      <c r="B1525" s="2" t="s">
        <v>2958</v>
      </c>
      <c r="C1525" s="5" t="s">
        <v>8657</v>
      </c>
      <c r="D1525" s="21">
        <v>2</v>
      </c>
      <c r="E1525" s="21"/>
      <c r="F1525" s="21" t="s">
        <v>10438</v>
      </c>
      <c r="G1525" s="21"/>
      <c r="H1525" s="54">
        <v>816</v>
      </c>
      <c r="I1525" s="51"/>
      <c r="J1525" s="27"/>
      <c r="K1525" s="27"/>
      <c r="L1525" s="15"/>
      <c r="M1525" s="15"/>
      <c r="N1525" s="4" t="s">
        <v>5074</v>
      </c>
      <c r="O1525" s="4"/>
    </row>
    <row r="1526" spans="1:15" x14ac:dyDescent="0.2">
      <c r="A1526" s="2">
        <v>40007769</v>
      </c>
      <c r="B1526" s="2" t="s">
        <v>2941</v>
      </c>
      <c r="C1526" s="5" t="s">
        <v>8639</v>
      </c>
      <c r="D1526" s="21">
        <v>2</v>
      </c>
      <c r="E1526" s="21"/>
      <c r="F1526" s="21" t="s">
        <v>10438</v>
      </c>
      <c r="G1526" s="21"/>
      <c r="H1526" s="54">
        <v>458</v>
      </c>
      <c r="I1526" s="51"/>
      <c r="J1526" s="27"/>
      <c r="K1526" s="27"/>
      <c r="L1526" s="15"/>
      <c r="M1526" s="15">
        <v>2</v>
      </c>
      <c r="N1526" s="4" t="s">
        <v>4673</v>
      </c>
      <c r="O1526" s="4"/>
    </row>
    <row r="1527" spans="1:15" x14ac:dyDescent="0.2">
      <c r="A1527" s="2">
        <v>40007789</v>
      </c>
      <c r="B1527" s="2" t="s">
        <v>2960</v>
      </c>
      <c r="C1527" s="5" t="s">
        <v>8659</v>
      </c>
      <c r="D1527" s="21">
        <v>6</v>
      </c>
      <c r="E1527" s="21"/>
      <c r="F1527" s="21" t="s">
        <v>10438</v>
      </c>
      <c r="G1527" s="21"/>
      <c r="H1527" s="54">
        <v>301</v>
      </c>
      <c r="I1527" s="51"/>
      <c r="J1527" s="27"/>
      <c r="K1527" s="27"/>
      <c r="L1527" s="15"/>
      <c r="M1527" s="15"/>
      <c r="N1527" s="4" t="s">
        <v>4914</v>
      </c>
      <c r="O1527" s="4"/>
    </row>
    <row r="1528" spans="1:15" x14ac:dyDescent="0.2">
      <c r="A1528" s="2">
        <v>40007794</v>
      </c>
      <c r="B1528" s="2" t="s">
        <v>2965</v>
      </c>
      <c r="C1528" s="5" t="s">
        <v>8663</v>
      </c>
      <c r="D1528" s="21">
        <v>7</v>
      </c>
      <c r="E1528" s="21"/>
      <c r="F1528" s="21" t="s">
        <v>10438</v>
      </c>
      <c r="G1528" s="21"/>
      <c r="H1528" s="54">
        <v>130</v>
      </c>
      <c r="I1528" s="51"/>
      <c r="J1528" s="27"/>
      <c r="K1528" s="27"/>
      <c r="L1528" s="15"/>
      <c r="M1528" s="15"/>
      <c r="N1528" s="4" t="s">
        <v>5079</v>
      </c>
      <c r="O1528" s="4"/>
    </row>
    <row r="1529" spans="1:15" x14ac:dyDescent="0.2">
      <c r="A1529" s="2">
        <v>40006737</v>
      </c>
      <c r="B1529" s="2" t="s">
        <v>2042</v>
      </c>
      <c r="C1529" s="5" t="s">
        <v>7752</v>
      </c>
      <c r="D1529" s="21">
        <v>14</v>
      </c>
      <c r="E1529" s="21"/>
      <c r="F1529" s="21" t="s">
        <v>10438</v>
      </c>
      <c r="G1529" s="21"/>
      <c r="H1529" s="54">
        <v>80</v>
      </c>
      <c r="I1529" s="51"/>
      <c r="J1529" s="27"/>
      <c r="K1529" s="27"/>
      <c r="L1529" s="15"/>
      <c r="M1529" s="15"/>
      <c r="N1529" s="4" t="s">
        <v>4661</v>
      </c>
      <c r="O1529" s="4"/>
    </row>
    <row r="1530" spans="1:15" x14ac:dyDescent="0.2">
      <c r="A1530" s="2">
        <v>40006736</v>
      </c>
      <c r="B1530" s="2" t="s">
        <v>2041</v>
      </c>
      <c r="C1530" s="5" t="s">
        <v>7751</v>
      </c>
      <c r="D1530" s="21">
        <v>11</v>
      </c>
      <c r="E1530" s="21"/>
      <c r="F1530" s="21" t="s">
        <v>10438</v>
      </c>
      <c r="G1530" s="21"/>
      <c r="H1530" s="54">
        <v>199</v>
      </c>
      <c r="I1530" s="51"/>
      <c r="J1530" s="27"/>
      <c r="K1530" s="27"/>
      <c r="L1530" s="15"/>
      <c r="M1530" s="15"/>
      <c r="N1530" s="4" t="s">
        <v>4660</v>
      </c>
      <c r="O1530" s="4"/>
    </row>
    <row r="1531" spans="1:15" x14ac:dyDescent="0.2">
      <c r="A1531" s="2">
        <v>40007178</v>
      </c>
      <c r="B1531" s="2" t="s">
        <v>2445</v>
      </c>
      <c r="C1531" s="5" t="s">
        <v>8147</v>
      </c>
      <c r="D1531" s="21">
        <v>1</v>
      </c>
      <c r="E1531" s="21"/>
      <c r="F1531" s="21" t="s">
        <v>10438</v>
      </c>
      <c r="G1531" s="21"/>
      <c r="H1531" s="54">
        <v>174</v>
      </c>
      <c r="I1531" s="51"/>
      <c r="J1531" s="27"/>
      <c r="K1531" s="27"/>
      <c r="L1531" s="15"/>
      <c r="M1531" s="15"/>
      <c r="N1531" s="4" t="s">
        <v>4860</v>
      </c>
      <c r="O1531" s="4"/>
    </row>
    <row r="1532" spans="1:15" x14ac:dyDescent="0.2">
      <c r="A1532" s="2">
        <v>40007784</v>
      </c>
      <c r="B1532" s="2" t="s">
        <v>2955</v>
      </c>
      <c r="C1532" s="5" t="s">
        <v>8654</v>
      </c>
      <c r="D1532" s="21">
        <v>8</v>
      </c>
      <c r="E1532" s="21"/>
      <c r="F1532" s="21" t="s">
        <v>10438</v>
      </c>
      <c r="G1532" s="21"/>
      <c r="H1532" s="54">
        <v>342</v>
      </c>
      <c r="I1532" s="51"/>
      <c r="J1532" s="27"/>
      <c r="K1532" s="27"/>
      <c r="L1532" s="15"/>
      <c r="M1532" s="15"/>
      <c r="N1532" s="4">
        <v>26</v>
      </c>
      <c r="O1532" s="4">
        <v>6</v>
      </c>
    </row>
    <row r="1533" spans="1:15" x14ac:dyDescent="0.2">
      <c r="A1533" s="2">
        <v>40007790</v>
      </c>
      <c r="B1533" s="2" t="s">
        <v>2961</v>
      </c>
      <c r="C1533" s="5" t="s">
        <v>5516</v>
      </c>
      <c r="D1533" s="21">
        <v>27</v>
      </c>
      <c r="E1533" s="21"/>
      <c r="F1533" s="21" t="s">
        <v>10438</v>
      </c>
      <c r="G1533" s="21"/>
      <c r="H1533" s="54">
        <v>271</v>
      </c>
      <c r="I1533" s="51"/>
      <c r="J1533" s="27"/>
      <c r="K1533" s="27"/>
      <c r="L1533" s="15"/>
      <c r="M1533" s="15">
        <v>2</v>
      </c>
      <c r="N1533" s="4" t="s">
        <v>4610</v>
      </c>
      <c r="O1533" s="4">
        <v>49</v>
      </c>
    </row>
    <row r="1534" spans="1:15" x14ac:dyDescent="0.2">
      <c r="A1534" s="2">
        <v>40006738</v>
      </c>
      <c r="B1534" s="2" t="s">
        <v>2043</v>
      </c>
      <c r="C1534" s="5" t="s">
        <v>7753</v>
      </c>
      <c r="D1534" s="21">
        <v>10</v>
      </c>
      <c r="E1534" s="21"/>
      <c r="F1534" s="21" t="s">
        <v>10438</v>
      </c>
      <c r="G1534" s="21"/>
      <c r="H1534" s="54">
        <v>333</v>
      </c>
      <c r="I1534" s="51"/>
      <c r="J1534" s="27"/>
      <c r="K1534" s="27"/>
      <c r="L1534" s="15"/>
      <c r="M1534" s="15"/>
      <c r="N1534" s="4" t="s">
        <v>4662</v>
      </c>
      <c r="O1534" s="4">
        <v>53</v>
      </c>
    </row>
    <row r="1535" spans="1:15" x14ac:dyDescent="0.2">
      <c r="A1535" s="2">
        <v>40007765</v>
      </c>
      <c r="B1535" s="2" t="s">
        <v>2937</v>
      </c>
      <c r="C1535" s="5" t="s">
        <v>8635</v>
      </c>
      <c r="D1535" s="21">
        <v>5</v>
      </c>
      <c r="E1535" s="21"/>
      <c r="F1535" s="21" t="s">
        <v>10438</v>
      </c>
      <c r="G1535" s="21"/>
      <c r="H1535" s="54">
        <v>194</v>
      </c>
      <c r="I1535" s="51"/>
      <c r="J1535" s="27"/>
      <c r="K1535" s="27"/>
      <c r="L1535" s="15"/>
      <c r="M1535" s="15"/>
      <c r="N1535" s="4" t="s">
        <v>5032</v>
      </c>
      <c r="O1535" s="4"/>
    </row>
    <row r="1536" spans="1:15" x14ac:dyDescent="0.2">
      <c r="A1536" s="2">
        <v>40007783</v>
      </c>
      <c r="B1536" s="2" t="s">
        <v>2954</v>
      </c>
      <c r="C1536" s="5" t="s">
        <v>8653</v>
      </c>
      <c r="D1536" s="21">
        <v>14</v>
      </c>
      <c r="E1536" s="21"/>
      <c r="F1536" s="21" t="s">
        <v>10438</v>
      </c>
      <c r="G1536" s="21"/>
      <c r="H1536" s="54">
        <v>259</v>
      </c>
      <c r="I1536" s="51"/>
      <c r="J1536" s="27"/>
      <c r="K1536" s="27"/>
      <c r="L1536" s="15"/>
      <c r="M1536" s="15"/>
      <c r="N1536" s="4"/>
      <c r="O1536" s="4">
        <v>104</v>
      </c>
    </row>
    <row r="1537" spans="1:15" x14ac:dyDescent="0.2">
      <c r="A1537" s="2">
        <v>40007779</v>
      </c>
      <c r="B1537" s="2" t="s">
        <v>2950</v>
      </c>
      <c r="C1537" s="5" t="s">
        <v>8649</v>
      </c>
      <c r="D1537" s="21">
        <v>9</v>
      </c>
      <c r="E1537" s="21"/>
      <c r="F1537" s="21" t="s">
        <v>10438</v>
      </c>
      <c r="G1537" s="21"/>
      <c r="H1537" s="54">
        <v>123</v>
      </c>
      <c r="I1537" s="51"/>
      <c r="J1537" s="27"/>
      <c r="K1537" s="27"/>
      <c r="L1537" s="15"/>
      <c r="M1537" s="15"/>
      <c r="N1537" s="4" t="s">
        <v>5071</v>
      </c>
      <c r="O1537" s="4"/>
    </row>
    <row r="1538" spans="1:15" x14ac:dyDescent="0.2">
      <c r="A1538" s="2">
        <v>40007778</v>
      </c>
      <c r="B1538" s="2" t="s">
        <v>2949</v>
      </c>
      <c r="C1538" s="5" t="s">
        <v>8648</v>
      </c>
      <c r="D1538" s="21">
        <v>12</v>
      </c>
      <c r="E1538" s="21"/>
      <c r="F1538" s="21" t="s">
        <v>10438</v>
      </c>
      <c r="G1538" s="21"/>
      <c r="H1538" s="54">
        <v>280</v>
      </c>
      <c r="I1538" s="51"/>
      <c r="J1538" s="27"/>
      <c r="K1538" s="27"/>
      <c r="L1538" s="15"/>
      <c r="M1538" s="15"/>
      <c r="N1538" s="4" t="s">
        <v>10037</v>
      </c>
      <c r="O1538" s="4"/>
    </row>
    <row r="1539" spans="1:15" x14ac:dyDescent="0.2">
      <c r="A1539" s="2">
        <v>40006320</v>
      </c>
      <c r="B1539" s="2" t="s">
        <v>1687</v>
      </c>
      <c r="C1539" s="5" t="s">
        <v>7397</v>
      </c>
      <c r="D1539" s="21">
        <v>11</v>
      </c>
      <c r="E1539" s="21"/>
      <c r="F1539" s="21" t="s">
        <v>10438</v>
      </c>
      <c r="G1539" s="21"/>
      <c r="H1539" s="54">
        <v>374</v>
      </c>
      <c r="I1539" s="51"/>
      <c r="J1539" s="27"/>
      <c r="K1539" s="27"/>
      <c r="L1539" s="15"/>
      <c r="M1539" s="15"/>
      <c r="N1539" s="4" t="s">
        <v>4524</v>
      </c>
      <c r="O1539" s="4">
        <v>17</v>
      </c>
    </row>
    <row r="1540" spans="1:15" x14ac:dyDescent="0.2">
      <c r="A1540" s="2">
        <v>40006898</v>
      </c>
      <c r="B1540" s="2" t="s">
        <v>2193</v>
      </c>
      <c r="C1540" s="5" t="s">
        <v>7902</v>
      </c>
      <c r="D1540" s="21">
        <v>9</v>
      </c>
      <c r="E1540" s="21"/>
      <c r="F1540" s="21" t="s">
        <v>10438</v>
      </c>
      <c r="G1540" s="21"/>
      <c r="H1540" s="54">
        <v>172</v>
      </c>
      <c r="I1540" s="51"/>
      <c r="J1540" s="27"/>
      <c r="K1540" s="27"/>
      <c r="L1540" s="15"/>
      <c r="M1540" s="15"/>
      <c r="N1540" s="4"/>
      <c r="O1540" s="4">
        <v>71</v>
      </c>
    </row>
    <row r="1541" spans="1:15" x14ac:dyDescent="0.2">
      <c r="A1541" s="2">
        <v>40010334</v>
      </c>
      <c r="B1541" s="2" t="s">
        <v>3507</v>
      </c>
      <c r="C1541" s="5" t="s">
        <v>9206</v>
      </c>
      <c r="D1541" s="21">
        <v>3</v>
      </c>
      <c r="E1541" s="21"/>
      <c r="F1541" s="21" t="s">
        <v>10438</v>
      </c>
      <c r="G1541" s="21"/>
      <c r="H1541" s="54">
        <v>258</v>
      </c>
      <c r="I1541" s="51"/>
      <c r="J1541" s="27"/>
      <c r="K1541" s="27"/>
      <c r="L1541" s="15">
        <v>8</v>
      </c>
      <c r="M1541" s="15">
        <v>2</v>
      </c>
      <c r="N1541" s="4" t="s">
        <v>5268</v>
      </c>
      <c r="O1541" s="4"/>
    </row>
    <row r="1542" spans="1:15" x14ac:dyDescent="0.2">
      <c r="A1542" s="2">
        <v>40006888</v>
      </c>
      <c r="B1542" s="2" t="s">
        <v>2183</v>
      </c>
      <c r="C1542" s="5" t="s">
        <v>7892</v>
      </c>
      <c r="D1542" s="21">
        <v>6</v>
      </c>
      <c r="E1542" s="21"/>
      <c r="F1542" s="21" t="s">
        <v>10438</v>
      </c>
      <c r="G1542" s="21"/>
      <c r="H1542" s="54">
        <v>127</v>
      </c>
      <c r="I1542" s="51"/>
      <c r="J1542" s="27"/>
      <c r="K1542" s="27"/>
      <c r="L1542" s="15"/>
      <c r="M1542" s="15"/>
      <c r="N1542" s="4"/>
      <c r="O1542" s="4">
        <v>41</v>
      </c>
    </row>
    <row r="1543" spans="1:15" x14ac:dyDescent="0.2">
      <c r="A1543" s="2">
        <v>40006133</v>
      </c>
      <c r="B1543" s="2" t="s">
        <v>1524</v>
      </c>
      <c r="C1543" s="5" t="s">
        <v>7228</v>
      </c>
      <c r="D1543" s="21">
        <v>5</v>
      </c>
      <c r="E1543" s="21"/>
      <c r="F1543" s="21" t="s">
        <v>10438</v>
      </c>
      <c r="G1543" s="21"/>
      <c r="H1543" s="54">
        <v>430</v>
      </c>
      <c r="I1543" s="51"/>
      <c r="J1543" s="27"/>
      <c r="K1543" s="27"/>
      <c r="L1543" s="15"/>
      <c r="M1543" s="15"/>
      <c r="N1543" s="4"/>
      <c r="O1543" s="4">
        <v>72</v>
      </c>
    </row>
    <row r="1544" spans="1:15" x14ac:dyDescent="0.2">
      <c r="A1544" s="2">
        <v>40005874</v>
      </c>
      <c r="B1544" s="2" t="s">
        <v>1290</v>
      </c>
      <c r="C1544" s="5" t="s">
        <v>5504</v>
      </c>
      <c r="D1544" s="21">
        <v>4</v>
      </c>
      <c r="E1544" s="21"/>
      <c r="F1544" s="21" t="s">
        <v>10438</v>
      </c>
      <c r="G1544" s="21"/>
      <c r="H1544" s="54">
        <v>214</v>
      </c>
      <c r="I1544" s="51"/>
      <c r="J1544" s="27"/>
      <c r="K1544" s="27"/>
      <c r="L1544" s="15">
        <v>2</v>
      </c>
      <c r="M1544" s="15">
        <v>3</v>
      </c>
      <c r="N1544" s="4" t="s">
        <v>4300</v>
      </c>
      <c r="O1544" s="4"/>
    </row>
    <row r="1545" spans="1:15" x14ac:dyDescent="0.2">
      <c r="A1545" s="2">
        <v>40005872</v>
      </c>
      <c r="B1545" s="2" t="s">
        <v>1288</v>
      </c>
      <c r="C1545" s="5" t="s">
        <v>6999</v>
      </c>
      <c r="D1545" s="21">
        <v>1</v>
      </c>
      <c r="E1545" s="21"/>
      <c r="F1545" s="30">
        <v>1</v>
      </c>
      <c r="G1545" s="21"/>
      <c r="H1545" s="54">
        <v>331</v>
      </c>
      <c r="I1545" s="51"/>
      <c r="J1545" s="27"/>
      <c r="K1545" s="27"/>
      <c r="L1545" s="15"/>
      <c r="M1545" s="15">
        <v>1</v>
      </c>
      <c r="N1545" s="4" t="s">
        <v>4298</v>
      </c>
      <c r="O1545" s="4"/>
    </row>
    <row r="1546" spans="1:15" x14ac:dyDescent="0.2">
      <c r="A1546" s="2">
        <v>40010363</v>
      </c>
      <c r="B1546" s="2" t="s">
        <v>3511</v>
      </c>
      <c r="C1546" s="5" t="s">
        <v>9212</v>
      </c>
      <c r="D1546" s="21">
        <v>3</v>
      </c>
      <c r="E1546" s="21"/>
      <c r="F1546" s="21" t="s">
        <v>10438</v>
      </c>
      <c r="G1546" s="21"/>
      <c r="H1546" s="54">
        <v>658</v>
      </c>
      <c r="I1546" s="51"/>
      <c r="J1546" s="27"/>
      <c r="K1546" s="27"/>
      <c r="L1546" s="15"/>
      <c r="M1546" s="15"/>
      <c r="N1546" s="4"/>
      <c r="O1546" s="4">
        <v>46</v>
      </c>
    </row>
    <row r="1547" spans="1:15" x14ac:dyDescent="0.2">
      <c r="A1547" s="2">
        <v>40007764</v>
      </c>
      <c r="B1547" s="2" t="s">
        <v>2936</v>
      </c>
      <c r="C1547" s="5" t="s">
        <v>8634</v>
      </c>
      <c r="D1547" s="21">
        <v>18</v>
      </c>
      <c r="E1547" s="21"/>
      <c r="F1547" s="30">
        <v>2</v>
      </c>
      <c r="G1547" s="21"/>
      <c r="H1547" s="54">
        <v>287</v>
      </c>
      <c r="I1547" s="51"/>
      <c r="J1547" s="27"/>
      <c r="K1547" s="27"/>
      <c r="L1547" s="15">
        <v>15</v>
      </c>
      <c r="M1547" s="15"/>
      <c r="N1547" s="4" t="s">
        <v>5063</v>
      </c>
      <c r="O1547" s="4"/>
    </row>
    <row r="1548" spans="1:15" x14ac:dyDescent="0.2">
      <c r="A1548" s="2">
        <v>40007124</v>
      </c>
      <c r="B1548" s="2" t="s">
        <v>2392</v>
      </c>
      <c r="C1548" s="5" t="s">
        <v>8098</v>
      </c>
      <c r="D1548" s="21">
        <v>5</v>
      </c>
      <c r="E1548" s="21"/>
      <c r="F1548" s="30">
        <v>1</v>
      </c>
      <c r="G1548" s="21"/>
      <c r="H1548" s="54">
        <v>199</v>
      </c>
      <c r="I1548" s="51"/>
      <c r="J1548" s="27"/>
      <c r="K1548" s="27"/>
      <c r="L1548" s="15"/>
      <c r="M1548" s="15"/>
      <c r="N1548" s="4" t="s">
        <v>4788</v>
      </c>
      <c r="O1548" s="4">
        <v>53</v>
      </c>
    </row>
    <row r="1549" spans="1:15" x14ac:dyDescent="0.2">
      <c r="A1549" s="2">
        <v>40006220</v>
      </c>
      <c r="B1549" s="2" t="s">
        <v>1601</v>
      </c>
      <c r="C1549" s="5" t="s">
        <v>7307</v>
      </c>
      <c r="D1549" s="21">
        <v>2</v>
      </c>
      <c r="E1549" s="21"/>
      <c r="F1549" s="21" t="s">
        <v>10438</v>
      </c>
      <c r="G1549" s="21"/>
      <c r="H1549" s="54">
        <v>164</v>
      </c>
      <c r="I1549" s="51"/>
      <c r="J1549" s="27"/>
      <c r="K1549" s="27"/>
      <c r="L1549" s="15"/>
      <c r="M1549" s="15"/>
      <c r="N1549" s="4" t="s">
        <v>4325</v>
      </c>
      <c r="O1549" s="4">
        <v>48</v>
      </c>
    </row>
    <row r="1550" spans="1:15" x14ac:dyDescent="0.2">
      <c r="A1550" s="2">
        <v>40005272</v>
      </c>
      <c r="B1550" s="2" t="s">
        <v>781</v>
      </c>
      <c r="C1550" s="5" t="s">
        <v>6498</v>
      </c>
      <c r="D1550" s="21">
        <v>1</v>
      </c>
      <c r="E1550" s="21"/>
      <c r="F1550" s="21" t="s">
        <v>10438</v>
      </c>
      <c r="G1550" s="21"/>
      <c r="H1550" s="54">
        <v>436</v>
      </c>
      <c r="I1550" s="51"/>
      <c r="J1550" s="27"/>
      <c r="K1550" s="27"/>
      <c r="L1550" s="15"/>
      <c r="M1550" s="15"/>
      <c r="N1550" s="4" t="s">
        <v>4026</v>
      </c>
      <c r="O1550" s="4"/>
    </row>
    <row r="1551" spans="1:15" x14ac:dyDescent="0.2">
      <c r="A1551" s="2">
        <v>40010955</v>
      </c>
      <c r="B1551" s="2" t="s">
        <v>5436</v>
      </c>
      <c r="C1551" s="5" t="s">
        <v>9294</v>
      </c>
      <c r="D1551" s="21">
        <v>8</v>
      </c>
      <c r="E1551" s="21"/>
      <c r="F1551" s="21" t="s">
        <v>10438</v>
      </c>
      <c r="G1551" s="21"/>
      <c r="H1551" s="54">
        <v>291</v>
      </c>
      <c r="I1551" s="51"/>
      <c r="J1551" s="27"/>
      <c r="K1551" s="27"/>
      <c r="L1551" s="15"/>
      <c r="M1551" s="15"/>
      <c r="N1551" s="4" t="s">
        <v>5074</v>
      </c>
      <c r="O1551" s="4"/>
    </row>
    <row r="1552" spans="1:15" x14ac:dyDescent="0.2">
      <c r="A1552" s="2">
        <v>40005328</v>
      </c>
      <c r="B1552" s="2" t="s">
        <v>816</v>
      </c>
      <c r="C1552" s="5" t="s">
        <v>6533</v>
      </c>
      <c r="D1552" s="21">
        <v>2</v>
      </c>
      <c r="E1552" s="21"/>
      <c r="F1552" s="21" t="s">
        <v>10438</v>
      </c>
      <c r="G1552" s="21"/>
      <c r="H1552" s="54">
        <v>273</v>
      </c>
      <c r="I1552" s="51"/>
      <c r="J1552" s="27"/>
      <c r="K1552" s="27"/>
      <c r="L1552" s="15"/>
      <c r="M1552" s="15"/>
      <c r="N1552" s="4" t="s">
        <v>4055</v>
      </c>
      <c r="O1552" s="4"/>
    </row>
    <row r="1553" spans="1:15" x14ac:dyDescent="0.2">
      <c r="A1553" s="2">
        <v>40011562</v>
      </c>
      <c r="B1553" s="2" t="s">
        <v>5451</v>
      </c>
      <c r="C1553" s="5" t="s">
        <v>9399</v>
      </c>
      <c r="D1553" s="21">
        <v>1</v>
      </c>
      <c r="E1553" s="21"/>
      <c r="F1553" s="21" t="s">
        <v>10438</v>
      </c>
      <c r="G1553" s="21"/>
      <c r="H1553" s="54">
        <v>229</v>
      </c>
      <c r="I1553" s="51"/>
      <c r="J1553" s="27"/>
      <c r="K1553" s="27"/>
      <c r="L1553" s="15"/>
      <c r="M1553" s="15">
        <v>4</v>
      </c>
      <c r="N1553" s="4" t="s">
        <v>4225</v>
      </c>
      <c r="O1553" s="4"/>
    </row>
    <row r="1554" spans="1:15" x14ac:dyDescent="0.2">
      <c r="A1554" s="2">
        <v>40005926</v>
      </c>
      <c r="B1554" s="2" t="s">
        <v>1336</v>
      </c>
      <c r="C1554" s="5" t="s">
        <v>7042</v>
      </c>
      <c r="D1554" s="21">
        <v>5</v>
      </c>
      <c r="E1554" s="21"/>
      <c r="F1554" s="21" t="s">
        <v>10438</v>
      </c>
      <c r="G1554" s="21"/>
      <c r="H1554" s="54">
        <v>166</v>
      </c>
      <c r="I1554" s="51"/>
      <c r="J1554" s="27"/>
      <c r="K1554" s="27"/>
      <c r="L1554" s="15"/>
      <c r="M1554" s="15"/>
      <c r="N1554" s="4" t="s">
        <v>4321</v>
      </c>
      <c r="O1554" s="4"/>
    </row>
    <row r="1555" spans="1:15" x14ac:dyDescent="0.2">
      <c r="A1555" s="2">
        <v>40007776</v>
      </c>
      <c r="B1555" s="2" t="s">
        <v>2947</v>
      </c>
      <c r="C1555" s="5" t="s">
        <v>8646</v>
      </c>
      <c r="D1555" s="21">
        <v>3</v>
      </c>
      <c r="E1555" s="21"/>
      <c r="F1555" s="21" t="s">
        <v>10438</v>
      </c>
      <c r="G1555" s="21"/>
      <c r="H1555" s="54">
        <v>487</v>
      </c>
      <c r="I1555" s="51"/>
      <c r="J1555" s="27"/>
      <c r="K1555" s="27"/>
      <c r="L1555" s="15"/>
      <c r="M1555" s="15">
        <v>2</v>
      </c>
      <c r="N1555" s="4" t="s">
        <v>4177</v>
      </c>
      <c r="O1555" s="4">
        <v>16</v>
      </c>
    </row>
    <row r="1556" spans="1:15" x14ac:dyDescent="0.2">
      <c r="A1556" s="2">
        <v>40005276</v>
      </c>
      <c r="B1556" s="2" t="s">
        <v>783</v>
      </c>
      <c r="C1556" s="5" t="s">
        <v>6500</v>
      </c>
      <c r="D1556" s="21">
        <v>1</v>
      </c>
      <c r="E1556" s="21"/>
      <c r="F1556" s="21" t="s">
        <v>10438</v>
      </c>
      <c r="G1556" s="21"/>
      <c r="H1556" s="54">
        <v>500</v>
      </c>
      <c r="I1556" s="51"/>
      <c r="J1556" s="27"/>
      <c r="K1556" s="27"/>
      <c r="L1556" s="15"/>
      <c r="M1556" s="15"/>
      <c r="N1556" s="4" t="s">
        <v>4028</v>
      </c>
      <c r="O1556" s="4"/>
    </row>
    <row r="1557" spans="1:15" x14ac:dyDescent="0.2">
      <c r="A1557" s="2">
        <v>40010233</v>
      </c>
      <c r="B1557" s="2" t="s">
        <v>3431</v>
      </c>
      <c r="C1557" s="5" t="s">
        <v>9125</v>
      </c>
      <c r="D1557" s="21">
        <v>7</v>
      </c>
      <c r="E1557" s="21"/>
      <c r="F1557" s="21" t="s">
        <v>10438</v>
      </c>
      <c r="G1557" s="21"/>
      <c r="H1557" s="54">
        <v>181</v>
      </c>
      <c r="I1557" s="51"/>
      <c r="J1557" s="27"/>
      <c r="K1557" s="27"/>
      <c r="L1557" s="15"/>
      <c r="M1557" s="15"/>
      <c r="N1557" s="4" t="s">
        <v>4227</v>
      </c>
      <c r="O1557" s="4"/>
    </row>
    <row r="1558" spans="1:15" x14ac:dyDescent="0.2">
      <c r="A1558" s="2">
        <v>40007781</v>
      </c>
      <c r="B1558" s="2" t="s">
        <v>2952</v>
      </c>
      <c r="C1558" s="5" t="s">
        <v>8651</v>
      </c>
      <c r="D1558" s="21">
        <v>3</v>
      </c>
      <c r="E1558" s="21"/>
      <c r="F1558" s="21" t="s">
        <v>10438</v>
      </c>
      <c r="G1558" s="21"/>
      <c r="H1558" s="54">
        <v>759</v>
      </c>
      <c r="I1558" s="51"/>
      <c r="J1558" s="27"/>
      <c r="K1558" s="27"/>
      <c r="L1558" s="15"/>
      <c r="M1558" s="15"/>
      <c r="N1558" s="4" t="s">
        <v>5072</v>
      </c>
      <c r="O1558" s="4"/>
    </row>
    <row r="1559" spans="1:15" x14ac:dyDescent="0.2">
      <c r="A1559" s="2">
        <v>40007285</v>
      </c>
      <c r="B1559" s="2" t="s">
        <v>2530</v>
      </c>
      <c r="C1559" s="5" t="s">
        <v>8230</v>
      </c>
      <c r="D1559" s="21">
        <v>16</v>
      </c>
      <c r="E1559" s="21"/>
      <c r="F1559" s="21" t="s">
        <v>10438</v>
      </c>
      <c r="G1559" s="21"/>
      <c r="H1559" s="54">
        <v>499</v>
      </c>
      <c r="I1559" s="51"/>
      <c r="J1559" s="27"/>
      <c r="K1559" s="27"/>
      <c r="L1559" s="15"/>
      <c r="M1559" s="15"/>
      <c r="N1559" s="4" t="s">
        <v>4905</v>
      </c>
      <c r="O1559" s="4"/>
    </row>
    <row r="1560" spans="1:15" x14ac:dyDescent="0.2">
      <c r="A1560" s="2">
        <v>40007774</v>
      </c>
      <c r="B1560" s="2" t="s">
        <v>2945</v>
      </c>
      <c r="C1560" s="5" t="s">
        <v>8644</v>
      </c>
      <c r="D1560" s="21">
        <v>1</v>
      </c>
      <c r="E1560" s="21"/>
      <c r="F1560" s="21" t="s">
        <v>10438</v>
      </c>
      <c r="G1560" s="21"/>
      <c r="H1560" s="54">
        <v>447</v>
      </c>
      <c r="I1560" s="51"/>
      <c r="J1560" s="27"/>
      <c r="K1560" s="27"/>
      <c r="L1560" s="15"/>
      <c r="M1560" s="15"/>
      <c r="N1560" s="4" t="s">
        <v>5068</v>
      </c>
      <c r="O1560" s="4"/>
    </row>
    <row r="1561" spans="1:15" x14ac:dyDescent="0.2">
      <c r="A1561" s="2">
        <v>40010228</v>
      </c>
      <c r="B1561" s="2" t="s">
        <v>3427</v>
      </c>
      <c r="C1561" s="5" t="s">
        <v>9121</v>
      </c>
      <c r="D1561" s="21">
        <v>2</v>
      </c>
      <c r="E1561" s="21"/>
      <c r="F1561" s="21" t="s">
        <v>10438</v>
      </c>
      <c r="G1561" s="21"/>
      <c r="H1561" s="54">
        <v>560</v>
      </c>
      <c r="I1561" s="51"/>
      <c r="J1561" s="27"/>
      <c r="K1561" s="27"/>
      <c r="L1561" s="15"/>
      <c r="M1561" s="15"/>
      <c r="N1561" s="4" t="s">
        <v>5072</v>
      </c>
      <c r="O1561" s="4"/>
    </row>
    <row r="1562" spans="1:15" x14ac:dyDescent="0.2">
      <c r="A1562" s="2">
        <v>40007766</v>
      </c>
      <c r="B1562" s="2" t="s">
        <v>2938</v>
      </c>
      <c r="C1562" s="5" t="s">
        <v>8636</v>
      </c>
      <c r="D1562" s="21">
        <v>8</v>
      </c>
      <c r="E1562" s="21"/>
      <c r="F1562" s="21" t="s">
        <v>10438</v>
      </c>
      <c r="G1562" s="21"/>
      <c r="H1562" s="54">
        <v>564</v>
      </c>
      <c r="I1562" s="51"/>
      <c r="J1562" s="27"/>
      <c r="K1562" s="27"/>
      <c r="L1562" s="15"/>
      <c r="M1562" s="15"/>
      <c r="N1562" s="4" t="s">
        <v>5064</v>
      </c>
      <c r="O1562" s="4">
        <v>11</v>
      </c>
    </row>
    <row r="1563" spans="1:15" x14ac:dyDescent="0.2">
      <c r="A1563" s="2">
        <v>40007788</v>
      </c>
      <c r="B1563" s="2" t="s">
        <v>2959</v>
      </c>
      <c r="C1563" s="5" t="s">
        <v>8658</v>
      </c>
      <c r="D1563" s="21">
        <v>9</v>
      </c>
      <c r="E1563" s="21"/>
      <c r="F1563" s="30">
        <v>1</v>
      </c>
      <c r="G1563" s="21"/>
      <c r="H1563" s="54">
        <v>590</v>
      </c>
      <c r="I1563" s="51"/>
      <c r="J1563" s="27"/>
      <c r="K1563" s="27"/>
      <c r="L1563" s="15">
        <v>2</v>
      </c>
      <c r="M1563" s="15"/>
      <c r="N1563" s="4" t="s">
        <v>5075</v>
      </c>
      <c r="O1563" s="4"/>
    </row>
    <row r="1564" spans="1:15" x14ac:dyDescent="0.2">
      <c r="A1564" s="2">
        <v>40006759</v>
      </c>
      <c r="B1564" s="2" t="s">
        <v>2062</v>
      </c>
      <c r="C1564" s="5" t="s">
        <v>7774</v>
      </c>
      <c r="D1564" s="21">
        <v>2</v>
      </c>
      <c r="E1564" s="21"/>
      <c r="F1564" s="21" t="s">
        <v>10438</v>
      </c>
      <c r="G1564" s="21"/>
      <c r="H1564" s="54">
        <v>715</v>
      </c>
      <c r="I1564" s="51"/>
      <c r="J1564" s="27"/>
      <c r="K1564" s="27"/>
      <c r="L1564" s="15"/>
      <c r="M1564" s="15"/>
      <c r="N1564" s="4"/>
      <c r="O1564" s="4">
        <v>15</v>
      </c>
    </row>
    <row r="1565" spans="1:15" x14ac:dyDescent="0.2">
      <c r="A1565" s="2">
        <v>40006762</v>
      </c>
      <c r="B1565" s="2" t="s">
        <v>2065</v>
      </c>
      <c r="C1565" s="5" t="s">
        <v>7777</v>
      </c>
      <c r="D1565" s="21">
        <v>1</v>
      </c>
      <c r="E1565" s="21"/>
      <c r="F1565" s="21" t="s">
        <v>10438</v>
      </c>
      <c r="G1565" s="21"/>
      <c r="H1565" s="54">
        <v>930</v>
      </c>
      <c r="I1565" s="51"/>
      <c r="J1565" s="27"/>
      <c r="K1565" s="27"/>
      <c r="L1565" s="15"/>
      <c r="M1565" s="15"/>
      <c r="N1565" s="4"/>
      <c r="O1565" s="4">
        <v>14</v>
      </c>
    </row>
    <row r="1566" spans="1:15" x14ac:dyDescent="0.2">
      <c r="A1566" s="2">
        <v>40007757</v>
      </c>
      <c r="B1566" s="2" t="s">
        <v>2929</v>
      </c>
      <c r="C1566" s="5" t="s">
        <v>8628</v>
      </c>
      <c r="D1566" s="21">
        <v>10</v>
      </c>
      <c r="E1566" s="21"/>
      <c r="F1566" s="21" t="s">
        <v>10438</v>
      </c>
      <c r="G1566" s="21"/>
      <c r="H1566" s="54">
        <v>765</v>
      </c>
      <c r="I1566" s="51"/>
      <c r="J1566" s="27"/>
      <c r="K1566" s="27"/>
      <c r="L1566" s="15"/>
      <c r="M1566" s="15"/>
      <c r="N1566" s="4" t="s">
        <v>4960</v>
      </c>
      <c r="O1566" s="4">
        <v>10</v>
      </c>
    </row>
    <row r="1567" spans="1:15" x14ac:dyDescent="0.2">
      <c r="A1567" s="2">
        <v>40006751</v>
      </c>
      <c r="B1567" s="2" t="s">
        <v>2054</v>
      </c>
      <c r="C1567" s="5" t="s">
        <v>7766</v>
      </c>
      <c r="D1567" s="21">
        <v>2</v>
      </c>
      <c r="E1567" s="21"/>
      <c r="F1567" s="21" t="s">
        <v>10438</v>
      </c>
      <c r="G1567" s="21"/>
      <c r="H1567" s="54">
        <v>905</v>
      </c>
      <c r="I1567" s="51"/>
      <c r="J1567" s="27"/>
      <c r="K1567" s="27"/>
      <c r="L1567" s="15"/>
      <c r="M1567" s="15"/>
      <c r="N1567" s="4"/>
      <c r="O1567" s="4">
        <v>16</v>
      </c>
    </row>
    <row r="1568" spans="1:15" x14ac:dyDescent="0.2">
      <c r="A1568" s="2">
        <v>40007754</v>
      </c>
      <c r="B1568" s="2" t="s">
        <v>3832</v>
      </c>
      <c r="C1568" s="5" t="s">
        <v>8625</v>
      </c>
      <c r="D1568" s="21">
        <v>5</v>
      </c>
      <c r="E1568" s="21"/>
      <c r="F1568" s="30">
        <v>1</v>
      </c>
      <c r="G1568" s="21"/>
      <c r="H1568" s="54">
        <v>918</v>
      </c>
      <c r="I1568" s="51"/>
      <c r="J1568" s="27"/>
      <c r="K1568" s="27"/>
      <c r="L1568" s="15"/>
      <c r="M1568" s="15">
        <v>1</v>
      </c>
      <c r="N1568" s="4" t="s">
        <v>5059</v>
      </c>
      <c r="O1568" s="4"/>
    </row>
    <row r="1569" spans="1:15" x14ac:dyDescent="0.2">
      <c r="A1569" s="2">
        <v>40006807</v>
      </c>
      <c r="B1569" s="2" t="s">
        <v>2106</v>
      </c>
      <c r="C1569" s="5" t="s">
        <v>7815</v>
      </c>
      <c r="D1569" s="21">
        <v>2</v>
      </c>
      <c r="E1569" s="21"/>
      <c r="F1569" s="21" t="s">
        <v>10438</v>
      </c>
      <c r="G1569" s="21"/>
      <c r="H1569" s="54">
        <v>846</v>
      </c>
      <c r="I1569" s="51"/>
      <c r="J1569" s="27"/>
      <c r="K1569" s="27"/>
      <c r="L1569" s="15"/>
      <c r="M1569" s="15"/>
      <c r="N1569" s="4"/>
      <c r="O1569" s="4">
        <v>26</v>
      </c>
    </row>
    <row r="1570" spans="1:15" x14ac:dyDescent="0.2">
      <c r="A1570" s="2">
        <v>40007755</v>
      </c>
      <c r="B1570" s="2" t="s">
        <v>3913</v>
      </c>
      <c r="C1570" s="5" t="s">
        <v>8626</v>
      </c>
      <c r="D1570" s="21"/>
      <c r="E1570" s="21"/>
      <c r="F1570" s="21" t="s">
        <v>10438</v>
      </c>
      <c r="G1570" s="21"/>
      <c r="H1570" s="54">
        <v>963</v>
      </c>
      <c r="I1570" s="51"/>
      <c r="J1570" s="27"/>
      <c r="K1570" s="27"/>
      <c r="L1570" s="15"/>
      <c r="M1570" s="15"/>
      <c r="N1570" s="4" t="s">
        <v>4627</v>
      </c>
      <c r="O1570" s="4"/>
    </row>
    <row r="1571" spans="1:15" x14ac:dyDescent="0.2">
      <c r="A1571" s="2">
        <v>40007773</v>
      </c>
      <c r="B1571" s="2" t="s">
        <v>2944</v>
      </c>
      <c r="C1571" s="5" t="s">
        <v>8643</v>
      </c>
      <c r="D1571" s="21">
        <v>1</v>
      </c>
      <c r="E1571" s="21"/>
      <c r="F1571" s="21" t="s">
        <v>10438</v>
      </c>
      <c r="G1571" s="21"/>
      <c r="H1571" s="54">
        <v>655</v>
      </c>
      <c r="I1571" s="51"/>
      <c r="J1571" s="27"/>
      <c r="K1571" s="27"/>
      <c r="L1571" s="15"/>
      <c r="M1571" s="15"/>
      <c r="N1571" s="4"/>
      <c r="O1571" s="4">
        <v>14</v>
      </c>
    </row>
    <row r="1572" spans="1:15" x14ac:dyDescent="0.2">
      <c r="A1572" s="2">
        <v>40007554</v>
      </c>
      <c r="B1572" s="2" t="s">
        <v>2754</v>
      </c>
      <c r="C1572" s="5" t="s">
        <v>8454</v>
      </c>
      <c r="D1572" s="21">
        <v>4</v>
      </c>
      <c r="E1572" s="21"/>
      <c r="F1572" s="21" t="s">
        <v>10438</v>
      </c>
      <c r="G1572" s="21"/>
      <c r="H1572" s="54">
        <v>440</v>
      </c>
      <c r="I1572" s="51"/>
      <c r="J1572" s="27"/>
      <c r="K1572" s="27"/>
      <c r="L1572" s="15"/>
      <c r="M1572" s="15">
        <v>2</v>
      </c>
      <c r="N1572" s="4" t="s">
        <v>10038</v>
      </c>
      <c r="O1572" s="4"/>
    </row>
    <row r="1573" spans="1:15" x14ac:dyDescent="0.2">
      <c r="A1573" s="2">
        <v>40006253</v>
      </c>
      <c r="B1573" s="2" t="s">
        <v>1630</v>
      </c>
      <c r="C1573" s="5" t="s">
        <v>7334</v>
      </c>
      <c r="D1573" s="21">
        <v>1</v>
      </c>
      <c r="E1573" s="21"/>
      <c r="F1573" s="21" t="s">
        <v>10438</v>
      </c>
      <c r="G1573" s="21"/>
      <c r="H1573" s="54">
        <v>246</v>
      </c>
      <c r="I1573" s="51"/>
      <c r="J1573" s="27"/>
      <c r="K1573" s="27"/>
      <c r="L1573" s="15"/>
      <c r="M1573" s="15"/>
      <c r="N1573" s="4" t="s">
        <v>4478</v>
      </c>
      <c r="O1573" s="4"/>
    </row>
    <row r="1574" spans="1:15" x14ac:dyDescent="0.2">
      <c r="A1574" s="2">
        <v>40007180</v>
      </c>
      <c r="B1574" s="2" t="s">
        <v>2447</v>
      </c>
      <c r="C1574" s="5" t="s">
        <v>8149</v>
      </c>
      <c r="D1574" s="21">
        <v>13</v>
      </c>
      <c r="E1574" s="21"/>
      <c r="F1574" s="21" t="s">
        <v>10438</v>
      </c>
      <c r="G1574" s="21"/>
      <c r="H1574" s="54">
        <v>611</v>
      </c>
      <c r="I1574" s="51"/>
      <c r="J1574" s="27"/>
      <c r="K1574" s="27"/>
      <c r="L1574" s="15"/>
      <c r="M1574" s="15"/>
      <c r="N1574" s="4" t="s">
        <v>4862</v>
      </c>
      <c r="O1574" s="4">
        <v>11</v>
      </c>
    </row>
    <row r="1575" spans="1:15" x14ac:dyDescent="0.2">
      <c r="A1575" s="2">
        <v>40005667</v>
      </c>
      <c r="B1575" s="2" t="s">
        <v>1104</v>
      </c>
      <c r="C1575" s="5" t="s">
        <v>6822</v>
      </c>
      <c r="D1575" s="21">
        <v>9</v>
      </c>
      <c r="E1575" s="21"/>
      <c r="F1575" s="21" t="s">
        <v>10438</v>
      </c>
      <c r="G1575" s="21"/>
      <c r="H1575" s="54">
        <v>798</v>
      </c>
      <c r="I1575" s="51"/>
      <c r="J1575" s="27"/>
      <c r="K1575" s="27"/>
      <c r="L1575" s="15"/>
      <c r="M1575" s="15"/>
      <c r="N1575" s="4" t="s">
        <v>4205</v>
      </c>
      <c r="O1575" s="4"/>
    </row>
    <row r="1576" spans="1:15" x14ac:dyDescent="0.2">
      <c r="A1576" s="2">
        <v>40007007</v>
      </c>
      <c r="B1576" s="7" t="s">
        <v>10442</v>
      </c>
      <c r="C1576" s="5" t="s">
        <v>7998</v>
      </c>
      <c r="D1576" s="21">
        <v>7</v>
      </c>
      <c r="E1576" s="21"/>
      <c r="F1576" s="30">
        <v>2</v>
      </c>
      <c r="G1576" s="21"/>
      <c r="H1576" s="54">
        <v>377</v>
      </c>
      <c r="I1576" s="51"/>
      <c r="J1576" s="27"/>
      <c r="K1576" s="27"/>
      <c r="L1576" s="15"/>
      <c r="M1576" s="15">
        <v>5</v>
      </c>
      <c r="N1576" s="4" t="s">
        <v>4788</v>
      </c>
      <c r="O1576" s="4"/>
    </row>
    <row r="1577" spans="1:15" x14ac:dyDescent="0.2">
      <c r="A1577" s="2">
        <v>40007817</v>
      </c>
      <c r="B1577" s="2" t="s">
        <v>2982</v>
      </c>
      <c r="C1577" s="5" t="s">
        <v>8681</v>
      </c>
      <c r="D1577" s="21">
        <v>5</v>
      </c>
      <c r="E1577" s="21"/>
      <c r="F1577" s="21" t="s">
        <v>10438</v>
      </c>
      <c r="G1577" s="21"/>
      <c r="H1577" s="54">
        <v>347</v>
      </c>
      <c r="I1577" s="51"/>
      <c r="J1577" s="27"/>
      <c r="K1577" s="27"/>
      <c r="L1577" s="15"/>
      <c r="M1577" s="15">
        <v>1</v>
      </c>
      <c r="N1577" s="4" t="s">
        <v>5091</v>
      </c>
      <c r="O1577" s="4">
        <v>11</v>
      </c>
    </row>
    <row r="1578" spans="1:15" x14ac:dyDescent="0.2">
      <c r="A1578" s="2">
        <v>40007791</v>
      </c>
      <c r="B1578" s="2" t="s">
        <v>2962</v>
      </c>
      <c r="C1578" s="5" t="s">
        <v>8660</v>
      </c>
      <c r="D1578" s="21">
        <v>9</v>
      </c>
      <c r="E1578" s="21"/>
      <c r="F1578" s="21" t="s">
        <v>10438</v>
      </c>
      <c r="G1578" s="21"/>
      <c r="H1578" s="54">
        <v>199</v>
      </c>
      <c r="I1578" s="51"/>
      <c r="J1578" s="27"/>
      <c r="K1578" s="27"/>
      <c r="L1578" s="15"/>
      <c r="M1578" s="15"/>
      <c r="N1578" s="4" t="s">
        <v>5076</v>
      </c>
      <c r="O1578" s="4"/>
    </row>
    <row r="1579" spans="1:15" x14ac:dyDescent="0.2">
      <c r="A1579" s="2">
        <v>40007761</v>
      </c>
      <c r="B1579" s="2" t="s">
        <v>2933</v>
      </c>
      <c r="C1579" s="5" t="s">
        <v>8632</v>
      </c>
      <c r="D1579" s="21">
        <v>2</v>
      </c>
      <c r="E1579" s="21"/>
      <c r="F1579" s="21" t="s">
        <v>10438</v>
      </c>
      <c r="G1579" s="21"/>
      <c r="H1579" s="54">
        <v>745</v>
      </c>
      <c r="I1579" s="51"/>
      <c r="J1579" s="27"/>
      <c r="K1579" s="27"/>
      <c r="L1579" s="15"/>
      <c r="M1579" s="15"/>
      <c r="N1579" s="4"/>
      <c r="O1579" s="4">
        <v>11</v>
      </c>
    </row>
    <row r="1580" spans="1:15" x14ac:dyDescent="0.2">
      <c r="A1580" s="2">
        <v>40007756</v>
      </c>
      <c r="B1580" s="2" t="s">
        <v>2928</v>
      </c>
      <c r="C1580" s="5" t="s">
        <v>8627</v>
      </c>
      <c r="D1580" s="21">
        <v>39</v>
      </c>
      <c r="E1580" s="21"/>
      <c r="F1580" s="30">
        <v>5</v>
      </c>
      <c r="G1580" s="21"/>
      <c r="H1580" s="54">
        <v>372</v>
      </c>
      <c r="I1580" s="51"/>
      <c r="J1580" s="27"/>
      <c r="K1580" s="27"/>
      <c r="L1580" s="15">
        <v>20</v>
      </c>
      <c r="M1580" s="15"/>
      <c r="N1580" s="4" t="s">
        <v>5060</v>
      </c>
      <c r="O1580" s="4">
        <v>44</v>
      </c>
    </row>
    <row r="1581" spans="1:15" x14ac:dyDescent="0.2">
      <c r="A1581" s="2">
        <v>40007220</v>
      </c>
      <c r="B1581" s="2" t="s">
        <v>2478</v>
      </c>
      <c r="C1581" s="5" t="s">
        <v>8180</v>
      </c>
      <c r="D1581" s="21">
        <v>19</v>
      </c>
      <c r="E1581" s="21"/>
      <c r="F1581" s="21" t="s">
        <v>10438</v>
      </c>
      <c r="G1581" s="21"/>
      <c r="H1581" s="54">
        <v>376</v>
      </c>
      <c r="I1581" s="51"/>
      <c r="J1581" s="27"/>
      <c r="K1581" s="27"/>
      <c r="L1581" s="15"/>
      <c r="M1581" s="15"/>
      <c r="N1581" s="4" t="s">
        <v>4878</v>
      </c>
      <c r="O1581" s="4">
        <v>45</v>
      </c>
    </row>
    <row r="1582" spans="1:15" x14ac:dyDescent="0.2">
      <c r="A1582" s="2">
        <v>40008143</v>
      </c>
      <c r="B1582" s="2" t="s">
        <v>3266</v>
      </c>
      <c r="C1582" s="5" t="s">
        <v>8962</v>
      </c>
      <c r="D1582" s="21">
        <v>5</v>
      </c>
      <c r="E1582" s="21"/>
      <c r="F1582" s="21" t="s">
        <v>10438</v>
      </c>
      <c r="G1582" s="21"/>
      <c r="H1582" s="54">
        <v>125</v>
      </c>
      <c r="I1582" s="51"/>
      <c r="J1582" s="27"/>
      <c r="K1582" s="27"/>
      <c r="L1582" s="15"/>
      <c r="M1582" s="15"/>
      <c r="N1582" s="4" t="s">
        <v>4818</v>
      </c>
      <c r="O1582" s="4">
        <v>45</v>
      </c>
    </row>
    <row r="1583" spans="1:15" x14ac:dyDescent="0.2">
      <c r="A1583" s="2">
        <v>40006739</v>
      </c>
      <c r="B1583" s="2" t="s">
        <v>2044</v>
      </c>
      <c r="C1583" s="5" t="s">
        <v>7754</v>
      </c>
      <c r="D1583" s="21">
        <v>2</v>
      </c>
      <c r="E1583" s="21"/>
      <c r="F1583" s="21" t="s">
        <v>10438</v>
      </c>
      <c r="G1583" s="21"/>
      <c r="H1583" s="54">
        <v>350</v>
      </c>
      <c r="I1583" s="51"/>
      <c r="J1583" s="27"/>
      <c r="K1583" s="27"/>
      <c r="L1583" s="15"/>
      <c r="M1583" s="15"/>
      <c r="N1583" s="4"/>
      <c r="O1583" s="4">
        <v>44</v>
      </c>
    </row>
    <row r="1584" spans="1:15" x14ac:dyDescent="0.2">
      <c r="A1584" s="2">
        <v>40010364</v>
      </c>
      <c r="B1584" s="2" t="s">
        <v>3512</v>
      </c>
      <c r="C1584" s="5" t="s">
        <v>9213</v>
      </c>
      <c r="D1584" s="21">
        <v>12</v>
      </c>
      <c r="E1584" s="21"/>
      <c r="F1584" s="30">
        <v>1</v>
      </c>
      <c r="G1584" s="21"/>
      <c r="H1584" s="54">
        <v>183</v>
      </c>
      <c r="I1584" s="51"/>
      <c r="J1584" s="27"/>
      <c r="K1584" s="27"/>
      <c r="L1584" s="15">
        <v>4</v>
      </c>
      <c r="M1584" s="15"/>
      <c r="N1584" s="4" t="s">
        <v>5270</v>
      </c>
      <c r="O1584" s="4"/>
    </row>
    <row r="1585" spans="1:15" x14ac:dyDescent="0.2">
      <c r="A1585" s="2">
        <v>40006766</v>
      </c>
      <c r="B1585" s="2" t="s">
        <v>2069</v>
      </c>
      <c r="C1585" s="5" t="s">
        <v>7781</v>
      </c>
      <c r="D1585" s="21">
        <v>8</v>
      </c>
      <c r="E1585" s="21"/>
      <c r="F1585" s="21" t="s">
        <v>10438</v>
      </c>
      <c r="G1585" s="21"/>
      <c r="H1585" s="54">
        <v>59</v>
      </c>
      <c r="I1585" s="51"/>
      <c r="J1585" s="27"/>
      <c r="K1585" s="27"/>
      <c r="L1585" s="15"/>
      <c r="M1585" s="15"/>
      <c r="N1585" s="4" t="s">
        <v>4674</v>
      </c>
      <c r="O1585" s="4">
        <v>71</v>
      </c>
    </row>
    <row r="1586" spans="1:15" x14ac:dyDescent="0.2">
      <c r="A1586" s="2">
        <v>40007814</v>
      </c>
      <c r="B1586" s="2" t="s">
        <v>2981</v>
      </c>
      <c r="C1586" s="5" t="s">
        <v>8679</v>
      </c>
      <c r="D1586" s="21">
        <v>11</v>
      </c>
      <c r="E1586" s="21"/>
      <c r="F1586" s="21" t="s">
        <v>10438</v>
      </c>
      <c r="G1586" s="21"/>
      <c r="H1586" s="54">
        <v>146</v>
      </c>
      <c r="I1586" s="51"/>
      <c r="J1586" s="27"/>
      <c r="K1586" s="27"/>
      <c r="L1586" s="15"/>
      <c r="M1586" s="15"/>
      <c r="N1586" s="4" t="s">
        <v>4055</v>
      </c>
      <c r="O1586" s="4">
        <v>7</v>
      </c>
    </row>
    <row r="1587" spans="1:15" x14ac:dyDescent="0.2">
      <c r="A1587" s="2">
        <v>40006993</v>
      </c>
      <c r="B1587" s="2" t="s">
        <v>2279</v>
      </c>
      <c r="C1587" s="5" t="s">
        <v>7987</v>
      </c>
      <c r="D1587" s="21">
        <v>2</v>
      </c>
      <c r="E1587" s="21"/>
      <c r="F1587" s="21" t="s">
        <v>10438</v>
      </c>
      <c r="G1587" s="21"/>
      <c r="H1587" s="54">
        <v>162</v>
      </c>
      <c r="I1587" s="51"/>
      <c r="J1587" s="27"/>
      <c r="K1587" s="27"/>
      <c r="L1587" s="15"/>
      <c r="M1587" s="15">
        <v>1</v>
      </c>
      <c r="N1587" s="4" t="s">
        <v>4289</v>
      </c>
      <c r="O1587" s="4"/>
    </row>
    <row r="1588" spans="1:15" x14ac:dyDescent="0.2">
      <c r="A1588" s="2">
        <v>40006334</v>
      </c>
      <c r="B1588" s="2" t="s">
        <v>3696</v>
      </c>
      <c r="C1588" s="5" t="s">
        <v>7410</v>
      </c>
      <c r="D1588" s="21">
        <v>13</v>
      </c>
      <c r="E1588" s="21"/>
      <c r="F1588" s="21" t="s">
        <v>10438</v>
      </c>
      <c r="G1588" s="21"/>
      <c r="H1588" s="54">
        <v>291</v>
      </c>
      <c r="I1588" s="51"/>
      <c r="J1588" s="27"/>
      <c r="K1588" s="27"/>
      <c r="L1588" s="15">
        <v>6</v>
      </c>
      <c r="M1588" s="15"/>
      <c r="N1588" s="4" t="s">
        <v>4532</v>
      </c>
      <c r="O1588" s="4"/>
    </row>
    <row r="1589" spans="1:15" x14ac:dyDescent="0.2">
      <c r="A1589" s="2">
        <v>40006402</v>
      </c>
      <c r="B1589" s="2" t="s">
        <v>1762</v>
      </c>
      <c r="C1589" s="5" t="s">
        <v>7473</v>
      </c>
      <c r="D1589" s="21">
        <v>14</v>
      </c>
      <c r="E1589" s="21"/>
      <c r="F1589" s="21" t="s">
        <v>10438</v>
      </c>
      <c r="G1589" s="21"/>
      <c r="H1589" s="54">
        <v>239</v>
      </c>
      <c r="I1589" s="51"/>
      <c r="J1589" s="27"/>
      <c r="K1589" s="27"/>
      <c r="L1589" s="15"/>
      <c r="M1589" s="15"/>
      <c r="N1589" s="4" t="s">
        <v>4561</v>
      </c>
      <c r="O1589" s="4">
        <v>45</v>
      </c>
    </row>
    <row r="1590" spans="1:15" x14ac:dyDescent="0.2">
      <c r="A1590" s="2">
        <v>40007151</v>
      </c>
      <c r="B1590" s="2" t="s">
        <v>2419</v>
      </c>
      <c r="C1590" s="5" t="s">
        <v>8121</v>
      </c>
      <c r="D1590" s="21">
        <v>5</v>
      </c>
      <c r="E1590" s="21"/>
      <c r="F1590" s="21" t="s">
        <v>10438</v>
      </c>
      <c r="G1590" s="21"/>
      <c r="H1590" s="54">
        <v>312</v>
      </c>
      <c r="I1590" s="51"/>
      <c r="J1590" s="27"/>
      <c r="K1590" s="27"/>
      <c r="L1590" s="15"/>
      <c r="M1590" s="15">
        <v>2</v>
      </c>
      <c r="N1590" s="4" t="s">
        <v>4848</v>
      </c>
      <c r="O1590" s="4"/>
    </row>
    <row r="1591" spans="1:15" x14ac:dyDescent="0.2">
      <c r="A1591" s="2">
        <v>40006758</v>
      </c>
      <c r="B1591" s="2" t="s">
        <v>2061</v>
      </c>
      <c r="C1591" s="5" t="s">
        <v>7773</v>
      </c>
      <c r="D1591" s="21">
        <v>14</v>
      </c>
      <c r="E1591" s="21"/>
      <c r="F1591" s="21" t="s">
        <v>10438</v>
      </c>
      <c r="G1591" s="21"/>
      <c r="H1591" s="54">
        <v>311</v>
      </c>
      <c r="I1591" s="51"/>
      <c r="J1591" s="27"/>
      <c r="K1591" s="27"/>
      <c r="L1591" s="15"/>
      <c r="M1591" s="15"/>
      <c r="N1591" s="4" t="s">
        <v>4671</v>
      </c>
      <c r="O1591" s="4">
        <v>71</v>
      </c>
    </row>
    <row r="1592" spans="1:15" x14ac:dyDescent="0.2">
      <c r="A1592" s="2">
        <v>40007785</v>
      </c>
      <c r="B1592" s="2" t="s">
        <v>2956</v>
      </c>
      <c r="C1592" s="5" t="s">
        <v>8655</v>
      </c>
      <c r="D1592" s="21">
        <v>3</v>
      </c>
      <c r="E1592" s="21"/>
      <c r="F1592" s="21" t="s">
        <v>10438</v>
      </c>
      <c r="G1592" s="21"/>
      <c r="H1592" s="54">
        <v>265</v>
      </c>
      <c r="I1592" s="51"/>
      <c r="J1592" s="27"/>
      <c r="K1592" s="27"/>
      <c r="L1592" s="15"/>
      <c r="M1592" s="15"/>
      <c r="N1592" s="4" t="s">
        <v>4254</v>
      </c>
      <c r="O1592" s="4"/>
    </row>
    <row r="1593" spans="1:15" x14ac:dyDescent="0.2">
      <c r="A1593" s="2">
        <v>40006768</v>
      </c>
      <c r="B1593" s="2" t="s">
        <v>2071</v>
      </c>
      <c r="C1593" s="5" t="s">
        <v>7783</v>
      </c>
      <c r="D1593" s="21">
        <v>2</v>
      </c>
      <c r="E1593" s="21"/>
      <c r="F1593" s="21" t="s">
        <v>10438</v>
      </c>
      <c r="G1593" s="21"/>
      <c r="H1593" s="54">
        <v>385</v>
      </c>
      <c r="I1593" s="51"/>
      <c r="J1593" s="27"/>
      <c r="K1593" s="27"/>
      <c r="L1593" s="15"/>
      <c r="M1593" s="15"/>
      <c r="N1593" s="4"/>
      <c r="O1593" s="4">
        <v>44</v>
      </c>
    </row>
    <row r="1594" spans="1:15" x14ac:dyDescent="0.2">
      <c r="A1594" s="2">
        <v>40006755</v>
      </c>
      <c r="B1594" s="2" t="s">
        <v>2058</v>
      </c>
      <c r="C1594" s="5" t="s">
        <v>7770</v>
      </c>
      <c r="D1594" s="21">
        <v>12</v>
      </c>
      <c r="E1594" s="21"/>
      <c r="F1594" s="21" t="s">
        <v>10438</v>
      </c>
      <c r="G1594" s="21"/>
      <c r="H1594" s="54">
        <v>201</v>
      </c>
      <c r="I1594" s="51"/>
      <c r="J1594" s="27"/>
      <c r="K1594" s="27"/>
      <c r="L1594" s="15"/>
      <c r="M1594" s="15"/>
      <c r="N1594" s="4" t="s">
        <v>4669</v>
      </c>
      <c r="O1594" s="4">
        <v>45</v>
      </c>
    </row>
    <row r="1595" spans="1:15" x14ac:dyDescent="0.2">
      <c r="A1595" s="2">
        <v>40005707</v>
      </c>
      <c r="B1595" s="2" t="s">
        <v>1137</v>
      </c>
      <c r="C1595" s="5" t="s">
        <v>5319</v>
      </c>
      <c r="D1595" s="21"/>
      <c r="E1595" s="21"/>
      <c r="F1595" s="21" t="s">
        <v>10438</v>
      </c>
      <c r="G1595" s="21"/>
      <c r="H1595" s="54">
        <v>189</v>
      </c>
      <c r="I1595" s="51"/>
      <c r="J1595" s="27"/>
      <c r="K1595" s="27"/>
      <c r="L1595" s="15"/>
      <c r="M1595" s="15"/>
      <c r="N1595" s="4" t="s">
        <v>4227</v>
      </c>
      <c r="O1595" s="4"/>
    </row>
    <row r="1596" spans="1:15" x14ac:dyDescent="0.2">
      <c r="A1596" s="2">
        <v>40006765</v>
      </c>
      <c r="B1596" s="2" t="s">
        <v>2068</v>
      </c>
      <c r="C1596" s="5" t="s">
        <v>7780</v>
      </c>
      <c r="D1596" s="21">
        <v>5</v>
      </c>
      <c r="E1596" s="21"/>
      <c r="F1596" s="21" t="s">
        <v>10438</v>
      </c>
      <c r="G1596" s="21"/>
      <c r="H1596" s="54">
        <v>176</v>
      </c>
      <c r="I1596" s="51"/>
      <c r="J1596" s="27"/>
      <c r="K1596" s="27"/>
      <c r="L1596" s="15"/>
      <c r="M1596" s="15"/>
      <c r="N1596" s="4" t="s">
        <v>4673</v>
      </c>
      <c r="O1596" s="4"/>
    </row>
    <row r="1597" spans="1:15" x14ac:dyDescent="0.2">
      <c r="A1597" s="2">
        <v>40003881</v>
      </c>
      <c r="B1597" s="2" t="s">
        <v>709</v>
      </c>
      <c r="C1597" s="5" t="s">
        <v>6423</v>
      </c>
      <c r="D1597" s="21">
        <v>1</v>
      </c>
      <c r="E1597" s="21"/>
      <c r="F1597" s="21" t="s">
        <v>10438</v>
      </c>
      <c r="G1597" s="21"/>
      <c r="H1597" s="54">
        <v>185</v>
      </c>
      <c r="I1597" s="51"/>
      <c r="J1597" s="27"/>
      <c r="K1597" s="27"/>
      <c r="L1597" s="15"/>
      <c r="M1597" s="15"/>
      <c r="N1597" s="4" t="s">
        <v>10039</v>
      </c>
      <c r="O1597" s="4"/>
    </row>
    <row r="1598" spans="1:15" x14ac:dyDescent="0.2">
      <c r="A1598" s="2">
        <v>40006196</v>
      </c>
      <c r="B1598" s="2" t="s">
        <v>1579</v>
      </c>
      <c r="C1598" s="10" t="s">
        <v>7286</v>
      </c>
      <c r="D1598" s="21">
        <v>27</v>
      </c>
      <c r="E1598" s="21"/>
      <c r="F1598" s="30">
        <v>1</v>
      </c>
      <c r="G1598" s="21"/>
      <c r="H1598" s="54">
        <v>393</v>
      </c>
      <c r="I1598" s="51"/>
      <c r="J1598" s="27"/>
      <c r="K1598" s="27"/>
      <c r="L1598" s="15"/>
      <c r="M1598" s="15">
        <v>5</v>
      </c>
      <c r="N1598" s="4" t="s">
        <v>10040</v>
      </c>
      <c r="O1598" s="4">
        <v>24</v>
      </c>
    </row>
    <row r="1599" spans="1:15" x14ac:dyDescent="0.2">
      <c r="A1599" s="2">
        <v>40007179</v>
      </c>
      <c r="B1599" s="2" t="s">
        <v>2446</v>
      </c>
      <c r="C1599" s="5" t="s">
        <v>8148</v>
      </c>
      <c r="D1599" s="21">
        <v>4</v>
      </c>
      <c r="E1599" s="21"/>
      <c r="F1599" s="21" t="s">
        <v>10438</v>
      </c>
      <c r="G1599" s="21"/>
      <c r="H1599" s="54">
        <v>403</v>
      </c>
      <c r="I1599" s="51"/>
      <c r="J1599" s="27"/>
      <c r="K1599" s="27"/>
      <c r="L1599" s="15"/>
      <c r="M1599" s="15"/>
      <c r="N1599" s="4" t="s">
        <v>4861</v>
      </c>
      <c r="O1599" s="4"/>
    </row>
    <row r="1600" spans="1:15" x14ac:dyDescent="0.2">
      <c r="A1600" s="2">
        <v>40008144</v>
      </c>
      <c r="B1600" s="2" t="s">
        <v>3267</v>
      </c>
      <c r="C1600" s="5" t="s">
        <v>8963</v>
      </c>
      <c r="D1600" s="21">
        <v>3</v>
      </c>
      <c r="E1600" s="21"/>
      <c r="F1600" s="21" t="s">
        <v>10438</v>
      </c>
      <c r="G1600" s="21"/>
      <c r="H1600" s="54">
        <v>500</v>
      </c>
      <c r="I1600" s="51"/>
      <c r="J1600" s="27"/>
      <c r="K1600" s="27"/>
      <c r="L1600" s="15"/>
      <c r="M1600" s="15">
        <v>2</v>
      </c>
      <c r="N1600" s="4" t="s">
        <v>5201</v>
      </c>
      <c r="O1600" s="4"/>
    </row>
    <row r="1601" spans="1:15" x14ac:dyDescent="0.2">
      <c r="A1601" s="2">
        <v>40007780</v>
      </c>
      <c r="B1601" s="2" t="s">
        <v>2951</v>
      </c>
      <c r="C1601" s="5" t="s">
        <v>8650</v>
      </c>
      <c r="D1601" s="21">
        <v>2</v>
      </c>
      <c r="E1601" s="21"/>
      <c r="F1601" s="21" t="s">
        <v>10438</v>
      </c>
      <c r="G1601" s="21"/>
      <c r="H1601" s="54">
        <v>578</v>
      </c>
      <c r="I1601" s="51"/>
      <c r="J1601" s="27"/>
      <c r="K1601" s="27"/>
      <c r="L1601" s="15"/>
      <c r="M1601" s="15"/>
      <c r="N1601" s="4" t="s">
        <v>5068</v>
      </c>
      <c r="O1601" s="4"/>
    </row>
    <row r="1602" spans="1:15" x14ac:dyDescent="0.2">
      <c r="A1602" s="2">
        <v>40006069</v>
      </c>
      <c r="B1602" s="2" t="s">
        <v>1463</v>
      </c>
      <c r="C1602" s="5" t="s">
        <v>7170</v>
      </c>
      <c r="D1602" s="21">
        <v>4</v>
      </c>
      <c r="E1602" s="21"/>
      <c r="F1602" s="21" t="s">
        <v>10438</v>
      </c>
      <c r="G1602" s="21"/>
      <c r="H1602" s="54">
        <v>194</v>
      </c>
      <c r="I1602" s="51"/>
      <c r="J1602" s="27"/>
      <c r="K1602" s="27"/>
      <c r="L1602" s="15"/>
      <c r="M1602" s="15"/>
      <c r="N1602" s="4"/>
      <c r="O1602" s="4">
        <v>42</v>
      </c>
    </row>
    <row r="1603" spans="1:15" x14ac:dyDescent="0.2">
      <c r="A1603" s="2">
        <v>40007866</v>
      </c>
      <c r="B1603" s="2" t="s">
        <v>3023</v>
      </c>
      <c r="C1603" s="5" t="s">
        <v>8722</v>
      </c>
      <c r="D1603" s="21">
        <v>9</v>
      </c>
      <c r="E1603" s="21"/>
      <c r="F1603" s="21" t="s">
        <v>10438</v>
      </c>
      <c r="G1603" s="21"/>
      <c r="H1603" s="54">
        <v>230</v>
      </c>
      <c r="I1603" s="51"/>
      <c r="J1603" s="27"/>
      <c r="K1603" s="27"/>
      <c r="L1603" s="15"/>
      <c r="M1603" s="15"/>
      <c r="N1603" s="4">
        <v>36</v>
      </c>
      <c r="O1603" s="4">
        <v>47</v>
      </c>
    </row>
    <row r="1604" spans="1:15" x14ac:dyDescent="0.2">
      <c r="A1604" s="2">
        <v>40005975</v>
      </c>
      <c r="B1604" s="7" t="s">
        <v>1380</v>
      </c>
      <c r="C1604" s="5" t="s">
        <v>7086</v>
      </c>
      <c r="D1604" s="21">
        <v>1</v>
      </c>
      <c r="E1604" s="21"/>
      <c r="F1604" s="21" t="s">
        <v>10438</v>
      </c>
      <c r="G1604" s="21"/>
      <c r="H1604" s="54">
        <v>165</v>
      </c>
      <c r="I1604" s="51"/>
      <c r="J1604" s="27"/>
      <c r="K1604" s="27"/>
      <c r="L1604" s="15"/>
      <c r="M1604" s="15"/>
      <c r="N1604" s="4" t="s">
        <v>4345</v>
      </c>
      <c r="O1604" s="4"/>
    </row>
    <row r="1605" spans="1:15" x14ac:dyDescent="0.2">
      <c r="A1605" s="2">
        <v>40007198</v>
      </c>
      <c r="B1605" s="2" t="s">
        <v>2463</v>
      </c>
      <c r="C1605" s="5" t="s">
        <v>8165</v>
      </c>
      <c r="D1605" s="21">
        <v>4</v>
      </c>
      <c r="E1605" s="21"/>
      <c r="F1605" s="21" t="s">
        <v>10438</v>
      </c>
      <c r="G1605" s="21"/>
      <c r="H1605" s="54">
        <v>131</v>
      </c>
      <c r="I1605" s="51"/>
      <c r="J1605" s="27"/>
      <c r="K1605" s="27"/>
      <c r="L1605" s="15"/>
      <c r="M1605" s="15"/>
      <c r="N1605" s="4" t="s">
        <v>4674</v>
      </c>
      <c r="O1605" s="4"/>
    </row>
    <row r="1606" spans="1:15" x14ac:dyDescent="0.2">
      <c r="A1606" s="2">
        <v>40008026</v>
      </c>
      <c r="B1606" s="2" t="s">
        <v>3166</v>
      </c>
      <c r="C1606" s="5" t="s">
        <v>8860</v>
      </c>
      <c r="D1606" s="21">
        <v>2</v>
      </c>
      <c r="E1606" s="21"/>
      <c r="F1606" s="30">
        <v>1</v>
      </c>
      <c r="G1606" s="21"/>
      <c r="H1606" s="54">
        <v>356</v>
      </c>
      <c r="I1606" s="51"/>
      <c r="J1606" s="27"/>
      <c r="K1606" s="27"/>
      <c r="L1606" s="15">
        <v>5</v>
      </c>
      <c r="M1606" s="15">
        <v>3</v>
      </c>
      <c r="N1606" s="4" t="s">
        <v>3987</v>
      </c>
      <c r="O1606" s="4"/>
    </row>
    <row r="1607" spans="1:15" x14ac:dyDescent="0.2">
      <c r="A1607" s="2">
        <v>40006996</v>
      </c>
      <c r="B1607" s="2" t="s">
        <v>2282</v>
      </c>
      <c r="C1607" s="5" t="s">
        <v>7990</v>
      </c>
      <c r="D1607" s="21">
        <v>5</v>
      </c>
      <c r="E1607" s="21"/>
      <c r="F1607" s="21" t="s">
        <v>10438</v>
      </c>
      <c r="G1607" s="21"/>
      <c r="H1607" s="54">
        <v>105</v>
      </c>
      <c r="I1607" s="51"/>
      <c r="J1607" s="27"/>
      <c r="K1607" s="27"/>
      <c r="L1607" s="15"/>
      <c r="M1607" s="15"/>
      <c r="N1607" s="4"/>
      <c r="O1607" s="4">
        <v>51</v>
      </c>
    </row>
    <row r="1608" spans="1:15" x14ac:dyDescent="0.2">
      <c r="A1608" s="2">
        <v>40008151</v>
      </c>
      <c r="B1608" s="2" t="s">
        <v>3274</v>
      </c>
      <c r="C1608" s="5" t="s">
        <v>8969</v>
      </c>
      <c r="D1608" s="21">
        <v>3</v>
      </c>
      <c r="E1608" s="21"/>
      <c r="F1608" s="30">
        <v>1</v>
      </c>
      <c r="G1608" s="21"/>
      <c r="H1608" s="54">
        <v>472</v>
      </c>
      <c r="I1608" s="51"/>
      <c r="J1608" s="27"/>
      <c r="K1608" s="27"/>
      <c r="L1608" s="15"/>
      <c r="M1608" s="15"/>
      <c r="N1608" s="4" t="s">
        <v>4057</v>
      </c>
      <c r="O1608" s="4"/>
    </row>
    <row r="1609" spans="1:15" x14ac:dyDescent="0.2">
      <c r="A1609" s="2">
        <v>40008289</v>
      </c>
      <c r="B1609" s="2" t="s">
        <v>3400</v>
      </c>
      <c r="C1609" s="5" t="s">
        <v>9092</v>
      </c>
      <c r="D1609" s="21">
        <v>3</v>
      </c>
      <c r="E1609" s="21"/>
      <c r="F1609" s="21" t="s">
        <v>10438</v>
      </c>
      <c r="G1609" s="21"/>
      <c r="H1609" s="54">
        <v>1198</v>
      </c>
      <c r="I1609" s="51"/>
      <c r="J1609" s="27"/>
      <c r="K1609" s="27"/>
      <c r="L1609" s="15"/>
      <c r="M1609" s="15"/>
      <c r="N1609" s="4"/>
      <c r="O1609" s="4">
        <v>47</v>
      </c>
    </row>
    <row r="1610" spans="1:15" x14ac:dyDescent="0.2">
      <c r="A1610" s="2">
        <v>40007762</v>
      </c>
      <c r="B1610" s="2" t="s">
        <v>2934</v>
      </c>
      <c r="C1610" s="5" t="s">
        <v>8633</v>
      </c>
      <c r="D1610" s="21">
        <v>12</v>
      </c>
      <c r="E1610" s="21"/>
      <c r="F1610" s="21" t="s">
        <v>10438</v>
      </c>
      <c r="G1610" s="21"/>
      <c r="H1610" s="54">
        <v>871</v>
      </c>
      <c r="I1610" s="51"/>
      <c r="J1610" s="27"/>
      <c r="K1610" s="27"/>
      <c r="L1610" s="15"/>
      <c r="M1610" s="15"/>
      <c r="N1610" s="4"/>
      <c r="O1610" s="4">
        <v>72</v>
      </c>
    </row>
    <row r="1611" spans="1:15" x14ac:dyDescent="0.2">
      <c r="A1611" s="2">
        <v>40007660</v>
      </c>
      <c r="B1611" s="2" t="s">
        <v>2839</v>
      </c>
      <c r="C1611" s="5" t="s">
        <v>8540</v>
      </c>
      <c r="D1611" s="21">
        <v>3</v>
      </c>
      <c r="E1611" s="21"/>
      <c r="F1611" s="30">
        <v>1</v>
      </c>
      <c r="G1611" s="21"/>
      <c r="H1611" s="54">
        <v>352</v>
      </c>
      <c r="I1611" s="51"/>
      <c r="J1611" s="27"/>
      <c r="K1611" s="27"/>
      <c r="L1611" s="15"/>
      <c r="M1611" s="15"/>
      <c r="N1611" s="4" t="s">
        <v>4873</v>
      </c>
      <c r="O1611" s="4">
        <v>47</v>
      </c>
    </row>
    <row r="1612" spans="1:15" x14ac:dyDescent="0.2">
      <c r="A1612" s="2">
        <v>40006227</v>
      </c>
      <c r="B1612" s="2" t="s">
        <v>1607</v>
      </c>
      <c r="C1612" s="5" t="s">
        <v>7311</v>
      </c>
      <c r="D1612" s="21">
        <v>3</v>
      </c>
      <c r="E1612" s="21"/>
      <c r="F1612" s="21" t="s">
        <v>10438</v>
      </c>
      <c r="G1612" s="21"/>
      <c r="H1612" s="54">
        <v>263</v>
      </c>
      <c r="I1612" s="51"/>
      <c r="J1612" s="27"/>
      <c r="K1612" s="27"/>
      <c r="L1612" s="15"/>
      <c r="M1612" s="15"/>
      <c r="N1612" s="4" t="s">
        <v>4479</v>
      </c>
      <c r="O1612" s="4"/>
    </row>
    <row r="1613" spans="1:15" x14ac:dyDescent="0.2">
      <c r="A1613" s="2">
        <v>40006735</v>
      </c>
      <c r="B1613" s="2" t="s">
        <v>2040</v>
      </c>
      <c r="C1613" s="5" t="s">
        <v>7750</v>
      </c>
      <c r="D1613" s="21">
        <v>9</v>
      </c>
      <c r="E1613" s="21"/>
      <c r="F1613" s="21" t="s">
        <v>10438</v>
      </c>
      <c r="G1613" s="21"/>
      <c r="H1613" s="54">
        <v>198</v>
      </c>
      <c r="I1613" s="51"/>
      <c r="J1613" s="27"/>
      <c r="K1613" s="27"/>
      <c r="L1613" s="15"/>
      <c r="M1613" s="15"/>
      <c r="N1613" s="4" t="s">
        <v>4638</v>
      </c>
      <c r="O1613" s="4">
        <v>104</v>
      </c>
    </row>
    <row r="1614" spans="1:15" x14ac:dyDescent="0.2">
      <c r="A1614" s="2">
        <v>40003882</v>
      </c>
      <c r="B1614" s="2" t="s">
        <v>710</v>
      </c>
      <c r="C1614" s="5" t="s">
        <v>6424</v>
      </c>
      <c r="D1614" s="21">
        <v>2</v>
      </c>
      <c r="E1614" s="21"/>
      <c r="F1614" s="21" t="s">
        <v>10438</v>
      </c>
      <c r="G1614" s="21"/>
      <c r="H1614" s="54">
        <v>313</v>
      </c>
      <c r="I1614" s="51"/>
      <c r="J1614" s="27"/>
      <c r="K1614" s="27"/>
      <c r="L1614" s="15"/>
      <c r="M1614" s="15"/>
      <c r="N1614" s="4" t="s">
        <v>3982</v>
      </c>
      <c r="O1614" s="4">
        <v>54</v>
      </c>
    </row>
    <row r="1615" spans="1:15" x14ac:dyDescent="0.2">
      <c r="A1615" s="2">
        <v>40007782</v>
      </c>
      <c r="B1615" s="2" t="s">
        <v>2953</v>
      </c>
      <c r="C1615" s="5" t="s">
        <v>8652</v>
      </c>
      <c r="D1615" s="21">
        <v>8</v>
      </c>
      <c r="E1615" s="21"/>
      <c r="F1615" s="21" t="s">
        <v>10438</v>
      </c>
      <c r="G1615" s="21"/>
      <c r="H1615" s="54">
        <v>148</v>
      </c>
      <c r="I1615" s="51"/>
      <c r="J1615" s="27"/>
      <c r="K1615" s="27"/>
      <c r="L1615" s="15"/>
      <c r="M1615" s="15"/>
      <c r="N1615" s="4" t="s">
        <v>4846</v>
      </c>
      <c r="O1615" s="4"/>
    </row>
    <row r="1616" spans="1:15" x14ac:dyDescent="0.2">
      <c r="A1616" s="2">
        <v>40007053</v>
      </c>
      <c r="B1616" s="2" t="s">
        <v>2330</v>
      </c>
      <c r="C1616" s="5" t="s">
        <v>8039</v>
      </c>
      <c r="D1616" s="21">
        <v>3</v>
      </c>
      <c r="E1616" s="21"/>
      <c r="F1616" s="30">
        <v>1</v>
      </c>
      <c r="G1616" s="21"/>
      <c r="H1616" s="54">
        <v>123</v>
      </c>
      <c r="I1616" s="51"/>
      <c r="J1616" s="27"/>
      <c r="K1616" s="27"/>
      <c r="L1616" s="15"/>
      <c r="M1616" s="15"/>
      <c r="N1616" s="4" t="s">
        <v>4660</v>
      </c>
      <c r="O1616" s="4"/>
    </row>
    <row r="1617" spans="1:15" x14ac:dyDescent="0.2">
      <c r="A1617" s="2">
        <v>40007792</v>
      </c>
      <c r="B1617" s="2" t="s">
        <v>2963</v>
      </c>
      <c r="C1617" s="5" t="s">
        <v>8661</v>
      </c>
      <c r="D1617" s="21">
        <v>6</v>
      </c>
      <c r="E1617" s="21"/>
      <c r="F1617" s="30">
        <v>1</v>
      </c>
      <c r="G1617" s="21"/>
      <c r="H1617" s="54">
        <v>143</v>
      </c>
      <c r="I1617" s="51"/>
      <c r="J1617" s="27"/>
      <c r="K1617" s="27"/>
      <c r="L1617" s="15"/>
      <c r="M1617" s="15"/>
      <c r="N1617" s="4" t="s">
        <v>5077</v>
      </c>
      <c r="O1617" s="4">
        <v>50</v>
      </c>
    </row>
    <row r="1618" spans="1:15" x14ac:dyDescent="0.2">
      <c r="A1618" s="2">
        <v>40007217</v>
      </c>
      <c r="B1618" s="2" t="s">
        <v>2476</v>
      </c>
      <c r="C1618" s="5" t="s">
        <v>8177</v>
      </c>
      <c r="D1618" s="21">
        <v>2</v>
      </c>
      <c r="E1618" s="21"/>
      <c r="F1618" s="21" t="s">
        <v>10438</v>
      </c>
      <c r="G1618" s="21"/>
      <c r="H1618" s="54">
        <v>230</v>
      </c>
      <c r="I1618" s="51"/>
      <c r="J1618" s="27"/>
      <c r="K1618" s="27"/>
      <c r="L1618" s="15"/>
      <c r="M1618" s="15"/>
      <c r="N1618" s="4" t="s">
        <v>4877</v>
      </c>
      <c r="O1618" s="4"/>
    </row>
    <row r="1619" spans="1:15" x14ac:dyDescent="0.2">
      <c r="A1619" s="2">
        <v>40007283</v>
      </c>
      <c r="B1619" s="2" t="s">
        <v>2528</v>
      </c>
      <c r="C1619" s="5" t="s">
        <v>8228</v>
      </c>
      <c r="D1619" s="21">
        <v>6</v>
      </c>
      <c r="E1619" s="21"/>
      <c r="F1619" s="21" t="s">
        <v>10438</v>
      </c>
      <c r="G1619" s="21"/>
      <c r="H1619" s="54">
        <v>177</v>
      </c>
      <c r="I1619" s="51"/>
      <c r="J1619" s="27"/>
      <c r="K1619" s="27"/>
      <c r="L1619" s="15"/>
      <c r="M1619" s="15"/>
      <c r="N1619" s="4" t="s">
        <v>4904</v>
      </c>
      <c r="O1619" s="4"/>
    </row>
    <row r="1620" spans="1:15" x14ac:dyDescent="0.2">
      <c r="A1620" s="2">
        <v>40008027</v>
      </c>
      <c r="B1620" s="2" t="s">
        <v>3167</v>
      </c>
      <c r="C1620" s="5" t="s">
        <v>8861</v>
      </c>
      <c r="D1620" s="21">
        <v>4</v>
      </c>
      <c r="E1620" s="21"/>
      <c r="F1620" s="21" t="s">
        <v>10438</v>
      </c>
      <c r="G1620" s="21"/>
      <c r="H1620" s="54">
        <v>113</v>
      </c>
      <c r="I1620" s="51"/>
      <c r="J1620" s="27"/>
      <c r="K1620" s="27"/>
      <c r="L1620" s="15"/>
      <c r="M1620" s="15"/>
      <c r="N1620" s="4" t="s">
        <v>4142</v>
      </c>
      <c r="O1620" s="4"/>
    </row>
    <row r="1621" spans="1:15" x14ac:dyDescent="0.2">
      <c r="A1621" s="2">
        <v>40006385</v>
      </c>
      <c r="B1621" s="2" t="s">
        <v>1745</v>
      </c>
      <c r="C1621" s="5" t="s">
        <v>7456</v>
      </c>
      <c r="D1621" s="21">
        <v>3</v>
      </c>
      <c r="E1621" s="21"/>
      <c r="F1621" s="21" t="s">
        <v>10438</v>
      </c>
      <c r="G1621" s="21"/>
      <c r="H1621" s="54">
        <v>94</v>
      </c>
      <c r="I1621" s="51"/>
      <c r="J1621" s="27"/>
      <c r="K1621" s="27"/>
      <c r="L1621" s="15"/>
      <c r="M1621" s="15"/>
      <c r="N1621" s="4" t="s">
        <v>4561</v>
      </c>
      <c r="O1621" s="4"/>
    </row>
    <row r="1622" spans="1:15" x14ac:dyDescent="0.2">
      <c r="A1622" s="2">
        <v>40005621</v>
      </c>
      <c r="B1622" s="2" t="s">
        <v>1064</v>
      </c>
      <c r="C1622" s="5" t="s">
        <v>6792</v>
      </c>
      <c r="D1622" s="21">
        <v>10</v>
      </c>
      <c r="E1622" s="21"/>
      <c r="F1622" s="21" t="s">
        <v>10438</v>
      </c>
      <c r="G1622" s="21"/>
      <c r="H1622" s="54">
        <v>148</v>
      </c>
      <c r="I1622" s="51"/>
      <c r="J1622" s="27"/>
      <c r="K1622" s="27"/>
      <c r="L1622" s="15"/>
      <c r="M1622" s="15"/>
      <c r="N1622" s="4" t="s">
        <v>4178</v>
      </c>
      <c r="O1622" s="4"/>
    </row>
    <row r="1623" spans="1:15" x14ac:dyDescent="0.2">
      <c r="A1623" s="2">
        <v>40007772</v>
      </c>
      <c r="B1623" s="2" t="s">
        <v>2943</v>
      </c>
      <c r="C1623" s="5" t="s">
        <v>8642</v>
      </c>
      <c r="D1623" s="21">
        <v>9</v>
      </c>
      <c r="E1623" s="21"/>
      <c r="F1623" s="30">
        <v>1</v>
      </c>
      <c r="G1623" s="21"/>
      <c r="H1623" s="54">
        <v>219</v>
      </c>
      <c r="I1623" s="51"/>
      <c r="J1623" s="27"/>
      <c r="K1623" s="27"/>
      <c r="L1623" s="15">
        <v>3</v>
      </c>
      <c r="M1623" s="15">
        <v>8</v>
      </c>
      <c r="N1623" s="4" t="s">
        <v>5067</v>
      </c>
      <c r="O1623" s="4"/>
    </row>
    <row r="1624" spans="1:15" x14ac:dyDescent="0.2">
      <c r="A1624" s="2">
        <v>40007768</v>
      </c>
      <c r="B1624" s="2" t="s">
        <v>2940</v>
      </c>
      <c r="C1624" s="5" t="s">
        <v>8638</v>
      </c>
      <c r="D1624" s="21">
        <v>29</v>
      </c>
      <c r="E1624" s="21"/>
      <c r="F1624" s="30">
        <v>1</v>
      </c>
      <c r="G1624" s="21"/>
      <c r="H1624" s="54">
        <v>271</v>
      </c>
      <c r="I1624" s="51"/>
      <c r="J1624" s="27"/>
      <c r="K1624" s="27"/>
      <c r="L1624" s="15">
        <v>20</v>
      </c>
      <c r="M1624" s="15">
        <v>20</v>
      </c>
      <c r="N1624" s="4" t="s">
        <v>5066</v>
      </c>
      <c r="O1624" s="4">
        <v>60</v>
      </c>
    </row>
    <row r="1625" spans="1:15" x14ac:dyDescent="0.2">
      <c r="A1625" s="2">
        <v>40008153</v>
      </c>
      <c r="B1625" s="2" t="s">
        <v>3276</v>
      </c>
      <c r="C1625" s="5" t="s">
        <v>8971</v>
      </c>
      <c r="D1625" s="21">
        <v>23</v>
      </c>
      <c r="E1625" s="21"/>
      <c r="F1625" s="21" t="s">
        <v>10438</v>
      </c>
      <c r="G1625" s="21"/>
      <c r="H1625" s="54">
        <v>208</v>
      </c>
      <c r="I1625" s="51"/>
      <c r="J1625" s="27"/>
      <c r="K1625" s="27"/>
      <c r="L1625" s="15"/>
      <c r="M1625" s="15"/>
      <c r="N1625" s="4" t="s">
        <v>5204</v>
      </c>
      <c r="O1625" s="4">
        <v>104</v>
      </c>
    </row>
    <row r="1626" spans="1:15" x14ac:dyDescent="0.2">
      <c r="A1626" s="2">
        <v>40008130</v>
      </c>
      <c r="B1626" s="2" t="s">
        <v>3253</v>
      </c>
      <c r="C1626" s="5" t="s">
        <v>8949</v>
      </c>
      <c r="D1626" s="21">
        <v>5</v>
      </c>
      <c r="E1626" s="21"/>
      <c r="F1626" s="21" t="s">
        <v>10438</v>
      </c>
      <c r="G1626" s="21"/>
      <c r="H1626" s="54">
        <v>166</v>
      </c>
      <c r="I1626" s="51"/>
      <c r="J1626" s="27"/>
      <c r="K1626" s="27"/>
      <c r="L1626" s="15"/>
      <c r="M1626" s="15"/>
      <c r="N1626" s="4" t="s">
        <v>5069</v>
      </c>
      <c r="O1626" s="4"/>
    </row>
    <row r="1627" spans="1:15" x14ac:dyDescent="0.2">
      <c r="A1627" s="2">
        <v>40007897</v>
      </c>
      <c r="B1627" s="2" t="s">
        <v>3052</v>
      </c>
      <c r="C1627" s="5" t="s">
        <v>8743</v>
      </c>
      <c r="D1627" s="21">
        <v>47</v>
      </c>
      <c r="E1627" s="21"/>
      <c r="F1627" s="21" t="s">
        <v>10438</v>
      </c>
      <c r="G1627" s="21"/>
      <c r="H1627" s="54">
        <v>141</v>
      </c>
      <c r="I1627" s="51"/>
      <c r="J1627" s="27"/>
      <c r="K1627" s="27"/>
      <c r="L1627" s="15"/>
      <c r="M1627" s="15"/>
      <c r="N1627" s="4" t="s">
        <v>5064</v>
      </c>
      <c r="O1627" s="4">
        <v>104</v>
      </c>
    </row>
    <row r="1628" spans="1:15" x14ac:dyDescent="0.2">
      <c r="A1628" s="2">
        <v>40008163</v>
      </c>
      <c r="B1628" s="2" t="s">
        <v>3286</v>
      </c>
      <c r="C1628" s="5" t="s">
        <v>8979</v>
      </c>
      <c r="D1628" s="21">
        <v>19</v>
      </c>
      <c r="E1628" s="21"/>
      <c r="F1628" s="30">
        <v>3</v>
      </c>
      <c r="G1628" s="21"/>
      <c r="H1628" s="54">
        <v>201</v>
      </c>
      <c r="I1628" s="51"/>
      <c r="J1628" s="27"/>
      <c r="K1628" s="27"/>
      <c r="L1628" s="15"/>
      <c r="M1628" s="15">
        <v>5</v>
      </c>
      <c r="N1628" s="4" t="s">
        <v>5206</v>
      </c>
      <c r="O1628" s="4"/>
    </row>
    <row r="1629" spans="1:15" x14ac:dyDescent="0.2">
      <c r="A1629" s="2">
        <v>40008003</v>
      </c>
      <c r="B1629" s="2" t="s">
        <v>3143</v>
      </c>
      <c r="C1629" s="5" t="s">
        <v>8840</v>
      </c>
      <c r="D1629" s="21">
        <v>5</v>
      </c>
      <c r="E1629" s="21"/>
      <c r="F1629" s="21" t="s">
        <v>10438</v>
      </c>
      <c r="G1629" s="21"/>
      <c r="H1629" s="54">
        <v>224</v>
      </c>
      <c r="I1629" s="51"/>
      <c r="J1629" s="27"/>
      <c r="K1629" s="27"/>
      <c r="L1629" s="15"/>
      <c r="M1629" s="15"/>
      <c r="N1629" s="4" t="s">
        <v>5073</v>
      </c>
      <c r="O1629" s="4"/>
    </row>
    <row r="1630" spans="1:15" x14ac:dyDescent="0.2">
      <c r="A1630" s="2">
        <v>40007771</v>
      </c>
      <c r="B1630" s="2" t="s">
        <v>2942</v>
      </c>
      <c r="C1630" s="5" t="s">
        <v>8641</v>
      </c>
      <c r="D1630" s="21">
        <v>27</v>
      </c>
      <c r="E1630" s="21"/>
      <c r="F1630" s="30">
        <v>1</v>
      </c>
      <c r="G1630" s="21"/>
      <c r="H1630" s="54">
        <v>311</v>
      </c>
      <c r="I1630" s="51"/>
      <c r="J1630" s="27"/>
      <c r="K1630" s="27"/>
      <c r="L1630" s="15"/>
      <c r="M1630" s="15"/>
      <c r="N1630" s="4" t="s">
        <v>4745</v>
      </c>
      <c r="O1630" s="4">
        <v>108</v>
      </c>
    </row>
    <row r="1631" spans="1:15" x14ac:dyDescent="0.2">
      <c r="A1631" s="2">
        <v>40007162</v>
      </c>
      <c r="B1631" s="2" t="s">
        <v>2429</v>
      </c>
      <c r="C1631" s="5" t="s">
        <v>8131</v>
      </c>
      <c r="D1631" s="21">
        <v>69</v>
      </c>
      <c r="E1631" s="21"/>
      <c r="F1631" s="21" t="s">
        <v>10438</v>
      </c>
      <c r="G1631" s="21"/>
      <c r="H1631" s="54">
        <v>379</v>
      </c>
      <c r="I1631" s="51"/>
      <c r="J1631" s="27"/>
      <c r="K1631" s="27"/>
      <c r="L1631" s="15"/>
      <c r="M1631" s="15"/>
      <c r="N1631" s="4" t="s">
        <v>4853</v>
      </c>
      <c r="O1631" s="4">
        <v>108</v>
      </c>
    </row>
    <row r="1632" spans="1:15" x14ac:dyDescent="0.2">
      <c r="A1632" s="2">
        <v>40008257</v>
      </c>
      <c r="B1632" s="2" t="s">
        <v>3372</v>
      </c>
      <c r="C1632" s="5" t="s">
        <v>9064</v>
      </c>
      <c r="D1632" s="21">
        <v>2</v>
      </c>
      <c r="E1632" s="21"/>
      <c r="F1632" s="21" t="s">
        <v>10438</v>
      </c>
      <c r="G1632" s="21"/>
      <c r="H1632" s="54">
        <v>464</v>
      </c>
      <c r="I1632" s="51"/>
      <c r="J1632" s="27"/>
      <c r="K1632" s="27"/>
      <c r="L1632" s="15"/>
      <c r="M1632" s="15"/>
      <c r="N1632" s="4"/>
      <c r="O1632" s="4">
        <v>48</v>
      </c>
    </row>
    <row r="1633" spans="1:15" x14ac:dyDescent="0.2">
      <c r="A1633" s="2">
        <v>40005709</v>
      </c>
      <c r="B1633" s="2" t="s">
        <v>1139</v>
      </c>
      <c r="C1633" s="5" t="s">
        <v>6857</v>
      </c>
      <c r="D1633" s="21">
        <v>2</v>
      </c>
      <c r="E1633" s="21"/>
      <c r="F1633" s="21" t="s">
        <v>10438</v>
      </c>
      <c r="G1633" s="21"/>
      <c r="H1633" s="54">
        <v>457</v>
      </c>
      <c r="I1633" s="51"/>
      <c r="J1633" s="27"/>
      <c r="K1633" s="27"/>
      <c r="L1633" s="15"/>
      <c r="M1633" s="15"/>
      <c r="N1633" s="4" t="s">
        <v>3982</v>
      </c>
      <c r="O1633" s="4"/>
    </row>
    <row r="1634" spans="1:15" x14ac:dyDescent="0.2">
      <c r="A1634" s="2">
        <v>40007821</v>
      </c>
      <c r="B1634" s="2" t="s">
        <v>2985</v>
      </c>
      <c r="C1634" s="10" t="s">
        <v>8684</v>
      </c>
      <c r="D1634" s="21"/>
      <c r="E1634" s="21"/>
      <c r="F1634" s="21" t="s">
        <v>10438</v>
      </c>
      <c r="G1634" s="21"/>
      <c r="H1634" s="54">
        <v>353</v>
      </c>
      <c r="I1634" s="51"/>
      <c r="J1634" s="27"/>
      <c r="K1634" s="27"/>
      <c r="L1634" s="15">
        <v>3</v>
      </c>
      <c r="M1634" s="15">
        <v>2</v>
      </c>
      <c r="N1634" s="4" t="s">
        <v>5092</v>
      </c>
      <c r="O1634" s="4"/>
    </row>
    <row r="1635" spans="1:15" x14ac:dyDescent="0.2">
      <c r="A1635" s="2">
        <v>40007775</v>
      </c>
      <c r="B1635" s="2" t="s">
        <v>2946</v>
      </c>
      <c r="C1635" s="5" t="s">
        <v>8645</v>
      </c>
      <c r="D1635" s="21">
        <v>1</v>
      </c>
      <c r="E1635" s="21"/>
      <c r="F1635" s="21" t="s">
        <v>10438</v>
      </c>
      <c r="G1635" s="21"/>
      <c r="H1635" s="54">
        <v>181</v>
      </c>
      <c r="I1635" s="51"/>
      <c r="J1635" s="27"/>
      <c r="K1635" s="27"/>
      <c r="L1635" s="15"/>
      <c r="M1635" s="15"/>
      <c r="N1635" s="4" t="s">
        <v>5069</v>
      </c>
      <c r="O1635" s="4"/>
    </row>
    <row r="1636" spans="1:15" x14ac:dyDescent="0.2">
      <c r="A1636" s="2">
        <v>40003865</v>
      </c>
      <c r="B1636" s="2" t="s">
        <v>694</v>
      </c>
      <c r="C1636" s="5" t="s">
        <v>6408</v>
      </c>
      <c r="D1636" s="21">
        <v>6</v>
      </c>
      <c r="E1636" s="21"/>
      <c r="F1636" s="21" t="s">
        <v>10438</v>
      </c>
      <c r="G1636" s="21"/>
      <c r="H1636" s="54">
        <v>551</v>
      </c>
      <c r="I1636" s="51"/>
      <c r="J1636" s="27"/>
      <c r="K1636" s="27"/>
      <c r="L1636" s="15"/>
      <c r="M1636" s="15"/>
      <c r="N1636" s="4" t="s">
        <v>3970</v>
      </c>
      <c r="O1636" s="4"/>
    </row>
    <row r="1637" spans="1:15" x14ac:dyDescent="0.2">
      <c r="A1637" s="2">
        <v>40008005</v>
      </c>
      <c r="B1637" s="2" t="s">
        <v>3145</v>
      </c>
      <c r="C1637" s="5" t="s">
        <v>8842</v>
      </c>
      <c r="D1637" s="21">
        <v>1</v>
      </c>
      <c r="E1637" s="21"/>
      <c r="F1637" s="21" t="s">
        <v>10438</v>
      </c>
      <c r="G1637" s="21"/>
      <c r="H1637" s="54">
        <v>600</v>
      </c>
      <c r="I1637" s="51"/>
      <c r="J1637" s="27"/>
      <c r="K1637" s="27"/>
      <c r="L1637" s="15"/>
      <c r="M1637" s="15"/>
      <c r="N1637" s="4" t="s">
        <v>9827</v>
      </c>
      <c r="O1637" s="4"/>
    </row>
    <row r="1638" spans="1:15" x14ac:dyDescent="0.2">
      <c r="A1638" s="2">
        <v>40010568</v>
      </c>
      <c r="B1638" s="2" t="s">
        <v>3552</v>
      </c>
      <c r="C1638" s="5" t="s">
        <v>9265</v>
      </c>
      <c r="D1638" s="21">
        <v>1</v>
      </c>
      <c r="E1638" s="21"/>
      <c r="F1638" s="30">
        <v>1</v>
      </c>
      <c r="G1638" s="21"/>
      <c r="H1638" s="54">
        <v>248</v>
      </c>
      <c r="I1638" s="51"/>
      <c r="J1638" s="27"/>
      <c r="K1638" s="27"/>
      <c r="L1638" s="15"/>
      <c r="M1638" s="15"/>
      <c r="N1638" s="4" t="s">
        <v>4530</v>
      </c>
      <c r="O1638" s="4"/>
    </row>
    <row r="1639" spans="1:15" x14ac:dyDescent="0.2">
      <c r="A1639" s="2">
        <v>40005290</v>
      </c>
      <c r="B1639" s="2" t="s">
        <v>790</v>
      </c>
      <c r="C1639" s="5" t="s">
        <v>6507</v>
      </c>
      <c r="D1639" s="21"/>
      <c r="E1639" s="21"/>
      <c r="F1639" s="21" t="s">
        <v>10438</v>
      </c>
      <c r="G1639" s="21"/>
      <c r="H1639" s="54">
        <v>307</v>
      </c>
      <c r="I1639" s="51"/>
      <c r="J1639" s="27"/>
      <c r="K1639" s="27"/>
      <c r="L1639" s="15"/>
      <c r="M1639" s="15"/>
      <c r="N1639" s="4" t="s">
        <v>4032</v>
      </c>
      <c r="O1639" s="4"/>
    </row>
    <row r="1640" spans="1:15" x14ac:dyDescent="0.2">
      <c r="A1640" s="2">
        <v>40008240</v>
      </c>
      <c r="B1640" s="2" t="s">
        <v>3357</v>
      </c>
      <c r="C1640" s="5" t="s">
        <v>9049</v>
      </c>
      <c r="D1640" s="21">
        <v>4</v>
      </c>
      <c r="E1640" s="21"/>
      <c r="F1640" s="21" t="s">
        <v>10438</v>
      </c>
      <c r="G1640" s="21"/>
      <c r="H1640" s="54">
        <v>448</v>
      </c>
      <c r="I1640" s="51"/>
      <c r="J1640" s="27"/>
      <c r="K1640" s="27"/>
      <c r="L1640" s="15"/>
      <c r="M1640" s="15"/>
      <c r="N1640" s="4" t="s">
        <v>5217</v>
      </c>
      <c r="O1640" s="4"/>
    </row>
    <row r="1641" spans="1:15" x14ac:dyDescent="0.2">
      <c r="A1641" s="2">
        <v>40005599</v>
      </c>
      <c r="B1641" s="2" t="s">
        <v>1043</v>
      </c>
      <c r="C1641" s="5" t="s">
        <v>6771</v>
      </c>
      <c r="D1641" s="21">
        <v>14</v>
      </c>
      <c r="E1641" s="21"/>
      <c r="F1641" s="21" t="s">
        <v>10438</v>
      </c>
      <c r="G1641" s="21"/>
      <c r="H1641" s="54">
        <v>277</v>
      </c>
      <c r="I1641" s="51"/>
      <c r="J1641" s="27"/>
      <c r="K1641" s="27"/>
      <c r="L1641" s="15"/>
      <c r="M1641" s="15"/>
      <c r="N1641" s="4" t="s">
        <v>4165</v>
      </c>
      <c r="O1641" s="4">
        <v>10</v>
      </c>
    </row>
    <row r="1642" spans="1:15" x14ac:dyDescent="0.2">
      <c r="A1642" s="2">
        <v>40007681</v>
      </c>
      <c r="B1642" s="2" t="s">
        <v>2859</v>
      </c>
      <c r="C1642" s="5" t="s">
        <v>8558</v>
      </c>
      <c r="D1642" s="21">
        <v>6</v>
      </c>
      <c r="E1642" s="21"/>
      <c r="F1642" s="21" t="s">
        <v>10438</v>
      </c>
      <c r="G1642" s="21"/>
      <c r="H1642" s="54">
        <v>184</v>
      </c>
      <c r="I1642" s="51"/>
      <c r="J1642" s="27"/>
      <c r="K1642" s="27"/>
      <c r="L1642" s="15"/>
      <c r="M1642" s="15"/>
      <c r="N1642" s="4"/>
      <c r="O1642" s="4">
        <v>10</v>
      </c>
    </row>
    <row r="1643" spans="1:15" x14ac:dyDescent="0.2">
      <c r="A1643" s="2">
        <v>40005934</v>
      </c>
      <c r="B1643" s="2" t="s">
        <v>1343</v>
      </c>
      <c r="C1643" s="5" t="s">
        <v>7049</v>
      </c>
      <c r="D1643" s="21">
        <v>7</v>
      </c>
      <c r="E1643" s="21"/>
      <c r="F1643" s="30">
        <v>1</v>
      </c>
      <c r="G1643" s="21"/>
      <c r="H1643" s="54">
        <v>241</v>
      </c>
      <c r="I1643" s="51"/>
      <c r="J1643" s="27"/>
      <c r="K1643" s="27"/>
      <c r="L1643" s="15"/>
      <c r="M1643" s="15"/>
      <c r="N1643" s="4" t="s">
        <v>4072</v>
      </c>
      <c r="O1643" s="4"/>
    </row>
    <row r="1644" spans="1:15" x14ac:dyDescent="0.2">
      <c r="A1644" s="2">
        <v>40010229</v>
      </c>
      <c r="B1644" s="2" t="s">
        <v>3428</v>
      </c>
      <c r="C1644" s="5" t="s">
        <v>9122</v>
      </c>
      <c r="D1644" s="21">
        <v>2</v>
      </c>
      <c r="E1644" s="21"/>
      <c r="F1644" s="21" t="s">
        <v>10438</v>
      </c>
      <c r="G1644" s="21"/>
      <c r="H1644" s="54">
        <v>500</v>
      </c>
      <c r="I1644" s="51"/>
      <c r="J1644" s="27"/>
      <c r="K1644" s="27"/>
      <c r="L1644" s="15">
        <v>2</v>
      </c>
      <c r="M1644" s="15"/>
      <c r="N1644" s="4" t="s">
        <v>5063</v>
      </c>
      <c r="O1644" s="4"/>
    </row>
    <row r="1645" spans="1:15" x14ac:dyDescent="0.2">
      <c r="A1645" s="2">
        <v>40005418</v>
      </c>
      <c r="B1645" s="2" t="s">
        <v>894</v>
      </c>
      <c r="C1645" s="5" t="s">
        <v>6617</v>
      </c>
      <c r="D1645" s="21">
        <v>7</v>
      </c>
      <c r="E1645" s="21"/>
      <c r="F1645" s="21" t="s">
        <v>10438</v>
      </c>
      <c r="G1645" s="21"/>
      <c r="H1645" s="54">
        <v>337</v>
      </c>
      <c r="I1645" s="51"/>
      <c r="J1645" s="27"/>
      <c r="K1645" s="27"/>
      <c r="L1645" s="15">
        <v>3</v>
      </c>
      <c r="M1645" s="15">
        <v>3</v>
      </c>
      <c r="N1645" s="4" t="s">
        <v>4912</v>
      </c>
      <c r="O1645" s="4">
        <v>45</v>
      </c>
    </row>
    <row r="1646" spans="1:15" x14ac:dyDescent="0.2">
      <c r="A1646" s="2">
        <v>40005163</v>
      </c>
      <c r="B1646" s="2" t="s">
        <v>711</v>
      </c>
      <c r="C1646" s="5" t="s">
        <v>6425</v>
      </c>
      <c r="D1646" s="21">
        <v>11</v>
      </c>
      <c r="E1646" s="21"/>
      <c r="F1646" s="21" t="s">
        <v>10438</v>
      </c>
      <c r="G1646" s="21"/>
      <c r="H1646" s="54">
        <v>181</v>
      </c>
      <c r="I1646" s="51"/>
      <c r="J1646" s="27"/>
      <c r="K1646" s="27"/>
      <c r="L1646" s="15"/>
      <c r="M1646" s="15"/>
      <c r="N1646" s="4" t="s">
        <v>3983</v>
      </c>
      <c r="O1646" s="4">
        <v>45</v>
      </c>
    </row>
    <row r="1647" spans="1:15" x14ac:dyDescent="0.2">
      <c r="A1647" s="2">
        <v>40005936</v>
      </c>
      <c r="B1647" s="2" t="s">
        <v>1345</v>
      </c>
      <c r="C1647" s="5" t="s">
        <v>7051</v>
      </c>
      <c r="D1647" s="21">
        <v>14</v>
      </c>
      <c r="E1647" s="21"/>
      <c r="F1647" s="21" t="s">
        <v>10438</v>
      </c>
      <c r="G1647" s="21"/>
      <c r="H1647" s="54">
        <v>227</v>
      </c>
      <c r="I1647" s="51"/>
      <c r="J1647" s="27"/>
      <c r="K1647" s="27"/>
      <c r="L1647" s="15"/>
      <c r="M1647" s="15"/>
      <c r="N1647" s="4" t="s">
        <v>4325</v>
      </c>
      <c r="O1647" s="4">
        <v>44</v>
      </c>
    </row>
    <row r="1648" spans="1:15" x14ac:dyDescent="0.2">
      <c r="A1648" s="2">
        <v>40010232</v>
      </c>
      <c r="B1648" s="2" t="s">
        <v>3430</v>
      </c>
      <c r="C1648" s="5" t="s">
        <v>9124</v>
      </c>
      <c r="D1648" s="21">
        <v>1</v>
      </c>
      <c r="E1648" s="21"/>
      <c r="F1648" s="21" t="s">
        <v>10438</v>
      </c>
      <c r="G1648" s="21"/>
      <c r="H1648" s="54">
        <v>772</v>
      </c>
      <c r="I1648" s="51"/>
      <c r="J1648" s="27"/>
      <c r="K1648" s="27"/>
      <c r="L1648" s="15"/>
      <c r="M1648" s="15"/>
      <c r="N1648" s="4" t="s">
        <v>3986</v>
      </c>
      <c r="O1648" s="4">
        <v>40</v>
      </c>
    </row>
    <row r="1649" spans="1:15" x14ac:dyDescent="0.2">
      <c r="A1649" s="2">
        <v>40006541</v>
      </c>
      <c r="B1649" s="2" t="s">
        <v>1881</v>
      </c>
      <c r="C1649" s="5" t="s">
        <v>7589</v>
      </c>
      <c r="D1649" s="21">
        <v>7</v>
      </c>
      <c r="E1649" s="21"/>
      <c r="F1649" s="21" t="s">
        <v>10438</v>
      </c>
      <c r="G1649" s="21"/>
      <c r="H1649" s="54">
        <v>418</v>
      </c>
      <c r="I1649" s="51"/>
      <c r="J1649" s="27"/>
      <c r="K1649" s="27"/>
      <c r="L1649" s="15">
        <v>2</v>
      </c>
      <c r="M1649" s="15">
        <v>2</v>
      </c>
      <c r="N1649" s="4" t="s">
        <v>4628</v>
      </c>
      <c r="O1649" s="4"/>
    </row>
    <row r="1650" spans="1:15" x14ac:dyDescent="0.2">
      <c r="A1650" s="2">
        <v>40010365</v>
      </c>
      <c r="B1650" s="2" t="s">
        <v>3513</v>
      </c>
      <c r="C1650" s="5" t="s">
        <v>9214</v>
      </c>
      <c r="D1650" s="21">
        <v>3</v>
      </c>
      <c r="E1650" s="21"/>
      <c r="F1650" s="21" t="s">
        <v>10438</v>
      </c>
      <c r="G1650" s="21"/>
      <c r="H1650" s="54">
        <v>180</v>
      </c>
      <c r="I1650" s="51"/>
      <c r="J1650" s="27"/>
      <c r="K1650" s="27"/>
      <c r="L1650" s="15"/>
      <c r="M1650" s="15"/>
      <c r="N1650" s="4" t="s">
        <v>4034</v>
      </c>
      <c r="O1650" s="4"/>
    </row>
    <row r="1651" spans="1:15" x14ac:dyDescent="0.2">
      <c r="A1651" s="2">
        <v>40005824</v>
      </c>
      <c r="B1651" s="2" t="s">
        <v>1244</v>
      </c>
      <c r="C1651" s="5" t="s">
        <v>6956</v>
      </c>
      <c r="D1651" s="21">
        <v>7</v>
      </c>
      <c r="E1651" s="21"/>
      <c r="F1651" s="21" t="s">
        <v>10438</v>
      </c>
      <c r="G1651" s="21"/>
      <c r="H1651" s="54">
        <v>305</v>
      </c>
      <c r="I1651" s="51"/>
      <c r="J1651" s="27"/>
      <c r="K1651" s="27"/>
      <c r="L1651" s="15"/>
      <c r="M1651" s="15"/>
      <c r="N1651" s="4">
        <v>15</v>
      </c>
      <c r="O1651" s="4"/>
    </row>
    <row r="1652" spans="1:15" x14ac:dyDescent="0.2">
      <c r="A1652" s="2">
        <v>40007679</v>
      </c>
      <c r="B1652" s="2" t="s">
        <v>2857</v>
      </c>
      <c r="C1652" s="5" t="s">
        <v>8556</v>
      </c>
      <c r="D1652" s="21">
        <v>4</v>
      </c>
      <c r="E1652" s="21"/>
      <c r="F1652" s="21" t="s">
        <v>10438</v>
      </c>
      <c r="G1652" s="21"/>
      <c r="H1652" s="54">
        <v>602</v>
      </c>
      <c r="I1652" s="51"/>
      <c r="J1652" s="27"/>
      <c r="K1652" s="27"/>
      <c r="L1652" s="15"/>
      <c r="M1652" s="15"/>
      <c r="N1652" s="4" t="s">
        <v>5032</v>
      </c>
      <c r="O1652" s="4"/>
    </row>
    <row r="1653" spans="1:15" x14ac:dyDescent="0.2">
      <c r="A1653" s="2">
        <v>40007674</v>
      </c>
      <c r="B1653" s="2" t="s">
        <v>2852</v>
      </c>
      <c r="C1653" s="5" t="s">
        <v>8551</v>
      </c>
      <c r="D1653" s="21">
        <v>2</v>
      </c>
      <c r="E1653" s="21"/>
      <c r="F1653" s="21" t="s">
        <v>10438</v>
      </c>
      <c r="G1653" s="21"/>
      <c r="H1653" s="54">
        <v>556</v>
      </c>
      <c r="I1653" s="51"/>
      <c r="J1653" s="27"/>
      <c r="K1653" s="27"/>
      <c r="L1653" s="15"/>
      <c r="M1653" s="15"/>
      <c r="N1653" s="4" t="s">
        <v>5031</v>
      </c>
      <c r="O1653" s="4"/>
    </row>
    <row r="1654" spans="1:15" x14ac:dyDescent="0.2">
      <c r="A1654" s="2">
        <v>40007758</v>
      </c>
      <c r="B1654" s="2" t="s">
        <v>2930</v>
      </c>
      <c r="C1654" s="5" t="s">
        <v>8629</v>
      </c>
      <c r="D1654" s="21">
        <v>3</v>
      </c>
      <c r="E1654" s="21"/>
      <c r="F1654" s="21" t="s">
        <v>10438</v>
      </c>
      <c r="G1654" s="21"/>
      <c r="H1654" s="54">
        <v>871</v>
      </c>
      <c r="I1654" s="51"/>
      <c r="J1654" s="27"/>
      <c r="K1654" s="27"/>
      <c r="L1654" s="15"/>
      <c r="M1654" s="15"/>
      <c r="N1654" s="4" t="s">
        <v>4345</v>
      </c>
      <c r="O1654" s="4"/>
    </row>
    <row r="1655" spans="1:15" x14ac:dyDescent="0.2">
      <c r="A1655" s="2">
        <v>40007759</v>
      </c>
      <c r="B1655" s="2" t="s">
        <v>2931</v>
      </c>
      <c r="C1655" s="5" t="s">
        <v>8630</v>
      </c>
      <c r="D1655" s="21">
        <v>3</v>
      </c>
      <c r="E1655" s="21"/>
      <c r="F1655" s="21" t="s">
        <v>10438</v>
      </c>
      <c r="G1655" s="21"/>
      <c r="H1655" s="54">
        <v>998</v>
      </c>
      <c r="I1655" s="51"/>
      <c r="J1655" s="27"/>
      <c r="K1655" s="27"/>
      <c r="L1655" s="15"/>
      <c r="M1655" s="15">
        <v>3</v>
      </c>
      <c r="N1655" s="4" t="s">
        <v>5061</v>
      </c>
      <c r="O1655" s="4">
        <v>10</v>
      </c>
    </row>
    <row r="1656" spans="1:15" x14ac:dyDescent="0.2">
      <c r="A1656" s="2">
        <v>40007673</v>
      </c>
      <c r="B1656" s="2" t="s">
        <v>2851</v>
      </c>
      <c r="C1656" s="5" t="s">
        <v>8550</v>
      </c>
      <c r="D1656" s="21">
        <v>4</v>
      </c>
      <c r="E1656" s="21"/>
      <c r="F1656" s="21" t="s">
        <v>10438</v>
      </c>
      <c r="G1656" s="21"/>
      <c r="H1656" s="54">
        <v>510</v>
      </c>
      <c r="I1656" s="51"/>
      <c r="J1656" s="27"/>
      <c r="K1656" s="27"/>
      <c r="L1656" s="15"/>
      <c r="M1656" s="15"/>
      <c r="N1656" s="4"/>
      <c r="O1656" s="4">
        <v>16</v>
      </c>
    </row>
    <row r="1657" spans="1:15" x14ac:dyDescent="0.2">
      <c r="A1657" s="2">
        <v>40007678</v>
      </c>
      <c r="B1657" s="2" t="s">
        <v>2856</v>
      </c>
      <c r="C1657" s="5" t="s">
        <v>8555</v>
      </c>
      <c r="D1657" s="21">
        <v>20</v>
      </c>
      <c r="E1657" s="21"/>
      <c r="F1657" s="21" t="s">
        <v>10438</v>
      </c>
      <c r="G1657" s="21"/>
      <c r="H1657" s="54">
        <v>493</v>
      </c>
      <c r="I1657" s="51"/>
      <c r="J1657" s="27"/>
      <c r="K1657" s="27"/>
      <c r="L1657" s="15"/>
      <c r="M1657" s="15"/>
      <c r="N1657" s="4" t="s">
        <v>10041</v>
      </c>
      <c r="O1657" s="4">
        <v>12</v>
      </c>
    </row>
    <row r="1658" spans="1:15" x14ac:dyDescent="0.2">
      <c r="A1658" s="2">
        <v>40006668</v>
      </c>
      <c r="B1658" s="2" t="s">
        <v>1992</v>
      </c>
      <c r="C1658" s="5" t="s">
        <v>7701</v>
      </c>
      <c r="D1658" s="21">
        <v>1</v>
      </c>
      <c r="E1658" s="21"/>
      <c r="F1658" s="21" t="s">
        <v>10438</v>
      </c>
      <c r="G1658" s="21"/>
      <c r="H1658" s="54">
        <v>474</v>
      </c>
      <c r="I1658" s="51"/>
      <c r="J1658" s="27"/>
      <c r="K1658" s="27"/>
      <c r="L1658" s="15">
        <v>2</v>
      </c>
      <c r="M1658" s="15"/>
      <c r="N1658" s="4" t="s">
        <v>4638</v>
      </c>
      <c r="O1658" s="4"/>
    </row>
    <row r="1659" spans="1:15" x14ac:dyDescent="0.2">
      <c r="A1659" s="2">
        <v>40006053</v>
      </c>
      <c r="B1659" s="2" t="s">
        <v>1452</v>
      </c>
      <c r="C1659" s="5" t="s">
        <v>7154</v>
      </c>
      <c r="D1659" s="21">
        <v>14</v>
      </c>
      <c r="E1659" s="21"/>
      <c r="F1659" s="21" t="s">
        <v>10438</v>
      </c>
      <c r="G1659" s="21"/>
      <c r="H1659" s="54">
        <v>1185</v>
      </c>
      <c r="I1659" s="51"/>
      <c r="J1659" s="27"/>
      <c r="K1659" s="27"/>
      <c r="L1659" s="15"/>
      <c r="M1659" s="15"/>
      <c r="N1659" s="4" t="s">
        <v>4321</v>
      </c>
      <c r="O1659" s="4">
        <v>11</v>
      </c>
    </row>
    <row r="1660" spans="1:15" x14ac:dyDescent="0.2">
      <c r="A1660" s="2">
        <v>40007528</v>
      </c>
      <c r="B1660" s="2" t="s">
        <v>2732</v>
      </c>
      <c r="C1660" s="5" t="s">
        <v>8434</v>
      </c>
      <c r="D1660" s="21">
        <v>38</v>
      </c>
      <c r="E1660" s="21"/>
      <c r="F1660" s="21" t="s">
        <v>10438</v>
      </c>
      <c r="G1660" s="21"/>
      <c r="H1660" s="54">
        <v>225</v>
      </c>
      <c r="I1660" s="51"/>
      <c r="J1660" s="27"/>
      <c r="K1660" s="27"/>
      <c r="L1660" s="15"/>
      <c r="M1660" s="15"/>
      <c r="N1660" s="4" t="s">
        <v>4988</v>
      </c>
      <c r="O1660" s="4">
        <v>45</v>
      </c>
    </row>
    <row r="1661" spans="1:15" x14ac:dyDescent="0.2">
      <c r="A1661" s="2">
        <v>40006856</v>
      </c>
      <c r="B1661" s="2" t="s">
        <v>2154</v>
      </c>
      <c r="C1661" s="5" t="s">
        <v>7863</v>
      </c>
      <c r="D1661" s="21">
        <v>8</v>
      </c>
      <c r="E1661" s="21"/>
      <c r="F1661" s="21" t="s">
        <v>10438</v>
      </c>
      <c r="G1661" s="21"/>
      <c r="H1661" s="54">
        <v>56</v>
      </c>
      <c r="I1661" s="51"/>
      <c r="J1661" s="27"/>
      <c r="K1661" s="27"/>
      <c r="L1661" s="15"/>
      <c r="M1661" s="15"/>
      <c r="N1661" s="4" t="s">
        <v>4716</v>
      </c>
      <c r="O1661" s="4"/>
    </row>
    <row r="1662" spans="1:15" x14ac:dyDescent="0.2">
      <c r="A1662" s="2">
        <v>40008267</v>
      </c>
      <c r="B1662" s="2" t="s">
        <v>3379</v>
      </c>
      <c r="C1662" s="5" t="s">
        <v>9072</v>
      </c>
      <c r="D1662" s="21">
        <v>12</v>
      </c>
      <c r="E1662" s="21"/>
      <c r="F1662" s="21" t="s">
        <v>10438</v>
      </c>
      <c r="G1662" s="21"/>
      <c r="H1662" s="54">
        <v>73</v>
      </c>
      <c r="I1662" s="51"/>
      <c r="J1662" s="27"/>
      <c r="K1662" s="27"/>
      <c r="L1662" s="15"/>
      <c r="M1662" s="15"/>
      <c r="N1662" s="4" t="s">
        <v>5226</v>
      </c>
      <c r="O1662" s="4">
        <v>10</v>
      </c>
    </row>
    <row r="1663" spans="1:15" x14ac:dyDescent="0.2">
      <c r="A1663" s="2">
        <v>40007770</v>
      </c>
      <c r="B1663" s="2" t="s">
        <v>3833</v>
      </c>
      <c r="C1663" s="5" t="s">
        <v>8640</v>
      </c>
      <c r="D1663" s="21">
        <v>6</v>
      </c>
      <c r="E1663" s="21"/>
      <c r="F1663" s="21" t="s">
        <v>10438</v>
      </c>
      <c r="G1663" s="21"/>
      <c r="H1663" s="54">
        <v>1447</v>
      </c>
      <c r="I1663" s="51"/>
      <c r="J1663" s="27"/>
      <c r="K1663" s="27"/>
      <c r="L1663" s="15">
        <v>2</v>
      </c>
      <c r="M1663" s="15"/>
      <c r="N1663" s="4" t="s">
        <v>4128</v>
      </c>
      <c r="O1663" s="4"/>
    </row>
    <row r="1664" spans="1:15" x14ac:dyDescent="0.2">
      <c r="A1664" s="2">
        <v>40007763</v>
      </c>
      <c r="B1664" s="2" t="s">
        <v>2935</v>
      </c>
      <c r="C1664" s="5" t="s">
        <v>5508</v>
      </c>
      <c r="D1664" s="21">
        <v>13</v>
      </c>
      <c r="E1664" s="21"/>
      <c r="F1664" s="30">
        <v>1</v>
      </c>
      <c r="G1664" s="21"/>
      <c r="H1664" s="54">
        <v>434</v>
      </c>
      <c r="I1664" s="51"/>
      <c r="J1664" s="27"/>
      <c r="K1664" s="27"/>
      <c r="L1664" s="15"/>
      <c r="M1664" s="15">
        <v>5</v>
      </c>
      <c r="N1664" s="4" t="s">
        <v>5062</v>
      </c>
      <c r="O1664" s="4">
        <v>7</v>
      </c>
    </row>
    <row r="1665" spans="1:15" x14ac:dyDescent="0.2">
      <c r="A1665" s="2">
        <v>40007760</v>
      </c>
      <c r="B1665" s="2" t="s">
        <v>2932</v>
      </c>
      <c r="C1665" s="5" t="s">
        <v>8631</v>
      </c>
      <c r="D1665" s="21">
        <v>10</v>
      </c>
      <c r="E1665" s="21"/>
      <c r="F1665" s="21" t="s">
        <v>10438</v>
      </c>
      <c r="G1665" s="21"/>
      <c r="H1665" s="54">
        <v>235</v>
      </c>
      <c r="I1665" s="51"/>
      <c r="J1665" s="27"/>
      <c r="K1665" s="27"/>
      <c r="L1665" s="15"/>
      <c r="M1665" s="15"/>
      <c r="N1665" s="4" t="s">
        <v>5062</v>
      </c>
      <c r="O1665" s="4">
        <v>50</v>
      </c>
    </row>
    <row r="1666" spans="1:15" x14ac:dyDescent="0.2">
      <c r="A1666" s="2">
        <v>40007676</v>
      </c>
      <c r="B1666" s="2" t="s">
        <v>2854</v>
      </c>
      <c r="C1666" s="5" t="s">
        <v>8553</v>
      </c>
      <c r="D1666" s="21">
        <v>2</v>
      </c>
      <c r="E1666" s="21"/>
      <c r="F1666" s="21" t="s">
        <v>10438</v>
      </c>
      <c r="G1666" s="21"/>
      <c r="H1666" s="54">
        <v>340</v>
      </c>
      <c r="I1666" s="51"/>
      <c r="J1666" s="27"/>
      <c r="K1666" s="27"/>
      <c r="L1666" s="15"/>
      <c r="M1666" s="15"/>
      <c r="N1666" s="4" t="s">
        <v>4965</v>
      </c>
      <c r="O1666" s="4"/>
    </row>
    <row r="1667" spans="1:15" x14ac:dyDescent="0.2">
      <c r="A1667" s="2">
        <v>40007677</v>
      </c>
      <c r="B1667" s="2" t="s">
        <v>2855</v>
      </c>
      <c r="C1667" s="5" t="s">
        <v>8554</v>
      </c>
      <c r="D1667" s="21">
        <v>3</v>
      </c>
      <c r="E1667" s="21"/>
      <c r="F1667" s="21" t="s">
        <v>10438</v>
      </c>
      <c r="G1667" s="21"/>
      <c r="H1667" s="54">
        <v>664</v>
      </c>
      <c r="I1667" s="51"/>
      <c r="J1667" s="27"/>
      <c r="K1667" s="27"/>
      <c r="L1667" s="15"/>
      <c r="M1667" s="15"/>
      <c r="N1667" s="4" t="s">
        <v>4704</v>
      </c>
      <c r="O1667" s="4"/>
    </row>
    <row r="1668" spans="1:15" x14ac:dyDescent="0.2">
      <c r="A1668" s="2">
        <v>40008213</v>
      </c>
      <c r="B1668" s="2" t="s">
        <v>3333</v>
      </c>
      <c r="C1668" s="5" t="s">
        <v>9025</v>
      </c>
      <c r="D1668" s="21">
        <v>13</v>
      </c>
      <c r="E1668" s="21"/>
      <c r="F1668" s="30">
        <v>4</v>
      </c>
      <c r="G1668" s="21"/>
      <c r="H1668" s="54">
        <v>413</v>
      </c>
      <c r="I1668" s="51"/>
      <c r="J1668" s="27"/>
      <c r="K1668" s="27"/>
      <c r="L1668" s="15">
        <v>20</v>
      </c>
      <c r="M1668" s="15">
        <v>30</v>
      </c>
      <c r="N1668" s="4" t="s">
        <v>4206</v>
      </c>
      <c r="O1668" s="4">
        <v>50</v>
      </c>
    </row>
    <row r="1669" spans="1:15" x14ac:dyDescent="0.2">
      <c r="A1669" s="2">
        <v>40007672</v>
      </c>
      <c r="B1669" s="2" t="s">
        <v>2850</v>
      </c>
      <c r="C1669" s="5" t="s">
        <v>8549</v>
      </c>
      <c r="D1669" s="21">
        <v>2</v>
      </c>
      <c r="E1669" s="21"/>
      <c r="F1669" s="21" t="s">
        <v>10438</v>
      </c>
      <c r="G1669" s="21"/>
      <c r="H1669" s="54">
        <v>381</v>
      </c>
      <c r="I1669" s="51"/>
      <c r="J1669" s="27"/>
      <c r="K1669" s="27"/>
      <c r="L1669" s="15"/>
      <c r="M1669" s="15"/>
      <c r="N1669" s="4"/>
      <c r="O1669" s="4">
        <v>44</v>
      </c>
    </row>
    <row r="1670" spans="1:15" x14ac:dyDescent="0.2">
      <c r="A1670" s="2">
        <v>40005792</v>
      </c>
      <c r="B1670" s="2" t="s">
        <v>1215</v>
      </c>
      <c r="C1670" s="5" t="s">
        <v>6928</v>
      </c>
      <c r="D1670" s="21">
        <v>1</v>
      </c>
      <c r="E1670" s="21"/>
      <c r="F1670" s="21" t="s">
        <v>10438</v>
      </c>
      <c r="G1670" s="21"/>
      <c r="H1670" s="54">
        <v>1030</v>
      </c>
      <c r="I1670" s="51"/>
      <c r="J1670" s="27"/>
      <c r="K1670" s="27"/>
      <c r="L1670" s="15"/>
      <c r="M1670" s="15"/>
      <c r="N1670" s="4"/>
      <c r="O1670" s="4">
        <v>14</v>
      </c>
    </row>
    <row r="1671" spans="1:15" x14ac:dyDescent="0.2">
      <c r="A1671" s="2">
        <v>40007675</v>
      </c>
      <c r="B1671" s="2" t="s">
        <v>2853</v>
      </c>
      <c r="C1671" s="5" t="s">
        <v>8552</v>
      </c>
      <c r="D1671" s="21">
        <v>10</v>
      </c>
      <c r="E1671" s="21"/>
      <c r="F1671" s="21" t="s">
        <v>10438</v>
      </c>
      <c r="G1671" s="21"/>
      <c r="H1671" s="54">
        <v>100</v>
      </c>
      <c r="I1671" s="51"/>
      <c r="J1671" s="27"/>
      <c r="K1671" s="27"/>
      <c r="L1671" s="15"/>
      <c r="M1671" s="15"/>
      <c r="N1671" s="4" t="s">
        <v>4877</v>
      </c>
      <c r="O1671" s="4">
        <v>108</v>
      </c>
    </row>
    <row r="1672" spans="1:15" x14ac:dyDescent="0.2">
      <c r="A1672" s="2">
        <v>40006465</v>
      </c>
      <c r="B1672" s="2" t="s">
        <v>1819</v>
      </c>
      <c r="C1672" s="5" t="s">
        <v>7527</v>
      </c>
      <c r="D1672" s="21">
        <v>5</v>
      </c>
      <c r="E1672" s="21"/>
      <c r="F1672" s="21" t="s">
        <v>10438</v>
      </c>
      <c r="G1672" s="21"/>
      <c r="H1672" s="54">
        <v>136</v>
      </c>
      <c r="I1672" s="51"/>
      <c r="J1672" s="27"/>
      <c r="K1672" s="27"/>
      <c r="L1672" s="15"/>
      <c r="M1672" s="15"/>
      <c r="N1672" s="4"/>
      <c r="O1672" s="4">
        <v>10</v>
      </c>
    </row>
    <row r="1673" spans="1:15" x14ac:dyDescent="0.2">
      <c r="A1673" s="2">
        <v>40005266</v>
      </c>
      <c r="B1673" s="2" t="s">
        <v>779</v>
      </c>
      <c r="C1673" s="5" t="s">
        <v>6494</v>
      </c>
      <c r="D1673" s="21">
        <v>2</v>
      </c>
      <c r="E1673" s="21"/>
      <c r="F1673" s="21" t="s">
        <v>10438</v>
      </c>
      <c r="G1673" s="21"/>
      <c r="H1673" s="54">
        <v>312.99</v>
      </c>
      <c r="I1673" s="51"/>
      <c r="J1673" s="27"/>
      <c r="K1673" s="27"/>
      <c r="L1673" s="15"/>
      <c r="M1673" s="15"/>
      <c r="N1673" s="4" t="s">
        <v>4025</v>
      </c>
      <c r="O1673" s="4"/>
    </row>
    <row r="1674" spans="1:15" x14ac:dyDescent="0.2">
      <c r="A1674" s="2">
        <v>40010788</v>
      </c>
      <c r="B1674" s="2" t="s">
        <v>3569</v>
      </c>
      <c r="C1674" s="5" t="s">
        <v>9289</v>
      </c>
      <c r="D1674" s="21">
        <v>3</v>
      </c>
      <c r="E1674" s="21"/>
      <c r="F1674" s="21" t="s">
        <v>10438</v>
      </c>
      <c r="G1674" s="21"/>
      <c r="H1674" s="54">
        <v>321</v>
      </c>
      <c r="I1674" s="51"/>
      <c r="J1674" s="27"/>
      <c r="K1674" s="27"/>
      <c r="L1674" s="15"/>
      <c r="M1674" s="15"/>
      <c r="N1674" s="4" t="s">
        <v>3986</v>
      </c>
      <c r="O1674" s="4">
        <v>47</v>
      </c>
    </row>
    <row r="1675" spans="1:15" x14ac:dyDescent="0.2">
      <c r="A1675" s="2">
        <v>40007406</v>
      </c>
      <c r="B1675" s="2" t="s">
        <v>2631</v>
      </c>
      <c r="C1675" s="5" t="s">
        <v>8330</v>
      </c>
      <c r="D1675" s="21">
        <v>17</v>
      </c>
      <c r="E1675" s="21"/>
      <c r="F1675" s="30">
        <v>3</v>
      </c>
      <c r="G1675" s="21"/>
      <c r="H1675" s="54">
        <v>515</v>
      </c>
      <c r="I1675" s="51"/>
      <c r="J1675" s="27"/>
      <c r="K1675" s="27"/>
      <c r="L1675" s="15">
        <v>6</v>
      </c>
      <c r="M1675" s="15"/>
      <c r="N1675" s="4" t="s">
        <v>4946</v>
      </c>
      <c r="O1675" s="4"/>
    </row>
    <row r="1676" spans="1:15" x14ac:dyDescent="0.2">
      <c r="A1676" s="2">
        <v>40011399</v>
      </c>
      <c r="B1676" s="2" t="s">
        <v>5408</v>
      </c>
      <c r="C1676" s="5" t="s">
        <v>9381</v>
      </c>
      <c r="D1676" s="21">
        <v>2</v>
      </c>
      <c r="E1676" s="21"/>
      <c r="F1676" s="21" t="s">
        <v>10438</v>
      </c>
      <c r="G1676" s="21"/>
      <c r="H1676" s="54">
        <v>284</v>
      </c>
      <c r="I1676" s="51"/>
      <c r="J1676" s="27"/>
      <c r="K1676" s="27"/>
      <c r="L1676" s="15"/>
      <c r="M1676" s="15"/>
      <c r="N1676" s="4"/>
      <c r="O1676" s="4">
        <v>100</v>
      </c>
    </row>
    <row r="1677" spans="1:15" x14ac:dyDescent="0.2">
      <c r="A1677" s="2">
        <v>40005930</v>
      </c>
      <c r="B1677" s="2" t="s">
        <v>1339</v>
      </c>
      <c r="C1677" s="5" t="s">
        <v>7045</v>
      </c>
      <c r="D1677" s="21">
        <v>4</v>
      </c>
      <c r="E1677" s="21"/>
      <c r="F1677" s="21" t="s">
        <v>10438</v>
      </c>
      <c r="G1677" s="21"/>
      <c r="H1677" s="54">
        <v>427</v>
      </c>
      <c r="I1677" s="51"/>
      <c r="J1677" s="27"/>
      <c r="K1677" s="27"/>
      <c r="L1677" s="15"/>
      <c r="M1677" s="15"/>
      <c r="N1677" s="4" t="s">
        <v>4322</v>
      </c>
      <c r="O1677" s="4"/>
    </row>
    <row r="1678" spans="1:15" x14ac:dyDescent="0.2">
      <c r="A1678" s="2">
        <v>40007133</v>
      </c>
      <c r="B1678" s="2" t="s">
        <v>2401</v>
      </c>
      <c r="C1678" s="5" t="s">
        <v>8105</v>
      </c>
      <c r="D1678" s="21">
        <v>2</v>
      </c>
      <c r="E1678" s="21"/>
      <c r="F1678" s="21" t="s">
        <v>10438</v>
      </c>
      <c r="G1678" s="21"/>
      <c r="H1678" s="54">
        <v>593</v>
      </c>
      <c r="I1678" s="51"/>
      <c r="J1678" s="27"/>
      <c r="K1678" s="27"/>
      <c r="L1678" s="15"/>
      <c r="M1678" s="15"/>
      <c r="N1678" s="4"/>
      <c r="O1678" s="4">
        <v>52</v>
      </c>
    </row>
    <row r="1679" spans="1:15" x14ac:dyDescent="0.2">
      <c r="A1679" s="2">
        <v>40006760</v>
      </c>
      <c r="B1679" s="2" t="s">
        <v>2063</v>
      </c>
      <c r="C1679" s="5" t="s">
        <v>7775</v>
      </c>
      <c r="D1679" s="21">
        <v>15</v>
      </c>
      <c r="E1679" s="21"/>
      <c r="F1679" s="21" t="s">
        <v>10438</v>
      </c>
      <c r="G1679" s="21"/>
      <c r="H1679" s="54">
        <v>153</v>
      </c>
      <c r="I1679" s="51"/>
      <c r="J1679" s="27"/>
      <c r="K1679" s="27"/>
      <c r="L1679" s="15"/>
      <c r="M1679" s="15"/>
      <c r="N1679" s="4"/>
      <c r="O1679" s="4">
        <v>47</v>
      </c>
    </row>
    <row r="1680" spans="1:15" x14ac:dyDescent="0.2">
      <c r="A1680" s="2">
        <v>40005472</v>
      </c>
      <c r="B1680" s="2" t="s">
        <v>943</v>
      </c>
      <c r="C1680" s="5" t="s">
        <v>6665</v>
      </c>
      <c r="D1680" s="21"/>
      <c r="E1680" s="21"/>
      <c r="F1680" s="21" t="s">
        <v>10438</v>
      </c>
      <c r="G1680" s="21"/>
      <c r="H1680" s="54">
        <v>141</v>
      </c>
      <c r="I1680" s="51"/>
      <c r="J1680" s="27"/>
      <c r="K1680" s="27"/>
      <c r="L1680" s="15">
        <v>2</v>
      </c>
      <c r="M1680" s="15"/>
      <c r="N1680" s="4" t="s">
        <v>4129</v>
      </c>
      <c r="O1680" s="4"/>
    </row>
    <row r="1681" spans="1:15" x14ac:dyDescent="0.2">
      <c r="A1681" s="2">
        <v>40007786</v>
      </c>
      <c r="B1681" s="2" t="s">
        <v>2957</v>
      </c>
      <c r="C1681" s="5" t="s">
        <v>8656</v>
      </c>
      <c r="D1681" s="21">
        <v>2</v>
      </c>
      <c r="E1681" s="21"/>
      <c r="F1681" s="21" t="s">
        <v>10438</v>
      </c>
      <c r="G1681" s="21"/>
      <c r="H1681" s="54">
        <v>285</v>
      </c>
      <c r="I1681" s="51"/>
      <c r="J1681" s="27"/>
      <c r="K1681" s="27"/>
      <c r="L1681" s="15"/>
      <c r="M1681" s="15"/>
      <c r="N1681" s="4" t="s">
        <v>4683</v>
      </c>
      <c r="O1681" s="4">
        <v>54</v>
      </c>
    </row>
    <row r="1682" spans="1:15" x14ac:dyDescent="0.2">
      <c r="A1682" s="2">
        <v>40005470</v>
      </c>
      <c r="B1682" s="2" t="s">
        <v>941</v>
      </c>
      <c r="C1682" s="5" t="s">
        <v>6663</v>
      </c>
      <c r="D1682" s="21">
        <v>11</v>
      </c>
      <c r="E1682" s="21"/>
      <c r="F1682" s="30">
        <v>2</v>
      </c>
      <c r="G1682" s="21"/>
      <c r="H1682" s="54">
        <v>334</v>
      </c>
      <c r="I1682" s="51"/>
      <c r="J1682" s="27"/>
      <c r="K1682" s="27"/>
      <c r="L1682" s="15"/>
      <c r="M1682" s="15"/>
      <c r="N1682" s="4" t="s">
        <v>4128</v>
      </c>
      <c r="O1682" s="4"/>
    </row>
    <row r="1683" spans="1:15" x14ac:dyDescent="0.2">
      <c r="A1683" s="2">
        <v>40003866</v>
      </c>
      <c r="B1683" s="2" t="s">
        <v>695</v>
      </c>
      <c r="C1683" s="5" t="s">
        <v>6409</v>
      </c>
      <c r="D1683" s="21">
        <v>7</v>
      </c>
      <c r="E1683" s="21"/>
      <c r="F1683" s="21" t="s">
        <v>10438</v>
      </c>
      <c r="G1683" s="21"/>
      <c r="H1683" s="54">
        <v>335</v>
      </c>
      <c r="I1683" s="51"/>
      <c r="J1683" s="27"/>
      <c r="K1683" s="27"/>
      <c r="L1683" s="15"/>
      <c r="M1683" s="15"/>
      <c r="N1683" s="4" t="s">
        <v>3971</v>
      </c>
      <c r="O1683" s="4">
        <v>54</v>
      </c>
    </row>
    <row r="1684" spans="1:15" x14ac:dyDescent="0.2">
      <c r="A1684" s="2">
        <v>40007777</v>
      </c>
      <c r="B1684" s="2" t="s">
        <v>2948</v>
      </c>
      <c r="C1684" s="5" t="s">
        <v>8647</v>
      </c>
      <c r="D1684" s="21">
        <v>1</v>
      </c>
      <c r="E1684" s="21"/>
      <c r="F1684" s="21" t="s">
        <v>10438</v>
      </c>
      <c r="G1684" s="21"/>
      <c r="H1684" s="54">
        <v>112</v>
      </c>
      <c r="I1684" s="51"/>
      <c r="J1684" s="27"/>
      <c r="K1684" s="27"/>
      <c r="L1684" s="15"/>
      <c r="M1684" s="15"/>
      <c r="N1684" s="4" t="s">
        <v>5070</v>
      </c>
      <c r="O1684" s="4"/>
    </row>
    <row r="1685" spans="1:15" x14ac:dyDescent="0.2">
      <c r="A1685" s="2">
        <v>40005358</v>
      </c>
      <c r="B1685" s="2" t="s">
        <v>842</v>
      </c>
      <c r="C1685" s="5" t="s">
        <v>6560</v>
      </c>
      <c r="D1685" s="21">
        <v>9</v>
      </c>
      <c r="E1685" s="21"/>
      <c r="F1685" s="30">
        <v>1</v>
      </c>
      <c r="G1685" s="21"/>
      <c r="H1685" s="54">
        <v>147</v>
      </c>
      <c r="I1685" s="51"/>
      <c r="J1685" s="27"/>
      <c r="K1685" s="27"/>
      <c r="L1685" s="15"/>
      <c r="M1685" s="15"/>
      <c r="N1685" s="4" t="s">
        <v>4071</v>
      </c>
      <c r="O1685" s="4"/>
    </row>
    <row r="1686" spans="1:15" x14ac:dyDescent="0.2">
      <c r="A1686" s="2">
        <v>40007557</v>
      </c>
      <c r="B1686" s="2" t="s">
        <v>2756</v>
      </c>
      <c r="C1686" s="5" t="s">
        <v>8457</v>
      </c>
      <c r="D1686" s="21">
        <v>5</v>
      </c>
      <c r="E1686" s="21"/>
      <c r="F1686" s="21" t="s">
        <v>10438</v>
      </c>
      <c r="G1686" s="21"/>
      <c r="H1686" s="54">
        <v>770</v>
      </c>
      <c r="I1686" s="51"/>
      <c r="J1686" s="27"/>
      <c r="K1686" s="27"/>
      <c r="L1686" s="15"/>
      <c r="M1686" s="15"/>
      <c r="N1686" s="4" t="s">
        <v>3986</v>
      </c>
      <c r="O1686" s="4">
        <v>23</v>
      </c>
    </row>
    <row r="1687" spans="1:15" x14ac:dyDescent="0.2">
      <c r="A1687" s="2">
        <v>40007200</v>
      </c>
      <c r="B1687" s="2" t="s">
        <v>2464</v>
      </c>
      <c r="C1687" s="5" t="s">
        <v>8167</v>
      </c>
      <c r="D1687" s="21">
        <v>5</v>
      </c>
      <c r="E1687" s="21"/>
      <c r="F1687" s="21" t="s">
        <v>10438</v>
      </c>
      <c r="G1687" s="21"/>
      <c r="H1687" s="54">
        <v>1424</v>
      </c>
      <c r="I1687" s="51"/>
      <c r="J1687" s="27"/>
      <c r="K1687" s="27"/>
      <c r="L1687" s="15"/>
      <c r="M1687" s="15"/>
      <c r="N1687" s="4" t="s">
        <v>4088</v>
      </c>
      <c r="O1687" s="4"/>
    </row>
    <row r="1688" spans="1:15" x14ac:dyDescent="0.2">
      <c r="A1688" s="2">
        <v>40006423</v>
      </c>
      <c r="B1688" s="2" t="s">
        <v>1782</v>
      </c>
      <c r="C1688" s="5" t="s">
        <v>7491</v>
      </c>
      <c r="D1688" s="21">
        <v>7</v>
      </c>
      <c r="E1688" s="21"/>
      <c r="F1688" s="21" t="s">
        <v>10438</v>
      </c>
      <c r="G1688" s="21"/>
      <c r="H1688" s="54">
        <v>441</v>
      </c>
      <c r="I1688" s="51"/>
      <c r="J1688" s="27"/>
      <c r="K1688" s="27"/>
      <c r="L1688" s="15"/>
      <c r="M1688" s="15"/>
      <c r="N1688" s="4" t="s">
        <v>4586</v>
      </c>
      <c r="O1688" s="4">
        <v>93</v>
      </c>
    </row>
    <row r="1689" spans="1:15" x14ac:dyDescent="0.2">
      <c r="A1689" s="2">
        <v>40006834</v>
      </c>
      <c r="B1689" s="2" t="s">
        <v>2133</v>
      </c>
      <c r="C1689" s="5" t="s">
        <v>7841</v>
      </c>
      <c r="D1689" s="21">
        <v>6</v>
      </c>
      <c r="E1689" s="21"/>
      <c r="F1689" s="21" t="s">
        <v>10438</v>
      </c>
      <c r="G1689" s="21"/>
      <c r="H1689" s="54">
        <v>178</v>
      </c>
      <c r="I1689" s="51"/>
      <c r="J1689" s="27"/>
      <c r="K1689" s="27"/>
      <c r="L1689" s="15"/>
      <c r="M1689" s="15"/>
      <c r="N1689" s="4" t="s">
        <v>4704</v>
      </c>
      <c r="O1689" s="4"/>
    </row>
    <row r="1690" spans="1:15" x14ac:dyDescent="0.2">
      <c r="A1690" s="2">
        <v>40007767</v>
      </c>
      <c r="B1690" s="2" t="s">
        <v>2939</v>
      </c>
      <c r="C1690" s="5" t="s">
        <v>8637</v>
      </c>
      <c r="D1690" s="21">
        <v>8</v>
      </c>
      <c r="E1690" s="21"/>
      <c r="F1690" s="21" t="s">
        <v>10438</v>
      </c>
      <c r="G1690" s="21"/>
      <c r="H1690" s="54">
        <v>709</v>
      </c>
      <c r="I1690" s="51"/>
      <c r="J1690" s="27"/>
      <c r="K1690" s="27"/>
      <c r="L1690" s="15"/>
      <c r="M1690" s="15"/>
      <c r="N1690" s="4" t="s">
        <v>5065</v>
      </c>
      <c r="O1690" s="4"/>
    </row>
    <row r="1691" spans="1:15" x14ac:dyDescent="0.2">
      <c r="A1691" s="2">
        <v>40007793</v>
      </c>
      <c r="B1691" s="2" t="s">
        <v>2964</v>
      </c>
      <c r="C1691" s="5" t="s">
        <v>8662</v>
      </c>
      <c r="D1691" s="21">
        <v>2</v>
      </c>
      <c r="E1691" s="21"/>
      <c r="F1691" s="21" t="s">
        <v>10438</v>
      </c>
      <c r="G1691" s="21"/>
      <c r="H1691" s="54">
        <v>790</v>
      </c>
      <c r="I1691" s="51"/>
      <c r="J1691" s="27"/>
      <c r="K1691" s="27"/>
      <c r="L1691" s="15"/>
      <c r="M1691" s="15"/>
      <c r="N1691" s="4" t="s">
        <v>5078</v>
      </c>
      <c r="O1691" s="4"/>
    </row>
    <row r="1692" spans="1:15" x14ac:dyDescent="0.2">
      <c r="A1692" s="2">
        <v>40005169</v>
      </c>
      <c r="B1692" s="2" t="s">
        <v>716</v>
      </c>
      <c r="C1692" s="5" t="s">
        <v>6430</v>
      </c>
      <c r="D1692" s="21">
        <v>3</v>
      </c>
      <c r="E1692" s="21"/>
      <c r="F1692" s="21" t="s">
        <v>10438</v>
      </c>
      <c r="G1692" s="21"/>
      <c r="H1692" s="54">
        <v>117</v>
      </c>
      <c r="I1692" s="51"/>
      <c r="J1692" s="27"/>
      <c r="K1692" s="27"/>
      <c r="L1692" s="15"/>
      <c r="M1692" s="15"/>
      <c r="N1692" s="4" t="s">
        <v>3987</v>
      </c>
      <c r="O1692" s="4"/>
    </row>
    <row r="1693" spans="1:15" x14ac:dyDescent="0.2">
      <c r="A1693" s="2">
        <v>40007680</v>
      </c>
      <c r="B1693" s="7" t="s">
        <v>2858</v>
      </c>
      <c r="C1693" s="5" t="s">
        <v>8557</v>
      </c>
      <c r="D1693" s="21">
        <v>10</v>
      </c>
      <c r="E1693" s="21"/>
      <c r="F1693" s="30">
        <v>2</v>
      </c>
      <c r="G1693" s="21"/>
      <c r="H1693" s="54">
        <v>471</v>
      </c>
      <c r="I1693" s="51"/>
      <c r="J1693" s="27"/>
      <c r="K1693" s="27"/>
      <c r="L1693" s="15">
        <v>10</v>
      </c>
      <c r="M1693" s="15">
        <v>10</v>
      </c>
      <c r="N1693" s="4" t="s">
        <v>10042</v>
      </c>
      <c r="O1693" s="4">
        <v>71</v>
      </c>
    </row>
    <row r="1694" spans="1:15" x14ac:dyDescent="0.2">
      <c r="A1694" s="2">
        <v>40005873</v>
      </c>
      <c r="B1694" s="2" t="s">
        <v>1289</v>
      </c>
      <c r="C1694" s="5" t="s">
        <v>7000</v>
      </c>
      <c r="D1694" s="21">
        <v>4</v>
      </c>
      <c r="E1694" s="21"/>
      <c r="F1694" s="21" t="s">
        <v>10438</v>
      </c>
      <c r="G1694" s="21"/>
      <c r="H1694" s="54">
        <v>384</v>
      </c>
      <c r="I1694" s="51"/>
      <c r="J1694" s="27"/>
      <c r="K1694" s="27"/>
      <c r="L1694" s="15"/>
      <c r="M1694" s="15"/>
      <c r="N1694" s="4" t="s">
        <v>4299</v>
      </c>
      <c r="O1694" s="4"/>
    </row>
    <row r="1695" spans="1:15" x14ac:dyDescent="0.2">
      <c r="A1695" s="2">
        <v>40008160</v>
      </c>
      <c r="B1695" s="2" t="s">
        <v>3283</v>
      </c>
      <c r="C1695" s="5">
        <v>915135100</v>
      </c>
      <c r="D1695" s="21">
        <v>26</v>
      </c>
      <c r="E1695" s="21"/>
      <c r="F1695" s="21" t="s">
        <v>10438</v>
      </c>
      <c r="G1695" s="21"/>
      <c r="H1695" s="54">
        <v>4</v>
      </c>
      <c r="I1695" s="51"/>
      <c r="J1695" s="27"/>
      <c r="K1695" s="27"/>
      <c r="L1695" s="15"/>
      <c r="M1695" s="15"/>
      <c r="N1695" s="4" t="s">
        <v>4401</v>
      </c>
      <c r="O1695" s="4"/>
    </row>
    <row r="1696" spans="1:15" x14ac:dyDescent="0.2">
      <c r="A1696" s="2">
        <v>40007537</v>
      </c>
      <c r="B1696" s="2" t="s">
        <v>2738</v>
      </c>
      <c r="C1696" s="5">
        <v>908005205</v>
      </c>
      <c r="D1696" s="21">
        <v>3</v>
      </c>
      <c r="E1696" s="21"/>
      <c r="F1696" s="21" t="s">
        <v>10438</v>
      </c>
      <c r="G1696" s="21"/>
      <c r="H1696" s="54">
        <v>13</v>
      </c>
      <c r="I1696" s="51"/>
      <c r="J1696" s="27"/>
      <c r="K1696" s="27"/>
      <c r="L1696" s="15"/>
      <c r="M1696" s="15"/>
      <c r="N1696" s="4" t="s">
        <v>4267</v>
      </c>
      <c r="O1696" s="4"/>
    </row>
    <row r="1697" spans="1:15" x14ac:dyDescent="0.2">
      <c r="A1697" s="2">
        <v>40007129</v>
      </c>
      <c r="B1697" s="2" t="s">
        <v>2397</v>
      </c>
      <c r="C1697" s="5">
        <v>908205625</v>
      </c>
      <c r="D1697" s="21">
        <v>1</v>
      </c>
      <c r="E1697" s="21"/>
      <c r="F1697" s="21" t="s">
        <v>10438</v>
      </c>
      <c r="G1697" s="21"/>
      <c r="H1697" s="54">
        <v>12</v>
      </c>
      <c r="I1697" s="51"/>
      <c r="J1697" s="27"/>
      <c r="K1697" s="27"/>
      <c r="L1697" s="15"/>
      <c r="M1697" s="15"/>
      <c r="N1697" s="4" t="s">
        <v>4823</v>
      </c>
      <c r="O1697" s="4"/>
    </row>
    <row r="1698" spans="1:15" x14ac:dyDescent="0.2">
      <c r="A1698" s="2">
        <v>40005499</v>
      </c>
      <c r="B1698" s="2" t="s">
        <v>967</v>
      </c>
      <c r="C1698" s="5" t="s">
        <v>6689</v>
      </c>
      <c r="D1698" s="21">
        <v>1</v>
      </c>
      <c r="E1698" s="21"/>
      <c r="F1698" s="21" t="s">
        <v>10438</v>
      </c>
      <c r="G1698" s="21"/>
      <c r="H1698" s="54">
        <v>8</v>
      </c>
      <c r="I1698" s="51"/>
      <c r="J1698" s="27"/>
      <c r="K1698" s="27"/>
      <c r="L1698" s="15"/>
      <c r="M1698" s="15"/>
      <c r="N1698" s="4"/>
      <c r="O1698" s="4" t="s">
        <v>10145</v>
      </c>
    </row>
    <row r="1699" spans="1:15" x14ac:dyDescent="0.2">
      <c r="A1699" s="2">
        <v>10018208</v>
      </c>
      <c r="B1699" s="2" t="s">
        <v>106</v>
      </c>
      <c r="C1699" s="5" t="s">
        <v>5643</v>
      </c>
      <c r="D1699" s="21">
        <v>1</v>
      </c>
      <c r="E1699" s="21"/>
      <c r="F1699" s="21" t="s">
        <v>10438</v>
      </c>
      <c r="G1699" s="21"/>
      <c r="H1699" s="54">
        <v>66</v>
      </c>
      <c r="I1699" s="51"/>
      <c r="J1699" s="27"/>
      <c r="K1699" s="27"/>
      <c r="L1699" s="15"/>
      <c r="M1699" s="15"/>
      <c r="N1699" s="4"/>
      <c r="O1699" s="4" t="s">
        <v>10198</v>
      </c>
    </row>
    <row r="1700" spans="1:15" x14ac:dyDescent="0.2">
      <c r="A1700" s="2">
        <v>40005501</v>
      </c>
      <c r="B1700" s="2" t="s">
        <v>969</v>
      </c>
      <c r="C1700" s="5" t="s">
        <v>6691</v>
      </c>
      <c r="D1700" s="21">
        <v>1</v>
      </c>
      <c r="E1700" s="21"/>
      <c r="F1700" s="21" t="s">
        <v>10438</v>
      </c>
      <c r="G1700" s="21"/>
      <c r="H1700" s="54">
        <v>8</v>
      </c>
      <c r="I1700" s="51"/>
      <c r="J1700" s="27"/>
      <c r="K1700" s="27"/>
      <c r="L1700" s="15"/>
      <c r="M1700" s="15"/>
      <c r="N1700" s="4"/>
      <c r="O1700" s="4" t="s">
        <v>10128</v>
      </c>
    </row>
    <row r="1701" spans="1:15" x14ac:dyDescent="0.2">
      <c r="A1701" s="2">
        <v>40005867</v>
      </c>
      <c r="B1701" s="2" t="s">
        <v>1283</v>
      </c>
      <c r="C1701" s="5" t="s">
        <v>6994</v>
      </c>
      <c r="D1701" s="21"/>
      <c r="E1701" s="21"/>
      <c r="F1701" s="21" t="s">
        <v>10438</v>
      </c>
      <c r="G1701" s="21"/>
      <c r="H1701" s="54">
        <v>14</v>
      </c>
      <c r="I1701" s="51"/>
      <c r="J1701" s="27"/>
      <c r="K1701" s="27"/>
      <c r="L1701" s="15">
        <v>5</v>
      </c>
      <c r="M1701" s="15"/>
      <c r="N1701" s="4"/>
      <c r="O1701" s="4"/>
    </row>
    <row r="1702" spans="1:15" x14ac:dyDescent="0.2">
      <c r="A1702" s="2">
        <v>40010284</v>
      </c>
      <c r="B1702" s="2" t="s">
        <v>3475</v>
      </c>
      <c r="C1702" s="5" t="s">
        <v>9169</v>
      </c>
      <c r="D1702" s="21">
        <v>5</v>
      </c>
      <c r="E1702" s="21"/>
      <c r="F1702" s="21" t="s">
        <v>10438</v>
      </c>
      <c r="G1702" s="21"/>
      <c r="H1702" s="54">
        <v>25</v>
      </c>
      <c r="I1702" s="51"/>
      <c r="J1702" s="27"/>
      <c r="K1702" s="27"/>
      <c r="L1702" s="15"/>
      <c r="M1702" s="15"/>
      <c r="N1702" s="4" t="s">
        <v>4623</v>
      </c>
      <c r="O1702" s="4"/>
    </row>
    <row r="1703" spans="1:15" x14ac:dyDescent="0.2">
      <c r="A1703" s="2">
        <v>40005483</v>
      </c>
      <c r="B1703" s="2" t="s">
        <v>953</v>
      </c>
      <c r="C1703" s="5" t="s">
        <v>6675</v>
      </c>
      <c r="D1703" s="21">
        <v>1</v>
      </c>
      <c r="E1703" s="21"/>
      <c r="F1703" s="21" t="s">
        <v>10438</v>
      </c>
      <c r="G1703" s="21"/>
      <c r="H1703" s="54">
        <v>14</v>
      </c>
      <c r="I1703" s="51"/>
      <c r="J1703" s="27"/>
      <c r="K1703" s="27"/>
      <c r="L1703" s="15"/>
      <c r="M1703" s="15"/>
      <c r="N1703" s="4" t="s">
        <v>4086</v>
      </c>
      <c r="O1703" s="4"/>
    </row>
    <row r="1704" spans="1:15" x14ac:dyDescent="0.2">
      <c r="A1704" s="2">
        <v>10019678</v>
      </c>
      <c r="B1704" s="2" t="s">
        <v>568</v>
      </c>
      <c r="C1704" s="5" t="s">
        <v>6197</v>
      </c>
      <c r="D1704" s="21">
        <v>28</v>
      </c>
      <c r="E1704" s="21">
        <v>28</v>
      </c>
      <c r="F1704" s="21" t="s">
        <v>10438</v>
      </c>
      <c r="G1704" s="21">
        <v>9</v>
      </c>
      <c r="H1704" s="54">
        <v>1510</v>
      </c>
      <c r="I1704" s="51">
        <v>1390</v>
      </c>
      <c r="J1704" s="27">
        <v>142</v>
      </c>
      <c r="K1704" s="27">
        <v>142</v>
      </c>
      <c r="L1704" s="15">
        <v>100</v>
      </c>
      <c r="M1704" s="15"/>
      <c r="N1704" s="4" t="s">
        <v>3934</v>
      </c>
      <c r="O1704" s="4" t="s">
        <v>10456</v>
      </c>
    </row>
    <row r="1705" spans="1:15" x14ac:dyDescent="0.2">
      <c r="A1705" s="2">
        <v>10020113</v>
      </c>
      <c r="B1705" s="2" t="s">
        <v>675</v>
      </c>
      <c r="C1705" s="5" t="s">
        <v>6329</v>
      </c>
      <c r="D1705" s="21">
        <v>16</v>
      </c>
      <c r="E1705" s="21"/>
      <c r="F1705" s="21" t="s">
        <v>10438</v>
      </c>
      <c r="G1705" s="21"/>
      <c r="H1705" s="54">
        <v>1515</v>
      </c>
      <c r="I1705" s="51">
        <v>1395</v>
      </c>
      <c r="J1705" s="27">
        <v>8</v>
      </c>
      <c r="K1705" s="27"/>
      <c r="L1705" s="15">
        <v>10</v>
      </c>
      <c r="M1705" s="15">
        <v>10</v>
      </c>
      <c r="N1705" s="4" t="s">
        <v>3934</v>
      </c>
      <c r="O1705" s="4" t="s">
        <v>10452</v>
      </c>
    </row>
    <row r="1706" spans="1:15" x14ac:dyDescent="0.2">
      <c r="A1706" s="2">
        <v>10018872</v>
      </c>
      <c r="B1706" s="2" t="s">
        <v>342</v>
      </c>
      <c r="C1706" s="5" t="s">
        <v>5932</v>
      </c>
      <c r="D1706" s="21">
        <v>14</v>
      </c>
      <c r="E1706" s="21"/>
      <c r="F1706" s="21" t="s">
        <v>10438</v>
      </c>
      <c r="G1706" s="21"/>
      <c r="H1706" s="54">
        <v>1360</v>
      </c>
      <c r="I1706" s="51">
        <v>1255</v>
      </c>
      <c r="J1706" s="27">
        <v>59</v>
      </c>
      <c r="K1706" s="27"/>
      <c r="L1706" s="15"/>
      <c r="M1706" s="15"/>
      <c r="N1706" s="4" t="s">
        <v>3934</v>
      </c>
      <c r="O1706" s="4" t="s">
        <v>10456</v>
      </c>
    </row>
    <row r="1707" spans="1:15" x14ac:dyDescent="0.2">
      <c r="A1707" s="2">
        <v>40006398</v>
      </c>
      <c r="B1707" s="2" t="s">
        <v>1758</v>
      </c>
      <c r="C1707" s="5" t="s">
        <v>7469</v>
      </c>
      <c r="D1707" s="21">
        <v>5</v>
      </c>
      <c r="E1707" s="21"/>
      <c r="F1707" s="21" t="s">
        <v>10438</v>
      </c>
      <c r="G1707" s="21"/>
      <c r="H1707" s="54">
        <v>8</v>
      </c>
      <c r="I1707" s="51"/>
      <c r="J1707" s="27"/>
      <c r="K1707" s="27"/>
      <c r="L1707" s="15"/>
      <c r="M1707" s="15"/>
      <c r="N1707" s="4" t="s">
        <v>4570</v>
      </c>
      <c r="O1707" s="4"/>
    </row>
    <row r="1708" spans="1:15" x14ac:dyDescent="0.2">
      <c r="A1708" s="2">
        <v>40007334</v>
      </c>
      <c r="B1708" s="2" t="s">
        <v>3689</v>
      </c>
      <c r="C1708" s="5" t="s">
        <v>8268</v>
      </c>
      <c r="D1708" s="21">
        <v>127</v>
      </c>
      <c r="E1708" s="21"/>
      <c r="F1708" s="21" t="s">
        <v>10438</v>
      </c>
      <c r="G1708" s="21"/>
      <c r="H1708" s="54">
        <v>2</v>
      </c>
      <c r="I1708" s="51"/>
      <c r="J1708" s="27"/>
      <c r="K1708" s="27"/>
      <c r="L1708" s="15"/>
      <c r="M1708" s="15"/>
      <c r="N1708" s="4" t="s">
        <v>4922</v>
      </c>
      <c r="O1708" s="4"/>
    </row>
    <row r="1709" spans="1:15" x14ac:dyDescent="0.2">
      <c r="A1709" s="2">
        <v>40007719</v>
      </c>
      <c r="B1709" s="2" t="s">
        <v>2894</v>
      </c>
      <c r="C1709" s="5" t="s">
        <v>8591</v>
      </c>
      <c r="D1709" s="21">
        <v>8</v>
      </c>
      <c r="E1709" s="21"/>
      <c r="F1709" s="21" t="s">
        <v>10438</v>
      </c>
      <c r="G1709" s="21"/>
      <c r="H1709" s="54">
        <v>31</v>
      </c>
      <c r="I1709" s="51"/>
      <c r="J1709" s="27"/>
      <c r="K1709" s="27"/>
      <c r="L1709" s="15"/>
      <c r="M1709" s="15"/>
      <c r="N1709" s="4" t="s">
        <v>3937</v>
      </c>
      <c r="O1709" s="4"/>
    </row>
    <row r="1710" spans="1:15" x14ac:dyDescent="0.2">
      <c r="A1710" s="2">
        <v>40011218</v>
      </c>
      <c r="B1710" s="2" t="s">
        <v>3785</v>
      </c>
      <c r="C1710" s="5" t="s">
        <v>9362</v>
      </c>
      <c r="D1710" s="21">
        <v>2</v>
      </c>
      <c r="E1710" s="21"/>
      <c r="F1710" s="21" t="s">
        <v>10438</v>
      </c>
      <c r="G1710" s="21"/>
      <c r="H1710" s="54">
        <v>9</v>
      </c>
      <c r="I1710" s="51"/>
      <c r="J1710" s="27"/>
      <c r="K1710" s="27"/>
      <c r="L1710" s="15"/>
      <c r="M1710" s="15"/>
      <c r="N1710" s="4" t="s">
        <v>5285</v>
      </c>
      <c r="O1710" s="4"/>
    </row>
    <row r="1711" spans="1:15" x14ac:dyDescent="0.2">
      <c r="A1711" s="2">
        <v>40007399</v>
      </c>
      <c r="B1711" s="2" t="s">
        <v>2625</v>
      </c>
      <c r="C1711" s="5" t="s">
        <v>8323</v>
      </c>
      <c r="D1711" s="21">
        <v>5</v>
      </c>
      <c r="E1711" s="21"/>
      <c r="F1711" s="21" t="s">
        <v>10438</v>
      </c>
      <c r="G1711" s="21"/>
      <c r="H1711" s="54">
        <v>42</v>
      </c>
      <c r="I1711" s="51"/>
      <c r="J1711" s="27"/>
      <c r="K1711" s="27"/>
      <c r="L1711" s="15"/>
      <c r="M1711" s="15"/>
      <c r="N1711" s="4" t="s">
        <v>4093</v>
      </c>
      <c r="O1711" s="4"/>
    </row>
    <row r="1712" spans="1:15" x14ac:dyDescent="0.2">
      <c r="A1712" s="2">
        <v>10019031</v>
      </c>
      <c r="B1712" s="2" t="s">
        <v>409</v>
      </c>
      <c r="C1712" s="5" t="s">
        <v>6013</v>
      </c>
      <c r="D1712" s="21"/>
      <c r="E1712" s="21"/>
      <c r="F1712" s="21" t="s">
        <v>10438</v>
      </c>
      <c r="G1712" s="21"/>
      <c r="H1712" s="54">
        <v>107</v>
      </c>
      <c r="I1712" s="51"/>
      <c r="J1712" s="27"/>
      <c r="K1712" s="27"/>
      <c r="L1712" s="15"/>
      <c r="M1712" s="15"/>
      <c r="N1712" s="4">
        <v>107</v>
      </c>
      <c r="O1712" s="4"/>
    </row>
    <row r="1713" spans="1:15" x14ac:dyDescent="0.2">
      <c r="A1713" s="2">
        <v>10018835</v>
      </c>
      <c r="B1713" s="2" t="s">
        <v>335</v>
      </c>
      <c r="C1713" s="5" t="s">
        <v>5923</v>
      </c>
      <c r="D1713" s="21">
        <v>18</v>
      </c>
      <c r="E1713" s="21"/>
      <c r="F1713" s="21" t="s">
        <v>10438</v>
      </c>
      <c r="G1713" s="21"/>
      <c r="H1713" s="54">
        <v>24</v>
      </c>
      <c r="I1713" s="51"/>
      <c r="J1713" s="27"/>
      <c r="K1713" s="27"/>
      <c r="L1713" s="15"/>
      <c r="M1713" s="15"/>
      <c r="N1713" s="4">
        <v>107</v>
      </c>
      <c r="O1713" s="4"/>
    </row>
    <row r="1714" spans="1:15" x14ac:dyDescent="0.2">
      <c r="A1714" s="2">
        <v>40007714</v>
      </c>
      <c r="B1714" s="2" t="s">
        <v>2890</v>
      </c>
      <c r="C1714" s="5" t="s">
        <v>8587</v>
      </c>
      <c r="D1714" s="21">
        <v>6</v>
      </c>
      <c r="E1714" s="21"/>
      <c r="F1714" s="21" t="s">
        <v>10438</v>
      </c>
      <c r="G1714" s="21"/>
      <c r="H1714" s="54">
        <v>17</v>
      </c>
      <c r="I1714" s="51"/>
      <c r="J1714" s="27"/>
      <c r="K1714" s="27"/>
      <c r="L1714" s="15"/>
      <c r="M1714" s="15"/>
      <c r="N1714" s="4" t="s">
        <v>5045</v>
      </c>
      <c r="O1714" s="4"/>
    </row>
    <row r="1715" spans="1:15" x14ac:dyDescent="0.2">
      <c r="A1715" s="2">
        <v>10018324</v>
      </c>
      <c r="B1715" s="2" t="s">
        <v>155</v>
      </c>
      <c r="C1715" s="5" t="s">
        <v>5695</v>
      </c>
      <c r="D1715" s="21">
        <v>2</v>
      </c>
      <c r="E1715" s="21"/>
      <c r="F1715" s="21" t="s">
        <v>10438</v>
      </c>
      <c r="G1715" s="21"/>
      <c r="H1715" s="54">
        <v>23</v>
      </c>
      <c r="I1715" s="51"/>
      <c r="J1715" s="27"/>
      <c r="K1715" s="27"/>
      <c r="L1715" s="15"/>
      <c r="M1715" s="15"/>
      <c r="N1715" s="4">
        <v>50</v>
      </c>
      <c r="O1715" s="4"/>
    </row>
    <row r="1716" spans="1:15" x14ac:dyDescent="0.2">
      <c r="A1716" s="2">
        <v>10019325</v>
      </c>
      <c r="B1716" s="2" t="s">
        <v>499</v>
      </c>
      <c r="C1716" s="5" t="s">
        <v>6114</v>
      </c>
      <c r="D1716" s="21">
        <v>8</v>
      </c>
      <c r="E1716" s="21"/>
      <c r="F1716" s="21" t="s">
        <v>10438</v>
      </c>
      <c r="G1716" s="21"/>
      <c r="H1716" s="54">
        <v>30</v>
      </c>
      <c r="I1716" s="51"/>
      <c r="J1716" s="27"/>
      <c r="K1716" s="27"/>
      <c r="L1716" s="15"/>
      <c r="M1716" s="15"/>
      <c r="N1716" s="4">
        <v>55</v>
      </c>
      <c r="O1716" s="4"/>
    </row>
    <row r="1717" spans="1:15" x14ac:dyDescent="0.2">
      <c r="A1717" s="2">
        <v>10019326</v>
      </c>
      <c r="B1717" s="2" t="s">
        <v>5424</v>
      </c>
      <c r="C1717" s="5" t="s">
        <v>6115</v>
      </c>
      <c r="D1717" s="21">
        <v>2</v>
      </c>
      <c r="E1717" s="21"/>
      <c r="F1717" s="21" t="s">
        <v>10438</v>
      </c>
      <c r="G1717" s="21"/>
      <c r="H1717" s="54">
        <v>46</v>
      </c>
      <c r="I1717" s="51"/>
      <c r="J1717" s="27"/>
      <c r="K1717" s="27"/>
      <c r="L1717" s="15"/>
      <c r="M1717" s="15"/>
      <c r="N1717" s="4">
        <v>55</v>
      </c>
      <c r="O1717" s="4"/>
    </row>
    <row r="1718" spans="1:15" x14ac:dyDescent="0.2">
      <c r="A1718" s="2">
        <v>10018023</v>
      </c>
      <c r="B1718" s="2" t="s">
        <v>59</v>
      </c>
      <c r="C1718" s="5" t="s">
        <v>5589</v>
      </c>
      <c r="D1718" s="21">
        <v>3</v>
      </c>
      <c r="E1718" s="21"/>
      <c r="F1718" s="21" t="s">
        <v>10438</v>
      </c>
      <c r="G1718" s="21"/>
      <c r="H1718" s="54">
        <v>40</v>
      </c>
      <c r="I1718" s="51"/>
      <c r="J1718" s="27"/>
      <c r="K1718" s="27"/>
      <c r="L1718" s="15"/>
      <c r="M1718" s="15"/>
      <c r="N1718" s="4">
        <v>55</v>
      </c>
      <c r="O1718" s="4"/>
    </row>
    <row r="1719" spans="1:15" x14ac:dyDescent="0.2">
      <c r="A1719" s="2">
        <v>40006421</v>
      </c>
      <c r="B1719" s="2" t="s">
        <v>1780</v>
      </c>
      <c r="C1719" s="5" t="s">
        <v>7490</v>
      </c>
      <c r="D1719" s="21">
        <v>2</v>
      </c>
      <c r="E1719" s="21"/>
      <c r="F1719" s="21" t="s">
        <v>10438</v>
      </c>
      <c r="G1719" s="21"/>
      <c r="H1719" s="54">
        <v>11</v>
      </c>
      <c r="I1719" s="51"/>
      <c r="J1719" s="27"/>
      <c r="K1719" s="27"/>
      <c r="L1719" s="15"/>
      <c r="M1719" s="15"/>
      <c r="N1719" s="4" t="s">
        <v>4584</v>
      </c>
      <c r="O1719" s="4"/>
    </row>
    <row r="1720" spans="1:15" x14ac:dyDescent="0.2">
      <c r="A1720" s="2">
        <v>40010967</v>
      </c>
      <c r="B1720" s="2" t="s">
        <v>3586</v>
      </c>
      <c r="C1720" s="5" t="s">
        <v>9306</v>
      </c>
      <c r="D1720" s="21">
        <v>-1</v>
      </c>
      <c r="E1720" s="21"/>
      <c r="F1720" s="30">
        <v>2</v>
      </c>
      <c r="G1720" s="21"/>
      <c r="H1720" s="54">
        <v>3</v>
      </c>
      <c r="I1720" s="51"/>
      <c r="J1720" s="27"/>
      <c r="K1720" s="27"/>
      <c r="L1720" s="15">
        <v>15</v>
      </c>
      <c r="M1720" s="15">
        <v>2</v>
      </c>
      <c r="N1720" s="4" t="s">
        <v>5103</v>
      </c>
      <c r="O1720" s="4"/>
    </row>
    <row r="1721" spans="1:15" x14ac:dyDescent="0.2">
      <c r="A1721" s="2">
        <v>40010246</v>
      </c>
      <c r="B1721" s="2" t="s">
        <v>3444</v>
      </c>
      <c r="C1721" s="5" t="s">
        <v>9138</v>
      </c>
      <c r="D1721" s="21">
        <v>2</v>
      </c>
      <c r="E1721" s="21"/>
      <c r="F1721" s="21" t="s">
        <v>10438</v>
      </c>
      <c r="G1721" s="21"/>
      <c r="H1721" s="54">
        <v>18</v>
      </c>
      <c r="I1721" s="51"/>
      <c r="J1721" s="27"/>
      <c r="K1721" s="27"/>
      <c r="L1721" s="15"/>
      <c r="M1721" s="15"/>
      <c r="N1721" s="4" t="s">
        <v>4585</v>
      </c>
      <c r="O1721" s="4"/>
    </row>
    <row r="1722" spans="1:15" x14ac:dyDescent="0.2">
      <c r="A1722" s="2">
        <v>40006501</v>
      </c>
      <c r="B1722" s="2" t="s">
        <v>1852</v>
      </c>
      <c r="C1722" s="5" t="s">
        <v>7559</v>
      </c>
      <c r="D1722" s="21">
        <v>4</v>
      </c>
      <c r="E1722" s="21"/>
      <c r="F1722" s="21" t="s">
        <v>10438</v>
      </c>
      <c r="G1722" s="21"/>
      <c r="H1722" s="54">
        <v>32</v>
      </c>
      <c r="I1722" s="51"/>
      <c r="J1722" s="27"/>
      <c r="K1722" s="27"/>
      <c r="L1722" s="15"/>
      <c r="M1722" s="15"/>
      <c r="N1722" s="4"/>
      <c r="O1722" s="4" t="s">
        <v>10372</v>
      </c>
    </row>
    <row r="1723" spans="1:15" x14ac:dyDescent="0.2">
      <c r="A1723" s="2">
        <v>40006323</v>
      </c>
      <c r="B1723" s="2" t="s">
        <v>1690</v>
      </c>
      <c r="C1723" s="5" t="s">
        <v>7400</v>
      </c>
      <c r="D1723" s="21">
        <v>4</v>
      </c>
      <c r="E1723" s="21"/>
      <c r="F1723" s="21" t="s">
        <v>10438</v>
      </c>
      <c r="G1723" s="21"/>
      <c r="H1723" s="54">
        <v>7</v>
      </c>
      <c r="I1723" s="51"/>
      <c r="J1723" s="27"/>
      <c r="K1723" s="27"/>
      <c r="L1723" s="15">
        <v>20</v>
      </c>
      <c r="M1723" s="15"/>
      <c r="N1723" s="4" t="s">
        <v>4527</v>
      </c>
      <c r="O1723" s="4"/>
    </row>
    <row r="1724" spans="1:15" x14ac:dyDescent="0.2">
      <c r="A1724" s="2">
        <v>40008013</v>
      </c>
      <c r="B1724" s="2" t="s">
        <v>3153</v>
      </c>
      <c r="C1724" s="5" t="s">
        <v>8848</v>
      </c>
      <c r="D1724" s="21">
        <v>109</v>
      </c>
      <c r="E1724" s="21"/>
      <c r="F1724" s="30">
        <v>2</v>
      </c>
      <c r="G1724" s="21"/>
      <c r="H1724" s="54">
        <v>4</v>
      </c>
      <c r="I1724" s="51"/>
      <c r="J1724" s="27"/>
      <c r="K1724" s="27"/>
      <c r="L1724" s="15"/>
      <c r="M1724" s="15"/>
      <c r="N1724" s="4" t="s">
        <v>3966</v>
      </c>
      <c r="O1724" s="4" t="s">
        <v>10181</v>
      </c>
    </row>
    <row r="1725" spans="1:15" x14ac:dyDescent="0.2">
      <c r="A1725" s="2">
        <v>40007031</v>
      </c>
      <c r="B1725" s="2" t="s">
        <v>2310</v>
      </c>
      <c r="C1725" s="5" t="s">
        <v>8020</v>
      </c>
      <c r="D1725" s="21">
        <v>4</v>
      </c>
      <c r="E1725" s="21"/>
      <c r="F1725" s="21" t="s">
        <v>10438</v>
      </c>
      <c r="G1725" s="21"/>
      <c r="H1725" s="54">
        <v>4</v>
      </c>
      <c r="I1725" s="51"/>
      <c r="J1725" s="27"/>
      <c r="K1725" s="27"/>
      <c r="L1725" s="15"/>
      <c r="M1725" s="15"/>
      <c r="N1725" s="4" t="s">
        <v>4576</v>
      </c>
      <c r="O1725" s="4"/>
    </row>
    <row r="1726" spans="1:15" x14ac:dyDescent="0.2">
      <c r="A1726" s="2">
        <v>40008190</v>
      </c>
      <c r="B1726" s="2" t="s">
        <v>3311</v>
      </c>
      <c r="C1726" s="5" t="s">
        <v>9003</v>
      </c>
      <c r="D1726" s="21">
        <v>10</v>
      </c>
      <c r="E1726" s="21"/>
      <c r="F1726" s="21" t="s">
        <v>10438</v>
      </c>
      <c r="G1726" s="21"/>
      <c r="H1726" s="54">
        <v>6</v>
      </c>
      <c r="I1726" s="51"/>
      <c r="J1726" s="27"/>
      <c r="K1726" s="27"/>
      <c r="L1726" s="15"/>
      <c r="M1726" s="15"/>
      <c r="N1726" s="4" t="s">
        <v>5174</v>
      </c>
      <c r="O1726" s="4"/>
    </row>
    <row r="1727" spans="1:15" x14ac:dyDescent="0.2">
      <c r="A1727" s="2">
        <v>40006241</v>
      </c>
      <c r="B1727" s="2" t="s">
        <v>1618</v>
      </c>
      <c r="C1727" s="5" t="s">
        <v>7322</v>
      </c>
      <c r="D1727" s="21"/>
      <c r="E1727" s="21"/>
      <c r="F1727" s="21" t="s">
        <v>10438</v>
      </c>
      <c r="G1727" s="21"/>
      <c r="H1727" s="54">
        <v>1</v>
      </c>
      <c r="I1727" s="51"/>
      <c r="J1727" s="27"/>
      <c r="K1727" s="27"/>
      <c r="L1727" s="15"/>
      <c r="M1727" s="15"/>
      <c r="N1727" s="4" t="s">
        <v>4483</v>
      </c>
      <c r="O1727" s="4"/>
    </row>
    <row r="1728" spans="1:15" x14ac:dyDescent="0.2">
      <c r="A1728" s="2">
        <v>40006067</v>
      </c>
      <c r="B1728" s="2" t="s">
        <v>1461</v>
      </c>
      <c r="C1728" s="5" t="s">
        <v>7168</v>
      </c>
      <c r="D1728" s="21">
        <v>125</v>
      </c>
      <c r="E1728" s="21"/>
      <c r="F1728" s="21" t="s">
        <v>10438</v>
      </c>
      <c r="G1728" s="21"/>
      <c r="H1728" s="54">
        <v>6</v>
      </c>
      <c r="I1728" s="51"/>
      <c r="J1728" s="27"/>
      <c r="K1728" s="27"/>
      <c r="L1728" s="15"/>
      <c r="M1728" s="15"/>
      <c r="N1728" s="4" t="s">
        <v>4239</v>
      </c>
      <c r="O1728" s="4"/>
    </row>
    <row r="1729" spans="1:15" x14ac:dyDescent="0.2">
      <c r="A1729" s="2">
        <v>40007110</v>
      </c>
      <c r="B1729" s="2" t="s">
        <v>2380</v>
      </c>
      <c r="C1729" s="5" t="s">
        <v>8086</v>
      </c>
      <c r="D1729" s="21">
        <v>4</v>
      </c>
      <c r="E1729" s="21"/>
      <c r="F1729" s="21" t="s">
        <v>10438</v>
      </c>
      <c r="G1729" s="21"/>
      <c r="H1729" s="54">
        <v>8</v>
      </c>
      <c r="I1729" s="51"/>
      <c r="J1729" s="27"/>
      <c r="K1729" s="27"/>
      <c r="L1729" s="15"/>
      <c r="M1729" s="15"/>
      <c r="N1729" s="4" t="s">
        <v>4833</v>
      </c>
      <c r="O1729" s="4"/>
    </row>
    <row r="1730" spans="1:15" x14ac:dyDescent="0.2">
      <c r="A1730" s="2">
        <v>40010777</v>
      </c>
      <c r="B1730" s="2" t="s">
        <v>3562</v>
      </c>
      <c r="C1730" s="5" t="s">
        <v>9281</v>
      </c>
      <c r="D1730" s="21">
        <v>20</v>
      </c>
      <c r="E1730" s="21"/>
      <c r="F1730" s="21" t="s">
        <v>10438</v>
      </c>
      <c r="G1730" s="21"/>
      <c r="H1730" s="54">
        <v>3</v>
      </c>
      <c r="I1730" s="51"/>
      <c r="J1730" s="27"/>
      <c r="K1730" s="27"/>
      <c r="L1730" s="15"/>
      <c r="M1730" s="15"/>
      <c r="N1730" s="4" t="s">
        <v>5277</v>
      </c>
      <c r="O1730" s="4"/>
    </row>
    <row r="1731" spans="1:15" x14ac:dyDescent="0.2">
      <c r="A1731" s="2">
        <v>40005965</v>
      </c>
      <c r="B1731" s="2" t="s">
        <v>5476</v>
      </c>
      <c r="C1731" s="5" t="s">
        <v>5502</v>
      </c>
      <c r="D1731" s="21">
        <v>26</v>
      </c>
      <c r="E1731" s="21"/>
      <c r="F1731" s="21" t="s">
        <v>10438</v>
      </c>
      <c r="G1731" s="21"/>
      <c r="H1731" s="54">
        <v>6</v>
      </c>
      <c r="I1731" s="51"/>
      <c r="J1731" s="27"/>
      <c r="K1731" s="27"/>
      <c r="L1731" s="15"/>
      <c r="M1731" s="15"/>
      <c r="N1731" s="4" t="s">
        <v>4364</v>
      </c>
      <c r="O1731" s="4"/>
    </row>
    <row r="1732" spans="1:15" x14ac:dyDescent="0.2">
      <c r="A1732" s="2">
        <v>40006316</v>
      </c>
      <c r="B1732" s="2" t="s">
        <v>1683</v>
      </c>
      <c r="C1732" s="5" t="s">
        <v>7393</v>
      </c>
      <c r="D1732" s="21">
        <v>35</v>
      </c>
      <c r="E1732" s="21"/>
      <c r="F1732" s="21" t="s">
        <v>10438</v>
      </c>
      <c r="G1732" s="21"/>
      <c r="H1732" s="54">
        <v>4</v>
      </c>
      <c r="I1732" s="51"/>
      <c r="J1732" s="27"/>
      <c r="K1732" s="27"/>
      <c r="L1732" s="15"/>
      <c r="M1732" s="15"/>
      <c r="N1732" s="4" t="s">
        <v>4522</v>
      </c>
      <c r="O1732" s="4"/>
    </row>
    <row r="1733" spans="1:15" x14ac:dyDescent="0.2">
      <c r="A1733" s="2">
        <v>40006001</v>
      </c>
      <c r="B1733" s="2" t="s">
        <v>1406</v>
      </c>
      <c r="C1733" s="5" t="s">
        <v>7112</v>
      </c>
      <c r="D1733" s="21"/>
      <c r="E1733" s="21"/>
      <c r="F1733" s="21" t="s">
        <v>10438</v>
      </c>
      <c r="G1733" s="21"/>
      <c r="H1733" s="54">
        <v>7</v>
      </c>
      <c r="I1733" s="51"/>
      <c r="J1733" s="27"/>
      <c r="K1733" s="27"/>
      <c r="L1733" s="15"/>
      <c r="M1733" s="15"/>
      <c r="N1733" s="4" t="s">
        <v>3985</v>
      </c>
      <c r="O1733" s="4"/>
    </row>
    <row r="1734" spans="1:15" x14ac:dyDescent="0.2">
      <c r="A1734" s="2">
        <v>40008117</v>
      </c>
      <c r="B1734" s="2" t="s">
        <v>3241</v>
      </c>
      <c r="C1734" s="5" t="s">
        <v>8936</v>
      </c>
      <c r="D1734" s="21">
        <v>16</v>
      </c>
      <c r="E1734" s="21"/>
      <c r="F1734" s="21" t="s">
        <v>10438</v>
      </c>
      <c r="G1734" s="21"/>
      <c r="H1734" s="54">
        <v>7</v>
      </c>
      <c r="I1734" s="51"/>
      <c r="J1734" s="27"/>
      <c r="K1734" s="27"/>
      <c r="L1734" s="15"/>
      <c r="M1734" s="15"/>
      <c r="N1734" s="4" t="s">
        <v>4546</v>
      </c>
      <c r="O1734" s="4"/>
    </row>
    <row r="1735" spans="1:15" x14ac:dyDescent="0.2">
      <c r="A1735" s="2">
        <v>40006077</v>
      </c>
      <c r="B1735" s="2" t="s">
        <v>1470</v>
      </c>
      <c r="C1735" s="5" t="s">
        <v>7175</v>
      </c>
      <c r="D1735" s="21">
        <v>80</v>
      </c>
      <c r="E1735" s="21"/>
      <c r="F1735" s="21" t="s">
        <v>10438</v>
      </c>
      <c r="G1735" s="21"/>
      <c r="H1735" s="54">
        <v>3</v>
      </c>
      <c r="I1735" s="51"/>
      <c r="J1735" s="27"/>
      <c r="K1735" s="27"/>
      <c r="L1735" s="15"/>
      <c r="M1735" s="15"/>
      <c r="N1735" s="4" t="s">
        <v>4029</v>
      </c>
      <c r="O1735" s="4"/>
    </row>
    <row r="1736" spans="1:15" x14ac:dyDescent="0.2">
      <c r="A1736" s="2">
        <v>40006085</v>
      </c>
      <c r="B1736" s="2" t="s">
        <v>1477</v>
      </c>
      <c r="C1736" s="5" t="s">
        <v>7182</v>
      </c>
      <c r="D1736" s="21">
        <v>10</v>
      </c>
      <c r="E1736" s="21"/>
      <c r="F1736" s="21" t="s">
        <v>10438</v>
      </c>
      <c r="G1736" s="21"/>
      <c r="H1736" s="54">
        <v>3</v>
      </c>
      <c r="I1736" s="51"/>
      <c r="J1736" s="27"/>
      <c r="K1736" s="27"/>
      <c r="L1736" s="15"/>
      <c r="M1736" s="15"/>
      <c r="N1736" s="4" t="s">
        <v>4404</v>
      </c>
      <c r="O1736" s="4"/>
    </row>
    <row r="1737" spans="1:15" x14ac:dyDescent="0.2">
      <c r="A1737" s="2">
        <v>40007524</v>
      </c>
      <c r="B1737" s="2" t="s">
        <v>2729</v>
      </c>
      <c r="C1737" s="5" t="s">
        <v>8432</v>
      </c>
      <c r="D1737" s="21">
        <v>5</v>
      </c>
      <c r="E1737" s="21"/>
      <c r="F1737" s="30">
        <v>2</v>
      </c>
      <c r="G1737" s="21"/>
      <c r="H1737" s="54">
        <v>7</v>
      </c>
      <c r="I1737" s="51"/>
      <c r="J1737" s="27"/>
      <c r="K1737" s="27"/>
      <c r="L1737" s="15">
        <v>10</v>
      </c>
      <c r="M1737" s="15"/>
      <c r="N1737" s="4" t="s">
        <v>4326</v>
      </c>
      <c r="O1737" s="4"/>
    </row>
    <row r="1738" spans="1:15" x14ac:dyDescent="0.2">
      <c r="A1738" s="2">
        <v>40006692</v>
      </c>
      <c r="B1738" s="2" t="s">
        <v>2010</v>
      </c>
      <c r="C1738" s="5" t="s">
        <v>7719</v>
      </c>
      <c r="D1738" s="21">
        <v>9</v>
      </c>
      <c r="E1738" s="21"/>
      <c r="F1738" s="21" t="s">
        <v>10438</v>
      </c>
      <c r="G1738" s="21"/>
      <c r="H1738" s="54">
        <v>4</v>
      </c>
      <c r="I1738" s="51"/>
      <c r="J1738" s="27"/>
      <c r="K1738" s="27"/>
      <c r="L1738" s="15"/>
      <c r="M1738" s="15"/>
      <c r="N1738" s="4" t="s">
        <v>4648</v>
      </c>
      <c r="O1738" s="4"/>
    </row>
    <row r="1739" spans="1:15" x14ac:dyDescent="0.2">
      <c r="A1739" s="2">
        <v>40008136</v>
      </c>
      <c r="B1739" s="2" t="s">
        <v>3259</v>
      </c>
      <c r="C1739" s="5" t="s">
        <v>8955</v>
      </c>
      <c r="D1739" s="21">
        <v>1</v>
      </c>
      <c r="E1739" s="21"/>
      <c r="F1739" s="21" t="s">
        <v>10438</v>
      </c>
      <c r="G1739" s="21"/>
      <c r="H1739" s="54">
        <v>14</v>
      </c>
      <c r="I1739" s="51"/>
      <c r="J1739" s="27"/>
      <c r="K1739" s="27"/>
      <c r="L1739" s="15"/>
      <c r="M1739" s="15"/>
      <c r="N1739" s="4" t="s">
        <v>4440</v>
      </c>
      <c r="O1739" s="4"/>
    </row>
    <row r="1740" spans="1:15" x14ac:dyDescent="0.2">
      <c r="A1740" s="2">
        <v>40006521</v>
      </c>
      <c r="B1740" s="2" t="s">
        <v>1865</v>
      </c>
      <c r="C1740" s="5" t="s">
        <v>7573</v>
      </c>
      <c r="D1740" s="21">
        <v>3</v>
      </c>
      <c r="E1740" s="21"/>
      <c r="F1740" s="21" t="s">
        <v>10438</v>
      </c>
      <c r="G1740" s="21"/>
      <c r="H1740" s="54">
        <v>13</v>
      </c>
      <c r="I1740" s="51"/>
      <c r="J1740" s="27"/>
      <c r="K1740" s="27"/>
      <c r="L1740" s="15"/>
      <c r="M1740" s="15"/>
      <c r="N1740" s="4"/>
      <c r="O1740" s="4" t="s">
        <v>10372</v>
      </c>
    </row>
    <row r="1741" spans="1:15" x14ac:dyDescent="0.2">
      <c r="A1741" s="2">
        <v>40005293</v>
      </c>
      <c r="B1741" s="2" t="s">
        <v>793</v>
      </c>
      <c r="C1741" s="5" t="s">
        <v>6510</v>
      </c>
      <c r="D1741" s="21">
        <v>4</v>
      </c>
      <c r="E1741" s="21"/>
      <c r="F1741" s="21" t="s">
        <v>10438</v>
      </c>
      <c r="G1741" s="21"/>
      <c r="H1741" s="54">
        <v>12</v>
      </c>
      <c r="I1741" s="51"/>
      <c r="J1741" s="27"/>
      <c r="K1741" s="27"/>
      <c r="L1741" s="15"/>
      <c r="M1741" s="15"/>
      <c r="N1741" s="4" t="s">
        <v>4035</v>
      </c>
      <c r="O1741" s="4"/>
    </row>
    <row r="1742" spans="1:15" x14ac:dyDescent="0.2">
      <c r="A1742" s="2">
        <v>40006519</v>
      </c>
      <c r="B1742" s="2" t="s">
        <v>1863</v>
      </c>
      <c r="C1742" s="5" t="s">
        <v>7571</v>
      </c>
      <c r="D1742" s="21">
        <v>2</v>
      </c>
      <c r="E1742" s="21"/>
      <c r="F1742" s="21" t="s">
        <v>10438</v>
      </c>
      <c r="G1742" s="21"/>
      <c r="H1742" s="54">
        <v>10</v>
      </c>
      <c r="I1742" s="51"/>
      <c r="J1742" s="27"/>
      <c r="K1742" s="27"/>
      <c r="L1742" s="15"/>
      <c r="M1742" s="15"/>
      <c r="N1742" s="4"/>
      <c r="O1742" s="4" t="s">
        <v>10372</v>
      </c>
    </row>
    <row r="1743" spans="1:15" x14ac:dyDescent="0.2">
      <c r="A1743" s="2">
        <v>40006520</v>
      </c>
      <c r="B1743" s="2" t="s">
        <v>1864</v>
      </c>
      <c r="C1743" s="5" t="s">
        <v>7572</v>
      </c>
      <c r="D1743" s="21">
        <v>5</v>
      </c>
      <c r="E1743" s="21"/>
      <c r="F1743" s="21" t="s">
        <v>10438</v>
      </c>
      <c r="G1743" s="21"/>
      <c r="H1743" s="54">
        <v>6</v>
      </c>
      <c r="I1743" s="51"/>
      <c r="J1743" s="27"/>
      <c r="K1743" s="27"/>
      <c r="L1743" s="15"/>
      <c r="M1743" s="15"/>
      <c r="N1743" s="4" t="s">
        <v>4007</v>
      </c>
      <c r="O1743" s="4" t="s">
        <v>10372</v>
      </c>
    </row>
    <row r="1744" spans="1:15" x14ac:dyDescent="0.2">
      <c r="A1744" s="2">
        <v>40006833</v>
      </c>
      <c r="B1744" s="2" t="s">
        <v>2132</v>
      </c>
      <c r="C1744" s="5" t="s">
        <v>7840</v>
      </c>
      <c r="D1744" s="21">
        <v>2</v>
      </c>
      <c r="E1744" s="21"/>
      <c r="F1744" s="21" t="s">
        <v>10438</v>
      </c>
      <c r="G1744" s="21"/>
      <c r="H1744" s="54">
        <v>6</v>
      </c>
      <c r="I1744" s="51"/>
      <c r="J1744" s="27"/>
      <c r="K1744" s="27"/>
      <c r="L1744" s="15"/>
      <c r="M1744" s="15">
        <v>3</v>
      </c>
      <c r="N1744" s="4" t="s">
        <v>4456</v>
      </c>
      <c r="O1744" s="4"/>
    </row>
    <row r="1745" spans="1:15" x14ac:dyDescent="0.2">
      <c r="A1745" s="2">
        <v>40006883</v>
      </c>
      <c r="B1745" s="2" t="s">
        <v>2178</v>
      </c>
      <c r="C1745" s="5" t="s">
        <v>7887</v>
      </c>
      <c r="D1745" s="21">
        <v>10</v>
      </c>
      <c r="E1745" s="21"/>
      <c r="F1745" s="21" t="s">
        <v>10438</v>
      </c>
      <c r="G1745" s="21"/>
      <c r="H1745" s="54">
        <v>3</v>
      </c>
      <c r="I1745" s="51"/>
      <c r="J1745" s="27"/>
      <c r="K1745" s="27"/>
      <c r="L1745" s="15"/>
      <c r="M1745" s="15"/>
      <c r="N1745" s="4" t="s">
        <v>4729</v>
      </c>
      <c r="O1745" s="4"/>
    </row>
    <row r="1746" spans="1:15" x14ac:dyDescent="0.2">
      <c r="A1746" s="2">
        <v>40007291</v>
      </c>
      <c r="B1746" s="2" t="s">
        <v>2536</v>
      </c>
      <c r="C1746" s="5" t="s">
        <v>8235</v>
      </c>
      <c r="D1746" s="21">
        <v>10</v>
      </c>
      <c r="E1746" s="21"/>
      <c r="F1746" s="21" t="s">
        <v>10438</v>
      </c>
      <c r="G1746" s="21"/>
      <c r="H1746" s="54">
        <v>1</v>
      </c>
      <c r="I1746" s="51"/>
      <c r="J1746" s="27"/>
      <c r="K1746" s="27"/>
      <c r="L1746" s="15"/>
      <c r="M1746" s="15"/>
      <c r="N1746" s="4" t="s">
        <v>4686</v>
      </c>
      <c r="O1746" s="4"/>
    </row>
    <row r="1747" spans="1:15" x14ac:dyDescent="0.2">
      <c r="A1747" s="2">
        <v>40008082</v>
      </c>
      <c r="B1747" s="2" t="s">
        <v>3212</v>
      </c>
      <c r="C1747" s="5" t="s">
        <v>8908</v>
      </c>
      <c r="D1747" s="21">
        <v>3</v>
      </c>
      <c r="E1747" s="21"/>
      <c r="F1747" s="21" t="s">
        <v>10438</v>
      </c>
      <c r="G1747" s="21"/>
      <c r="H1747" s="54">
        <v>4</v>
      </c>
      <c r="I1747" s="51"/>
      <c r="J1747" s="27"/>
      <c r="K1747" s="27"/>
      <c r="L1747" s="15"/>
      <c r="M1747" s="15"/>
      <c r="N1747" s="4" t="s">
        <v>4170</v>
      </c>
      <c r="O1747" s="4"/>
    </row>
    <row r="1748" spans="1:15" x14ac:dyDescent="0.2">
      <c r="A1748" s="2">
        <v>40005726</v>
      </c>
      <c r="B1748" s="2" t="s">
        <v>1154</v>
      </c>
      <c r="C1748" s="5" t="s">
        <v>6872</v>
      </c>
      <c r="D1748" s="21">
        <v>14</v>
      </c>
      <c r="E1748" s="21"/>
      <c r="F1748" s="21" t="s">
        <v>10438</v>
      </c>
      <c r="G1748" s="21"/>
      <c r="H1748" s="54">
        <v>7</v>
      </c>
      <c r="I1748" s="51"/>
      <c r="J1748" s="27"/>
      <c r="K1748" s="27"/>
      <c r="L1748" s="15"/>
      <c r="M1748" s="15"/>
      <c r="N1748" s="4" t="s">
        <v>4238</v>
      </c>
      <c r="O1748" s="4"/>
    </row>
    <row r="1749" spans="1:15" x14ac:dyDescent="0.2">
      <c r="A1749" s="2">
        <v>40006999</v>
      </c>
      <c r="B1749" s="2" t="s">
        <v>2285</v>
      </c>
      <c r="C1749" s="5" t="s">
        <v>7993</v>
      </c>
      <c r="D1749" s="21">
        <v>13</v>
      </c>
      <c r="E1749" s="21"/>
      <c r="F1749" s="21" t="s">
        <v>10438</v>
      </c>
      <c r="G1749" s="21"/>
      <c r="H1749" s="54">
        <v>4</v>
      </c>
      <c r="I1749" s="51"/>
      <c r="J1749" s="27"/>
      <c r="K1749" s="27"/>
      <c r="L1749" s="15"/>
      <c r="M1749" s="15"/>
      <c r="N1749" s="4" t="s">
        <v>4652</v>
      </c>
      <c r="O1749" s="4"/>
    </row>
    <row r="1750" spans="1:15" x14ac:dyDescent="0.2">
      <c r="A1750" s="2">
        <v>40006811</v>
      </c>
      <c r="B1750" s="2" t="s">
        <v>2110</v>
      </c>
      <c r="C1750" s="5" t="s">
        <v>7819</v>
      </c>
      <c r="D1750" s="21">
        <v>5</v>
      </c>
      <c r="E1750" s="21"/>
      <c r="F1750" s="21" t="s">
        <v>10438</v>
      </c>
      <c r="G1750" s="21"/>
      <c r="H1750" s="54">
        <v>6</v>
      </c>
      <c r="I1750" s="51"/>
      <c r="J1750" s="27"/>
      <c r="K1750" s="27"/>
      <c r="L1750" s="15"/>
      <c r="M1750" s="15"/>
      <c r="N1750" s="4" t="s">
        <v>4406</v>
      </c>
      <c r="O1750" s="4"/>
    </row>
    <row r="1751" spans="1:15" x14ac:dyDescent="0.2">
      <c r="A1751" s="2">
        <v>40006791</v>
      </c>
      <c r="B1751" s="2" t="s">
        <v>2090</v>
      </c>
      <c r="C1751" s="5" t="s">
        <v>7799</v>
      </c>
      <c r="D1751" s="21">
        <v>1</v>
      </c>
      <c r="E1751" s="21"/>
      <c r="F1751" s="21" t="s">
        <v>10438</v>
      </c>
      <c r="G1751" s="21"/>
      <c r="H1751" s="54">
        <v>11</v>
      </c>
      <c r="I1751" s="51"/>
      <c r="J1751" s="27"/>
      <c r="K1751" s="27"/>
      <c r="L1751" s="15"/>
      <c r="M1751" s="15"/>
      <c r="N1751" s="4" t="s">
        <v>4634</v>
      </c>
      <c r="O1751" s="4"/>
    </row>
    <row r="1752" spans="1:15" x14ac:dyDescent="0.2">
      <c r="A1752" s="2">
        <v>40006309</v>
      </c>
      <c r="B1752" s="2" t="s">
        <v>1677</v>
      </c>
      <c r="C1752" s="5" t="s">
        <v>7387</v>
      </c>
      <c r="D1752" s="21">
        <v>18</v>
      </c>
      <c r="E1752" s="21"/>
      <c r="F1752" s="21" t="s">
        <v>10438</v>
      </c>
      <c r="G1752" s="21"/>
      <c r="H1752" s="54">
        <v>6</v>
      </c>
      <c r="I1752" s="51"/>
      <c r="J1752" s="27"/>
      <c r="K1752" s="27"/>
      <c r="L1752" s="15"/>
      <c r="M1752" s="15"/>
      <c r="N1752" s="4" t="s">
        <v>4311</v>
      </c>
      <c r="O1752" s="4"/>
    </row>
    <row r="1753" spans="1:15" x14ac:dyDescent="0.2">
      <c r="A1753" s="2">
        <v>40006812</v>
      </c>
      <c r="B1753" s="2" t="s">
        <v>2111</v>
      </c>
      <c r="C1753" s="5" t="s">
        <v>7820</v>
      </c>
      <c r="D1753" s="21">
        <v>5</v>
      </c>
      <c r="E1753" s="21"/>
      <c r="F1753" s="21" t="s">
        <v>10438</v>
      </c>
      <c r="G1753" s="21"/>
      <c r="H1753" s="54">
        <v>7</v>
      </c>
      <c r="I1753" s="51"/>
      <c r="J1753" s="27"/>
      <c r="K1753" s="27"/>
      <c r="L1753" s="15"/>
      <c r="M1753" s="15"/>
      <c r="N1753" s="4" t="s">
        <v>4691</v>
      </c>
      <c r="O1753" s="4"/>
    </row>
    <row r="1754" spans="1:15" x14ac:dyDescent="0.2">
      <c r="A1754" s="2">
        <v>40005660</v>
      </c>
      <c r="B1754" s="2" t="s">
        <v>1098</v>
      </c>
      <c r="C1754" s="5" t="s">
        <v>6816</v>
      </c>
      <c r="D1754" s="21">
        <v>11</v>
      </c>
      <c r="E1754" s="21"/>
      <c r="F1754" s="21" t="s">
        <v>10438</v>
      </c>
      <c r="G1754" s="21"/>
      <c r="H1754" s="54">
        <v>6</v>
      </c>
      <c r="I1754" s="51"/>
      <c r="J1754" s="27"/>
      <c r="K1754" s="27"/>
      <c r="L1754" s="15"/>
      <c r="M1754" s="15"/>
      <c r="N1754" s="4" t="s">
        <v>4199</v>
      </c>
      <c r="O1754" s="4"/>
    </row>
    <row r="1755" spans="1:15" x14ac:dyDescent="0.2">
      <c r="A1755" s="2">
        <v>40008088</v>
      </c>
      <c r="B1755" s="2" t="s">
        <v>3217</v>
      </c>
      <c r="C1755" s="5" t="s">
        <v>8913</v>
      </c>
      <c r="D1755" s="21">
        <v>2</v>
      </c>
      <c r="E1755" s="21"/>
      <c r="F1755" s="21" t="s">
        <v>10438</v>
      </c>
      <c r="G1755" s="21"/>
      <c r="H1755" s="54">
        <v>7</v>
      </c>
      <c r="I1755" s="51"/>
      <c r="J1755" s="27"/>
      <c r="K1755" s="27"/>
      <c r="L1755" s="15"/>
      <c r="M1755" s="15"/>
      <c r="N1755" s="4" t="s">
        <v>4618</v>
      </c>
      <c r="O1755" s="4"/>
    </row>
    <row r="1756" spans="1:15" x14ac:dyDescent="0.2">
      <c r="A1756" s="2">
        <v>40005291</v>
      </c>
      <c r="B1756" s="2" t="s">
        <v>791</v>
      </c>
      <c r="C1756" s="5" t="s">
        <v>6508</v>
      </c>
      <c r="D1756" s="21">
        <v>19</v>
      </c>
      <c r="E1756" s="21"/>
      <c r="F1756" s="21" t="s">
        <v>10438</v>
      </c>
      <c r="G1756" s="21"/>
      <c r="H1756" s="54">
        <v>9</v>
      </c>
      <c r="I1756" s="51"/>
      <c r="J1756" s="27"/>
      <c r="K1756" s="27"/>
      <c r="L1756" s="15"/>
      <c r="M1756" s="15"/>
      <c r="N1756" s="4" t="s">
        <v>4033</v>
      </c>
      <c r="O1756" s="4"/>
    </row>
    <row r="1757" spans="1:15" x14ac:dyDescent="0.2">
      <c r="A1757" s="2">
        <v>40006522</v>
      </c>
      <c r="B1757" s="2" t="s">
        <v>1866</v>
      </c>
      <c r="C1757" s="5" t="s">
        <v>7574</v>
      </c>
      <c r="D1757" s="21">
        <v>2</v>
      </c>
      <c r="E1757" s="21"/>
      <c r="F1757" s="21" t="s">
        <v>10438</v>
      </c>
      <c r="G1757" s="21"/>
      <c r="H1757" s="54">
        <v>21</v>
      </c>
      <c r="I1757" s="51"/>
      <c r="J1757" s="27"/>
      <c r="K1757" s="27"/>
      <c r="L1757" s="15"/>
      <c r="M1757" s="15"/>
      <c r="N1757" s="4"/>
      <c r="O1757" s="4" t="s">
        <v>10372</v>
      </c>
    </row>
    <row r="1758" spans="1:15" x14ac:dyDescent="0.2">
      <c r="A1758" s="2">
        <v>40006523</v>
      </c>
      <c r="B1758" s="2" t="s">
        <v>1867</v>
      </c>
      <c r="C1758" s="5" t="s">
        <v>7575</v>
      </c>
      <c r="D1758" s="21">
        <v>2</v>
      </c>
      <c r="E1758" s="21"/>
      <c r="F1758" s="21" t="s">
        <v>10438</v>
      </c>
      <c r="G1758" s="21"/>
      <c r="H1758" s="54">
        <v>16</v>
      </c>
      <c r="I1758" s="51"/>
      <c r="J1758" s="27"/>
      <c r="K1758" s="27"/>
      <c r="L1758" s="15"/>
      <c r="M1758" s="15"/>
      <c r="N1758" s="4"/>
      <c r="O1758" s="4" t="s">
        <v>10372</v>
      </c>
    </row>
    <row r="1759" spans="1:15" x14ac:dyDescent="0.2">
      <c r="A1759" s="2">
        <v>40007141</v>
      </c>
      <c r="B1759" s="2" t="s">
        <v>2409</v>
      </c>
      <c r="C1759" s="5" t="s">
        <v>8112</v>
      </c>
      <c r="D1759" s="21">
        <v>3</v>
      </c>
      <c r="E1759" s="21"/>
      <c r="F1759" s="21" t="s">
        <v>10438</v>
      </c>
      <c r="G1759" s="21"/>
      <c r="H1759" s="54">
        <v>17</v>
      </c>
      <c r="I1759" s="51"/>
      <c r="J1759" s="27"/>
      <c r="K1759" s="27"/>
      <c r="L1759" s="15"/>
      <c r="M1759" s="15"/>
      <c r="N1759" s="4" t="s">
        <v>3946</v>
      </c>
      <c r="O1759" s="4"/>
    </row>
    <row r="1760" spans="1:15" x14ac:dyDescent="0.2">
      <c r="A1760" s="2">
        <v>40008192</v>
      </c>
      <c r="B1760" s="2" t="s">
        <v>3313</v>
      </c>
      <c r="C1760" s="5" t="s">
        <v>9005</v>
      </c>
      <c r="D1760" s="21">
        <v>15</v>
      </c>
      <c r="E1760" s="21"/>
      <c r="F1760" s="21" t="s">
        <v>10438</v>
      </c>
      <c r="G1760" s="21"/>
      <c r="H1760" s="54">
        <v>4</v>
      </c>
      <c r="I1760" s="51"/>
      <c r="J1760" s="27"/>
      <c r="K1760" s="27"/>
      <c r="L1760" s="15"/>
      <c r="M1760" s="15"/>
      <c r="N1760" s="4" t="s">
        <v>4737</v>
      </c>
      <c r="O1760" s="4"/>
    </row>
    <row r="1761" spans="1:15" x14ac:dyDescent="0.2">
      <c r="A1761" s="2">
        <v>40006033</v>
      </c>
      <c r="B1761" s="2" t="s">
        <v>1434</v>
      </c>
      <c r="C1761" s="5" t="s">
        <v>7136</v>
      </c>
      <c r="D1761" s="21">
        <v>31</v>
      </c>
      <c r="E1761" s="21"/>
      <c r="F1761" s="21" t="s">
        <v>10438</v>
      </c>
      <c r="G1761" s="21"/>
      <c r="H1761" s="54">
        <v>4</v>
      </c>
      <c r="I1761" s="51"/>
      <c r="J1761" s="27"/>
      <c r="K1761" s="27"/>
      <c r="L1761" s="15"/>
      <c r="M1761" s="15"/>
      <c r="N1761" s="4" t="s">
        <v>4376</v>
      </c>
      <c r="O1761" s="4"/>
    </row>
    <row r="1762" spans="1:15" x14ac:dyDescent="0.2">
      <c r="A1762" s="2">
        <v>40006508</v>
      </c>
      <c r="B1762" s="2" t="s">
        <v>1857</v>
      </c>
      <c r="C1762" s="5" t="s">
        <v>7565</v>
      </c>
      <c r="D1762" s="21">
        <v>2</v>
      </c>
      <c r="E1762" s="21"/>
      <c r="F1762" s="21" t="s">
        <v>10438</v>
      </c>
      <c r="G1762" s="21"/>
      <c r="H1762" s="54">
        <v>35</v>
      </c>
      <c r="I1762" s="51"/>
      <c r="J1762" s="27"/>
      <c r="K1762" s="27"/>
      <c r="L1762" s="15"/>
      <c r="M1762" s="15"/>
      <c r="N1762" s="4"/>
      <c r="O1762" s="4" t="s">
        <v>10372</v>
      </c>
    </row>
    <row r="1763" spans="1:15" x14ac:dyDescent="0.2">
      <c r="A1763" s="2">
        <v>40006506</v>
      </c>
      <c r="B1763" s="2" t="s">
        <v>1855</v>
      </c>
      <c r="C1763" s="5" t="s">
        <v>7563</v>
      </c>
      <c r="D1763" s="21">
        <v>1</v>
      </c>
      <c r="E1763" s="21"/>
      <c r="F1763" s="21" t="s">
        <v>10438</v>
      </c>
      <c r="G1763" s="21"/>
      <c r="H1763" s="54">
        <v>6</v>
      </c>
      <c r="I1763" s="51"/>
      <c r="J1763" s="27"/>
      <c r="K1763" s="27"/>
      <c r="L1763" s="15"/>
      <c r="M1763" s="15"/>
      <c r="N1763" s="4"/>
      <c r="O1763" s="4" t="s">
        <v>10372</v>
      </c>
    </row>
    <row r="1764" spans="1:15" x14ac:dyDescent="0.2">
      <c r="A1764" s="2">
        <v>40007383</v>
      </c>
      <c r="B1764" s="2" t="s">
        <v>2610</v>
      </c>
      <c r="C1764" s="5" t="s">
        <v>8308</v>
      </c>
      <c r="D1764" s="21">
        <v>25</v>
      </c>
      <c r="E1764" s="21"/>
      <c r="F1764" s="21" t="s">
        <v>10438</v>
      </c>
      <c r="G1764" s="21"/>
      <c r="H1764" s="54">
        <v>7</v>
      </c>
      <c r="I1764" s="51"/>
      <c r="J1764" s="27"/>
      <c r="K1764" s="27"/>
      <c r="L1764" s="15"/>
      <c r="M1764" s="15"/>
      <c r="N1764" s="4" t="s">
        <v>3988</v>
      </c>
      <c r="O1764" s="4"/>
    </row>
    <row r="1765" spans="1:15" x14ac:dyDescent="0.2">
      <c r="A1765" s="2">
        <v>40006507</v>
      </c>
      <c r="B1765" s="2" t="s">
        <v>1856</v>
      </c>
      <c r="C1765" s="5" t="s">
        <v>7564</v>
      </c>
      <c r="D1765" s="21">
        <v>1</v>
      </c>
      <c r="E1765" s="21"/>
      <c r="F1765" s="21" t="s">
        <v>10438</v>
      </c>
      <c r="G1765" s="21"/>
      <c r="H1765" s="54">
        <v>8</v>
      </c>
      <c r="I1765" s="51"/>
      <c r="J1765" s="27"/>
      <c r="K1765" s="27"/>
      <c r="L1765" s="15"/>
      <c r="M1765" s="15"/>
      <c r="N1765" s="4"/>
      <c r="O1765" s="4" t="s">
        <v>10372</v>
      </c>
    </row>
    <row r="1766" spans="1:15" x14ac:dyDescent="0.2">
      <c r="A1766" s="2">
        <v>40006509</v>
      </c>
      <c r="B1766" s="2" t="s">
        <v>1858</v>
      </c>
      <c r="C1766" s="5" t="s">
        <v>7566</v>
      </c>
      <c r="D1766" s="21">
        <v>2</v>
      </c>
      <c r="E1766" s="21"/>
      <c r="F1766" s="21" t="s">
        <v>10438</v>
      </c>
      <c r="G1766" s="21"/>
      <c r="H1766" s="54">
        <v>21</v>
      </c>
      <c r="I1766" s="51"/>
      <c r="J1766" s="27"/>
      <c r="K1766" s="27"/>
      <c r="L1766" s="15"/>
      <c r="M1766" s="15"/>
      <c r="N1766" s="4"/>
      <c r="O1766" s="4" t="s">
        <v>10372</v>
      </c>
    </row>
    <row r="1767" spans="1:15" x14ac:dyDescent="0.2">
      <c r="A1767" s="2">
        <v>40006162</v>
      </c>
      <c r="B1767" s="2" t="s">
        <v>1549</v>
      </c>
      <c r="C1767" s="5" t="s">
        <v>7255</v>
      </c>
      <c r="D1767" s="21">
        <v>11</v>
      </c>
      <c r="E1767" s="21"/>
      <c r="F1767" s="21" t="s">
        <v>10438</v>
      </c>
      <c r="G1767" s="21"/>
      <c r="H1767" s="54">
        <v>19</v>
      </c>
      <c r="I1767" s="51"/>
      <c r="J1767" s="27"/>
      <c r="K1767" s="27"/>
      <c r="L1767" s="15"/>
      <c r="M1767" s="15"/>
      <c r="N1767" s="4" t="s">
        <v>4444</v>
      </c>
      <c r="O1767" s="4"/>
    </row>
    <row r="1768" spans="1:15" x14ac:dyDescent="0.2">
      <c r="A1768" s="2">
        <v>40007423</v>
      </c>
      <c r="B1768" s="2" t="s">
        <v>2646</v>
      </c>
      <c r="C1768" s="5" t="s">
        <v>8344</v>
      </c>
      <c r="D1768" s="21">
        <v>8</v>
      </c>
      <c r="E1768" s="21"/>
      <c r="F1768" s="21" t="s">
        <v>10438</v>
      </c>
      <c r="G1768" s="21"/>
      <c r="H1768" s="54">
        <v>16</v>
      </c>
      <c r="I1768" s="51"/>
      <c r="J1768" s="27"/>
      <c r="K1768" s="27"/>
      <c r="L1768" s="15"/>
      <c r="M1768" s="15"/>
      <c r="N1768" s="4" t="s">
        <v>4955</v>
      </c>
      <c r="O1768" s="4"/>
    </row>
    <row r="1769" spans="1:15" x14ac:dyDescent="0.2">
      <c r="A1769" s="2">
        <v>40008185</v>
      </c>
      <c r="B1769" s="2" t="s">
        <v>3307</v>
      </c>
      <c r="C1769" s="5" t="s">
        <v>9000</v>
      </c>
      <c r="D1769" s="21">
        <v>8</v>
      </c>
      <c r="E1769" s="21"/>
      <c r="F1769" s="21" t="s">
        <v>10438</v>
      </c>
      <c r="G1769" s="21"/>
      <c r="H1769" s="54">
        <v>5</v>
      </c>
      <c r="I1769" s="51"/>
      <c r="J1769" s="27"/>
      <c r="K1769" s="27"/>
      <c r="L1769" s="15"/>
      <c r="M1769" s="15"/>
      <c r="N1769" s="4" t="s">
        <v>4333</v>
      </c>
      <c r="O1769" s="4"/>
    </row>
    <row r="1770" spans="1:15" x14ac:dyDescent="0.2">
      <c r="A1770" s="2">
        <v>40007118</v>
      </c>
      <c r="B1770" s="2" t="s">
        <v>2388</v>
      </c>
      <c r="C1770" s="5" t="s">
        <v>8094</v>
      </c>
      <c r="D1770" s="21">
        <v>11</v>
      </c>
      <c r="E1770" s="21"/>
      <c r="F1770" s="21" t="s">
        <v>10438</v>
      </c>
      <c r="G1770" s="21"/>
      <c r="H1770" s="54">
        <v>5</v>
      </c>
      <c r="I1770" s="51"/>
      <c r="J1770" s="27"/>
      <c r="K1770" s="27"/>
      <c r="L1770" s="15"/>
      <c r="M1770" s="15"/>
      <c r="N1770" s="4" t="s">
        <v>4757</v>
      </c>
      <c r="O1770" s="4"/>
    </row>
    <row r="1771" spans="1:15" x14ac:dyDescent="0.2">
      <c r="A1771" s="2">
        <v>40010366</v>
      </c>
      <c r="B1771" s="2" t="s">
        <v>3514</v>
      </c>
      <c r="C1771" s="5" t="s">
        <v>9215</v>
      </c>
      <c r="D1771" s="21">
        <v>12</v>
      </c>
      <c r="E1771" s="21"/>
      <c r="F1771" s="21" t="s">
        <v>10438</v>
      </c>
      <c r="G1771" s="21"/>
      <c r="H1771" s="54">
        <v>10</v>
      </c>
      <c r="I1771" s="51"/>
      <c r="J1771" s="27"/>
      <c r="K1771" s="27"/>
      <c r="L1771" s="15"/>
      <c r="M1771" s="15"/>
      <c r="N1771" s="4" t="s">
        <v>4003</v>
      </c>
      <c r="O1771" s="4"/>
    </row>
    <row r="1772" spans="1:15" x14ac:dyDescent="0.2">
      <c r="A1772" s="2">
        <v>40007390</v>
      </c>
      <c r="B1772" s="2" t="s">
        <v>2617</v>
      </c>
      <c r="C1772" s="5" t="s">
        <v>8315</v>
      </c>
      <c r="D1772" s="21">
        <v>6</v>
      </c>
      <c r="E1772" s="21"/>
      <c r="F1772" s="21" t="s">
        <v>10438</v>
      </c>
      <c r="G1772" s="21"/>
      <c r="H1772" s="54">
        <v>4</v>
      </c>
      <c r="I1772" s="51"/>
      <c r="J1772" s="27"/>
      <c r="K1772" s="27"/>
      <c r="L1772" s="15"/>
      <c r="M1772" s="15"/>
      <c r="N1772" s="4" t="s">
        <v>4503</v>
      </c>
      <c r="O1772" s="4"/>
    </row>
    <row r="1773" spans="1:15" x14ac:dyDescent="0.2">
      <c r="A1773" s="2">
        <v>40007288</v>
      </c>
      <c r="B1773" s="2" t="s">
        <v>2533</v>
      </c>
      <c r="C1773" s="5" t="s">
        <v>8232</v>
      </c>
      <c r="D1773" s="21">
        <v>2</v>
      </c>
      <c r="E1773" s="21"/>
      <c r="F1773" s="21" t="s">
        <v>10438</v>
      </c>
      <c r="G1773" s="21"/>
      <c r="H1773" s="54">
        <v>4</v>
      </c>
      <c r="I1773" s="51"/>
      <c r="J1773" s="27"/>
      <c r="K1773" s="27"/>
      <c r="L1773" s="15"/>
      <c r="M1773" s="15"/>
      <c r="N1773" s="4" t="s">
        <v>10472</v>
      </c>
      <c r="O1773" s="4"/>
    </row>
    <row r="1774" spans="1:15" x14ac:dyDescent="0.2">
      <c r="A1774" s="2">
        <v>40007494</v>
      </c>
      <c r="B1774" s="2" t="s">
        <v>2704</v>
      </c>
      <c r="C1774" s="5" t="s">
        <v>8406</v>
      </c>
      <c r="D1774" s="21">
        <v>1</v>
      </c>
      <c r="E1774" s="21"/>
      <c r="F1774" s="21" t="s">
        <v>10438</v>
      </c>
      <c r="G1774" s="21"/>
      <c r="H1774" s="54">
        <v>1</v>
      </c>
      <c r="I1774" s="51"/>
      <c r="J1774" s="27"/>
      <c r="K1774" s="27"/>
      <c r="L1774" s="15"/>
      <c r="M1774" s="15"/>
      <c r="N1774" s="4" t="s">
        <v>4897</v>
      </c>
      <c r="O1774" s="4"/>
    </row>
    <row r="1775" spans="1:15" x14ac:dyDescent="0.2">
      <c r="A1775" s="2">
        <v>40008187</v>
      </c>
      <c r="B1775" s="2" t="s">
        <v>3309</v>
      </c>
      <c r="C1775" s="5" t="s">
        <v>9002</v>
      </c>
      <c r="D1775" s="21">
        <v>3</v>
      </c>
      <c r="E1775" s="21"/>
      <c r="F1775" s="30">
        <v>1</v>
      </c>
      <c r="G1775" s="21"/>
      <c r="H1775" s="54">
        <v>9</v>
      </c>
      <c r="I1775" s="51"/>
      <c r="J1775" s="27"/>
      <c r="K1775" s="27"/>
      <c r="L1775" s="15"/>
      <c r="M1775" s="15"/>
      <c r="N1775" s="4" t="s">
        <v>4330</v>
      </c>
      <c r="O1775" s="4"/>
    </row>
    <row r="1776" spans="1:15" x14ac:dyDescent="0.2">
      <c r="A1776" s="2">
        <v>10019255</v>
      </c>
      <c r="B1776" s="2" t="s">
        <v>475</v>
      </c>
      <c r="C1776" s="5" t="s">
        <v>6088</v>
      </c>
      <c r="D1776" s="21">
        <v>31</v>
      </c>
      <c r="E1776" s="21"/>
      <c r="F1776" s="21" t="s">
        <v>10438</v>
      </c>
      <c r="G1776" s="21"/>
      <c r="H1776" s="54">
        <v>10</v>
      </c>
      <c r="I1776" s="51"/>
      <c r="J1776" s="27"/>
      <c r="K1776" s="27"/>
      <c r="L1776" s="15"/>
      <c r="M1776" s="15"/>
      <c r="N1776" s="4" t="s">
        <v>3955</v>
      </c>
      <c r="O1776" s="4"/>
    </row>
    <row r="1777" spans="1:15" x14ac:dyDescent="0.2">
      <c r="A1777" s="2">
        <v>40007101</v>
      </c>
      <c r="B1777" s="2" t="s">
        <v>2373</v>
      </c>
      <c r="C1777" s="5" t="s">
        <v>8078</v>
      </c>
      <c r="D1777" s="21">
        <v>2</v>
      </c>
      <c r="E1777" s="21"/>
      <c r="F1777" s="21" t="s">
        <v>10438</v>
      </c>
      <c r="G1777" s="21"/>
      <c r="H1777" s="54">
        <v>5</v>
      </c>
      <c r="I1777" s="51"/>
      <c r="J1777" s="27"/>
      <c r="K1777" s="27"/>
      <c r="L1777" s="15"/>
      <c r="M1777" s="15"/>
      <c r="N1777" s="4" t="s">
        <v>4500</v>
      </c>
      <c r="O1777" s="4"/>
    </row>
    <row r="1778" spans="1:15" x14ac:dyDescent="0.2">
      <c r="A1778" s="2">
        <v>10018427</v>
      </c>
      <c r="B1778" s="2" t="s">
        <v>175</v>
      </c>
      <c r="C1778" s="5" t="s">
        <v>5717</v>
      </c>
      <c r="D1778" s="21"/>
      <c r="E1778" s="21"/>
      <c r="F1778" s="21" t="s">
        <v>10438</v>
      </c>
      <c r="G1778" s="21"/>
      <c r="H1778" s="54">
        <v>24</v>
      </c>
      <c r="I1778" s="51"/>
      <c r="J1778" s="27"/>
      <c r="K1778" s="27"/>
      <c r="L1778" s="15"/>
      <c r="M1778" s="15"/>
      <c r="N1778" s="4">
        <v>107</v>
      </c>
      <c r="O1778" s="4"/>
    </row>
    <row r="1779" spans="1:15" x14ac:dyDescent="0.2">
      <c r="A1779" s="2">
        <v>10018204</v>
      </c>
      <c r="B1779" s="2" t="s">
        <v>103</v>
      </c>
      <c r="C1779" s="5" t="s">
        <v>5640</v>
      </c>
      <c r="D1779" s="21">
        <v>1</v>
      </c>
      <c r="E1779" s="21"/>
      <c r="F1779" s="21" t="s">
        <v>10438</v>
      </c>
      <c r="G1779" s="21"/>
      <c r="H1779" s="54">
        <v>192</v>
      </c>
      <c r="I1779" s="51"/>
      <c r="J1779" s="27"/>
      <c r="K1779" s="27"/>
      <c r="L1779" s="15"/>
      <c r="M1779" s="15"/>
      <c r="N1779" s="4"/>
      <c r="O1779" s="4"/>
    </row>
    <row r="1780" spans="1:15" x14ac:dyDescent="0.2">
      <c r="A1780" s="2">
        <v>10018601</v>
      </c>
      <c r="B1780" s="2" t="s">
        <v>231</v>
      </c>
      <c r="C1780" s="5" t="s">
        <v>5792</v>
      </c>
      <c r="D1780" s="21">
        <v>65</v>
      </c>
      <c r="E1780" s="21"/>
      <c r="F1780" s="21" t="s">
        <v>10438</v>
      </c>
      <c r="G1780" s="21"/>
      <c r="H1780" s="54">
        <v>25</v>
      </c>
      <c r="I1780" s="51"/>
      <c r="J1780" s="27"/>
      <c r="K1780" s="27"/>
      <c r="L1780" s="15"/>
      <c r="M1780" s="15"/>
      <c r="N1780" s="4">
        <v>101</v>
      </c>
      <c r="O1780" s="4"/>
    </row>
    <row r="1781" spans="1:15" x14ac:dyDescent="0.2">
      <c r="A1781" s="2">
        <v>40006271</v>
      </c>
      <c r="B1781" s="2" t="s">
        <v>3686</v>
      </c>
      <c r="C1781" s="5" t="s">
        <v>7352</v>
      </c>
      <c r="D1781" s="21">
        <v>2</v>
      </c>
      <c r="E1781" s="21"/>
      <c r="F1781" s="21" t="s">
        <v>10438</v>
      </c>
      <c r="G1781" s="21"/>
      <c r="H1781" s="54">
        <v>121</v>
      </c>
      <c r="I1781" s="51"/>
      <c r="J1781" s="27"/>
      <c r="K1781" s="27"/>
      <c r="L1781" s="15"/>
      <c r="M1781" s="15"/>
      <c r="N1781" s="4" t="s">
        <v>4500</v>
      </c>
      <c r="O1781" s="4"/>
    </row>
    <row r="1782" spans="1:15" x14ac:dyDescent="0.2">
      <c r="A1782" s="2">
        <v>40010385</v>
      </c>
      <c r="B1782" s="2" t="s">
        <v>3527</v>
      </c>
      <c r="C1782" s="5" t="s">
        <v>9229</v>
      </c>
      <c r="D1782" s="21">
        <v>16</v>
      </c>
      <c r="E1782" s="21"/>
      <c r="F1782" s="21" t="s">
        <v>10438</v>
      </c>
      <c r="G1782" s="21"/>
      <c r="H1782" s="54">
        <v>147</v>
      </c>
      <c r="I1782" s="51"/>
      <c r="J1782" s="27"/>
      <c r="K1782" s="27"/>
      <c r="L1782" s="15"/>
      <c r="M1782" s="15"/>
      <c r="N1782" s="4" t="s">
        <v>5259</v>
      </c>
      <c r="O1782" s="4"/>
    </row>
    <row r="1783" spans="1:15" x14ac:dyDescent="0.2">
      <c r="A1783" s="2">
        <v>10019187</v>
      </c>
      <c r="B1783" s="2" t="s">
        <v>454</v>
      </c>
      <c r="C1783" s="5" t="s">
        <v>6062</v>
      </c>
      <c r="D1783" s="21">
        <v>34</v>
      </c>
      <c r="E1783" s="21"/>
      <c r="F1783" s="21" t="s">
        <v>10438</v>
      </c>
      <c r="G1783" s="21"/>
      <c r="H1783" s="54">
        <v>123</v>
      </c>
      <c r="I1783" s="51"/>
      <c r="J1783" s="27"/>
      <c r="K1783" s="27"/>
      <c r="L1783" s="15"/>
      <c r="M1783" s="15">
        <v>20</v>
      </c>
      <c r="N1783" s="4">
        <v>75</v>
      </c>
      <c r="O1783" s="4"/>
    </row>
    <row r="1784" spans="1:15" x14ac:dyDescent="0.2">
      <c r="A1784" s="2">
        <v>40006976</v>
      </c>
      <c r="B1784" s="2" t="s">
        <v>2265</v>
      </c>
      <c r="C1784" s="5" t="s">
        <v>7971</v>
      </c>
      <c r="D1784" s="21">
        <v>6</v>
      </c>
      <c r="E1784" s="21"/>
      <c r="F1784" s="21" t="s">
        <v>10438</v>
      </c>
      <c r="G1784" s="21"/>
      <c r="H1784" s="54">
        <v>250</v>
      </c>
      <c r="I1784" s="51"/>
      <c r="J1784" s="27"/>
      <c r="K1784" s="27"/>
      <c r="L1784" s="15"/>
      <c r="M1784" s="15"/>
      <c r="N1784" s="4" t="s">
        <v>4062</v>
      </c>
      <c r="O1784" s="4" t="s">
        <v>10107</v>
      </c>
    </row>
    <row r="1785" spans="1:15" x14ac:dyDescent="0.2">
      <c r="A1785" s="2">
        <v>40008186</v>
      </c>
      <c r="B1785" s="2" t="s">
        <v>3308</v>
      </c>
      <c r="C1785" s="5" t="s">
        <v>9001</v>
      </c>
      <c r="D1785" s="21">
        <v>1</v>
      </c>
      <c r="E1785" s="21"/>
      <c r="F1785" s="21" t="s">
        <v>10438</v>
      </c>
      <c r="G1785" s="21"/>
      <c r="H1785" s="54">
        <v>1220</v>
      </c>
      <c r="I1785" s="51"/>
      <c r="J1785" s="27"/>
      <c r="K1785" s="27"/>
      <c r="L1785" s="15"/>
      <c r="M1785" s="15"/>
      <c r="N1785" s="4"/>
      <c r="O1785" s="4">
        <v>94</v>
      </c>
    </row>
    <row r="1786" spans="1:15" x14ac:dyDescent="0.2">
      <c r="A1786" s="2">
        <v>40006141</v>
      </c>
      <c r="B1786" s="2" t="s">
        <v>1532</v>
      </c>
      <c r="C1786" s="5" t="s">
        <v>7236</v>
      </c>
      <c r="D1786" s="21">
        <v>170</v>
      </c>
      <c r="E1786" s="21"/>
      <c r="F1786" s="30">
        <v>20</v>
      </c>
      <c r="G1786" s="21"/>
      <c r="H1786" s="54">
        <v>5</v>
      </c>
      <c r="I1786" s="51"/>
      <c r="J1786" s="27"/>
      <c r="K1786" s="27"/>
      <c r="L1786" s="15">
        <v>80</v>
      </c>
      <c r="M1786" s="15"/>
      <c r="N1786" s="4" t="s">
        <v>4437</v>
      </c>
      <c r="O1786" s="4"/>
    </row>
    <row r="1787" spans="1:15" x14ac:dyDescent="0.2">
      <c r="A1787" s="2">
        <v>40007403</v>
      </c>
      <c r="B1787" s="2" t="s">
        <v>2628</v>
      </c>
      <c r="C1787" s="5" t="s">
        <v>8327</v>
      </c>
      <c r="D1787" s="21">
        <v>41</v>
      </c>
      <c r="E1787" s="21"/>
      <c r="F1787" s="21" t="s">
        <v>10438</v>
      </c>
      <c r="G1787" s="21"/>
      <c r="H1787" s="54">
        <v>39</v>
      </c>
      <c r="I1787" s="51"/>
      <c r="J1787" s="27"/>
      <c r="K1787" s="27"/>
      <c r="L1787" s="15"/>
      <c r="M1787" s="15"/>
      <c r="N1787" s="4"/>
      <c r="O1787" s="4" t="s">
        <v>10146</v>
      </c>
    </row>
    <row r="1788" spans="1:15" x14ac:dyDescent="0.2">
      <c r="A1788" s="2">
        <v>10019043</v>
      </c>
      <c r="B1788" s="2" t="s">
        <v>412</v>
      </c>
      <c r="C1788" s="5" t="s">
        <v>6016</v>
      </c>
      <c r="D1788" s="21"/>
      <c r="E1788" s="21"/>
      <c r="F1788" s="21" t="s">
        <v>10438</v>
      </c>
      <c r="G1788" s="21"/>
      <c r="H1788" s="54">
        <v>110</v>
      </c>
      <c r="I1788" s="51"/>
      <c r="J1788" s="27"/>
      <c r="K1788" s="27"/>
      <c r="L1788" s="15"/>
      <c r="M1788" s="15"/>
      <c r="N1788" s="4">
        <v>104</v>
      </c>
      <c r="O1788" s="4"/>
    </row>
    <row r="1789" spans="1:15" x14ac:dyDescent="0.2">
      <c r="A1789" s="2">
        <v>40006800</v>
      </c>
      <c r="B1789" s="2" t="s">
        <v>2099</v>
      </c>
      <c r="C1789" s="5" t="s">
        <v>7808</v>
      </c>
      <c r="D1789" s="21">
        <v>1</v>
      </c>
      <c r="E1789" s="21"/>
      <c r="F1789" s="21" t="s">
        <v>10438</v>
      </c>
      <c r="G1789" s="21"/>
      <c r="H1789" s="54">
        <v>729</v>
      </c>
      <c r="I1789" s="51"/>
      <c r="J1789" s="27"/>
      <c r="K1789" s="27"/>
      <c r="L1789" s="15"/>
      <c r="M1789" s="15"/>
      <c r="N1789" s="4"/>
      <c r="O1789" s="4">
        <v>84</v>
      </c>
    </row>
    <row r="1790" spans="1:15" x14ac:dyDescent="0.2">
      <c r="A1790" s="2">
        <v>40007076</v>
      </c>
      <c r="B1790" s="2" t="s">
        <v>2350</v>
      </c>
      <c r="C1790" s="5" t="s">
        <v>8057</v>
      </c>
      <c r="D1790" s="21">
        <v>13</v>
      </c>
      <c r="E1790" s="21"/>
      <c r="F1790" s="21" t="s">
        <v>10438</v>
      </c>
      <c r="G1790" s="21"/>
      <c r="H1790" s="54">
        <v>218</v>
      </c>
      <c r="I1790" s="51"/>
      <c r="J1790" s="27"/>
      <c r="K1790" s="27"/>
      <c r="L1790" s="15"/>
      <c r="M1790" s="15"/>
      <c r="N1790" s="4" t="s">
        <v>3960</v>
      </c>
      <c r="O1790" s="4">
        <v>39</v>
      </c>
    </row>
    <row r="1791" spans="1:15" x14ac:dyDescent="0.2">
      <c r="A1791" s="2">
        <v>40007479</v>
      </c>
      <c r="B1791" s="2" t="s">
        <v>2690</v>
      </c>
      <c r="C1791" s="5" t="s">
        <v>8391</v>
      </c>
      <c r="D1791" s="21">
        <v>5</v>
      </c>
      <c r="E1791" s="21"/>
      <c r="F1791" s="21" t="s">
        <v>10438</v>
      </c>
      <c r="G1791" s="21"/>
      <c r="H1791" s="54">
        <v>88</v>
      </c>
      <c r="I1791" s="51"/>
      <c r="J1791" s="27"/>
      <c r="K1791" s="27"/>
      <c r="L1791" s="15"/>
      <c r="M1791" s="15"/>
      <c r="N1791" s="4" t="s">
        <v>4667</v>
      </c>
      <c r="O1791" s="4"/>
    </row>
    <row r="1792" spans="1:15" x14ac:dyDescent="0.2">
      <c r="A1792" s="2">
        <v>40006745</v>
      </c>
      <c r="B1792" s="2" t="s">
        <v>3755</v>
      </c>
      <c r="C1792" s="5" t="s">
        <v>7760</v>
      </c>
      <c r="D1792" s="21">
        <v>1</v>
      </c>
      <c r="E1792" s="21"/>
      <c r="F1792" s="30">
        <v>1</v>
      </c>
      <c r="G1792" s="21"/>
      <c r="H1792" s="54">
        <v>65</v>
      </c>
      <c r="I1792" s="51"/>
      <c r="J1792" s="27"/>
      <c r="K1792" s="27"/>
      <c r="L1792" s="15"/>
      <c r="M1792" s="15">
        <v>5</v>
      </c>
      <c r="N1792" s="4" t="s">
        <v>4673</v>
      </c>
      <c r="O1792" s="4"/>
    </row>
    <row r="1793" spans="1:15" x14ac:dyDescent="0.2">
      <c r="A1793" s="2">
        <v>40006274</v>
      </c>
      <c r="B1793" s="2" t="s">
        <v>1648</v>
      </c>
      <c r="C1793" s="5" t="s">
        <v>7355</v>
      </c>
      <c r="D1793" s="21">
        <v>2</v>
      </c>
      <c r="E1793" s="21"/>
      <c r="F1793" s="21" t="s">
        <v>10438</v>
      </c>
      <c r="G1793" s="21"/>
      <c r="H1793" s="54">
        <v>87</v>
      </c>
      <c r="I1793" s="51"/>
      <c r="J1793" s="27"/>
      <c r="K1793" s="27"/>
      <c r="L1793" s="15"/>
      <c r="M1793" s="15"/>
      <c r="N1793" s="4"/>
      <c r="O1793" s="4">
        <v>92</v>
      </c>
    </row>
    <row r="1794" spans="1:15" x14ac:dyDescent="0.2">
      <c r="A1794" s="2">
        <v>40005664</v>
      </c>
      <c r="B1794" s="2" t="s">
        <v>1101</v>
      </c>
      <c r="C1794" s="5" t="s">
        <v>6819</v>
      </c>
      <c r="D1794" s="21">
        <v>21</v>
      </c>
      <c r="E1794" s="21"/>
      <c r="F1794" s="21" t="s">
        <v>10438</v>
      </c>
      <c r="G1794" s="21"/>
      <c r="H1794" s="54">
        <v>142</v>
      </c>
      <c r="I1794" s="51"/>
      <c r="J1794" s="27"/>
      <c r="K1794" s="27"/>
      <c r="L1794" s="15"/>
      <c r="M1794" s="15"/>
      <c r="N1794" s="4" t="s">
        <v>4203</v>
      </c>
      <c r="O1794" s="4" t="s">
        <v>10211</v>
      </c>
    </row>
    <row r="1795" spans="1:15" x14ac:dyDescent="0.2">
      <c r="A1795" s="2">
        <v>40007315</v>
      </c>
      <c r="B1795" s="2" t="s">
        <v>2557</v>
      </c>
      <c r="C1795" s="5">
        <v>965404460</v>
      </c>
      <c r="D1795" s="21">
        <v>10</v>
      </c>
      <c r="E1795" s="21"/>
      <c r="F1795" s="21" t="s">
        <v>10438</v>
      </c>
      <c r="G1795" s="21"/>
      <c r="H1795" s="54">
        <v>77</v>
      </c>
      <c r="I1795" s="51"/>
      <c r="J1795" s="27"/>
      <c r="K1795" s="27"/>
      <c r="L1795" s="15"/>
      <c r="M1795" s="15"/>
      <c r="N1795" s="4" t="s">
        <v>4343</v>
      </c>
      <c r="O1795" s="4" t="s">
        <v>10339</v>
      </c>
    </row>
    <row r="1796" spans="1:15" x14ac:dyDescent="0.2">
      <c r="A1796" s="2">
        <v>40006935</v>
      </c>
      <c r="B1796" s="2" t="s">
        <v>2228</v>
      </c>
      <c r="C1796" s="5">
        <v>965452470</v>
      </c>
      <c r="D1796" s="21">
        <v>2</v>
      </c>
      <c r="E1796" s="21"/>
      <c r="F1796" s="21" t="s">
        <v>10438</v>
      </c>
      <c r="G1796" s="21"/>
      <c r="H1796" s="54">
        <v>102</v>
      </c>
      <c r="I1796" s="51"/>
      <c r="J1796" s="27"/>
      <c r="K1796" s="27"/>
      <c r="L1796" s="15"/>
      <c r="M1796" s="15"/>
      <c r="N1796" s="4"/>
      <c r="O1796" s="4">
        <v>75</v>
      </c>
    </row>
    <row r="1797" spans="1:15" x14ac:dyDescent="0.2">
      <c r="A1797" s="2">
        <v>40005816</v>
      </c>
      <c r="B1797" s="2" t="s">
        <v>1237</v>
      </c>
      <c r="C1797" s="5">
        <v>965404981</v>
      </c>
      <c r="D1797" s="21">
        <v>2</v>
      </c>
      <c r="E1797" s="21"/>
      <c r="F1797" s="21" t="s">
        <v>10438</v>
      </c>
      <c r="G1797" s="21"/>
      <c r="H1797" s="54">
        <v>250</v>
      </c>
      <c r="I1797" s="51"/>
      <c r="J1797" s="27"/>
      <c r="K1797" s="27"/>
      <c r="L1797" s="15"/>
      <c r="M1797" s="15"/>
      <c r="N1797" s="4" t="s">
        <v>3936</v>
      </c>
      <c r="O1797" s="4"/>
    </row>
    <row r="1798" spans="1:15" x14ac:dyDescent="0.2">
      <c r="A1798" s="2">
        <v>40006914</v>
      </c>
      <c r="B1798" s="2" t="s">
        <v>2209</v>
      </c>
      <c r="C1798" s="5" t="s">
        <v>7918</v>
      </c>
      <c r="D1798" s="21">
        <v>6</v>
      </c>
      <c r="E1798" s="21"/>
      <c r="F1798" s="21" t="s">
        <v>10438</v>
      </c>
      <c r="G1798" s="21"/>
      <c r="H1798" s="54">
        <v>14</v>
      </c>
      <c r="I1798" s="51"/>
      <c r="J1798" s="27"/>
      <c r="K1798" s="27"/>
      <c r="L1798" s="15"/>
      <c r="M1798" s="15"/>
      <c r="N1798" s="4" t="s">
        <v>4741</v>
      </c>
      <c r="O1798" s="4"/>
    </row>
    <row r="1799" spans="1:15" x14ac:dyDescent="0.2">
      <c r="A1799" s="2">
        <v>40007888</v>
      </c>
      <c r="B1799" s="2" t="s">
        <v>3043</v>
      </c>
      <c r="C1799" s="5">
        <v>965452090</v>
      </c>
      <c r="D1799" s="21">
        <v>10</v>
      </c>
      <c r="E1799" s="21"/>
      <c r="F1799" s="21" t="s">
        <v>10438</v>
      </c>
      <c r="G1799" s="21"/>
      <c r="H1799" s="54">
        <v>83</v>
      </c>
      <c r="I1799" s="51"/>
      <c r="J1799" s="27"/>
      <c r="K1799" s="27"/>
      <c r="L1799" s="15"/>
      <c r="M1799" s="15"/>
      <c r="N1799" s="4"/>
      <c r="O1799" s="4" t="s">
        <v>10340</v>
      </c>
    </row>
    <row r="1800" spans="1:15" x14ac:dyDescent="0.2">
      <c r="A1800" s="2">
        <v>40005836</v>
      </c>
      <c r="B1800" s="2" t="s">
        <v>1255</v>
      </c>
      <c r="C1800" s="5" t="s">
        <v>6967</v>
      </c>
      <c r="D1800" s="21">
        <v>7</v>
      </c>
      <c r="E1800" s="21"/>
      <c r="F1800" s="21" t="s">
        <v>10438</v>
      </c>
      <c r="G1800" s="21"/>
      <c r="H1800" s="54">
        <v>27</v>
      </c>
      <c r="I1800" s="51"/>
      <c r="J1800" s="27"/>
      <c r="K1800" s="27"/>
      <c r="L1800" s="15"/>
      <c r="M1800" s="15"/>
      <c r="N1800" s="4" t="s">
        <v>4284</v>
      </c>
      <c r="O1800" s="4"/>
    </row>
    <row r="1801" spans="1:15" x14ac:dyDescent="0.2">
      <c r="A1801" s="2">
        <v>40007142</v>
      </c>
      <c r="B1801" s="2" t="s">
        <v>2410</v>
      </c>
      <c r="C1801" s="5">
        <v>965525042</v>
      </c>
      <c r="D1801" s="21">
        <v>60</v>
      </c>
      <c r="E1801" s="21"/>
      <c r="F1801" s="21" t="s">
        <v>10438</v>
      </c>
      <c r="G1801" s="21"/>
      <c r="H1801" s="54">
        <v>32</v>
      </c>
      <c r="I1801" s="51"/>
      <c r="J1801" s="27"/>
      <c r="K1801" s="27"/>
      <c r="L1801" s="15"/>
      <c r="M1801" s="15"/>
      <c r="N1801" s="4" t="s">
        <v>4270</v>
      </c>
      <c r="O1801" s="4"/>
    </row>
    <row r="1802" spans="1:15" x14ac:dyDescent="0.2">
      <c r="A1802" s="2">
        <v>40005579</v>
      </c>
      <c r="B1802" s="2" t="s">
        <v>1029</v>
      </c>
      <c r="C1802" s="5" t="s">
        <v>6755</v>
      </c>
      <c r="D1802" s="21">
        <v>3</v>
      </c>
      <c r="E1802" s="21"/>
      <c r="F1802" s="21" t="s">
        <v>10438</v>
      </c>
      <c r="G1802" s="21"/>
      <c r="H1802" s="54">
        <v>41</v>
      </c>
      <c r="I1802" s="51"/>
      <c r="J1802" s="27"/>
      <c r="K1802" s="27"/>
      <c r="L1802" s="15"/>
      <c r="M1802" s="15"/>
      <c r="N1802" s="4" t="s">
        <v>4155</v>
      </c>
      <c r="O1802" s="4"/>
    </row>
    <row r="1803" spans="1:15" x14ac:dyDescent="0.2">
      <c r="A1803" s="2">
        <v>40005657</v>
      </c>
      <c r="B1803" s="2" t="s">
        <v>1095</v>
      </c>
      <c r="C1803" s="5">
        <v>30131020</v>
      </c>
      <c r="D1803" s="21">
        <v>1</v>
      </c>
      <c r="E1803" s="21"/>
      <c r="F1803" s="21" t="s">
        <v>10438</v>
      </c>
      <c r="G1803" s="21"/>
      <c r="H1803" s="54">
        <v>19</v>
      </c>
      <c r="I1803" s="51"/>
      <c r="J1803" s="27"/>
      <c r="K1803" s="27"/>
      <c r="L1803" s="15"/>
      <c r="M1803" s="15"/>
      <c r="N1803" s="4"/>
      <c r="O1803" s="4" t="s">
        <v>10439</v>
      </c>
    </row>
    <row r="1804" spans="1:15" x14ac:dyDescent="0.2">
      <c r="A1804" s="2">
        <v>40006981</v>
      </c>
      <c r="B1804" s="2" t="s">
        <v>2270</v>
      </c>
      <c r="C1804" s="5" t="s">
        <v>7976</v>
      </c>
      <c r="D1804" s="21">
        <v>23</v>
      </c>
      <c r="E1804" s="21"/>
      <c r="F1804" s="21" t="s">
        <v>10438</v>
      </c>
      <c r="G1804" s="21"/>
      <c r="H1804" s="54">
        <v>1</v>
      </c>
      <c r="I1804" s="51"/>
      <c r="J1804" s="27"/>
      <c r="K1804" s="27"/>
      <c r="L1804" s="15"/>
      <c r="M1804" s="15"/>
      <c r="N1804" s="4" t="s">
        <v>4776</v>
      </c>
      <c r="O1804" s="4"/>
    </row>
    <row r="1805" spans="1:15" x14ac:dyDescent="0.2">
      <c r="A1805" s="2">
        <v>40007316</v>
      </c>
      <c r="B1805" s="2" t="s">
        <v>2558</v>
      </c>
      <c r="C1805" s="5">
        <v>965404520</v>
      </c>
      <c r="D1805" s="21">
        <v>16</v>
      </c>
      <c r="E1805" s="21"/>
      <c r="F1805" s="21" t="s">
        <v>10438</v>
      </c>
      <c r="G1805" s="21"/>
      <c r="H1805" s="54">
        <v>19</v>
      </c>
      <c r="I1805" s="51"/>
      <c r="J1805" s="27"/>
      <c r="K1805" s="27"/>
      <c r="L1805" s="15"/>
      <c r="M1805" s="15"/>
      <c r="N1805" s="4" t="s">
        <v>4913</v>
      </c>
      <c r="O1805" s="4"/>
    </row>
    <row r="1806" spans="1:15" x14ac:dyDescent="0.2">
      <c r="A1806" s="2">
        <v>40005741</v>
      </c>
      <c r="B1806" s="2" t="s">
        <v>1168</v>
      </c>
      <c r="C1806" s="5">
        <v>965404780</v>
      </c>
      <c r="D1806" s="21">
        <v>4</v>
      </c>
      <c r="E1806" s="21"/>
      <c r="F1806" s="21" t="s">
        <v>10438</v>
      </c>
      <c r="G1806" s="21"/>
      <c r="H1806" s="54">
        <v>11</v>
      </c>
      <c r="I1806" s="51"/>
      <c r="J1806" s="27"/>
      <c r="K1806" s="27"/>
      <c r="L1806" s="15"/>
      <c r="M1806" s="15"/>
      <c r="N1806" s="4" t="s">
        <v>4250</v>
      </c>
      <c r="O1806" s="4"/>
    </row>
    <row r="1807" spans="1:15" x14ac:dyDescent="0.2">
      <c r="A1807" s="2">
        <v>40008093</v>
      </c>
      <c r="B1807" s="2" t="s">
        <v>3221</v>
      </c>
      <c r="C1807" s="5">
        <v>965517031</v>
      </c>
      <c r="D1807" s="21">
        <v>3</v>
      </c>
      <c r="E1807" s="21"/>
      <c r="F1807" s="21" t="s">
        <v>10438</v>
      </c>
      <c r="G1807" s="21"/>
      <c r="H1807" s="54">
        <v>40</v>
      </c>
      <c r="I1807" s="51"/>
      <c r="J1807" s="27"/>
      <c r="K1807" s="27"/>
      <c r="L1807" s="15"/>
      <c r="M1807" s="15"/>
      <c r="N1807" s="4" t="s">
        <v>4267</v>
      </c>
      <c r="O1807" s="4"/>
    </row>
    <row r="1808" spans="1:15" x14ac:dyDescent="0.2">
      <c r="A1808" s="2">
        <v>40007295</v>
      </c>
      <c r="B1808" s="2" t="s">
        <v>2540</v>
      </c>
      <c r="C1808" s="5">
        <v>965517141</v>
      </c>
      <c r="D1808" s="21">
        <v>1</v>
      </c>
      <c r="E1808" s="21"/>
      <c r="F1808" s="21" t="s">
        <v>10438</v>
      </c>
      <c r="G1808" s="21"/>
      <c r="H1808" s="54">
        <v>35</v>
      </c>
      <c r="I1808" s="51"/>
      <c r="J1808" s="27"/>
      <c r="K1808" s="27"/>
      <c r="L1808" s="15"/>
      <c r="M1808" s="15"/>
      <c r="N1808" s="4" t="s">
        <v>4908</v>
      </c>
      <c r="O1808" s="4"/>
    </row>
    <row r="1809" spans="1:15" x14ac:dyDescent="0.2">
      <c r="A1809" s="2">
        <v>40007296</v>
      </c>
      <c r="B1809" s="2" t="s">
        <v>2541</v>
      </c>
      <c r="C1809" s="5">
        <v>965518090</v>
      </c>
      <c r="D1809" s="21">
        <v>1</v>
      </c>
      <c r="E1809" s="21"/>
      <c r="F1809" s="21" t="s">
        <v>10438</v>
      </c>
      <c r="G1809" s="21"/>
      <c r="H1809" s="54">
        <v>26</v>
      </c>
      <c r="I1809" s="51"/>
      <c r="J1809" s="27"/>
      <c r="K1809" s="27"/>
      <c r="L1809" s="15"/>
      <c r="M1809" s="15"/>
      <c r="N1809" s="4" t="s">
        <v>4195</v>
      </c>
      <c r="O1809" s="4"/>
    </row>
    <row r="1810" spans="1:15" x14ac:dyDescent="0.2">
      <c r="A1810" s="2">
        <v>40006825</v>
      </c>
      <c r="B1810" s="2" t="s">
        <v>2124</v>
      </c>
      <c r="C1810" s="5">
        <v>965524023</v>
      </c>
      <c r="D1810" s="21">
        <v>10</v>
      </c>
      <c r="E1810" s="21"/>
      <c r="F1810" s="21" t="s">
        <v>10438</v>
      </c>
      <c r="G1810" s="21"/>
      <c r="H1810" s="54">
        <v>28</v>
      </c>
      <c r="I1810" s="51"/>
      <c r="J1810" s="27"/>
      <c r="K1810" s="27"/>
      <c r="L1810" s="15"/>
      <c r="M1810" s="15"/>
      <c r="N1810" s="4" t="s">
        <v>4270</v>
      </c>
      <c r="O1810" s="4"/>
    </row>
    <row r="1811" spans="1:15" x14ac:dyDescent="0.2">
      <c r="A1811" s="2">
        <v>40006777</v>
      </c>
      <c r="B1811" s="2" t="s">
        <v>2077</v>
      </c>
      <c r="C1811" s="5">
        <v>965524082</v>
      </c>
      <c r="D1811" s="21">
        <v>8</v>
      </c>
      <c r="E1811" s="21"/>
      <c r="F1811" s="21" t="s">
        <v>10438</v>
      </c>
      <c r="G1811" s="21"/>
      <c r="H1811" s="54">
        <v>40</v>
      </c>
      <c r="I1811" s="51"/>
      <c r="J1811" s="27"/>
      <c r="K1811" s="27"/>
      <c r="L1811" s="15"/>
      <c r="M1811" s="15"/>
      <c r="N1811" s="4" t="s">
        <v>4270</v>
      </c>
      <c r="O1811" s="4"/>
    </row>
    <row r="1812" spans="1:15" x14ac:dyDescent="0.2">
      <c r="A1812" s="2">
        <v>40006776</v>
      </c>
      <c r="B1812" s="2" t="s">
        <v>2076</v>
      </c>
      <c r="C1812" s="5">
        <v>965524131</v>
      </c>
      <c r="D1812" s="21">
        <v>8</v>
      </c>
      <c r="E1812" s="21"/>
      <c r="F1812" s="21" t="s">
        <v>10438</v>
      </c>
      <c r="G1812" s="21"/>
      <c r="H1812" s="54">
        <v>30</v>
      </c>
      <c r="I1812" s="51"/>
      <c r="J1812" s="27"/>
      <c r="K1812" s="27"/>
      <c r="L1812" s="15"/>
      <c r="M1812" s="15"/>
      <c r="N1812" s="4" t="s">
        <v>4519</v>
      </c>
      <c r="O1812" s="4"/>
    </row>
    <row r="1813" spans="1:15" x14ac:dyDescent="0.2">
      <c r="A1813" s="2">
        <v>40007126</v>
      </c>
      <c r="B1813" s="2" t="s">
        <v>2394</v>
      </c>
      <c r="C1813" s="5">
        <v>965525032</v>
      </c>
      <c r="D1813" s="21">
        <v>15</v>
      </c>
      <c r="E1813" s="21"/>
      <c r="F1813" s="21" t="s">
        <v>10438</v>
      </c>
      <c r="G1813" s="21"/>
      <c r="H1813" s="54">
        <v>30</v>
      </c>
      <c r="I1813" s="51"/>
      <c r="J1813" s="27"/>
      <c r="K1813" s="27"/>
      <c r="L1813" s="15"/>
      <c r="M1813" s="15"/>
      <c r="N1813" s="4" t="s">
        <v>4519</v>
      </c>
      <c r="O1813" s="4"/>
    </row>
    <row r="1814" spans="1:15" x14ac:dyDescent="0.2">
      <c r="A1814" s="2">
        <v>40007913</v>
      </c>
      <c r="B1814" s="2" t="s">
        <v>3068</v>
      </c>
      <c r="C1814" s="5" t="s">
        <v>8759</v>
      </c>
      <c r="D1814" s="21">
        <v>2</v>
      </c>
      <c r="E1814" s="21"/>
      <c r="F1814" s="21" t="s">
        <v>10438</v>
      </c>
      <c r="G1814" s="21"/>
      <c r="H1814" s="54">
        <v>27</v>
      </c>
      <c r="I1814" s="51"/>
      <c r="J1814" s="27"/>
      <c r="K1814" s="27"/>
      <c r="L1814" s="15"/>
      <c r="M1814" s="15"/>
      <c r="N1814" s="4" t="s">
        <v>4581</v>
      </c>
      <c r="O1814" s="4"/>
    </row>
    <row r="1815" spans="1:15" x14ac:dyDescent="0.2">
      <c r="A1815" s="2">
        <v>40008233</v>
      </c>
      <c r="B1815" s="2" t="s">
        <v>3352</v>
      </c>
      <c r="C1815" s="5">
        <v>965524062</v>
      </c>
      <c r="D1815" s="21">
        <v>5</v>
      </c>
      <c r="E1815" s="21"/>
      <c r="F1815" s="21" t="s">
        <v>10438</v>
      </c>
      <c r="G1815" s="21"/>
      <c r="H1815" s="54">
        <v>40</v>
      </c>
      <c r="I1815" s="51"/>
      <c r="J1815" s="27"/>
      <c r="K1815" s="27"/>
      <c r="L1815" s="15"/>
      <c r="M1815" s="15"/>
      <c r="N1815" s="4" t="s">
        <v>5214</v>
      </c>
      <c r="O1815" s="4"/>
    </row>
    <row r="1816" spans="1:15" x14ac:dyDescent="0.2">
      <c r="A1816" s="2">
        <v>40005808</v>
      </c>
      <c r="B1816" s="2" t="s">
        <v>1230</v>
      </c>
      <c r="C1816" s="5" t="s">
        <v>6943</v>
      </c>
      <c r="D1816" s="21">
        <v>4</v>
      </c>
      <c r="E1816" s="21"/>
      <c r="F1816" s="21" t="s">
        <v>10438</v>
      </c>
      <c r="G1816" s="21"/>
      <c r="H1816" s="54">
        <v>45</v>
      </c>
      <c r="I1816" s="51"/>
      <c r="J1816" s="27"/>
      <c r="K1816" s="27"/>
      <c r="L1816" s="15"/>
      <c r="M1816" s="15"/>
      <c r="N1816" s="4" t="s">
        <v>3984</v>
      </c>
      <c r="O1816" s="4"/>
    </row>
    <row r="1817" spans="1:15" x14ac:dyDescent="0.2">
      <c r="A1817" s="2">
        <v>40005803</v>
      </c>
      <c r="B1817" s="2" t="s">
        <v>1225</v>
      </c>
      <c r="C1817" s="5" t="s">
        <v>6938</v>
      </c>
      <c r="D1817" s="21">
        <v>11</v>
      </c>
      <c r="E1817" s="21"/>
      <c r="F1817" s="21" t="s">
        <v>10438</v>
      </c>
      <c r="G1817" s="21"/>
      <c r="H1817" s="54">
        <v>10</v>
      </c>
      <c r="I1817" s="51"/>
      <c r="J1817" s="27"/>
      <c r="K1817" s="27"/>
      <c r="L1817" s="15"/>
      <c r="M1817" s="15"/>
      <c r="N1817" s="4" t="s">
        <v>4270</v>
      </c>
      <c r="O1817" s="4"/>
    </row>
    <row r="1818" spans="1:15" x14ac:dyDescent="0.2">
      <c r="A1818" s="2">
        <v>40005637</v>
      </c>
      <c r="B1818" s="2" t="s">
        <v>1079</v>
      </c>
      <c r="C1818" s="5">
        <v>3641140</v>
      </c>
      <c r="D1818" s="21">
        <v>6</v>
      </c>
      <c r="E1818" s="21"/>
      <c r="F1818" s="21" t="s">
        <v>10438</v>
      </c>
      <c r="G1818" s="21"/>
      <c r="H1818" s="54">
        <v>20</v>
      </c>
      <c r="I1818" s="51"/>
      <c r="J1818" s="27"/>
      <c r="K1818" s="27"/>
      <c r="L1818" s="15"/>
      <c r="M1818" s="15"/>
      <c r="N1818" s="4" t="s">
        <v>4183</v>
      </c>
      <c r="O1818" s="4"/>
    </row>
    <row r="1819" spans="1:15" x14ac:dyDescent="0.2">
      <c r="A1819" s="2">
        <v>40005841</v>
      </c>
      <c r="B1819" s="2" t="s">
        <v>1259</v>
      </c>
      <c r="C1819" s="5" t="s">
        <v>6971</v>
      </c>
      <c r="D1819" s="21">
        <v>7</v>
      </c>
      <c r="E1819" s="21"/>
      <c r="F1819" s="21" t="s">
        <v>10438</v>
      </c>
      <c r="G1819" s="21"/>
      <c r="H1819" s="54">
        <v>1547</v>
      </c>
      <c r="I1819" s="51"/>
      <c r="J1819" s="27"/>
      <c r="K1819" s="27"/>
      <c r="L1819" s="15"/>
      <c r="M1819" s="15"/>
      <c r="N1819" s="4"/>
      <c r="O1819" s="4">
        <v>69</v>
      </c>
    </row>
    <row r="1820" spans="1:15" x14ac:dyDescent="0.2">
      <c r="A1820" s="2">
        <v>40007894</v>
      </c>
      <c r="B1820" s="2" t="s">
        <v>3049</v>
      </c>
      <c r="C1820" s="5" t="s">
        <v>8741</v>
      </c>
      <c r="D1820" s="21">
        <v>1</v>
      </c>
      <c r="E1820" s="21"/>
      <c r="F1820" s="21" t="s">
        <v>10438</v>
      </c>
      <c r="G1820" s="21"/>
      <c r="H1820" s="54">
        <v>13</v>
      </c>
      <c r="I1820" s="51"/>
      <c r="J1820" s="27"/>
      <c r="K1820" s="27"/>
      <c r="L1820" s="15"/>
      <c r="M1820" s="15"/>
      <c r="N1820" s="4" t="s">
        <v>5120</v>
      </c>
      <c r="O1820" s="4"/>
    </row>
    <row r="1821" spans="1:15" x14ac:dyDescent="0.2">
      <c r="A1821" s="2">
        <v>40008258</v>
      </c>
      <c r="B1821" s="2" t="s">
        <v>3373</v>
      </c>
      <c r="C1821" s="5" t="s">
        <v>9065</v>
      </c>
      <c r="D1821" s="21">
        <v>25</v>
      </c>
      <c r="E1821" s="21"/>
      <c r="F1821" s="21" t="s">
        <v>10438</v>
      </c>
      <c r="G1821" s="21"/>
      <c r="H1821" s="54">
        <v>95</v>
      </c>
      <c r="I1821" s="51"/>
      <c r="J1821" s="27"/>
      <c r="K1821" s="27"/>
      <c r="L1821" s="15"/>
      <c r="M1821" s="15"/>
      <c r="N1821" s="4" t="s">
        <v>4044</v>
      </c>
      <c r="O1821" s="4" t="s">
        <v>10140</v>
      </c>
    </row>
    <row r="1822" spans="1:15" x14ac:dyDescent="0.2">
      <c r="A1822" s="2">
        <v>40008251</v>
      </c>
      <c r="B1822" s="2" t="s">
        <v>3368</v>
      </c>
      <c r="C1822" s="5" t="s">
        <v>9059</v>
      </c>
      <c r="D1822" s="21">
        <v>10</v>
      </c>
      <c r="E1822" s="21"/>
      <c r="F1822" s="21" t="s">
        <v>10438</v>
      </c>
      <c r="G1822" s="21"/>
      <c r="H1822" s="54">
        <v>151</v>
      </c>
      <c r="I1822" s="51"/>
      <c r="J1822" s="27"/>
      <c r="K1822" s="27"/>
      <c r="L1822" s="15"/>
      <c r="M1822" s="15"/>
      <c r="N1822" s="4" t="s">
        <v>5221</v>
      </c>
      <c r="O1822" s="4"/>
    </row>
    <row r="1823" spans="1:15" x14ac:dyDescent="0.2">
      <c r="A1823" s="2">
        <v>40007245</v>
      </c>
      <c r="B1823" s="2" t="s">
        <v>2499</v>
      </c>
      <c r="C1823" s="5" t="s">
        <v>8196</v>
      </c>
      <c r="D1823" s="21">
        <v>3</v>
      </c>
      <c r="E1823" s="21"/>
      <c r="F1823" s="21" t="s">
        <v>10438</v>
      </c>
      <c r="G1823" s="21"/>
      <c r="H1823" s="54">
        <v>291</v>
      </c>
      <c r="I1823" s="51"/>
      <c r="J1823" s="27"/>
      <c r="K1823" s="27"/>
      <c r="L1823" s="15"/>
      <c r="M1823" s="15"/>
      <c r="N1823" s="4"/>
      <c r="O1823" s="4">
        <v>69</v>
      </c>
    </row>
    <row r="1824" spans="1:15" x14ac:dyDescent="0.2">
      <c r="A1824" s="2">
        <v>40007298</v>
      </c>
      <c r="B1824" s="2" t="s">
        <v>2543</v>
      </c>
      <c r="C1824" s="5" t="s">
        <v>8239</v>
      </c>
      <c r="D1824" s="21">
        <v>21</v>
      </c>
      <c r="E1824" s="21"/>
      <c r="F1824" s="21" t="s">
        <v>10438</v>
      </c>
      <c r="G1824" s="21"/>
      <c r="H1824" s="54">
        <v>1590</v>
      </c>
      <c r="I1824" s="51"/>
      <c r="J1824" s="27"/>
      <c r="K1824" s="27"/>
      <c r="L1824" s="15"/>
      <c r="M1824" s="15"/>
      <c r="N1824" s="4"/>
      <c r="O1824" s="4">
        <v>91</v>
      </c>
    </row>
    <row r="1825" spans="1:15" x14ac:dyDescent="0.2">
      <c r="A1825" s="2">
        <v>40007284</v>
      </c>
      <c r="B1825" s="2" t="s">
        <v>2529</v>
      </c>
      <c r="C1825" s="5" t="s">
        <v>8229</v>
      </c>
      <c r="D1825" s="21">
        <v>14</v>
      </c>
      <c r="E1825" s="21"/>
      <c r="F1825" s="21" t="s">
        <v>10438</v>
      </c>
      <c r="G1825" s="21"/>
      <c r="H1825" s="54">
        <v>332</v>
      </c>
      <c r="I1825" s="51"/>
      <c r="J1825" s="27"/>
      <c r="K1825" s="27"/>
      <c r="L1825" s="15"/>
      <c r="M1825" s="15"/>
      <c r="N1825" s="4" t="s">
        <v>4653</v>
      </c>
      <c r="O1825" s="4">
        <v>40</v>
      </c>
    </row>
    <row r="1826" spans="1:15" x14ac:dyDescent="0.2">
      <c r="A1826" s="2">
        <v>40007170</v>
      </c>
      <c r="B1826" s="2" t="s">
        <v>2437</v>
      </c>
      <c r="C1826" s="5" t="s">
        <v>8139</v>
      </c>
      <c r="D1826" s="21">
        <v>1</v>
      </c>
      <c r="E1826" s="21"/>
      <c r="F1826" s="21" t="s">
        <v>10438</v>
      </c>
      <c r="G1826" s="21"/>
      <c r="H1826" s="54">
        <v>369</v>
      </c>
      <c r="I1826" s="51"/>
      <c r="J1826" s="27"/>
      <c r="K1826" s="27"/>
      <c r="L1826" s="15"/>
      <c r="M1826" s="15"/>
      <c r="N1826" s="4" t="s">
        <v>5204</v>
      </c>
      <c r="O1826" s="4"/>
    </row>
    <row r="1827" spans="1:15" x14ac:dyDescent="0.2">
      <c r="A1827" s="2">
        <v>40007143</v>
      </c>
      <c r="B1827" s="2" t="s">
        <v>2411</v>
      </c>
      <c r="C1827" s="5" t="s">
        <v>8113</v>
      </c>
      <c r="D1827" s="21">
        <v>9</v>
      </c>
      <c r="E1827" s="21"/>
      <c r="F1827" s="21" t="s">
        <v>10438</v>
      </c>
      <c r="G1827" s="21"/>
      <c r="H1827" s="54">
        <v>963</v>
      </c>
      <c r="I1827" s="51"/>
      <c r="J1827" s="27"/>
      <c r="K1827" s="27"/>
      <c r="L1827" s="15"/>
      <c r="M1827" s="15"/>
      <c r="N1827" s="4"/>
      <c r="O1827" s="4">
        <v>40</v>
      </c>
    </row>
    <row r="1828" spans="1:15" x14ac:dyDescent="0.2">
      <c r="A1828" s="2">
        <v>40005567</v>
      </c>
      <c r="B1828" s="2" t="s">
        <v>1019</v>
      </c>
      <c r="C1828" s="5" t="s">
        <v>6744</v>
      </c>
      <c r="D1828" s="21">
        <v>1</v>
      </c>
      <c r="E1828" s="21"/>
      <c r="F1828" s="21" t="s">
        <v>10438</v>
      </c>
      <c r="G1828" s="21"/>
      <c r="H1828" s="54">
        <v>531</v>
      </c>
      <c r="I1828" s="51"/>
      <c r="J1828" s="27"/>
      <c r="K1828" s="27"/>
      <c r="L1828" s="15"/>
      <c r="M1828" s="15"/>
      <c r="N1828" s="4" t="s">
        <v>4146</v>
      </c>
      <c r="O1828" s="4"/>
    </row>
    <row r="1829" spans="1:15" x14ac:dyDescent="0.2">
      <c r="A1829" s="2">
        <v>40007518</v>
      </c>
      <c r="B1829" s="2" t="s">
        <v>2724</v>
      </c>
      <c r="C1829" s="5" t="s">
        <v>8427</v>
      </c>
      <c r="D1829" s="21">
        <v>1</v>
      </c>
      <c r="E1829" s="21"/>
      <c r="F1829" s="21" t="s">
        <v>10438</v>
      </c>
      <c r="G1829" s="21"/>
      <c r="H1829" s="54">
        <v>123</v>
      </c>
      <c r="I1829" s="51"/>
      <c r="J1829" s="27"/>
      <c r="K1829" s="27"/>
      <c r="L1829" s="15"/>
      <c r="M1829" s="15"/>
      <c r="N1829" s="4" t="s">
        <v>4578</v>
      </c>
      <c r="O1829" s="4"/>
    </row>
    <row r="1830" spans="1:15" x14ac:dyDescent="0.2">
      <c r="A1830" s="2">
        <v>40008318</v>
      </c>
      <c r="B1830" s="2" t="s">
        <v>3423</v>
      </c>
      <c r="C1830" s="5" t="s">
        <v>9116</v>
      </c>
      <c r="D1830" s="21">
        <v>14</v>
      </c>
      <c r="E1830" s="21"/>
      <c r="F1830" s="21" t="s">
        <v>10438</v>
      </c>
      <c r="G1830" s="21"/>
      <c r="H1830" s="54">
        <v>24</v>
      </c>
      <c r="I1830" s="51"/>
      <c r="J1830" s="27"/>
      <c r="K1830" s="27"/>
      <c r="L1830" s="15"/>
      <c r="M1830" s="15"/>
      <c r="N1830" s="4" t="s">
        <v>4901</v>
      </c>
      <c r="O1830" s="4"/>
    </row>
    <row r="1831" spans="1:15" x14ac:dyDescent="0.2">
      <c r="A1831" s="2">
        <v>40006802</v>
      </c>
      <c r="B1831" s="2" t="s">
        <v>2101</v>
      </c>
      <c r="C1831" s="5" t="s">
        <v>7810</v>
      </c>
      <c r="D1831" s="21">
        <v>4</v>
      </c>
      <c r="E1831" s="21"/>
      <c r="F1831" s="21" t="s">
        <v>10438</v>
      </c>
      <c r="G1831" s="21"/>
      <c r="H1831" s="54">
        <v>23</v>
      </c>
      <c r="I1831" s="51"/>
      <c r="J1831" s="27"/>
      <c r="K1831" s="27"/>
      <c r="L1831" s="15"/>
      <c r="M1831" s="15"/>
      <c r="N1831" s="4" t="s">
        <v>10473</v>
      </c>
      <c r="O1831" s="4"/>
    </row>
    <row r="1832" spans="1:15" x14ac:dyDescent="0.2">
      <c r="A1832" s="2">
        <v>40008080</v>
      </c>
      <c r="B1832" s="2" t="s">
        <v>3210</v>
      </c>
      <c r="C1832" s="5" t="s">
        <v>8906</v>
      </c>
      <c r="D1832" s="21">
        <v>11</v>
      </c>
      <c r="E1832" s="21"/>
      <c r="F1832" s="21" t="s">
        <v>10438</v>
      </c>
      <c r="G1832" s="21"/>
      <c r="H1832" s="54">
        <v>52</v>
      </c>
      <c r="I1832" s="51"/>
      <c r="J1832" s="27"/>
      <c r="K1832" s="27"/>
      <c r="L1832" s="15"/>
      <c r="M1832" s="15"/>
      <c r="N1832" s="4" t="s">
        <v>4645</v>
      </c>
      <c r="O1832" s="4" t="s">
        <v>10122</v>
      </c>
    </row>
    <row r="1833" spans="1:15" x14ac:dyDescent="0.2">
      <c r="A1833" s="2">
        <v>40006380</v>
      </c>
      <c r="B1833" s="2" t="s">
        <v>1740</v>
      </c>
      <c r="C1833" s="5" t="s">
        <v>7451</v>
      </c>
      <c r="D1833" s="21">
        <v>3</v>
      </c>
      <c r="E1833" s="21"/>
      <c r="F1833" s="21" t="s">
        <v>10438</v>
      </c>
      <c r="G1833" s="21"/>
      <c r="H1833" s="54">
        <v>203</v>
      </c>
      <c r="I1833" s="51"/>
      <c r="J1833" s="27"/>
      <c r="K1833" s="27"/>
      <c r="L1833" s="15"/>
      <c r="M1833" s="15"/>
      <c r="N1833" s="4" t="s">
        <v>4557</v>
      </c>
      <c r="O1833" s="4"/>
    </row>
    <row r="1834" spans="1:15" x14ac:dyDescent="0.2">
      <c r="A1834" s="2">
        <v>40006108</v>
      </c>
      <c r="B1834" s="2" t="s">
        <v>1499</v>
      </c>
      <c r="C1834" s="5" t="s">
        <v>5514</v>
      </c>
      <c r="D1834" s="21">
        <v>4</v>
      </c>
      <c r="E1834" s="21"/>
      <c r="F1834" s="30">
        <v>1</v>
      </c>
      <c r="G1834" s="21"/>
      <c r="H1834" s="54">
        <v>29</v>
      </c>
      <c r="I1834" s="51"/>
      <c r="J1834" s="27"/>
      <c r="K1834" s="27"/>
      <c r="L1834" s="15">
        <v>10</v>
      </c>
      <c r="M1834" s="15">
        <v>4</v>
      </c>
      <c r="N1834" s="4" t="s">
        <v>4418</v>
      </c>
      <c r="O1834" s="4"/>
    </row>
    <row r="1835" spans="1:15" x14ac:dyDescent="0.2">
      <c r="A1835" s="2">
        <v>40006109</v>
      </c>
      <c r="B1835" s="2" t="s">
        <v>1500</v>
      </c>
      <c r="C1835" s="5" t="s">
        <v>7205</v>
      </c>
      <c r="D1835" s="21">
        <v>47</v>
      </c>
      <c r="E1835" s="21"/>
      <c r="F1835" s="30">
        <v>2</v>
      </c>
      <c r="G1835" s="21"/>
      <c r="H1835" s="54">
        <v>59</v>
      </c>
      <c r="I1835" s="51"/>
      <c r="J1835" s="27"/>
      <c r="K1835" s="27"/>
      <c r="L1835" s="15"/>
      <c r="M1835" s="15"/>
      <c r="N1835" s="4" t="s">
        <v>4419</v>
      </c>
      <c r="O1835" s="4"/>
    </row>
    <row r="1836" spans="1:15" x14ac:dyDescent="0.2">
      <c r="A1836" s="2">
        <v>40008028</v>
      </c>
      <c r="B1836" s="2" t="s">
        <v>3168</v>
      </c>
      <c r="C1836" s="5" t="s">
        <v>8862</v>
      </c>
      <c r="D1836" s="21">
        <v>6</v>
      </c>
      <c r="E1836" s="21"/>
      <c r="F1836" s="21" t="s">
        <v>10438</v>
      </c>
      <c r="G1836" s="21"/>
      <c r="H1836" s="54">
        <v>77</v>
      </c>
      <c r="I1836" s="51"/>
      <c r="J1836" s="27"/>
      <c r="K1836" s="27"/>
      <c r="L1836" s="15"/>
      <c r="M1836" s="15"/>
      <c r="N1836" s="4" t="s">
        <v>5168</v>
      </c>
      <c r="O1836" s="4"/>
    </row>
    <row r="1837" spans="1:15" x14ac:dyDescent="0.2">
      <c r="A1837" s="2">
        <v>40005645</v>
      </c>
      <c r="B1837" s="2" t="s">
        <v>1085</v>
      </c>
      <c r="C1837" s="5" t="s">
        <v>6804</v>
      </c>
      <c r="D1837" s="21">
        <v>2</v>
      </c>
      <c r="E1837" s="21"/>
      <c r="F1837" s="21" t="s">
        <v>10438</v>
      </c>
      <c r="G1837" s="21"/>
      <c r="H1837" s="54">
        <v>57</v>
      </c>
      <c r="I1837" s="51"/>
      <c r="J1837" s="27"/>
      <c r="K1837" s="27"/>
      <c r="L1837" s="15"/>
      <c r="M1837" s="15"/>
      <c r="N1837" s="4" t="s">
        <v>5274</v>
      </c>
      <c r="O1837" s="4"/>
    </row>
    <row r="1838" spans="1:15" x14ac:dyDescent="0.2">
      <c r="A1838" s="2">
        <v>40006987</v>
      </c>
      <c r="B1838" s="2" t="s">
        <v>2274</v>
      </c>
      <c r="C1838" s="5" t="s">
        <v>7982</v>
      </c>
      <c r="D1838" s="21">
        <v>14</v>
      </c>
      <c r="E1838" s="21"/>
      <c r="F1838" s="21" t="s">
        <v>10438</v>
      </c>
      <c r="G1838" s="21"/>
      <c r="H1838" s="54">
        <v>39</v>
      </c>
      <c r="I1838" s="51"/>
      <c r="J1838" s="27"/>
      <c r="K1838" s="27"/>
      <c r="L1838" s="15"/>
      <c r="M1838" s="15"/>
      <c r="N1838" s="4" t="s">
        <v>4779</v>
      </c>
      <c r="O1838" s="4"/>
    </row>
    <row r="1839" spans="1:15" x14ac:dyDescent="0.2">
      <c r="A1839" s="2">
        <v>40007231</v>
      </c>
      <c r="B1839" s="2" t="s">
        <v>2487</v>
      </c>
      <c r="C1839" s="5" t="s">
        <v>8188</v>
      </c>
      <c r="D1839" s="21">
        <v>5</v>
      </c>
      <c r="E1839" s="21"/>
      <c r="F1839" s="21" t="s">
        <v>10438</v>
      </c>
      <c r="G1839" s="21"/>
      <c r="H1839" s="54">
        <v>710</v>
      </c>
      <c r="I1839" s="51"/>
      <c r="J1839" s="27"/>
      <c r="K1839" s="27"/>
      <c r="L1839" s="15"/>
      <c r="M1839" s="15"/>
      <c r="N1839" s="4"/>
      <c r="O1839" s="4" t="s">
        <v>10154</v>
      </c>
    </row>
    <row r="1840" spans="1:15" x14ac:dyDescent="0.2">
      <c r="A1840" s="2">
        <v>40006809</v>
      </c>
      <c r="B1840" s="2" t="s">
        <v>2108</v>
      </c>
      <c r="C1840" s="5" t="s">
        <v>7817</v>
      </c>
      <c r="D1840" s="21">
        <v>1</v>
      </c>
      <c r="E1840" s="21"/>
      <c r="F1840" s="21" t="s">
        <v>10438</v>
      </c>
      <c r="G1840" s="21"/>
      <c r="H1840" s="54">
        <v>706</v>
      </c>
      <c r="I1840" s="51"/>
      <c r="J1840" s="27"/>
      <c r="K1840" s="27"/>
      <c r="L1840" s="15"/>
      <c r="M1840" s="15"/>
      <c r="N1840" s="4" t="s">
        <v>4135</v>
      </c>
      <c r="O1840" s="4"/>
    </row>
    <row r="1841" spans="1:15" x14ac:dyDescent="0.2">
      <c r="A1841" s="2">
        <v>40006349</v>
      </c>
      <c r="B1841" s="2" t="s">
        <v>1713</v>
      </c>
      <c r="C1841" s="5" t="s">
        <v>7422</v>
      </c>
      <c r="D1841" s="21">
        <v>5</v>
      </c>
      <c r="E1841" s="21"/>
      <c r="F1841" s="21" t="s">
        <v>10438</v>
      </c>
      <c r="G1841" s="21"/>
      <c r="H1841" s="54">
        <v>995</v>
      </c>
      <c r="I1841" s="51"/>
      <c r="J1841" s="27"/>
      <c r="K1841" s="27"/>
      <c r="L1841" s="15"/>
      <c r="M1841" s="15"/>
      <c r="N1841" s="4" t="s">
        <v>4540</v>
      </c>
      <c r="O1841" s="4"/>
    </row>
    <row r="1842" spans="1:15" x14ac:dyDescent="0.2">
      <c r="A1842" s="2">
        <v>40006353</v>
      </c>
      <c r="B1842" s="2" t="s">
        <v>1717</v>
      </c>
      <c r="C1842" s="5" t="s">
        <v>7426</v>
      </c>
      <c r="D1842" s="21">
        <v>10</v>
      </c>
      <c r="E1842" s="21"/>
      <c r="F1842" s="21" t="s">
        <v>10438</v>
      </c>
      <c r="G1842" s="21"/>
      <c r="H1842" s="54">
        <v>475</v>
      </c>
      <c r="I1842" s="51"/>
      <c r="J1842" s="27"/>
      <c r="K1842" s="27"/>
      <c r="L1842" s="15"/>
      <c r="M1842" s="15"/>
      <c r="N1842" s="4" t="s">
        <v>4542</v>
      </c>
      <c r="O1842" s="4"/>
    </row>
    <row r="1843" spans="1:15" x14ac:dyDescent="0.2">
      <c r="A1843" s="2">
        <v>40006355</v>
      </c>
      <c r="B1843" s="2" t="s">
        <v>1719</v>
      </c>
      <c r="C1843" s="5" t="s">
        <v>7428</v>
      </c>
      <c r="D1843" s="21">
        <v>4</v>
      </c>
      <c r="E1843" s="21"/>
      <c r="F1843" s="21" t="s">
        <v>10438</v>
      </c>
      <c r="G1843" s="21"/>
      <c r="H1843" s="54">
        <v>216</v>
      </c>
      <c r="I1843" s="51"/>
      <c r="J1843" s="27"/>
      <c r="K1843" s="27"/>
      <c r="L1843" s="15"/>
      <c r="M1843" s="15"/>
      <c r="N1843" s="4" t="s">
        <v>10043</v>
      </c>
      <c r="O1843" s="4">
        <v>41</v>
      </c>
    </row>
    <row r="1844" spans="1:15" x14ac:dyDescent="0.2">
      <c r="A1844" s="2">
        <v>40010959</v>
      </c>
      <c r="B1844" s="2" t="s">
        <v>3578</v>
      </c>
      <c r="C1844" s="5" t="s">
        <v>9298</v>
      </c>
      <c r="D1844" s="21">
        <v>1</v>
      </c>
      <c r="E1844" s="21"/>
      <c r="F1844" s="21" t="s">
        <v>10438</v>
      </c>
      <c r="G1844" s="21"/>
      <c r="H1844" s="54">
        <v>830</v>
      </c>
      <c r="I1844" s="51"/>
      <c r="J1844" s="27"/>
      <c r="K1844" s="27"/>
      <c r="L1844" s="15"/>
      <c r="M1844" s="15"/>
      <c r="N1844" s="4" t="s">
        <v>4324</v>
      </c>
      <c r="O1844" s="4"/>
    </row>
    <row r="1845" spans="1:15" x14ac:dyDescent="0.2">
      <c r="A1845" s="2">
        <v>40006430</v>
      </c>
      <c r="B1845" s="2" t="s">
        <v>1788</v>
      </c>
      <c r="C1845" s="5" t="s">
        <v>7495</v>
      </c>
      <c r="D1845" s="21">
        <v>1</v>
      </c>
      <c r="E1845" s="21"/>
      <c r="F1845" s="30">
        <v>1</v>
      </c>
      <c r="G1845" s="21"/>
      <c r="H1845" s="54">
        <v>525</v>
      </c>
      <c r="I1845" s="51"/>
      <c r="J1845" s="27"/>
      <c r="K1845" s="27"/>
      <c r="L1845" s="15"/>
      <c r="M1845" s="15">
        <v>3</v>
      </c>
      <c r="N1845" s="4" t="s">
        <v>4588</v>
      </c>
      <c r="O1845" s="4"/>
    </row>
    <row r="1846" spans="1:15" x14ac:dyDescent="0.2">
      <c r="A1846" s="2">
        <v>40007860</v>
      </c>
      <c r="B1846" s="2" t="s">
        <v>3017</v>
      </c>
      <c r="C1846" s="5" t="s">
        <v>8717</v>
      </c>
      <c r="D1846" s="21">
        <v>9</v>
      </c>
      <c r="E1846" s="21"/>
      <c r="F1846" s="21" t="s">
        <v>10438</v>
      </c>
      <c r="G1846" s="21"/>
      <c r="H1846" s="54">
        <v>468</v>
      </c>
      <c r="I1846" s="51"/>
      <c r="J1846" s="27"/>
      <c r="K1846" s="27"/>
      <c r="L1846" s="15"/>
      <c r="M1846" s="15"/>
      <c r="N1846" s="4" t="s">
        <v>5111</v>
      </c>
      <c r="O1846" s="4"/>
    </row>
    <row r="1847" spans="1:15" x14ac:dyDescent="0.2">
      <c r="A1847" s="2">
        <v>40005591</v>
      </c>
      <c r="B1847" s="2" t="s">
        <v>5429</v>
      </c>
      <c r="C1847" s="5" t="s">
        <v>6765</v>
      </c>
      <c r="D1847" s="21"/>
      <c r="E1847" s="21"/>
      <c r="F1847" s="21" t="s">
        <v>10438</v>
      </c>
      <c r="G1847" s="21"/>
      <c r="H1847" s="54">
        <v>453</v>
      </c>
      <c r="I1847" s="51"/>
      <c r="J1847" s="27"/>
      <c r="K1847" s="27"/>
      <c r="L1847" s="15"/>
      <c r="M1847" s="15"/>
      <c r="N1847" s="4" t="s">
        <v>5024</v>
      </c>
      <c r="O1847" s="4"/>
    </row>
    <row r="1848" spans="1:15" x14ac:dyDescent="0.2">
      <c r="A1848" s="2">
        <v>40006269</v>
      </c>
      <c r="B1848" s="2" t="s">
        <v>1644</v>
      </c>
      <c r="C1848" s="5" t="s">
        <v>7350</v>
      </c>
      <c r="D1848" s="21">
        <v>32</v>
      </c>
      <c r="E1848" s="21"/>
      <c r="F1848" s="21" t="s">
        <v>10438</v>
      </c>
      <c r="G1848" s="21"/>
      <c r="H1848" s="54">
        <v>283</v>
      </c>
      <c r="I1848" s="51"/>
      <c r="J1848" s="27"/>
      <c r="K1848" s="27"/>
      <c r="L1848" s="15"/>
      <c r="M1848" s="15"/>
      <c r="N1848" s="4" t="s">
        <v>4499</v>
      </c>
      <c r="O1848" s="4">
        <v>69</v>
      </c>
    </row>
    <row r="1849" spans="1:15" x14ac:dyDescent="0.2">
      <c r="A1849" s="2">
        <v>40006467</v>
      </c>
      <c r="B1849" s="2" t="s">
        <v>1821</v>
      </c>
      <c r="C1849" s="5" t="s">
        <v>7529</v>
      </c>
      <c r="D1849" s="21">
        <v>6</v>
      </c>
      <c r="E1849" s="21"/>
      <c r="F1849" s="21" t="s">
        <v>10438</v>
      </c>
      <c r="G1849" s="21"/>
      <c r="H1849" s="54">
        <v>254</v>
      </c>
      <c r="I1849" s="51"/>
      <c r="J1849" s="27"/>
      <c r="K1849" s="27"/>
      <c r="L1849" s="15"/>
      <c r="M1849" s="15"/>
      <c r="N1849" s="4" t="s">
        <v>4610</v>
      </c>
      <c r="O1849" s="4"/>
    </row>
    <row r="1850" spans="1:15" x14ac:dyDescent="0.2">
      <c r="A1850" s="2">
        <v>40005885</v>
      </c>
      <c r="B1850" s="2" t="s">
        <v>1301</v>
      </c>
      <c r="C1850" s="5" t="s">
        <v>7011</v>
      </c>
      <c r="D1850" s="21">
        <v>8</v>
      </c>
      <c r="E1850" s="21"/>
      <c r="F1850" s="21" t="s">
        <v>10438</v>
      </c>
      <c r="G1850" s="21"/>
      <c r="H1850" s="54">
        <v>624</v>
      </c>
      <c r="I1850" s="51"/>
      <c r="J1850" s="27"/>
      <c r="K1850" s="27"/>
      <c r="L1850" s="15"/>
      <c r="M1850" s="15"/>
      <c r="N1850" s="4" t="s">
        <v>4299</v>
      </c>
      <c r="O1850" s="4">
        <v>54</v>
      </c>
    </row>
    <row r="1851" spans="1:15" x14ac:dyDescent="0.2">
      <c r="A1851" s="2">
        <v>40006546</v>
      </c>
      <c r="B1851" s="2" t="s">
        <v>1886</v>
      </c>
      <c r="C1851" s="5" t="s">
        <v>7594</v>
      </c>
      <c r="D1851" s="21">
        <v>5</v>
      </c>
      <c r="E1851" s="21"/>
      <c r="F1851" s="21" t="s">
        <v>10438</v>
      </c>
      <c r="G1851" s="21"/>
      <c r="H1851" s="54">
        <v>794</v>
      </c>
      <c r="I1851" s="51"/>
      <c r="J1851" s="27"/>
      <c r="K1851" s="27"/>
      <c r="L1851" s="15"/>
      <c r="M1851" s="15"/>
      <c r="N1851" s="4" t="s">
        <v>4263</v>
      </c>
      <c r="O1851" s="4"/>
    </row>
    <row r="1852" spans="1:15" x14ac:dyDescent="0.2">
      <c r="A1852" s="2">
        <v>40006496</v>
      </c>
      <c r="B1852" s="2" t="s">
        <v>1847</v>
      </c>
      <c r="C1852" s="5" t="s">
        <v>7554</v>
      </c>
      <c r="D1852" s="21">
        <v>5</v>
      </c>
      <c r="E1852" s="21"/>
      <c r="F1852" s="21" t="s">
        <v>10438</v>
      </c>
      <c r="G1852" s="21"/>
      <c r="H1852" s="54">
        <v>319</v>
      </c>
      <c r="I1852" s="51"/>
      <c r="J1852" s="27"/>
      <c r="K1852" s="27"/>
      <c r="L1852" s="15"/>
      <c r="M1852" s="15"/>
      <c r="N1852" s="4" t="s">
        <v>4621</v>
      </c>
      <c r="O1852" s="4"/>
    </row>
    <row r="1853" spans="1:15" x14ac:dyDescent="0.2">
      <c r="A1853" s="2">
        <v>40006277</v>
      </c>
      <c r="B1853" s="2" t="s">
        <v>1651</v>
      </c>
      <c r="C1853" s="5" t="s">
        <v>7358</v>
      </c>
      <c r="D1853" s="21">
        <v>3</v>
      </c>
      <c r="E1853" s="21"/>
      <c r="F1853" s="21" t="s">
        <v>10438</v>
      </c>
      <c r="G1853" s="21"/>
      <c r="H1853" s="54">
        <v>291</v>
      </c>
      <c r="I1853" s="51"/>
      <c r="J1853" s="27"/>
      <c r="K1853" s="27"/>
      <c r="L1853" s="15"/>
      <c r="M1853" s="15"/>
      <c r="N1853" s="4" t="s">
        <v>4502</v>
      </c>
      <c r="O1853" s="4">
        <v>49</v>
      </c>
    </row>
    <row r="1854" spans="1:15" x14ac:dyDescent="0.2">
      <c r="A1854" s="2">
        <v>40006218</v>
      </c>
      <c r="B1854" s="2" t="s">
        <v>1600</v>
      </c>
      <c r="C1854" s="5" t="s">
        <v>7306</v>
      </c>
      <c r="D1854" s="21">
        <v>2</v>
      </c>
      <c r="E1854" s="21"/>
      <c r="F1854" s="21" t="s">
        <v>10438</v>
      </c>
      <c r="G1854" s="21"/>
      <c r="H1854" s="54">
        <v>221</v>
      </c>
      <c r="I1854" s="51"/>
      <c r="J1854" s="27"/>
      <c r="K1854" s="27"/>
      <c r="L1854" s="15"/>
      <c r="M1854" s="15"/>
      <c r="N1854" s="4" t="s">
        <v>4477</v>
      </c>
      <c r="O1854" s="4"/>
    </row>
    <row r="1855" spans="1:15" x14ac:dyDescent="0.2">
      <c r="A1855" s="2">
        <v>40006203</v>
      </c>
      <c r="B1855" s="2" t="s">
        <v>1586</v>
      </c>
      <c r="C1855" s="5" t="s">
        <v>7293</v>
      </c>
      <c r="D1855" s="21">
        <v>3</v>
      </c>
      <c r="E1855" s="21"/>
      <c r="F1855" s="30">
        <v>1</v>
      </c>
      <c r="G1855" s="21"/>
      <c r="H1855" s="54">
        <v>974</v>
      </c>
      <c r="I1855" s="51"/>
      <c r="J1855" s="27"/>
      <c r="K1855" s="27"/>
      <c r="L1855" s="15"/>
      <c r="M1855" s="15"/>
      <c r="N1855" s="4" t="s">
        <v>4255</v>
      </c>
      <c r="O1855" s="4"/>
    </row>
    <row r="1856" spans="1:15" x14ac:dyDescent="0.2">
      <c r="A1856" s="2">
        <v>40010580</v>
      </c>
      <c r="B1856" s="2" t="s">
        <v>3557</v>
      </c>
      <c r="C1856" s="5" t="s">
        <v>9274</v>
      </c>
      <c r="D1856" s="21">
        <v>6</v>
      </c>
      <c r="E1856" s="21"/>
      <c r="F1856" s="30">
        <v>1</v>
      </c>
      <c r="G1856" s="21"/>
      <c r="H1856" s="54">
        <v>1283</v>
      </c>
      <c r="I1856" s="51"/>
      <c r="J1856" s="27"/>
      <c r="K1856" s="27"/>
      <c r="L1856" s="15"/>
      <c r="M1856" s="15"/>
      <c r="N1856" s="4" t="s">
        <v>4129</v>
      </c>
      <c r="O1856" s="4"/>
    </row>
    <row r="1857" spans="1:15" x14ac:dyDescent="0.2">
      <c r="A1857" s="2">
        <v>40005405</v>
      </c>
      <c r="B1857" s="2" t="s">
        <v>882</v>
      </c>
      <c r="C1857" s="5" t="s">
        <v>6604</v>
      </c>
      <c r="D1857" s="21">
        <v>1</v>
      </c>
      <c r="E1857" s="21"/>
      <c r="F1857" s="21" t="s">
        <v>10438</v>
      </c>
      <c r="G1857" s="21"/>
      <c r="H1857" s="54">
        <v>389</v>
      </c>
      <c r="I1857" s="51"/>
      <c r="J1857" s="27"/>
      <c r="K1857" s="27"/>
      <c r="L1857" s="15"/>
      <c r="M1857" s="15"/>
      <c r="N1857" s="4" t="s">
        <v>4104</v>
      </c>
      <c r="O1857" s="4"/>
    </row>
    <row r="1858" spans="1:15" x14ac:dyDescent="0.2">
      <c r="A1858" s="2">
        <v>40006408</v>
      </c>
      <c r="B1858" s="2" t="s">
        <v>1768</v>
      </c>
      <c r="C1858" s="5" t="s">
        <v>7479</v>
      </c>
      <c r="D1858" s="21"/>
      <c r="E1858" s="21"/>
      <c r="F1858" s="21" t="s">
        <v>10438</v>
      </c>
      <c r="G1858" s="21"/>
      <c r="H1858" s="54">
        <v>1197</v>
      </c>
      <c r="I1858" s="51"/>
      <c r="J1858" s="27"/>
      <c r="K1858" s="27"/>
      <c r="L1858" s="15"/>
      <c r="M1858" s="15"/>
      <c r="N1858" s="4" t="s">
        <v>4575</v>
      </c>
      <c r="O1858" s="4"/>
    </row>
    <row r="1859" spans="1:15" x14ac:dyDescent="0.2">
      <c r="A1859" s="2">
        <v>40005882</v>
      </c>
      <c r="B1859" s="2" t="s">
        <v>1298</v>
      </c>
      <c r="C1859" s="10" t="s">
        <v>7008</v>
      </c>
      <c r="D1859" s="21">
        <v>2</v>
      </c>
      <c r="E1859" s="21"/>
      <c r="F1859" s="30">
        <v>1</v>
      </c>
      <c r="G1859" s="21"/>
      <c r="H1859" s="54">
        <v>393</v>
      </c>
      <c r="I1859" s="51"/>
      <c r="J1859" s="27"/>
      <c r="K1859" s="27"/>
      <c r="L1859" s="15"/>
      <c r="M1859" s="15"/>
      <c r="N1859" s="4" t="s">
        <v>4067</v>
      </c>
      <c r="O1859" s="4"/>
    </row>
    <row r="1860" spans="1:15" x14ac:dyDescent="0.2">
      <c r="A1860" s="2">
        <v>40006445</v>
      </c>
      <c r="B1860" s="2" t="s">
        <v>1802</v>
      </c>
      <c r="C1860" s="5" t="s">
        <v>7509</v>
      </c>
      <c r="D1860" s="21">
        <v>23</v>
      </c>
      <c r="E1860" s="21"/>
      <c r="F1860" s="30">
        <v>2</v>
      </c>
      <c r="G1860" s="21"/>
      <c r="H1860" s="54">
        <v>419</v>
      </c>
      <c r="I1860" s="51"/>
      <c r="J1860" s="27"/>
      <c r="K1860" s="27"/>
      <c r="L1860" s="15"/>
      <c r="M1860" s="15"/>
      <c r="N1860" s="4" t="s">
        <v>4599</v>
      </c>
      <c r="O1860" s="4"/>
    </row>
    <row r="1861" spans="1:15" x14ac:dyDescent="0.2">
      <c r="A1861" s="2">
        <v>40005825</v>
      </c>
      <c r="B1861" s="2" t="s">
        <v>1245</v>
      </c>
      <c r="C1861" s="5" t="s">
        <v>6957</v>
      </c>
      <c r="D1861" s="21"/>
      <c r="E1861" s="21"/>
      <c r="F1861" s="21" t="s">
        <v>10438</v>
      </c>
      <c r="G1861" s="21"/>
      <c r="H1861" s="54">
        <v>356</v>
      </c>
      <c r="I1861" s="51"/>
      <c r="J1861" s="27"/>
      <c r="K1861" s="27"/>
      <c r="L1861" s="15"/>
      <c r="M1861" s="15"/>
      <c r="N1861" s="4" t="s">
        <v>4280</v>
      </c>
      <c r="O1861" s="4"/>
    </row>
    <row r="1862" spans="1:15" x14ac:dyDescent="0.2">
      <c r="A1862" s="2">
        <v>40007977</v>
      </c>
      <c r="B1862" s="2" t="s">
        <v>3123</v>
      </c>
      <c r="C1862" s="5" t="s">
        <v>8819</v>
      </c>
      <c r="D1862" s="21">
        <v>13</v>
      </c>
      <c r="E1862" s="21"/>
      <c r="F1862" s="21" t="s">
        <v>10438</v>
      </c>
      <c r="G1862" s="21"/>
      <c r="H1862" s="54">
        <v>124</v>
      </c>
      <c r="I1862" s="51"/>
      <c r="J1862" s="27"/>
      <c r="K1862" s="27"/>
      <c r="L1862" s="15"/>
      <c r="M1862" s="15"/>
      <c r="N1862" s="4" t="s">
        <v>4599</v>
      </c>
      <c r="O1862" s="4">
        <v>40</v>
      </c>
    </row>
    <row r="1863" spans="1:15" x14ac:dyDescent="0.2">
      <c r="A1863" s="2">
        <v>40007074</v>
      </c>
      <c r="B1863" s="2" t="s">
        <v>2348</v>
      </c>
      <c r="C1863" s="5" t="s">
        <v>8055</v>
      </c>
      <c r="D1863" s="21">
        <v>9</v>
      </c>
      <c r="E1863" s="21"/>
      <c r="F1863" s="21" t="s">
        <v>10438</v>
      </c>
      <c r="G1863" s="21"/>
      <c r="H1863" s="54">
        <v>142</v>
      </c>
      <c r="I1863" s="51"/>
      <c r="J1863" s="27"/>
      <c r="K1863" s="27"/>
      <c r="L1863" s="15"/>
      <c r="M1863" s="15"/>
      <c r="N1863" s="4"/>
      <c r="O1863" s="4" t="s">
        <v>10125</v>
      </c>
    </row>
    <row r="1864" spans="1:15" x14ac:dyDescent="0.2">
      <c r="A1864" s="2">
        <v>40006823</v>
      </c>
      <c r="B1864" s="2" t="s">
        <v>2122</v>
      </c>
      <c r="C1864" s="5" t="s">
        <v>7831</v>
      </c>
      <c r="D1864" s="21">
        <v>5</v>
      </c>
      <c r="E1864" s="21"/>
      <c r="F1864" s="21" t="s">
        <v>10438</v>
      </c>
      <c r="G1864" s="21"/>
      <c r="H1864" s="54">
        <v>317</v>
      </c>
      <c r="I1864" s="51"/>
      <c r="J1864" s="27"/>
      <c r="K1864" s="27"/>
      <c r="L1864" s="15"/>
      <c r="M1864" s="15"/>
      <c r="N1864" s="4"/>
      <c r="O1864" s="4" t="s">
        <v>10126</v>
      </c>
    </row>
    <row r="1865" spans="1:15" x14ac:dyDescent="0.2">
      <c r="A1865" s="2">
        <v>40007693</v>
      </c>
      <c r="B1865" s="2" t="s">
        <v>2871</v>
      </c>
      <c r="C1865" s="5" t="s">
        <v>8569</v>
      </c>
      <c r="D1865" s="21">
        <v>10</v>
      </c>
      <c r="E1865" s="21"/>
      <c r="F1865" s="21" t="s">
        <v>10438</v>
      </c>
      <c r="G1865" s="21"/>
      <c r="H1865" s="54">
        <v>418</v>
      </c>
      <c r="I1865" s="51"/>
      <c r="J1865" s="27"/>
      <c r="K1865" s="27"/>
      <c r="L1865" s="15"/>
      <c r="M1865" s="15"/>
      <c r="N1865" s="4" t="s">
        <v>4622</v>
      </c>
      <c r="O1865" s="4"/>
    </row>
    <row r="1866" spans="1:15" x14ac:dyDescent="0.2">
      <c r="A1866" s="2">
        <v>40007075</v>
      </c>
      <c r="B1866" s="2" t="s">
        <v>2349</v>
      </c>
      <c r="C1866" s="5" t="s">
        <v>8056</v>
      </c>
      <c r="D1866" s="21">
        <v>8</v>
      </c>
      <c r="E1866" s="21"/>
      <c r="F1866" s="21" t="s">
        <v>10438</v>
      </c>
      <c r="G1866" s="21"/>
      <c r="H1866" s="54">
        <v>498</v>
      </c>
      <c r="I1866" s="51"/>
      <c r="J1866" s="27"/>
      <c r="K1866" s="27"/>
      <c r="L1866" s="15"/>
      <c r="M1866" s="15"/>
      <c r="N1866" s="4" t="s">
        <v>4818</v>
      </c>
      <c r="O1866" s="4"/>
    </row>
    <row r="1867" spans="1:15" x14ac:dyDescent="0.2">
      <c r="A1867" s="2">
        <v>40008294</v>
      </c>
      <c r="B1867" s="2" t="s">
        <v>3405</v>
      </c>
      <c r="C1867" s="5" t="s">
        <v>9097</v>
      </c>
      <c r="D1867" s="21"/>
      <c r="E1867" s="21"/>
      <c r="F1867" s="21" t="s">
        <v>10438</v>
      </c>
      <c r="G1867" s="21"/>
      <c r="H1867" s="54">
        <v>189</v>
      </c>
      <c r="I1867" s="51"/>
      <c r="J1867" s="27"/>
      <c r="K1867" s="27"/>
      <c r="L1867" s="15">
        <v>2</v>
      </c>
      <c r="M1867" s="15"/>
      <c r="N1867" s="4" t="s">
        <v>4857</v>
      </c>
      <c r="O1867" s="4"/>
    </row>
    <row r="1868" spans="1:15" x14ac:dyDescent="0.2">
      <c r="A1868" s="2">
        <v>40008140</v>
      </c>
      <c r="B1868" s="2" t="s">
        <v>3263</v>
      </c>
      <c r="C1868" s="5" t="s">
        <v>8959</v>
      </c>
      <c r="D1868" s="21">
        <v>6</v>
      </c>
      <c r="E1868" s="21"/>
      <c r="F1868" s="21" t="s">
        <v>10438</v>
      </c>
      <c r="G1868" s="21"/>
      <c r="H1868" s="54">
        <v>477</v>
      </c>
      <c r="I1868" s="51"/>
      <c r="J1868" s="27"/>
      <c r="K1868" s="27"/>
      <c r="L1868" s="15"/>
      <c r="M1868" s="15"/>
      <c r="N1868" s="4"/>
      <c r="O1868" s="4" t="s">
        <v>10110</v>
      </c>
    </row>
    <row r="1869" spans="1:15" x14ac:dyDescent="0.2">
      <c r="A1869" s="2">
        <v>40007204</v>
      </c>
      <c r="B1869" s="2" t="s">
        <v>2468</v>
      </c>
      <c r="C1869" s="5" t="s">
        <v>8169</v>
      </c>
      <c r="D1869" s="21">
        <v>6</v>
      </c>
      <c r="E1869" s="21"/>
      <c r="F1869" s="21" t="s">
        <v>10438</v>
      </c>
      <c r="G1869" s="21"/>
      <c r="H1869" s="54">
        <v>444</v>
      </c>
      <c r="I1869" s="51"/>
      <c r="J1869" s="27"/>
      <c r="K1869" s="27"/>
      <c r="L1869" s="15"/>
      <c r="M1869" s="15"/>
      <c r="N1869" s="4" t="s">
        <v>4071</v>
      </c>
      <c r="O1869" s="4"/>
    </row>
    <row r="1870" spans="1:15" x14ac:dyDescent="0.2">
      <c r="A1870" s="2">
        <v>40006122</v>
      </c>
      <c r="B1870" s="2" t="s">
        <v>1513</v>
      </c>
      <c r="C1870" s="5" t="s">
        <v>7218</v>
      </c>
      <c r="D1870" s="21">
        <v>4</v>
      </c>
      <c r="E1870" s="21"/>
      <c r="F1870" s="21" t="s">
        <v>10438</v>
      </c>
      <c r="G1870" s="21"/>
      <c r="H1870" s="54">
        <v>471</v>
      </c>
      <c r="I1870" s="51"/>
      <c r="J1870" s="27"/>
      <c r="K1870" s="27"/>
      <c r="L1870" s="15"/>
      <c r="M1870" s="15"/>
      <c r="N1870" s="4" t="s">
        <v>4429</v>
      </c>
      <c r="O1870" s="4"/>
    </row>
    <row r="1871" spans="1:15" x14ac:dyDescent="0.2">
      <c r="A1871" s="2">
        <v>40006140</v>
      </c>
      <c r="B1871" s="2" t="s">
        <v>1531</v>
      </c>
      <c r="C1871" s="5" t="s">
        <v>7235</v>
      </c>
      <c r="D1871" s="21">
        <v>3</v>
      </c>
      <c r="E1871" s="21"/>
      <c r="F1871" s="21" t="s">
        <v>10438</v>
      </c>
      <c r="G1871" s="21"/>
      <c r="H1871" s="54">
        <v>294</v>
      </c>
      <c r="I1871" s="51"/>
      <c r="J1871" s="27"/>
      <c r="K1871" s="27"/>
      <c r="L1871" s="15"/>
      <c r="M1871" s="15"/>
      <c r="N1871" s="4" t="s">
        <v>3986</v>
      </c>
      <c r="O1871" s="4">
        <v>78</v>
      </c>
    </row>
    <row r="1872" spans="1:15" x14ac:dyDescent="0.2">
      <c r="A1872" s="2">
        <v>40007588</v>
      </c>
      <c r="B1872" s="2" t="s">
        <v>2783</v>
      </c>
      <c r="C1872" s="5" t="s">
        <v>8482</v>
      </c>
      <c r="D1872" s="21">
        <v>10</v>
      </c>
      <c r="E1872" s="21"/>
      <c r="F1872" s="21" t="s">
        <v>10438</v>
      </c>
      <c r="G1872" s="21"/>
      <c r="H1872" s="54">
        <v>415</v>
      </c>
      <c r="I1872" s="51"/>
      <c r="J1872" s="27"/>
      <c r="K1872" s="27"/>
      <c r="L1872" s="15"/>
      <c r="M1872" s="15"/>
      <c r="N1872" s="4" t="s">
        <v>5007</v>
      </c>
      <c r="O1872" s="4"/>
    </row>
    <row r="1873" spans="1:15" x14ac:dyDescent="0.2">
      <c r="A1873" s="2">
        <v>40008029</v>
      </c>
      <c r="B1873" s="2" t="s">
        <v>3169</v>
      </c>
      <c r="C1873" s="5" t="s">
        <v>8863</v>
      </c>
      <c r="D1873" s="21">
        <v>9</v>
      </c>
      <c r="E1873" s="21"/>
      <c r="F1873" s="21" t="s">
        <v>10438</v>
      </c>
      <c r="G1873" s="21"/>
      <c r="H1873" s="54">
        <v>14</v>
      </c>
      <c r="I1873" s="51"/>
      <c r="J1873" s="27"/>
      <c r="K1873" s="27"/>
      <c r="L1873" s="15"/>
      <c r="M1873" s="15"/>
      <c r="N1873" s="4" t="s">
        <v>4634</v>
      </c>
      <c r="O1873" s="4"/>
    </row>
    <row r="1874" spans="1:15" x14ac:dyDescent="0.2">
      <c r="A1874" s="2">
        <v>40006566</v>
      </c>
      <c r="B1874" s="2" t="s">
        <v>1905</v>
      </c>
      <c r="C1874" s="5" t="s">
        <v>7613</v>
      </c>
      <c r="D1874" s="21">
        <v>1</v>
      </c>
      <c r="E1874" s="21"/>
      <c r="F1874" s="21" t="s">
        <v>10438</v>
      </c>
      <c r="G1874" s="21"/>
      <c r="H1874" s="54">
        <v>114</v>
      </c>
      <c r="I1874" s="51"/>
      <c r="J1874" s="27"/>
      <c r="K1874" s="27"/>
      <c r="L1874" s="15"/>
      <c r="M1874" s="15"/>
      <c r="N1874" s="4"/>
      <c r="O1874" s="4" t="s">
        <v>10372</v>
      </c>
    </row>
    <row r="1875" spans="1:15" x14ac:dyDescent="0.2">
      <c r="A1875" s="2">
        <v>40008009</v>
      </c>
      <c r="B1875" s="2" t="s">
        <v>3149</v>
      </c>
      <c r="C1875" s="5" t="s">
        <v>8844</v>
      </c>
      <c r="D1875" s="21">
        <v>4</v>
      </c>
      <c r="E1875" s="21"/>
      <c r="F1875" s="21" t="s">
        <v>10438</v>
      </c>
      <c r="G1875" s="21"/>
      <c r="H1875" s="54">
        <v>179</v>
      </c>
      <c r="I1875" s="51"/>
      <c r="J1875" s="27"/>
      <c r="K1875" s="27"/>
      <c r="L1875" s="15"/>
      <c r="M1875" s="15"/>
      <c r="N1875" s="4"/>
      <c r="O1875" s="4">
        <v>93</v>
      </c>
    </row>
    <row r="1876" spans="1:15" x14ac:dyDescent="0.2">
      <c r="A1876" s="2">
        <v>40006025</v>
      </c>
      <c r="B1876" s="2" t="s">
        <v>1427</v>
      </c>
      <c r="C1876" s="5" t="s">
        <v>7129</v>
      </c>
      <c r="D1876" s="21">
        <v>2</v>
      </c>
      <c r="E1876" s="21"/>
      <c r="F1876" s="21" t="s">
        <v>10438</v>
      </c>
      <c r="G1876" s="21"/>
      <c r="H1876" s="54">
        <v>515</v>
      </c>
      <c r="I1876" s="51"/>
      <c r="J1876" s="27"/>
      <c r="K1876" s="27"/>
      <c r="L1876" s="15"/>
      <c r="M1876" s="15"/>
      <c r="N1876" s="4"/>
      <c r="O1876" s="4">
        <v>93</v>
      </c>
    </row>
    <row r="1877" spans="1:15" x14ac:dyDescent="0.2">
      <c r="A1877" s="2">
        <v>40005236</v>
      </c>
      <c r="B1877" s="2" t="s">
        <v>762</v>
      </c>
      <c r="C1877" s="5" t="s">
        <v>6476</v>
      </c>
      <c r="D1877" s="21">
        <v>1</v>
      </c>
      <c r="E1877" s="21"/>
      <c r="F1877" s="21" t="s">
        <v>10438</v>
      </c>
      <c r="G1877" s="21"/>
      <c r="H1877" s="54">
        <v>314</v>
      </c>
      <c r="I1877" s="51"/>
      <c r="J1877" s="27"/>
      <c r="K1877" s="27"/>
      <c r="L1877" s="15"/>
      <c r="M1877" s="15"/>
      <c r="N1877" s="4" t="s">
        <v>4017</v>
      </c>
      <c r="O1877" s="4"/>
    </row>
    <row r="1878" spans="1:15" x14ac:dyDescent="0.2">
      <c r="A1878" s="2">
        <v>40006581</v>
      </c>
      <c r="B1878" s="2" t="s">
        <v>1918</v>
      </c>
      <c r="C1878" s="5" t="s">
        <v>7626</v>
      </c>
      <c r="D1878" s="21">
        <v>1</v>
      </c>
      <c r="E1878" s="21"/>
      <c r="F1878" s="21" t="s">
        <v>10438</v>
      </c>
      <c r="G1878" s="21"/>
      <c r="H1878" s="54">
        <v>292</v>
      </c>
      <c r="I1878" s="51"/>
      <c r="J1878" s="27"/>
      <c r="K1878" s="27"/>
      <c r="L1878" s="15"/>
      <c r="M1878" s="15"/>
      <c r="N1878" s="4"/>
      <c r="O1878" s="4" t="s">
        <v>10372</v>
      </c>
    </row>
    <row r="1879" spans="1:15" x14ac:dyDescent="0.2">
      <c r="A1879" s="2">
        <v>40007476</v>
      </c>
      <c r="B1879" s="2" t="s">
        <v>2687</v>
      </c>
      <c r="C1879" s="5" t="s">
        <v>8388</v>
      </c>
      <c r="D1879" s="21">
        <v>10</v>
      </c>
      <c r="E1879" s="21"/>
      <c r="F1879" s="21" t="s">
        <v>10438</v>
      </c>
      <c r="G1879" s="21"/>
      <c r="H1879" s="54">
        <v>360</v>
      </c>
      <c r="I1879" s="51"/>
      <c r="J1879" s="27"/>
      <c r="K1879" s="27"/>
      <c r="L1879" s="15"/>
      <c r="M1879" s="15"/>
      <c r="N1879" s="4" t="s">
        <v>4831</v>
      </c>
      <c r="O1879" s="4"/>
    </row>
    <row r="1880" spans="1:15" x14ac:dyDescent="0.2">
      <c r="A1880" s="2">
        <v>40011622</v>
      </c>
      <c r="B1880" s="7" t="s">
        <v>5494</v>
      </c>
      <c r="C1880" s="5" t="s">
        <v>9313</v>
      </c>
      <c r="D1880" s="21">
        <v>4</v>
      </c>
      <c r="E1880" s="21"/>
      <c r="F1880" s="30">
        <v>1</v>
      </c>
      <c r="G1880" s="21"/>
      <c r="H1880" s="54">
        <v>74</v>
      </c>
      <c r="I1880" s="51"/>
      <c r="J1880" s="27"/>
      <c r="K1880" s="27"/>
      <c r="L1880" s="15"/>
      <c r="M1880" s="15"/>
      <c r="N1880" s="4" t="s">
        <v>4525</v>
      </c>
      <c r="O1880" s="4"/>
    </row>
    <row r="1881" spans="1:15" x14ac:dyDescent="0.2">
      <c r="A1881" s="2">
        <v>40007972</v>
      </c>
      <c r="B1881" s="2" t="s">
        <v>3120</v>
      </c>
      <c r="C1881" s="5" t="s">
        <v>8816</v>
      </c>
      <c r="D1881" s="21">
        <v>19</v>
      </c>
      <c r="E1881" s="21"/>
      <c r="F1881" s="21" t="s">
        <v>10438</v>
      </c>
      <c r="G1881" s="21"/>
      <c r="H1881" s="54">
        <v>665</v>
      </c>
      <c r="I1881" s="51"/>
      <c r="J1881" s="27"/>
      <c r="K1881" s="27"/>
      <c r="L1881" s="15"/>
      <c r="M1881" s="15"/>
      <c r="N1881" s="4" t="s">
        <v>4348</v>
      </c>
      <c r="O1881" s="4"/>
    </row>
    <row r="1882" spans="1:15" x14ac:dyDescent="0.2">
      <c r="A1882" s="2">
        <v>40007037</v>
      </c>
      <c r="B1882" s="2" t="s">
        <v>2316</v>
      </c>
      <c r="C1882" s="5" t="s">
        <v>8026</v>
      </c>
      <c r="D1882" s="21">
        <v>5</v>
      </c>
      <c r="E1882" s="21"/>
      <c r="F1882" s="21" t="s">
        <v>10438</v>
      </c>
      <c r="G1882" s="21"/>
      <c r="H1882" s="54">
        <v>87</v>
      </c>
      <c r="I1882" s="51"/>
      <c r="J1882" s="27"/>
      <c r="K1882" s="27"/>
      <c r="L1882" s="15"/>
      <c r="M1882" s="15"/>
      <c r="N1882" s="4" t="s">
        <v>4800</v>
      </c>
      <c r="O1882" s="4"/>
    </row>
    <row r="1883" spans="1:15" x14ac:dyDescent="0.2">
      <c r="A1883" s="2">
        <v>40008001</v>
      </c>
      <c r="B1883" s="2" t="s">
        <v>3141</v>
      </c>
      <c r="C1883" s="5" t="s">
        <v>8839</v>
      </c>
      <c r="D1883" s="21">
        <v>1</v>
      </c>
      <c r="E1883" s="21"/>
      <c r="F1883" s="21" t="s">
        <v>10438</v>
      </c>
      <c r="G1883" s="21"/>
      <c r="H1883" s="54">
        <v>113</v>
      </c>
      <c r="I1883" s="51"/>
      <c r="J1883" s="27"/>
      <c r="K1883" s="27"/>
      <c r="L1883" s="15"/>
      <c r="M1883" s="15"/>
      <c r="N1883" s="4" t="s">
        <v>4756</v>
      </c>
      <c r="O1883" s="4"/>
    </row>
    <row r="1884" spans="1:15" x14ac:dyDescent="0.2">
      <c r="A1884" s="2">
        <v>40006070</v>
      </c>
      <c r="B1884" s="2" t="s">
        <v>1464</v>
      </c>
      <c r="C1884" s="5" t="s">
        <v>7171</v>
      </c>
      <c r="D1884" s="21">
        <v>2</v>
      </c>
      <c r="E1884" s="21"/>
      <c r="F1884" s="21" t="s">
        <v>10438</v>
      </c>
      <c r="G1884" s="21"/>
      <c r="H1884" s="54">
        <v>713</v>
      </c>
      <c r="I1884" s="51"/>
      <c r="J1884" s="27"/>
      <c r="K1884" s="27"/>
      <c r="L1884" s="15"/>
      <c r="M1884" s="15"/>
      <c r="N1884" s="4" t="s">
        <v>4393</v>
      </c>
      <c r="O1884" s="4"/>
    </row>
    <row r="1885" spans="1:15" x14ac:dyDescent="0.2">
      <c r="A1885" s="2">
        <v>40005390</v>
      </c>
      <c r="B1885" s="2" t="s">
        <v>867</v>
      </c>
      <c r="C1885" s="5" t="s">
        <v>6589</v>
      </c>
      <c r="D1885" s="21">
        <v>1</v>
      </c>
      <c r="E1885" s="21"/>
      <c r="F1885" s="21" t="s">
        <v>10438</v>
      </c>
      <c r="G1885" s="21"/>
      <c r="H1885" s="54">
        <v>651</v>
      </c>
      <c r="I1885" s="51"/>
      <c r="J1885" s="27"/>
      <c r="K1885" s="27"/>
      <c r="L1885" s="15"/>
      <c r="M1885" s="15"/>
      <c r="N1885" s="4" t="s">
        <v>4093</v>
      </c>
      <c r="O1885" s="4"/>
    </row>
    <row r="1886" spans="1:15" x14ac:dyDescent="0.2">
      <c r="A1886" s="2">
        <v>40005363</v>
      </c>
      <c r="B1886" s="2" t="s">
        <v>3811</v>
      </c>
      <c r="C1886" s="5" t="s">
        <v>6564</v>
      </c>
      <c r="D1886" s="21"/>
      <c r="E1886" s="21"/>
      <c r="F1886" s="21" t="s">
        <v>10438</v>
      </c>
      <c r="G1886" s="21"/>
      <c r="H1886" s="54">
        <v>227</v>
      </c>
      <c r="I1886" s="51"/>
      <c r="J1886" s="27"/>
      <c r="K1886" s="27"/>
      <c r="L1886" s="15"/>
      <c r="M1886" s="15"/>
      <c r="N1886" s="4" t="s">
        <v>4075</v>
      </c>
      <c r="O1886" s="4"/>
    </row>
    <row r="1887" spans="1:15" x14ac:dyDescent="0.2">
      <c r="A1887" s="2">
        <v>40007134</v>
      </c>
      <c r="B1887" s="2" t="s">
        <v>2402</v>
      </c>
      <c r="C1887" s="5" t="s">
        <v>8106</v>
      </c>
      <c r="D1887" s="21">
        <v>11</v>
      </c>
      <c r="E1887" s="21"/>
      <c r="F1887" s="21" t="s">
        <v>10438</v>
      </c>
      <c r="G1887" s="21"/>
      <c r="H1887" s="54">
        <v>350</v>
      </c>
      <c r="I1887" s="51"/>
      <c r="J1887" s="27"/>
      <c r="K1887" s="27"/>
      <c r="L1887" s="15"/>
      <c r="M1887" s="15"/>
      <c r="N1887" s="4" t="s">
        <v>4841</v>
      </c>
      <c r="O1887" s="4"/>
    </row>
    <row r="1888" spans="1:15" x14ac:dyDescent="0.2">
      <c r="A1888" s="2">
        <v>40007323</v>
      </c>
      <c r="B1888" s="2" t="s">
        <v>2563</v>
      </c>
      <c r="C1888" s="5" t="s">
        <v>8257</v>
      </c>
      <c r="D1888" s="21">
        <v>8</v>
      </c>
      <c r="E1888" s="21"/>
      <c r="F1888" s="21" t="s">
        <v>10438</v>
      </c>
      <c r="G1888" s="21"/>
      <c r="H1888" s="54">
        <v>141</v>
      </c>
      <c r="I1888" s="51"/>
      <c r="J1888" s="27"/>
      <c r="K1888" s="27"/>
      <c r="L1888" s="15"/>
      <c r="M1888" s="15"/>
      <c r="N1888" s="4"/>
      <c r="O1888" s="4" t="s">
        <v>4917</v>
      </c>
    </row>
    <row r="1889" spans="1:15" x14ac:dyDescent="0.2">
      <c r="A1889" s="2">
        <v>40007072</v>
      </c>
      <c r="B1889" s="2" t="s">
        <v>2346</v>
      </c>
      <c r="C1889" s="5" t="s">
        <v>8053</v>
      </c>
      <c r="D1889" s="21">
        <v>2</v>
      </c>
      <c r="E1889" s="21"/>
      <c r="F1889" s="21" t="s">
        <v>10438</v>
      </c>
      <c r="G1889" s="21"/>
      <c r="H1889" s="54">
        <v>273</v>
      </c>
      <c r="I1889" s="51"/>
      <c r="J1889" s="27"/>
      <c r="K1889" s="27"/>
      <c r="L1889" s="15"/>
      <c r="M1889" s="15"/>
      <c r="N1889" s="4" t="s">
        <v>4816</v>
      </c>
      <c r="O1889" s="4"/>
    </row>
    <row r="1890" spans="1:15" x14ac:dyDescent="0.2">
      <c r="A1890" s="2">
        <v>40007341</v>
      </c>
      <c r="B1890" s="2" t="s">
        <v>2576</v>
      </c>
      <c r="C1890" s="5" t="s">
        <v>8273</v>
      </c>
      <c r="D1890" s="21">
        <v>2</v>
      </c>
      <c r="E1890" s="21"/>
      <c r="F1890" s="21" t="s">
        <v>10438</v>
      </c>
      <c r="G1890" s="21"/>
      <c r="H1890" s="54">
        <v>87</v>
      </c>
      <c r="I1890" s="51"/>
      <c r="J1890" s="27"/>
      <c r="K1890" s="27"/>
      <c r="L1890" s="15"/>
      <c r="M1890" s="15"/>
      <c r="N1890" s="4"/>
      <c r="O1890" s="4" t="s">
        <v>10103</v>
      </c>
    </row>
    <row r="1891" spans="1:15" x14ac:dyDescent="0.2">
      <c r="A1891" s="2">
        <v>40007173</v>
      </c>
      <c r="B1891" s="2" t="s">
        <v>2440</v>
      </c>
      <c r="C1891" s="5" t="s">
        <v>8142</v>
      </c>
      <c r="D1891" s="21">
        <v>3</v>
      </c>
      <c r="E1891" s="21"/>
      <c r="F1891" s="30">
        <v>1</v>
      </c>
      <c r="G1891" s="21"/>
      <c r="H1891" s="54">
        <v>125</v>
      </c>
      <c r="I1891" s="51"/>
      <c r="J1891" s="27"/>
      <c r="K1891" s="27"/>
      <c r="L1891" s="15"/>
      <c r="M1891" s="15">
        <v>5</v>
      </c>
      <c r="N1891" s="4" t="s">
        <v>4858</v>
      </c>
      <c r="O1891" s="4"/>
    </row>
    <row r="1892" spans="1:15" x14ac:dyDescent="0.2">
      <c r="A1892" s="2">
        <v>40007335</v>
      </c>
      <c r="B1892" s="2" t="s">
        <v>2573</v>
      </c>
      <c r="C1892" s="5" t="s">
        <v>8269</v>
      </c>
      <c r="D1892" s="21">
        <v>6</v>
      </c>
      <c r="E1892" s="21"/>
      <c r="F1892" s="21" t="s">
        <v>10438</v>
      </c>
      <c r="G1892" s="21"/>
      <c r="H1892" s="54">
        <v>218</v>
      </c>
      <c r="I1892" s="51"/>
      <c r="J1892" s="27"/>
      <c r="K1892" s="27"/>
      <c r="L1892" s="15"/>
      <c r="M1892" s="15"/>
      <c r="N1892" s="4" t="s">
        <v>10721</v>
      </c>
      <c r="O1892" s="4"/>
    </row>
    <row r="1893" spans="1:15" x14ac:dyDescent="0.2">
      <c r="A1893" s="2">
        <v>40007044</v>
      </c>
      <c r="B1893" s="2" t="s">
        <v>2323</v>
      </c>
      <c r="C1893" s="5" t="s">
        <v>8033</v>
      </c>
      <c r="D1893" s="21">
        <v>2</v>
      </c>
      <c r="E1893" s="21"/>
      <c r="F1893" s="21" t="s">
        <v>10438</v>
      </c>
      <c r="G1893" s="21"/>
      <c r="H1893" s="54">
        <v>288</v>
      </c>
      <c r="I1893" s="51"/>
      <c r="J1893" s="27"/>
      <c r="K1893" s="27"/>
      <c r="L1893" s="15"/>
      <c r="M1893" s="15"/>
      <c r="N1893" s="4" t="s">
        <v>4804</v>
      </c>
      <c r="O1893" s="4"/>
    </row>
    <row r="1894" spans="1:15" x14ac:dyDescent="0.2">
      <c r="A1894" s="2">
        <v>40007642</v>
      </c>
      <c r="B1894" s="2" t="s">
        <v>2826</v>
      </c>
      <c r="C1894" s="5" t="s">
        <v>8526</v>
      </c>
      <c r="D1894" s="21">
        <v>1</v>
      </c>
      <c r="E1894" s="21"/>
      <c r="F1894" s="21" t="s">
        <v>10438</v>
      </c>
      <c r="G1894" s="21"/>
      <c r="H1894" s="54">
        <v>97</v>
      </c>
      <c r="I1894" s="51"/>
      <c r="J1894" s="27"/>
      <c r="K1894" s="27"/>
      <c r="L1894" s="15"/>
      <c r="M1894" s="15"/>
      <c r="N1894" s="4" t="s">
        <v>5022</v>
      </c>
      <c r="O1894" s="4"/>
    </row>
    <row r="1895" spans="1:15" x14ac:dyDescent="0.2">
      <c r="A1895" s="2">
        <v>40007274</v>
      </c>
      <c r="B1895" s="2" t="s">
        <v>2522</v>
      </c>
      <c r="C1895" s="5" t="s">
        <v>8219</v>
      </c>
      <c r="D1895" s="21">
        <v>10</v>
      </c>
      <c r="E1895" s="21"/>
      <c r="F1895" s="21" t="s">
        <v>10438</v>
      </c>
      <c r="G1895" s="21"/>
      <c r="H1895" s="54">
        <v>211</v>
      </c>
      <c r="I1895" s="51"/>
      <c r="J1895" s="27"/>
      <c r="K1895" s="27"/>
      <c r="L1895" s="15"/>
      <c r="M1895" s="15">
        <v>3</v>
      </c>
      <c r="N1895" s="4" t="s">
        <v>4288</v>
      </c>
      <c r="O1895" s="4"/>
    </row>
    <row r="1896" spans="1:15" x14ac:dyDescent="0.2">
      <c r="A1896" s="2">
        <v>40007087</v>
      </c>
      <c r="B1896" s="2" t="s">
        <v>2360</v>
      </c>
      <c r="C1896" s="5" t="s">
        <v>8066</v>
      </c>
      <c r="D1896" s="21">
        <v>4</v>
      </c>
      <c r="E1896" s="21"/>
      <c r="F1896" s="21" t="s">
        <v>10438</v>
      </c>
      <c r="G1896" s="21"/>
      <c r="H1896" s="54">
        <v>79</v>
      </c>
      <c r="I1896" s="51"/>
      <c r="J1896" s="27"/>
      <c r="K1896" s="27"/>
      <c r="L1896" s="15"/>
      <c r="M1896" s="15"/>
      <c r="N1896" s="4" t="s">
        <v>4822</v>
      </c>
      <c r="O1896" s="4"/>
    </row>
    <row r="1897" spans="1:15" x14ac:dyDescent="0.2">
      <c r="A1897" s="2">
        <v>40006462</v>
      </c>
      <c r="B1897" s="2" t="s">
        <v>1816</v>
      </c>
      <c r="C1897" s="5" t="s">
        <v>7524</v>
      </c>
      <c r="D1897" s="21">
        <v>2</v>
      </c>
      <c r="E1897" s="21"/>
      <c r="F1897" s="21" t="s">
        <v>10438</v>
      </c>
      <c r="G1897" s="21"/>
      <c r="H1897" s="54">
        <v>40</v>
      </c>
      <c r="I1897" s="51"/>
      <c r="J1897" s="27"/>
      <c r="K1897" s="27"/>
      <c r="L1897" s="15"/>
      <c r="M1897" s="15"/>
      <c r="N1897" s="4"/>
      <c r="O1897" s="4">
        <v>89</v>
      </c>
    </row>
    <row r="1898" spans="1:15" x14ac:dyDescent="0.2">
      <c r="A1898" s="2">
        <v>40007575</v>
      </c>
      <c r="B1898" s="2" t="s">
        <v>2770</v>
      </c>
      <c r="C1898" s="5" t="s">
        <v>8470</v>
      </c>
      <c r="D1898" s="21">
        <v>1</v>
      </c>
      <c r="E1898" s="21"/>
      <c r="F1898" s="21" t="s">
        <v>10438</v>
      </c>
      <c r="G1898" s="21"/>
      <c r="H1898" s="54">
        <v>292</v>
      </c>
      <c r="I1898" s="51"/>
      <c r="J1898" s="27"/>
      <c r="K1898" s="27"/>
      <c r="L1898" s="15"/>
      <c r="M1898" s="15"/>
      <c r="N1898" s="4"/>
      <c r="O1898" s="4" t="s">
        <v>10341</v>
      </c>
    </row>
    <row r="1899" spans="1:15" x14ac:dyDescent="0.2">
      <c r="A1899" s="2">
        <v>40007969</v>
      </c>
      <c r="B1899" s="2" t="s">
        <v>3117</v>
      </c>
      <c r="C1899" s="5" t="s">
        <v>8813</v>
      </c>
      <c r="D1899" s="21">
        <v>14</v>
      </c>
      <c r="E1899" s="21"/>
      <c r="F1899" s="21" t="s">
        <v>10438</v>
      </c>
      <c r="G1899" s="21"/>
      <c r="H1899" s="54">
        <v>98</v>
      </c>
      <c r="I1899" s="51"/>
      <c r="J1899" s="27"/>
      <c r="K1899" s="27"/>
      <c r="L1899" s="15"/>
      <c r="M1899" s="15"/>
      <c r="N1899" s="4"/>
      <c r="O1899" s="4">
        <v>79</v>
      </c>
    </row>
    <row r="1900" spans="1:15" x14ac:dyDescent="0.2">
      <c r="A1900" s="2">
        <v>40007696</v>
      </c>
      <c r="B1900" s="2" t="s">
        <v>2873</v>
      </c>
      <c r="C1900" s="5" t="s">
        <v>8571</v>
      </c>
      <c r="D1900" s="21">
        <v>9</v>
      </c>
      <c r="E1900" s="21"/>
      <c r="F1900" s="30">
        <v>3</v>
      </c>
      <c r="G1900" s="21"/>
      <c r="H1900" s="54">
        <v>72</v>
      </c>
      <c r="I1900" s="51"/>
      <c r="J1900" s="27"/>
      <c r="K1900" s="27"/>
      <c r="L1900" s="15">
        <v>10</v>
      </c>
      <c r="M1900" s="15">
        <v>6</v>
      </c>
      <c r="N1900" s="4" t="s">
        <v>5037</v>
      </c>
      <c r="O1900" s="4"/>
    </row>
    <row r="1901" spans="1:15" x14ac:dyDescent="0.2">
      <c r="A1901" s="2">
        <v>40005575</v>
      </c>
      <c r="B1901" s="2" t="s">
        <v>1027</v>
      </c>
      <c r="C1901" s="5" t="s">
        <v>6752</v>
      </c>
      <c r="D1901" s="21">
        <v>18</v>
      </c>
      <c r="E1901" s="21"/>
      <c r="F1901" s="21" t="s">
        <v>10438</v>
      </c>
      <c r="G1901" s="21"/>
      <c r="H1901" s="54">
        <v>143</v>
      </c>
      <c r="I1901" s="51"/>
      <c r="J1901" s="27"/>
      <c r="K1901" s="27"/>
      <c r="L1901" s="15"/>
      <c r="M1901" s="15"/>
      <c r="N1901" s="4" t="s">
        <v>4153</v>
      </c>
      <c r="O1901" s="4">
        <v>84</v>
      </c>
    </row>
    <row r="1902" spans="1:15" x14ac:dyDescent="0.2">
      <c r="A1902" s="2">
        <v>40008103</v>
      </c>
      <c r="B1902" s="2" t="s">
        <v>3230</v>
      </c>
      <c r="C1902" s="5" t="s">
        <v>8926</v>
      </c>
      <c r="D1902" s="21">
        <v>2</v>
      </c>
      <c r="E1902" s="21"/>
      <c r="F1902" s="21" t="s">
        <v>10438</v>
      </c>
      <c r="G1902" s="21"/>
      <c r="H1902" s="54">
        <v>1330</v>
      </c>
      <c r="I1902" s="51"/>
      <c r="J1902" s="27"/>
      <c r="K1902" s="27"/>
      <c r="L1902" s="15"/>
      <c r="M1902" s="15"/>
      <c r="N1902" s="4"/>
      <c r="O1902" s="4" t="s">
        <v>10314</v>
      </c>
    </row>
    <row r="1903" spans="1:15" x14ac:dyDescent="0.2">
      <c r="A1903" s="2">
        <v>40006377</v>
      </c>
      <c r="B1903" s="2" t="s">
        <v>1737</v>
      </c>
      <c r="C1903" s="5" t="s">
        <v>7448</v>
      </c>
      <c r="D1903" s="21">
        <v>3</v>
      </c>
      <c r="E1903" s="21"/>
      <c r="F1903" s="21" t="s">
        <v>10438</v>
      </c>
      <c r="G1903" s="21"/>
      <c r="H1903" s="54">
        <v>346</v>
      </c>
      <c r="I1903" s="51"/>
      <c r="J1903" s="27"/>
      <c r="K1903" s="27"/>
      <c r="L1903" s="15"/>
      <c r="M1903" s="15"/>
      <c r="N1903" s="4" t="s">
        <v>4555</v>
      </c>
      <c r="O1903" s="4"/>
    </row>
    <row r="1904" spans="1:15" x14ac:dyDescent="0.2">
      <c r="A1904" s="2">
        <v>40006378</v>
      </c>
      <c r="B1904" s="2" t="s">
        <v>1738</v>
      </c>
      <c r="C1904" s="5" t="s">
        <v>7449</v>
      </c>
      <c r="D1904" s="21">
        <v>1</v>
      </c>
      <c r="E1904" s="21"/>
      <c r="F1904" s="21" t="s">
        <v>10438</v>
      </c>
      <c r="G1904" s="21"/>
      <c r="H1904" s="54">
        <v>162</v>
      </c>
      <c r="I1904" s="51"/>
      <c r="J1904" s="27"/>
      <c r="K1904" s="27"/>
      <c r="L1904" s="15"/>
      <c r="M1904" s="15"/>
      <c r="N1904" s="4" t="s">
        <v>4556</v>
      </c>
      <c r="O1904" s="4"/>
    </row>
    <row r="1905" spans="1:15" x14ac:dyDescent="0.2">
      <c r="A1905" s="2">
        <v>40007968</v>
      </c>
      <c r="B1905" s="2" t="s">
        <v>3116</v>
      </c>
      <c r="C1905" s="5" t="s">
        <v>8812</v>
      </c>
      <c r="D1905" s="21">
        <v>10</v>
      </c>
      <c r="E1905" s="21"/>
      <c r="F1905" s="21" t="s">
        <v>10438</v>
      </c>
      <c r="G1905" s="21"/>
      <c r="H1905" s="54">
        <v>43</v>
      </c>
      <c r="I1905" s="51"/>
      <c r="J1905" s="27"/>
      <c r="K1905" s="27"/>
      <c r="L1905" s="15"/>
      <c r="M1905" s="15"/>
      <c r="N1905" s="4"/>
      <c r="O1905" s="4">
        <v>21</v>
      </c>
    </row>
    <row r="1906" spans="1:15" x14ac:dyDescent="0.2">
      <c r="A1906" s="2">
        <v>40006769</v>
      </c>
      <c r="B1906" s="2" t="s">
        <v>2072</v>
      </c>
      <c r="C1906" s="5" t="s">
        <v>7784</v>
      </c>
      <c r="D1906" s="21">
        <v>17</v>
      </c>
      <c r="E1906" s="21"/>
      <c r="F1906" s="21" t="s">
        <v>10438</v>
      </c>
      <c r="G1906" s="21"/>
      <c r="H1906" s="54">
        <v>28</v>
      </c>
      <c r="I1906" s="51"/>
      <c r="J1906" s="27"/>
      <c r="K1906" s="27"/>
      <c r="L1906" s="15"/>
      <c r="M1906" s="15"/>
      <c r="N1906" s="4" t="s">
        <v>4675</v>
      </c>
      <c r="O1906" s="4"/>
    </row>
    <row r="1907" spans="1:15" x14ac:dyDescent="0.2">
      <c r="A1907" s="2">
        <v>40007723</v>
      </c>
      <c r="B1907" s="2" t="s">
        <v>2898</v>
      </c>
      <c r="C1907" s="5" t="s">
        <v>8595</v>
      </c>
      <c r="D1907" s="21">
        <v>28</v>
      </c>
      <c r="E1907" s="21"/>
      <c r="F1907" s="21" t="s">
        <v>10438</v>
      </c>
      <c r="G1907" s="21"/>
      <c r="H1907" s="54">
        <v>138</v>
      </c>
      <c r="I1907" s="51"/>
      <c r="J1907" s="27"/>
      <c r="K1907" s="27"/>
      <c r="L1907" s="15"/>
      <c r="M1907" s="15"/>
      <c r="N1907" s="4"/>
      <c r="O1907" s="4">
        <v>43</v>
      </c>
    </row>
    <row r="1908" spans="1:15" x14ac:dyDescent="0.2">
      <c r="A1908" s="2">
        <v>40008111</v>
      </c>
      <c r="B1908" s="2" t="s">
        <v>3236</v>
      </c>
      <c r="C1908" s="10" t="s">
        <v>8932</v>
      </c>
      <c r="D1908" s="21">
        <v>5</v>
      </c>
      <c r="E1908" s="21"/>
      <c r="F1908" s="21" t="s">
        <v>10438</v>
      </c>
      <c r="G1908" s="21"/>
      <c r="H1908" s="54">
        <v>143</v>
      </c>
      <c r="I1908" s="51"/>
      <c r="J1908" s="27"/>
      <c r="K1908" s="27"/>
      <c r="L1908" s="15"/>
      <c r="M1908" s="15"/>
      <c r="N1908" s="4" t="s">
        <v>4272</v>
      </c>
      <c r="O1908" s="4"/>
    </row>
    <row r="1909" spans="1:15" x14ac:dyDescent="0.2">
      <c r="A1909" s="2">
        <v>40006954</v>
      </c>
      <c r="B1909" s="2" t="s">
        <v>2245</v>
      </c>
      <c r="C1909" s="5" t="s">
        <v>7951</v>
      </c>
      <c r="D1909" s="21">
        <v>31</v>
      </c>
      <c r="E1909" s="21"/>
      <c r="F1909" s="21" t="s">
        <v>10438</v>
      </c>
      <c r="G1909" s="21"/>
      <c r="H1909" s="54">
        <v>81</v>
      </c>
      <c r="I1909" s="51"/>
      <c r="J1909" s="27"/>
      <c r="K1909" s="27"/>
      <c r="L1909" s="15"/>
      <c r="M1909" s="15"/>
      <c r="N1909" s="4" t="s">
        <v>4760</v>
      </c>
      <c r="O1909" s="4" t="s">
        <v>10342</v>
      </c>
    </row>
    <row r="1910" spans="1:15" x14ac:dyDescent="0.2">
      <c r="A1910" s="2">
        <v>40008145</v>
      </c>
      <c r="B1910" s="2" t="s">
        <v>3268</v>
      </c>
      <c r="C1910" s="5" t="s">
        <v>8964</v>
      </c>
      <c r="D1910" s="21">
        <v>77</v>
      </c>
      <c r="E1910" s="21"/>
      <c r="F1910" s="21" t="s">
        <v>10438</v>
      </c>
      <c r="G1910" s="21"/>
      <c r="H1910" s="54">
        <v>21</v>
      </c>
      <c r="I1910" s="51"/>
      <c r="J1910" s="27"/>
      <c r="K1910" s="27"/>
      <c r="L1910" s="15"/>
      <c r="M1910" s="15"/>
      <c r="N1910" s="4" t="s">
        <v>5202</v>
      </c>
      <c r="O1910" s="4"/>
    </row>
    <row r="1911" spans="1:15" x14ac:dyDescent="0.2">
      <c r="A1911" s="2">
        <v>40007552</v>
      </c>
      <c r="B1911" s="2" t="s">
        <v>2752</v>
      </c>
      <c r="C1911" s="5" t="s">
        <v>8452</v>
      </c>
      <c r="D1911" s="21">
        <v>17</v>
      </c>
      <c r="E1911" s="21"/>
      <c r="F1911" s="21" t="s">
        <v>10438</v>
      </c>
      <c r="G1911" s="21"/>
      <c r="H1911" s="54">
        <v>23</v>
      </c>
      <c r="I1911" s="51"/>
      <c r="J1911" s="27"/>
      <c r="K1911" s="27"/>
      <c r="L1911" s="15"/>
      <c r="M1911" s="15"/>
      <c r="N1911" s="4" t="s">
        <v>4996</v>
      </c>
      <c r="O1911" s="4" t="s">
        <v>10083</v>
      </c>
    </row>
    <row r="1912" spans="1:15" x14ac:dyDescent="0.2">
      <c r="A1912" s="2">
        <v>40008306</v>
      </c>
      <c r="B1912" s="2" t="s">
        <v>3414</v>
      </c>
      <c r="C1912" s="5" t="s">
        <v>9107</v>
      </c>
      <c r="D1912" s="21">
        <v>15</v>
      </c>
      <c r="E1912" s="21"/>
      <c r="F1912" s="21" t="s">
        <v>10438</v>
      </c>
      <c r="G1912" s="21"/>
      <c r="H1912" s="54">
        <v>20</v>
      </c>
      <c r="I1912" s="51"/>
      <c r="J1912" s="27"/>
      <c r="K1912" s="27"/>
      <c r="L1912" s="15"/>
      <c r="M1912" s="15"/>
      <c r="N1912" s="4" t="s">
        <v>5237</v>
      </c>
      <c r="O1912" s="4"/>
    </row>
    <row r="1913" spans="1:15" x14ac:dyDescent="0.2">
      <c r="A1913" s="2">
        <v>40006989</v>
      </c>
      <c r="B1913" s="2" t="s">
        <v>2276</v>
      </c>
      <c r="C1913" s="5" t="s">
        <v>7984</v>
      </c>
      <c r="D1913" s="21">
        <v>31</v>
      </c>
      <c r="E1913" s="21"/>
      <c r="F1913" s="21" t="s">
        <v>10438</v>
      </c>
      <c r="G1913" s="21"/>
      <c r="H1913" s="54">
        <v>19</v>
      </c>
      <c r="I1913" s="51"/>
      <c r="J1913" s="27"/>
      <c r="K1913" s="27"/>
      <c r="L1913" s="15"/>
      <c r="M1913" s="15"/>
      <c r="N1913" s="4" t="s">
        <v>4780</v>
      </c>
      <c r="O1913" s="4"/>
    </row>
    <row r="1914" spans="1:15" x14ac:dyDescent="0.2">
      <c r="A1914" s="2">
        <v>40006552</v>
      </c>
      <c r="B1914" s="2" t="s">
        <v>1892</v>
      </c>
      <c r="C1914" s="5" t="s">
        <v>7600</v>
      </c>
      <c r="D1914" s="21">
        <v>7</v>
      </c>
      <c r="E1914" s="21"/>
      <c r="F1914" s="21" t="s">
        <v>10438</v>
      </c>
      <c r="G1914" s="21"/>
      <c r="H1914" s="54">
        <v>164</v>
      </c>
      <c r="I1914" s="51"/>
      <c r="J1914" s="27"/>
      <c r="K1914" s="27"/>
      <c r="L1914" s="15"/>
      <c r="M1914" s="15"/>
      <c r="N1914" s="4"/>
      <c r="O1914" s="4" t="s">
        <v>10372</v>
      </c>
    </row>
    <row r="1915" spans="1:15" x14ac:dyDescent="0.2">
      <c r="A1915" s="2">
        <v>40008066</v>
      </c>
      <c r="B1915" s="2" t="s">
        <v>3198</v>
      </c>
      <c r="C1915" s="5" t="s">
        <v>8893</v>
      </c>
      <c r="D1915" s="21">
        <v>2</v>
      </c>
      <c r="E1915" s="21"/>
      <c r="F1915" s="21" t="s">
        <v>10438</v>
      </c>
      <c r="G1915" s="21"/>
      <c r="H1915" s="54">
        <v>567</v>
      </c>
      <c r="I1915" s="51"/>
      <c r="J1915" s="27"/>
      <c r="K1915" s="27"/>
      <c r="L1915" s="15"/>
      <c r="M1915" s="15"/>
      <c r="N1915" s="4"/>
      <c r="O1915" s="4">
        <v>83</v>
      </c>
    </row>
    <row r="1916" spans="1:15" x14ac:dyDescent="0.2">
      <c r="A1916" s="2">
        <v>40005623</v>
      </c>
      <c r="B1916" s="2" t="s">
        <v>1066</v>
      </c>
      <c r="C1916" s="5" t="s">
        <v>6794</v>
      </c>
      <c r="D1916" s="21">
        <v>10</v>
      </c>
      <c r="E1916" s="21"/>
      <c r="F1916" s="21" t="s">
        <v>10438</v>
      </c>
      <c r="G1916" s="21"/>
      <c r="H1916" s="54">
        <v>35</v>
      </c>
      <c r="I1916" s="51"/>
      <c r="J1916" s="27"/>
      <c r="K1916" s="27"/>
      <c r="L1916" s="15"/>
      <c r="M1916" s="15"/>
      <c r="N1916" s="4"/>
      <c r="O1916" s="4">
        <v>78</v>
      </c>
    </row>
    <row r="1917" spans="1:15" x14ac:dyDescent="0.2">
      <c r="A1917" s="2">
        <v>40005919</v>
      </c>
      <c r="B1917" s="2" t="s">
        <v>1329</v>
      </c>
      <c r="C1917" s="5" t="s">
        <v>7035</v>
      </c>
      <c r="D1917" s="21">
        <v>5</v>
      </c>
      <c r="E1917" s="21"/>
      <c r="F1917" s="30">
        <v>1</v>
      </c>
      <c r="G1917" s="21"/>
      <c r="H1917" s="54">
        <v>140</v>
      </c>
      <c r="I1917" s="51"/>
      <c r="J1917" s="27"/>
      <c r="K1917" s="27"/>
      <c r="L1917" s="15"/>
      <c r="M1917" s="15"/>
      <c r="N1917" s="4" t="s">
        <v>4026</v>
      </c>
      <c r="O1917" s="4">
        <v>92</v>
      </c>
    </row>
    <row r="1918" spans="1:15" x14ac:dyDescent="0.2">
      <c r="A1918" s="2">
        <v>40006557</v>
      </c>
      <c r="B1918" s="2" t="s">
        <v>1897</v>
      </c>
      <c r="C1918" s="5" t="s">
        <v>7605</v>
      </c>
      <c r="D1918" s="21">
        <v>1</v>
      </c>
      <c r="E1918" s="21"/>
      <c r="F1918" s="21" t="s">
        <v>10438</v>
      </c>
      <c r="G1918" s="21"/>
      <c r="H1918" s="54">
        <v>646</v>
      </c>
      <c r="I1918" s="51"/>
      <c r="J1918" s="27"/>
      <c r="K1918" s="27"/>
      <c r="L1918" s="15"/>
      <c r="M1918" s="15"/>
      <c r="N1918" s="4"/>
      <c r="O1918" s="4" t="s">
        <v>10372</v>
      </c>
    </row>
    <row r="1919" spans="1:15" x14ac:dyDescent="0.2">
      <c r="A1919" s="2">
        <v>40007700</v>
      </c>
      <c r="B1919" s="2" t="s">
        <v>2877</v>
      </c>
      <c r="C1919" s="5" t="s">
        <v>8575</v>
      </c>
      <c r="D1919" s="21">
        <v>1</v>
      </c>
      <c r="E1919" s="21"/>
      <c r="F1919" s="21" t="s">
        <v>10438</v>
      </c>
      <c r="G1919" s="21"/>
      <c r="H1919" s="54">
        <v>230</v>
      </c>
      <c r="I1919" s="51"/>
      <c r="J1919" s="27"/>
      <c r="K1919" s="27"/>
      <c r="L1919" s="15"/>
      <c r="M1919" s="15"/>
      <c r="N1919" s="4"/>
      <c r="O1919" s="4">
        <v>75</v>
      </c>
    </row>
    <row r="1920" spans="1:15" x14ac:dyDescent="0.2">
      <c r="A1920" s="2">
        <v>40005685</v>
      </c>
      <c r="B1920" s="2" t="s">
        <v>1119</v>
      </c>
      <c r="C1920" s="5" t="s">
        <v>6837</v>
      </c>
      <c r="D1920" s="21">
        <v>3</v>
      </c>
      <c r="E1920" s="21"/>
      <c r="F1920" s="21" t="s">
        <v>10438</v>
      </c>
      <c r="G1920" s="21"/>
      <c r="H1920" s="54">
        <v>61</v>
      </c>
      <c r="I1920" s="51"/>
      <c r="J1920" s="27"/>
      <c r="K1920" s="27"/>
      <c r="L1920" s="15"/>
      <c r="M1920" s="15"/>
      <c r="N1920" s="4"/>
      <c r="O1920" s="4" t="s">
        <v>10219</v>
      </c>
    </row>
    <row r="1921" spans="1:15" x14ac:dyDescent="0.2">
      <c r="A1921" s="2">
        <v>40006047</v>
      </c>
      <c r="B1921" s="2" t="s">
        <v>1446</v>
      </c>
      <c r="C1921" s="5" t="s">
        <v>7149</v>
      </c>
      <c r="D1921" s="21">
        <v>10</v>
      </c>
      <c r="E1921" s="21"/>
      <c r="F1921" s="21" t="s">
        <v>10438</v>
      </c>
      <c r="G1921" s="21"/>
      <c r="H1921" s="54">
        <v>206</v>
      </c>
      <c r="I1921" s="51"/>
      <c r="J1921" s="27"/>
      <c r="K1921" s="27"/>
      <c r="L1921" s="15"/>
      <c r="M1921" s="15"/>
      <c r="N1921" s="4" t="s">
        <v>4419</v>
      </c>
      <c r="O1921" s="4"/>
    </row>
    <row r="1922" spans="1:15" x14ac:dyDescent="0.2">
      <c r="A1922" s="2">
        <v>40008305</v>
      </c>
      <c r="B1922" s="2" t="s">
        <v>3413</v>
      </c>
      <c r="C1922" s="5" t="s">
        <v>9106</v>
      </c>
      <c r="D1922" s="21">
        <v>2</v>
      </c>
      <c r="E1922" s="21"/>
      <c r="F1922" s="21" t="s">
        <v>10438</v>
      </c>
      <c r="G1922" s="21"/>
      <c r="H1922" s="54">
        <v>80</v>
      </c>
      <c r="I1922" s="51"/>
      <c r="J1922" s="27"/>
      <c r="K1922" s="27"/>
      <c r="L1922" s="15"/>
      <c r="M1922" s="15"/>
      <c r="N1922" s="4" t="s">
        <v>5236</v>
      </c>
      <c r="O1922" s="4"/>
    </row>
    <row r="1923" spans="1:15" x14ac:dyDescent="0.2">
      <c r="A1923" s="2">
        <v>40007340</v>
      </c>
      <c r="B1923" s="2" t="s">
        <v>2575</v>
      </c>
      <c r="C1923" s="5" t="s">
        <v>8272</v>
      </c>
      <c r="D1923" s="21">
        <v>3</v>
      </c>
      <c r="E1923" s="21"/>
      <c r="F1923" s="21" t="s">
        <v>10438</v>
      </c>
      <c r="G1923" s="21"/>
      <c r="H1923" s="54">
        <v>457</v>
      </c>
      <c r="I1923" s="51"/>
      <c r="J1923" s="27"/>
      <c r="K1923" s="27"/>
      <c r="L1923" s="15"/>
      <c r="M1923" s="15"/>
      <c r="N1923" s="4" t="s">
        <v>4053</v>
      </c>
      <c r="O1923" s="4"/>
    </row>
    <row r="1924" spans="1:15" x14ac:dyDescent="0.2">
      <c r="A1924" s="2">
        <v>40006350</v>
      </c>
      <c r="B1924" s="7" t="s">
        <v>1714</v>
      </c>
      <c r="C1924" s="5" t="s">
        <v>7423</v>
      </c>
      <c r="D1924" s="21">
        <v>3</v>
      </c>
      <c r="E1924" s="21"/>
      <c r="F1924" s="21" t="s">
        <v>10438</v>
      </c>
      <c r="G1924" s="21"/>
      <c r="H1924" s="54">
        <v>34</v>
      </c>
      <c r="I1924" s="51"/>
      <c r="J1924" s="27"/>
      <c r="K1924" s="27"/>
      <c r="L1924" s="15"/>
      <c r="M1924" s="15"/>
      <c r="N1924" s="4"/>
      <c r="O1924" s="4">
        <v>75</v>
      </c>
    </row>
    <row r="1925" spans="1:15" x14ac:dyDescent="0.2">
      <c r="A1925" s="2">
        <v>40006550</v>
      </c>
      <c r="B1925" s="2" t="s">
        <v>1890</v>
      </c>
      <c r="C1925" s="5" t="s">
        <v>7598</v>
      </c>
      <c r="D1925" s="21">
        <v>7</v>
      </c>
      <c r="E1925" s="21"/>
      <c r="F1925" s="21" t="s">
        <v>10438</v>
      </c>
      <c r="G1925" s="21"/>
      <c r="H1925" s="54">
        <v>73</v>
      </c>
      <c r="I1925" s="51"/>
      <c r="J1925" s="27"/>
      <c r="K1925" s="27"/>
      <c r="L1925" s="15"/>
      <c r="M1925" s="15"/>
      <c r="N1925" s="4"/>
      <c r="O1925" s="4" t="s">
        <v>10372</v>
      </c>
    </row>
    <row r="1926" spans="1:15" x14ac:dyDescent="0.2">
      <c r="A1926" s="2">
        <v>40006184</v>
      </c>
      <c r="B1926" s="2" t="s">
        <v>1569</v>
      </c>
      <c r="C1926" s="5" t="s">
        <v>7276</v>
      </c>
      <c r="D1926" s="21">
        <v>1</v>
      </c>
      <c r="E1926" s="21"/>
      <c r="F1926" s="21" t="s">
        <v>10438</v>
      </c>
      <c r="G1926" s="21"/>
      <c r="H1926" s="54">
        <v>303</v>
      </c>
      <c r="I1926" s="51"/>
      <c r="J1926" s="27"/>
      <c r="K1926" s="27"/>
      <c r="L1926" s="15"/>
      <c r="M1926" s="15"/>
      <c r="N1926" s="4" t="s">
        <v>4459</v>
      </c>
      <c r="O1926" s="4"/>
    </row>
    <row r="1927" spans="1:15" x14ac:dyDescent="0.2">
      <c r="A1927" s="2">
        <v>40007704</v>
      </c>
      <c r="B1927" s="2" t="s">
        <v>2880</v>
      </c>
      <c r="C1927" s="5" t="s">
        <v>8578</v>
      </c>
      <c r="D1927" s="21">
        <v>2</v>
      </c>
      <c r="E1927" s="21"/>
      <c r="F1927" s="21" t="s">
        <v>10438</v>
      </c>
      <c r="G1927" s="21"/>
      <c r="H1927" s="54">
        <v>104</v>
      </c>
      <c r="I1927" s="51"/>
      <c r="J1927" s="27"/>
      <c r="K1927" s="27"/>
      <c r="L1927" s="15"/>
      <c r="M1927" s="15"/>
      <c r="N1927" s="4" t="s">
        <v>5040</v>
      </c>
      <c r="O1927" s="4"/>
    </row>
    <row r="1928" spans="1:15" x14ac:dyDescent="0.2">
      <c r="A1928" s="2">
        <v>40006963</v>
      </c>
      <c r="B1928" s="2" t="s">
        <v>2254</v>
      </c>
      <c r="C1928" s="5" t="s">
        <v>7960</v>
      </c>
      <c r="D1928" s="21">
        <v>6</v>
      </c>
      <c r="E1928" s="21"/>
      <c r="F1928" s="30">
        <v>1</v>
      </c>
      <c r="G1928" s="21"/>
      <c r="H1928" s="54">
        <v>172</v>
      </c>
      <c r="I1928" s="51"/>
      <c r="J1928" s="27"/>
      <c r="K1928" s="27"/>
      <c r="L1928" s="15">
        <v>10</v>
      </c>
      <c r="M1928" s="15">
        <v>5</v>
      </c>
      <c r="N1928" s="4" t="s">
        <v>4765</v>
      </c>
      <c r="O1928" s="4"/>
    </row>
    <row r="1929" spans="1:15" x14ac:dyDescent="0.2">
      <c r="A1929" s="2">
        <v>40006475</v>
      </c>
      <c r="B1929" s="2" t="s">
        <v>1828</v>
      </c>
      <c r="C1929" s="5" t="s">
        <v>7536</v>
      </c>
      <c r="D1929" s="21">
        <v>1</v>
      </c>
      <c r="E1929" s="21"/>
      <c r="F1929" s="21" t="s">
        <v>10438</v>
      </c>
      <c r="G1929" s="21"/>
      <c r="H1929" s="54">
        <v>276</v>
      </c>
      <c r="I1929" s="51"/>
      <c r="J1929" s="27"/>
      <c r="K1929" s="27"/>
      <c r="L1929" s="15"/>
      <c r="M1929" s="15"/>
      <c r="N1929" s="4"/>
      <c r="O1929" s="4">
        <v>75</v>
      </c>
    </row>
    <row r="1930" spans="1:15" x14ac:dyDescent="0.2">
      <c r="A1930" s="2">
        <v>40007342</v>
      </c>
      <c r="B1930" s="2" t="s">
        <v>2577</v>
      </c>
      <c r="C1930" s="5" t="s">
        <v>8274</v>
      </c>
      <c r="D1930" s="21">
        <v>4</v>
      </c>
      <c r="E1930" s="21"/>
      <c r="F1930" s="21" t="s">
        <v>10438</v>
      </c>
      <c r="G1930" s="21"/>
      <c r="H1930" s="54">
        <v>283</v>
      </c>
      <c r="I1930" s="51"/>
      <c r="J1930" s="27"/>
      <c r="K1930" s="27"/>
      <c r="L1930" s="15"/>
      <c r="M1930" s="15"/>
      <c r="N1930" s="4"/>
      <c r="O1930" s="4">
        <v>83</v>
      </c>
    </row>
    <row r="1931" spans="1:15" x14ac:dyDescent="0.2">
      <c r="A1931" s="2">
        <v>40006270</v>
      </c>
      <c r="B1931" s="2" t="s">
        <v>1645</v>
      </c>
      <c r="C1931" s="5" t="s">
        <v>7351</v>
      </c>
      <c r="D1931" s="21">
        <v>1</v>
      </c>
      <c r="E1931" s="21"/>
      <c r="F1931" s="21" t="s">
        <v>10438</v>
      </c>
      <c r="G1931" s="21"/>
      <c r="H1931" s="54">
        <v>286</v>
      </c>
      <c r="I1931" s="51"/>
      <c r="J1931" s="27"/>
      <c r="K1931" s="27"/>
      <c r="L1931" s="15"/>
      <c r="M1931" s="15"/>
      <c r="N1931" s="4"/>
      <c r="O1931" s="4">
        <v>75</v>
      </c>
    </row>
    <row r="1932" spans="1:15" x14ac:dyDescent="0.2">
      <c r="A1932" s="2">
        <v>40005881</v>
      </c>
      <c r="B1932" s="2" t="s">
        <v>1297</v>
      </c>
      <c r="C1932" s="5" t="s">
        <v>7007</v>
      </c>
      <c r="D1932" s="21">
        <v>3</v>
      </c>
      <c r="E1932" s="21"/>
      <c r="F1932" s="21" t="s">
        <v>10438</v>
      </c>
      <c r="G1932" s="21"/>
      <c r="H1932" s="54">
        <v>65</v>
      </c>
      <c r="I1932" s="51"/>
      <c r="J1932" s="27"/>
      <c r="K1932" s="27"/>
      <c r="L1932" s="15"/>
      <c r="M1932" s="15"/>
      <c r="N1932" s="4" t="s">
        <v>4303</v>
      </c>
      <c r="O1932" s="4"/>
    </row>
    <row r="1933" spans="1:15" x14ac:dyDescent="0.2">
      <c r="A1933" s="2">
        <v>40006576</v>
      </c>
      <c r="B1933" s="2" t="s">
        <v>1913</v>
      </c>
      <c r="C1933" s="5" t="s">
        <v>7621</v>
      </c>
      <c r="D1933" s="21">
        <v>1</v>
      </c>
      <c r="E1933" s="21"/>
      <c r="F1933" s="21" t="s">
        <v>10438</v>
      </c>
      <c r="G1933" s="21"/>
      <c r="H1933" s="54">
        <v>296</v>
      </c>
      <c r="I1933" s="51"/>
      <c r="J1933" s="27"/>
      <c r="K1933" s="27"/>
      <c r="L1933" s="15"/>
      <c r="M1933" s="15"/>
      <c r="N1933" s="4"/>
      <c r="O1933" s="4" t="s">
        <v>10372</v>
      </c>
    </row>
    <row r="1934" spans="1:15" x14ac:dyDescent="0.2">
      <c r="A1934" s="2">
        <v>40006579</v>
      </c>
      <c r="B1934" s="2" t="s">
        <v>1916</v>
      </c>
      <c r="C1934" s="5" t="s">
        <v>7624</v>
      </c>
      <c r="D1934" s="21">
        <v>1</v>
      </c>
      <c r="E1934" s="21"/>
      <c r="F1934" s="21" t="s">
        <v>10438</v>
      </c>
      <c r="G1934" s="21"/>
      <c r="H1934" s="54">
        <v>177</v>
      </c>
      <c r="I1934" s="51"/>
      <c r="J1934" s="27"/>
      <c r="K1934" s="27"/>
      <c r="L1934" s="15"/>
      <c r="M1934" s="15"/>
      <c r="N1934" s="4"/>
      <c r="O1934" s="4" t="s">
        <v>10120</v>
      </c>
    </row>
    <row r="1935" spans="1:15" x14ac:dyDescent="0.2">
      <c r="A1935" s="2">
        <v>40005426</v>
      </c>
      <c r="B1935" s="2" t="s">
        <v>901</v>
      </c>
      <c r="C1935" s="5" t="s">
        <v>6623</v>
      </c>
      <c r="D1935" s="21">
        <v>1</v>
      </c>
      <c r="E1935" s="21"/>
      <c r="F1935" s="21" t="s">
        <v>10438</v>
      </c>
      <c r="G1935" s="21"/>
      <c r="H1935" s="54">
        <v>162</v>
      </c>
      <c r="I1935" s="51"/>
      <c r="J1935" s="27"/>
      <c r="K1935" s="27"/>
      <c r="L1935" s="15"/>
      <c r="M1935" s="15"/>
      <c r="N1935" s="4"/>
      <c r="O1935" s="4" t="s">
        <v>10240</v>
      </c>
    </row>
    <row r="1936" spans="1:15" x14ac:dyDescent="0.2">
      <c r="A1936" s="2">
        <v>40010779</v>
      </c>
      <c r="B1936" s="2" t="s">
        <v>5435</v>
      </c>
      <c r="C1936" s="5" t="s">
        <v>9282</v>
      </c>
      <c r="D1936" s="21"/>
      <c r="E1936" s="21"/>
      <c r="F1936" s="21" t="s">
        <v>10438</v>
      </c>
      <c r="G1936" s="21"/>
      <c r="H1936" s="54">
        <v>119</v>
      </c>
      <c r="I1936" s="51"/>
      <c r="J1936" s="27"/>
      <c r="K1936" s="27"/>
      <c r="L1936" s="15"/>
      <c r="M1936" s="15"/>
      <c r="N1936" s="4"/>
      <c r="O1936" s="4">
        <v>76</v>
      </c>
    </row>
    <row r="1937" spans="1:15" x14ac:dyDescent="0.2">
      <c r="A1937" s="2">
        <v>40006379</v>
      </c>
      <c r="B1937" s="2" t="s">
        <v>1739</v>
      </c>
      <c r="C1937" s="5" t="s">
        <v>7450</v>
      </c>
      <c r="D1937" s="21">
        <v>2</v>
      </c>
      <c r="E1937" s="21"/>
      <c r="F1937" s="21" t="s">
        <v>10438</v>
      </c>
      <c r="G1937" s="21"/>
      <c r="H1937" s="54">
        <v>380</v>
      </c>
      <c r="I1937" s="51"/>
      <c r="J1937" s="27"/>
      <c r="K1937" s="27"/>
      <c r="L1937" s="15"/>
      <c r="M1937" s="15"/>
      <c r="N1937" s="4" t="s">
        <v>4119</v>
      </c>
      <c r="O1937" s="4"/>
    </row>
    <row r="1938" spans="1:15" x14ac:dyDescent="0.2">
      <c r="A1938" s="2">
        <v>40006351</v>
      </c>
      <c r="B1938" s="2" t="s">
        <v>1715</v>
      </c>
      <c r="C1938" s="5" t="s">
        <v>7424</v>
      </c>
      <c r="D1938" s="21">
        <v>8</v>
      </c>
      <c r="E1938" s="21"/>
      <c r="F1938" s="30">
        <v>2</v>
      </c>
      <c r="G1938" s="21"/>
      <c r="H1938" s="54">
        <v>71</v>
      </c>
      <c r="I1938" s="51"/>
      <c r="J1938" s="27"/>
      <c r="K1938" s="27"/>
      <c r="L1938" s="15">
        <v>4</v>
      </c>
      <c r="M1938" s="15">
        <v>5</v>
      </c>
      <c r="N1938" s="4" t="s">
        <v>4541</v>
      </c>
      <c r="O1938" s="4"/>
    </row>
    <row r="1939" spans="1:15" x14ac:dyDescent="0.2">
      <c r="A1939" s="2">
        <v>40007561</v>
      </c>
      <c r="B1939" s="2" t="s">
        <v>2760</v>
      </c>
      <c r="C1939" s="5" t="s">
        <v>8461</v>
      </c>
      <c r="D1939" s="21">
        <v>3</v>
      </c>
      <c r="E1939" s="21"/>
      <c r="F1939" s="21" t="s">
        <v>10438</v>
      </c>
      <c r="G1939" s="21"/>
      <c r="H1939" s="54">
        <v>128</v>
      </c>
      <c r="I1939" s="51"/>
      <c r="J1939" s="27"/>
      <c r="K1939" s="27"/>
      <c r="L1939" s="15"/>
      <c r="M1939" s="15"/>
      <c r="N1939" s="4" t="s">
        <v>4159</v>
      </c>
      <c r="O1939" s="4"/>
    </row>
    <row r="1940" spans="1:15" x14ac:dyDescent="0.2">
      <c r="A1940" s="2">
        <v>40008232</v>
      </c>
      <c r="B1940" s="2" t="s">
        <v>3351</v>
      </c>
      <c r="C1940" s="5" t="s">
        <v>9043</v>
      </c>
      <c r="D1940" s="21">
        <v>38</v>
      </c>
      <c r="E1940" s="21"/>
      <c r="F1940" s="21" t="s">
        <v>10438</v>
      </c>
      <c r="G1940" s="21"/>
      <c r="H1940" s="54">
        <v>32</v>
      </c>
      <c r="I1940" s="51"/>
      <c r="J1940" s="27"/>
      <c r="K1940" s="27"/>
      <c r="L1940" s="15"/>
      <c r="M1940" s="15"/>
      <c r="N1940" s="4" t="s">
        <v>4727</v>
      </c>
      <c r="O1940" s="4" t="s">
        <v>10239</v>
      </c>
    </row>
    <row r="1941" spans="1:15" x14ac:dyDescent="0.2">
      <c r="A1941" s="2">
        <v>40007544</v>
      </c>
      <c r="B1941" s="2" t="s">
        <v>2745</v>
      </c>
      <c r="C1941" s="5" t="s">
        <v>8446</v>
      </c>
      <c r="D1941" s="21">
        <v>10</v>
      </c>
      <c r="E1941" s="21"/>
      <c r="F1941" s="21" t="s">
        <v>10438</v>
      </c>
      <c r="G1941" s="21"/>
      <c r="H1941" s="54">
        <v>33</v>
      </c>
      <c r="I1941" s="51"/>
      <c r="J1941" s="27"/>
      <c r="K1941" s="27"/>
      <c r="L1941" s="15"/>
      <c r="M1941" s="15"/>
      <c r="N1941" s="4" t="s">
        <v>4994</v>
      </c>
      <c r="O1941" s="4"/>
    </row>
    <row r="1942" spans="1:15" x14ac:dyDescent="0.2">
      <c r="A1942" s="2">
        <v>40006786</v>
      </c>
      <c r="B1942" s="2" t="s">
        <v>2086</v>
      </c>
      <c r="C1942" s="5" t="s">
        <v>7796</v>
      </c>
      <c r="D1942" s="21"/>
      <c r="E1942" s="21"/>
      <c r="F1942" s="21" t="s">
        <v>10438</v>
      </c>
      <c r="G1942" s="21"/>
      <c r="H1942" s="54">
        <v>50</v>
      </c>
      <c r="I1942" s="51"/>
      <c r="J1942" s="27"/>
      <c r="K1942" s="27"/>
      <c r="L1942" s="15"/>
      <c r="M1942" s="15"/>
      <c r="N1942" s="4" t="s">
        <v>4145</v>
      </c>
      <c r="O1942" s="4"/>
    </row>
    <row r="1943" spans="1:15" x14ac:dyDescent="0.2">
      <c r="A1943" s="2">
        <v>40007531</v>
      </c>
      <c r="B1943" s="2" t="s">
        <v>2735</v>
      </c>
      <c r="C1943" s="5" t="s">
        <v>8437</v>
      </c>
      <c r="D1943" s="21">
        <v>13</v>
      </c>
      <c r="E1943" s="21"/>
      <c r="F1943" s="21" t="s">
        <v>10438</v>
      </c>
      <c r="G1943" s="21"/>
      <c r="H1943" s="54">
        <v>41</v>
      </c>
      <c r="I1943" s="51"/>
      <c r="J1943" s="27"/>
      <c r="K1943" s="27"/>
      <c r="L1943" s="15"/>
      <c r="M1943" s="15">
        <v>5</v>
      </c>
      <c r="N1943" s="4" t="s">
        <v>4990</v>
      </c>
      <c r="O1943" s="4"/>
    </row>
    <row r="1944" spans="1:15" x14ac:dyDescent="0.2">
      <c r="A1944" s="2">
        <v>40005180</v>
      </c>
      <c r="B1944" s="2" t="s">
        <v>724</v>
      </c>
      <c r="C1944" s="5" t="s">
        <v>6437</v>
      </c>
      <c r="D1944" s="21">
        <v>4</v>
      </c>
      <c r="E1944" s="21"/>
      <c r="F1944" s="21" t="s">
        <v>10438</v>
      </c>
      <c r="G1944" s="21"/>
      <c r="H1944" s="54">
        <v>16</v>
      </c>
      <c r="I1944" s="51"/>
      <c r="J1944" s="27"/>
      <c r="K1944" s="27"/>
      <c r="L1944" s="15"/>
      <c r="M1944" s="15"/>
      <c r="N1944" s="4" t="s">
        <v>3993</v>
      </c>
      <c r="O1944" s="4"/>
    </row>
    <row r="1945" spans="1:15" x14ac:dyDescent="0.2">
      <c r="A1945" s="2">
        <v>40007071</v>
      </c>
      <c r="B1945" s="2" t="s">
        <v>2345</v>
      </c>
      <c r="C1945" s="5">
        <v>225211023</v>
      </c>
      <c r="D1945" s="21">
        <v>11</v>
      </c>
      <c r="E1945" s="21"/>
      <c r="F1945" s="21" t="s">
        <v>10438</v>
      </c>
      <c r="G1945" s="21"/>
      <c r="H1945" s="54">
        <v>186</v>
      </c>
      <c r="I1945" s="51"/>
      <c r="J1945" s="27"/>
      <c r="K1945" s="27"/>
      <c r="L1945" s="15"/>
      <c r="M1945" s="15"/>
      <c r="N1945" s="4"/>
      <c r="O1945" s="4">
        <v>86</v>
      </c>
    </row>
    <row r="1946" spans="1:15" x14ac:dyDescent="0.2">
      <c r="A1946" s="2">
        <v>10019564</v>
      </c>
      <c r="B1946" s="2" t="s">
        <v>544</v>
      </c>
      <c r="C1946" s="5" t="s">
        <v>6169</v>
      </c>
      <c r="D1946" s="21">
        <v>11</v>
      </c>
      <c r="E1946" s="21"/>
      <c r="F1946" s="21" t="s">
        <v>10438</v>
      </c>
      <c r="G1946" s="21"/>
      <c r="H1946" s="54">
        <v>40</v>
      </c>
      <c r="I1946" s="51"/>
      <c r="J1946" s="27"/>
      <c r="K1946" s="27"/>
      <c r="L1946" s="15"/>
      <c r="M1946" s="15">
        <v>10</v>
      </c>
      <c r="N1946" s="4">
        <v>65</v>
      </c>
      <c r="O1946" s="4"/>
    </row>
    <row r="1947" spans="1:15" x14ac:dyDescent="0.2">
      <c r="A1947" s="2">
        <v>10019565</v>
      </c>
      <c r="B1947" s="2" t="s">
        <v>545</v>
      </c>
      <c r="C1947" s="5" t="s">
        <v>6170</v>
      </c>
      <c r="D1947" s="21">
        <v>30</v>
      </c>
      <c r="E1947" s="21"/>
      <c r="F1947" s="21" t="s">
        <v>10438</v>
      </c>
      <c r="G1947" s="21"/>
      <c r="H1947" s="54">
        <v>44</v>
      </c>
      <c r="I1947" s="51"/>
      <c r="J1947" s="27"/>
      <c r="K1947" s="27"/>
      <c r="L1947" s="15"/>
      <c r="M1947" s="15">
        <v>20</v>
      </c>
      <c r="N1947" s="4">
        <v>65</v>
      </c>
      <c r="O1947" s="4"/>
    </row>
    <row r="1948" spans="1:15" x14ac:dyDescent="0.2">
      <c r="A1948" s="2">
        <v>10019566</v>
      </c>
      <c r="B1948" s="2" t="s">
        <v>546</v>
      </c>
      <c r="C1948" s="5" t="s">
        <v>6171</v>
      </c>
      <c r="D1948" s="21">
        <v>16</v>
      </c>
      <c r="E1948" s="21"/>
      <c r="F1948" s="21" t="s">
        <v>10438</v>
      </c>
      <c r="G1948" s="21"/>
      <c r="H1948" s="54">
        <v>45</v>
      </c>
      <c r="I1948" s="51"/>
      <c r="J1948" s="27"/>
      <c r="K1948" s="27"/>
      <c r="L1948" s="15"/>
      <c r="M1948" s="15">
        <v>10</v>
      </c>
      <c r="N1948" s="4">
        <v>65</v>
      </c>
      <c r="O1948" s="4"/>
    </row>
    <row r="1949" spans="1:15" x14ac:dyDescent="0.2">
      <c r="A1949" s="2">
        <v>10019567</v>
      </c>
      <c r="B1949" s="2" t="s">
        <v>547</v>
      </c>
      <c r="C1949" s="5" t="s">
        <v>6172</v>
      </c>
      <c r="D1949" s="21">
        <v>2</v>
      </c>
      <c r="E1949" s="21"/>
      <c r="F1949" s="21" t="s">
        <v>10438</v>
      </c>
      <c r="G1949" s="21"/>
      <c r="H1949" s="54">
        <v>59</v>
      </c>
      <c r="I1949" s="51"/>
      <c r="J1949" s="27"/>
      <c r="K1949" s="27"/>
      <c r="L1949" s="15"/>
      <c r="M1949" s="15">
        <v>10</v>
      </c>
      <c r="N1949" s="4">
        <v>65</v>
      </c>
      <c r="O1949" s="4"/>
    </row>
    <row r="1950" spans="1:15" x14ac:dyDescent="0.2">
      <c r="A1950" s="2">
        <v>10029921</v>
      </c>
      <c r="B1950" s="2" t="s">
        <v>678</v>
      </c>
      <c r="C1950" s="5" t="s">
        <v>6340</v>
      </c>
      <c r="D1950" s="21"/>
      <c r="E1950" s="21"/>
      <c r="F1950" s="21" t="s">
        <v>10438</v>
      </c>
      <c r="G1950" s="21"/>
      <c r="H1950" s="54">
        <v>37</v>
      </c>
      <c r="I1950" s="51"/>
      <c r="J1950" s="27"/>
      <c r="K1950" s="27"/>
      <c r="L1950" s="15"/>
      <c r="M1950" s="15"/>
      <c r="N1950" s="4">
        <v>65</v>
      </c>
      <c r="O1950" s="4"/>
    </row>
    <row r="1951" spans="1:15" x14ac:dyDescent="0.2">
      <c r="A1951" s="2">
        <v>10018656</v>
      </c>
      <c r="B1951" s="2" t="s">
        <v>256</v>
      </c>
      <c r="C1951" s="5" t="s">
        <v>5824</v>
      </c>
      <c r="D1951" s="21">
        <v>21</v>
      </c>
      <c r="E1951" s="21"/>
      <c r="F1951" s="21" t="s">
        <v>10438</v>
      </c>
      <c r="G1951" s="21"/>
      <c r="H1951" s="54">
        <v>181</v>
      </c>
      <c r="I1951" s="51"/>
      <c r="J1951" s="27"/>
      <c r="K1951" s="27"/>
      <c r="L1951" s="15">
        <v>10</v>
      </c>
      <c r="M1951" s="15"/>
      <c r="N1951" s="4">
        <v>110</v>
      </c>
      <c r="O1951" s="4"/>
    </row>
    <row r="1952" spans="1:15" x14ac:dyDescent="0.2">
      <c r="A1952" s="2">
        <v>10018175</v>
      </c>
      <c r="B1952" s="2" t="s">
        <v>89</v>
      </c>
      <c r="C1952" s="5" t="s">
        <v>5627</v>
      </c>
      <c r="D1952" s="21">
        <v>22</v>
      </c>
      <c r="E1952" s="21"/>
      <c r="F1952" s="21" t="s">
        <v>10438</v>
      </c>
      <c r="G1952" s="21"/>
      <c r="H1952" s="54">
        <v>360</v>
      </c>
      <c r="I1952" s="51"/>
      <c r="J1952" s="27"/>
      <c r="K1952" s="27"/>
      <c r="L1952" s="15">
        <v>10</v>
      </c>
      <c r="M1952" s="15"/>
      <c r="N1952" s="4">
        <v>110</v>
      </c>
      <c r="O1952" s="4"/>
    </row>
    <row r="1953" spans="1:15" x14ac:dyDescent="0.2">
      <c r="A1953" s="2">
        <v>10041616</v>
      </c>
      <c r="B1953" s="2" t="s">
        <v>5445</v>
      </c>
      <c r="C1953" s="5" t="s">
        <v>9419</v>
      </c>
      <c r="D1953" s="21">
        <v>1</v>
      </c>
      <c r="E1953" s="21"/>
      <c r="F1953" s="21" t="s">
        <v>10438</v>
      </c>
      <c r="G1953" s="21"/>
      <c r="H1953" s="54">
        <v>710</v>
      </c>
      <c r="I1953" s="51">
        <v>640</v>
      </c>
      <c r="J1953" s="27">
        <v>12</v>
      </c>
      <c r="K1953" s="27"/>
      <c r="L1953" s="15"/>
      <c r="M1953" s="15"/>
      <c r="N1953" s="4"/>
      <c r="O1953" s="4" t="s">
        <v>10452</v>
      </c>
    </row>
    <row r="1954" spans="1:15" x14ac:dyDescent="0.2">
      <c r="A1954" s="2">
        <v>10040634</v>
      </c>
      <c r="B1954" s="2" t="s">
        <v>5388</v>
      </c>
      <c r="C1954" s="5" t="s">
        <v>6395</v>
      </c>
      <c r="D1954" s="21">
        <v>1</v>
      </c>
      <c r="E1954" s="21"/>
      <c r="F1954" s="21" t="s">
        <v>10438</v>
      </c>
      <c r="G1954" s="21"/>
      <c r="H1954" s="54">
        <v>1897</v>
      </c>
      <c r="I1954" s="51"/>
      <c r="J1954" s="27"/>
      <c r="K1954" s="27"/>
      <c r="L1954" s="15"/>
      <c r="M1954" s="15"/>
      <c r="N1954" s="4"/>
      <c r="O1954" s="4"/>
    </row>
    <row r="1955" spans="1:15" x14ac:dyDescent="0.2">
      <c r="A1955" s="2">
        <v>40006782</v>
      </c>
      <c r="B1955" s="2" t="s">
        <v>2082</v>
      </c>
      <c r="C1955" s="5" t="s">
        <v>7792</v>
      </c>
      <c r="D1955" s="21"/>
      <c r="E1955" s="21"/>
      <c r="F1955" s="21" t="s">
        <v>10438</v>
      </c>
      <c r="G1955" s="21"/>
      <c r="H1955" s="54">
        <v>11</v>
      </c>
      <c r="I1955" s="51"/>
      <c r="J1955" s="27"/>
      <c r="K1955" s="27"/>
      <c r="L1955" s="15"/>
      <c r="M1955" s="15"/>
      <c r="N1955" s="4" t="s">
        <v>4402</v>
      </c>
      <c r="O1955" s="4"/>
    </row>
    <row r="1956" spans="1:15" x14ac:dyDescent="0.2">
      <c r="A1956" s="2">
        <v>10018831</v>
      </c>
      <c r="B1956" s="2" t="s">
        <v>334</v>
      </c>
      <c r="C1956" s="5" t="s">
        <v>5920</v>
      </c>
      <c r="D1956" s="21">
        <v>66</v>
      </c>
      <c r="E1956" s="21"/>
      <c r="F1956" s="21" t="s">
        <v>10438</v>
      </c>
      <c r="G1956" s="21"/>
      <c r="H1956" s="54">
        <v>51</v>
      </c>
      <c r="I1956" s="51"/>
      <c r="J1956" s="27"/>
      <c r="K1956" s="27"/>
      <c r="L1956" s="15"/>
      <c r="M1956" s="15"/>
      <c r="N1956" s="4">
        <v>102</v>
      </c>
      <c r="O1956" s="4"/>
    </row>
    <row r="1957" spans="1:15" x14ac:dyDescent="0.2">
      <c r="A1957" s="2">
        <v>10018794</v>
      </c>
      <c r="B1957" s="2" t="s">
        <v>318</v>
      </c>
      <c r="C1957" s="5" t="s">
        <v>5901</v>
      </c>
      <c r="D1957" s="21">
        <v>303</v>
      </c>
      <c r="E1957" s="21"/>
      <c r="F1957" s="21" t="s">
        <v>10438</v>
      </c>
      <c r="G1957" s="21"/>
      <c r="H1957" s="54">
        <v>13</v>
      </c>
      <c r="I1957" s="51"/>
      <c r="J1957" s="27"/>
      <c r="K1957" s="27"/>
      <c r="L1957" s="15">
        <v>100</v>
      </c>
      <c r="M1957" s="15">
        <v>100</v>
      </c>
      <c r="N1957" s="4">
        <v>101</v>
      </c>
      <c r="O1957" s="4" t="s">
        <v>10470</v>
      </c>
    </row>
    <row r="1958" spans="1:15" x14ac:dyDescent="0.2">
      <c r="A1958" s="2">
        <v>10020060</v>
      </c>
      <c r="B1958" s="2" t="s">
        <v>671</v>
      </c>
      <c r="C1958" s="5" t="s">
        <v>6321</v>
      </c>
      <c r="D1958" s="21">
        <v>65</v>
      </c>
      <c r="E1958" s="21"/>
      <c r="F1958" s="21" t="s">
        <v>10438</v>
      </c>
      <c r="G1958" s="21"/>
      <c r="H1958" s="54">
        <v>28</v>
      </c>
      <c r="I1958" s="51"/>
      <c r="J1958" s="27"/>
      <c r="K1958" s="27"/>
      <c r="L1958" s="15">
        <v>50</v>
      </c>
      <c r="M1958" s="15">
        <v>21</v>
      </c>
      <c r="N1958" s="4">
        <v>101</v>
      </c>
      <c r="O1958" s="4" t="s">
        <v>10470</v>
      </c>
    </row>
    <row r="1959" spans="1:15" x14ac:dyDescent="0.2">
      <c r="A1959" s="2">
        <v>10020058</v>
      </c>
      <c r="B1959" s="2" t="s">
        <v>670</v>
      </c>
      <c r="C1959" s="5" t="s">
        <v>6320</v>
      </c>
      <c r="D1959" s="21">
        <v>1703</v>
      </c>
      <c r="E1959" s="21"/>
      <c r="F1959" s="21" t="s">
        <v>10438</v>
      </c>
      <c r="G1959" s="21"/>
      <c r="H1959" s="54">
        <v>19</v>
      </c>
      <c r="I1959" s="51"/>
      <c r="J1959" s="27"/>
      <c r="K1959" s="27"/>
      <c r="L1959" s="15">
        <v>1000</v>
      </c>
      <c r="M1959" s="15">
        <v>500</v>
      </c>
      <c r="N1959" s="4">
        <v>101</v>
      </c>
      <c r="O1959" s="4" t="s">
        <v>10470</v>
      </c>
    </row>
    <row r="1960" spans="1:15" x14ac:dyDescent="0.2">
      <c r="A1960" s="2">
        <v>10020057</v>
      </c>
      <c r="B1960" s="2" t="s">
        <v>669</v>
      </c>
      <c r="C1960" s="5" t="s">
        <v>6319</v>
      </c>
      <c r="D1960" s="21">
        <v>870</v>
      </c>
      <c r="E1960" s="21"/>
      <c r="F1960" s="21" t="s">
        <v>10438</v>
      </c>
      <c r="G1960" s="21"/>
      <c r="H1960" s="54">
        <v>20</v>
      </c>
      <c r="I1960" s="51"/>
      <c r="J1960" s="27"/>
      <c r="K1960" s="27"/>
      <c r="L1960" s="15"/>
      <c r="M1960" s="15"/>
      <c r="N1960" s="4">
        <v>101</v>
      </c>
      <c r="O1960" s="4" t="s">
        <v>10470</v>
      </c>
    </row>
    <row r="1961" spans="1:15" x14ac:dyDescent="0.2">
      <c r="A1961" s="2">
        <v>10020056</v>
      </c>
      <c r="B1961" s="2" t="s">
        <v>668</v>
      </c>
      <c r="C1961" s="5" t="s">
        <v>6318</v>
      </c>
      <c r="D1961" s="21">
        <v>123</v>
      </c>
      <c r="E1961" s="21"/>
      <c r="F1961" s="21" t="s">
        <v>10438</v>
      </c>
      <c r="G1961" s="21"/>
      <c r="H1961" s="54">
        <v>49</v>
      </c>
      <c r="I1961" s="51"/>
      <c r="J1961" s="27"/>
      <c r="K1961" s="27"/>
      <c r="L1961" s="15">
        <v>50</v>
      </c>
      <c r="M1961" s="15"/>
      <c r="N1961" s="4">
        <v>101</v>
      </c>
      <c r="O1961" s="4" t="s">
        <v>10470</v>
      </c>
    </row>
    <row r="1962" spans="1:15" x14ac:dyDescent="0.2">
      <c r="A1962" s="2">
        <v>10018209</v>
      </c>
      <c r="B1962" s="2" t="s">
        <v>107</v>
      </c>
      <c r="C1962" s="5" t="s">
        <v>5644</v>
      </c>
      <c r="D1962" s="21">
        <v>9</v>
      </c>
      <c r="E1962" s="21"/>
      <c r="F1962" s="21" t="s">
        <v>10438</v>
      </c>
      <c r="G1962" s="21"/>
      <c r="H1962" s="54">
        <v>154</v>
      </c>
      <c r="I1962" s="51"/>
      <c r="J1962" s="27"/>
      <c r="K1962" s="27"/>
      <c r="L1962" s="15"/>
      <c r="M1962" s="15"/>
      <c r="N1962" s="4">
        <v>110</v>
      </c>
      <c r="O1962" s="4"/>
    </row>
    <row r="1963" spans="1:15" x14ac:dyDescent="0.2">
      <c r="A1963" s="2">
        <v>10018897</v>
      </c>
      <c r="B1963" s="2" t="s">
        <v>353</v>
      </c>
      <c r="C1963" s="5" t="s">
        <v>5946</v>
      </c>
      <c r="D1963" s="21">
        <v>22</v>
      </c>
      <c r="E1963" s="21"/>
      <c r="F1963" s="21" t="s">
        <v>10438</v>
      </c>
      <c r="G1963" s="21"/>
      <c r="H1963" s="54">
        <v>283</v>
      </c>
      <c r="I1963" s="51"/>
      <c r="J1963" s="27"/>
      <c r="K1963" s="27"/>
      <c r="L1963" s="15">
        <v>10</v>
      </c>
      <c r="M1963" s="15"/>
      <c r="N1963" s="4">
        <v>110</v>
      </c>
      <c r="O1963" s="4"/>
    </row>
    <row r="1964" spans="1:15" x14ac:dyDescent="0.2">
      <c r="A1964" s="2">
        <v>10018631</v>
      </c>
      <c r="B1964" s="2" t="s">
        <v>241</v>
      </c>
      <c r="C1964" s="5" t="s">
        <v>5806</v>
      </c>
      <c r="D1964" s="21">
        <v>31</v>
      </c>
      <c r="E1964" s="21"/>
      <c r="F1964" s="21" t="s">
        <v>10438</v>
      </c>
      <c r="G1964" s="21"/>
      <c r="H1964" s="54">
        <v>215</v>
      </c>
      <c r="I1964" s="51"/>
      <c r="J1964" s="27"/>
      <c r="K1964" s="27"/>
      <c r="L1964" s="15">
        <v>20</v>
      </c>
      <c r="M1964" s="15"/>
      <c r="N1964" s="4">
        <v>110</v>
      </c>
      <c r="O1964" s="4"/>
    </row>
    <row r="1965" spans="1:15" x14ac:dyDescent="0.2">
      <c r="A1965" s="2">
        <v>10019890</v>
      </c>
      <c r="B1965" s="2" t="s">
        <v>616</v>
      </c>
      <c r="C1965" s="5" t="s">
        <v>6253</v>
      </c>
      <c r="D1965" s="21">
        <v>5</v>
      </c>
      <c r="E1965" s="21"/>
      <c r="F1965" s="21" t="s">
        <v>10438</v>
      </c>
      <c r="G1965" s="21"/>
      <c r="H1965" s="54">
        <v>54</v>
      </c>
      <c r="I1965" s="51"/>
      <c r="J1965" s="27"/>
      <c r="K1965" s="27"/>
      <c r="L1965" s="15"/>
      <c r="M1965" s="15"/>
      <c r="N1965" s="4" t="s">
        <v>3967</v>
      </c>
      <c r="O1965" s="4"/>
    </row>
    <row r="1966" spans="1:15" x14ac:dyDescent="0.2">
      <c r="A1966" s="2">
        <v>40005225</v>
      </c>
      <c r="B1966" s="2" t="s">
        <v>754</v>
      </c>
      <c r="C1966" s="5" t="s">
        <v>6467</v>
      </c>
      <c r="D1966" s="21">
        <v>1</v>
      </c>
      <c r="E1966" s="21"/>
      <c r="F1966" s="21" t="s">
        <v>10438</v>
      </c>
      <c r="G1966" s="21"/>
      <c r="H1966" s="54">
        <v>98</v>
      </c>
      <c r="I1966" s="51"/>
      <c r="J1966" s="27"/>
      <c r="K1966" s="27"/>
      <c r="L1966" s="15"/>
      <c r="M1966" s="15"/>
      <c r="N1966" s="4" t="s">
        <v>4013</v>
      </c>
      <c r="O1966" s="4"/>
    </row>
    <row r="1967" spans="1:15" x14ac:dyDescent="0.2">
      <c r="A1967" s="2">
        <v>40006575</v>
      </c>
      <c r="B1967" s="2" t="s">
        <v>1912</v>
      </c>
      <c r="C1967" s="5" t="s">
        <v>7620</v>
      </c>
      <c r="D1967" s="21">
        <v>3</v>
      </c>
      <c r="E1967" s="21"/>
      <c r="F1967" s="21" t="s">
        <v>10438</v>
      </c>
      <c r="G1967" s="21"/>
      <c r="H1967" s="54">
        <v>41</v>
      </c>
      <c r="I1967" s="51"/>
      <c r="J1967" s="27"/>
      <c r="K1967" s="27"/>
      <c r="L1967" s="15"/>
      <c r="M1967" s="15"/>
      <c r="N1967" s="4">
        <v>82</v>
      </c>
      <c r="O1967" s="4"/>
    </row>
    <row r="1968" spans="1:15" x14ac:dyDescent="0.2">
      <c r="A1968" s="2">
        <v>10019888</v>
      </c>
      <c r="B1968" s="2" t="s">
        <v>615</v>
      </c>
      <c r="C1968" s="5" t="s">
        <v>6252</v>
      </c>
      <c r="D1968" s="21">
        <v>1</v>
      </c>
      <c r="E1968" s="21"/>
      <c r="F1968" s="21" t="s">
        <v>10438</v>
      </c>
      <c r="G1968" s="21"/>
      <c r="H1968" s="54">
        <v>112</v>
      </c>
      <c r="I1968" s="51"/>
      <c r="J1968" s="27"/>
      <c r="K1968" s="27"/>
      <c r="L1968" s="15"/>
      <c r="M1968" s="15"/>
      <c r="N1968" s="4" t="s">
        <v>3966</v>
      </c>
      <c r="O1968" s="4" t="s">
        <v>5196</v>
      </c>
    </row>
    <row r="1969" spans="1:15" x14ac:dyDescent="0.2">
      <c r="A1969" s="2">
        <v>40007186</v>
      </c>
      <c r="B1969" s="2" t="s">
        <v>2452</v>
      </c>
      <c r="C1969" s="5" t="s">
        <v>8155</v>
      </c>
      <c r="D1969" s="21">
        <v>3</v>
      </c>
      <c r="E1969" s="21"/>
      <c r="F1969" s="21" t="s">
        <v>10438</v>
      </c>
      <c r="G1969" s="21"/>
      <c r="H1969" s="54">
        <v>57</v>
      </c>
      <c r="I1969" s="51"/>
      <c r="J1969" s="27"/>
      <c r="K1969" s="27"/>
      <c r="L1969" s="15"/>
      <c r="M1969" s="15"/>
      <c r="N1969" s="4" t="s">
        <v>4864</v>
      </c>
      <c r="O1969" s="4"/>
    </row>
    <row r="1970" spans="1:15" x14ac:dyDescent="0.2">
      <c r="A1970" s="2">
        <v>40007410</v>
      </c>
      <c r="B1970" s="2" t="s">
        <v>2635</v>
      </c>
      <c r="C1970" s="5" t="s">
        <v>8333</v>
      </c>
      <c r="D1970" s="21">
        <v>4</v>
      </c>
      <c r="E1970" s="21"/>
      <c r="F1970" s="21" t="s">
        <v>10438</v>
      </c>
      <c r="G1970" s="21"/>
      <c r="H1970" s="54">
        <v>20</v>
      </c>
      <c r="I1970" s="51"/>
      <c r="J1970" s="27"/>
      <c r="K1970" s="27"/>
      <c r="L1970" s="15"/>
      <c r="M1970" s="15"/>
      <c r="N1970" s="4">
        <v>82</v>
      </c>
      <c r="O1970" s="4"/>
    </row>
    <row r="1971" spans="1:15" x14ac:dyDescent="0.2">
      <c r="A1971" s="2">
        <v>40006167</v>
      </c>
      <c r="B1971" s="2" t="s">
        <v>1553</v>
      </c>
      <c r="C1971" s="5" t="s">
        <v>7259</v>
      </c>
      <c r="D1971" s="21">
        <v>1</v>
      </c>
      <c r="E1971" s="21"/>
      <c r="F1971" s="21" t="s">
        <v>10438</v>
      </c>
      <c r="G1971" s="21"/>
      <c r="H1971" s="54">
        <v>14</v>
      </c>
      <c r="I1971" s="51"/>
      <c r="J1971" s="27"/>
      <c r="K1971" s="27"/>
      <c r="L1971" s="15"/>
      <c r="M1971" s="15"/>
      <c r="N1971" s="4" t="s">
        <v>4218</v>
      </c>
      <c r="O1971" s="4"/>
    </row>
    <row r="1972" spans="1:15" x14ac:dyDescent="0.2">
      <c r="A1972" s="2">
        <v>40007289</v>
      </c>
      <c r="B1972" s="2" t="s">
        <v>2534</v>
      </c>
      <c r="C1972" s="5" t="s">
        <v>8233</v>
      </c>
      <c r="D1972" s="21">
        <v>6</v>
      </c>
      <c r="E1972" s="21"/>
      <c r="F1972" s="21" t="s">
        <v>10438</v>
      </c>
      <c r="G1972" s="21"/>
      <c r="H1972" s="54">
        <v>92</v>
      </c>
      <c r="I1972" s="51"/>
      <c r="J1972" s="27"/>
      <c r="K1972" s="27"/>
      <c r="L1972" s="15"/>
      <c r="M1972" s="15"/>
      <c r="N1972" s="4"/>
      <c r="O1972" s="4" t="s">
        <v>4685</v>
      </c>
    </row>
    <row r="1973" spans="1:15" x14ac:dyDescent="0.2">
      <c r="A1973" s="2">
        <v>40006599</v>
      </c>
      <c r="B1973" s="2" t="s">
        <v>1936</v>
      </c>
      <c r="C1973" s="5" t="s">
        <v>7644</v>
      </c>
      <c r="D1973" s="21">
        <v>2</v>
      </c>
      <c r="E1973" s="21"/>
      <c r="F1973" s="21" t="s">
        <v>10438</v>
      </c>
      <c r="G1973" s="21"/>
      <c r="H1973" s="54">
        <v>218</v>
      </c>
      <c r="I1973" s="51"/>
      <c r="J1973" s="27"/>
      <c r="K1973" s="27"/>
      <c r="L1973" s="15"/>
      <c r="M1973" s="15"/>
      <c r="N1973" s="4"/>
      <c r="O1973" s="4" t="s">
        <v>10373</v>
      </c>
    </row>
    <row r="1974" spans="1:15" x14ac:dyDescent="0.2">
      <c r="A1974" s="2">
        <v>10019972</v>
      </c>
      <c r="B1974" s="2" t="s">
        <v>3627</v>
      </c>
      <c r="C1974" s="5" t="s">
        <v>6289</v>
      </c>
      <c r="D1974" s="21">
        <v>17</v>
      </c>
      <c r="E1974" s="21"/>
      <c r="F1974" s="21" t="s">
        <v>10438</v>
      </c>
      <c r="G1974" s="21"/>
      <c r="H1974" s="54">
        <v>53</v>
      </c>
      <c r="I1974" s="51"/>
      <c r="J1974" s="27"/>
      <c r="K1974" s="27"/>
      <c r="L1974" s="15"/>
      <c r="M1974" s="15"/>
      <c r="N1974" s="4">
        <v>82</v>
      </c>
      <c r="O1974" s="4"/>
    </row>
    <row r="1975" spans="1:15" x14ac:dyDescent="0.2">
      <c r="A1975" s="2">
        <v>10018207</v>
      </c>
      <c r="B1975" s="2" t="s">
        <v>105</v>
      </c>
      <c r="C1975" s="5" t="s">
        <v>5642</v>
      </c>
      <c r="D1975" s="21">
        <v>1</v>
      </c>
      <c r="E1975" s="21"/>
      <c r="F1975" s="21" t="s">
        <v>10438</v>
      </c>
      <c r="G1975" s="21"/>
      <c r="H1975" s="54">
        <v>2200</v>
      </c>
      <c r="I1975" s="51"/>
      <c r="J1975" s="27"/>
      <c r="K1975" s="27"/>
      <c r="L1975" s="15"/>
      <c r="M1975" s="15">
        <v>5</v>
      </c>
      <c r="N1975" s="4">
        <v>107</v>
      </c>
      <c r="O1975" s="4"/>
    </row>
    <row r="1976" spans="1:15" x14ac:dyDescent="0.2">
      <c r="A1976" s="2">
        <v>40006014</v>
      </c>
      <c r="B1976" s="2" t="s">
        <v>1419</v>
      </c>
      <c r="C1976" s="5" t="s">
        <v>5323</v>
      </c>
      <c r="D1976" s="21">
        <v>2</v>
      </c>
      <c r="E1976" s="21"/>
      <c r="F1976" s="21" t="s">
        <v>10438</v>
      </c>
      <c r="G1976" s="21"/>
      <c r="H1976" s="54">
        <v>10</v>
      </c>
      <c r="I1976" s="51"/>
      <c r="J1976" s="27"/>
      <c r="K1976" s="27"/>
      <c r="L1976" s="15"/>
      <c r="M1976" s="15"/>
      <c r="N1976" s="4"/>
      <c r="O1976" s="4" t="s">
        <v>10343</v>
      </c>
    </row>
    <row r="1977" spans="1:15" x14ac:dyDescent="0.2">
      <c r="A1977" s="2">
        <v>40006012</v>
      </c>
      <c r="B1977" s="2" t="s">
        <v>1417</v>
      </c>
      <c r="C1977" s="5" t="s">
        <v>5321</v>
      </c>
      <c r="D1977" s="21"/>
      <c r="E1977" s="21"/>
      <c r="F1977" s="21" t="s">
        <v>10438</v>
      </c>
      <c r="G1977" s="21"/>
      <c r="H1977" s="54">
        <v>21</v>
      </c>
      <c r="I1977" s="51"/>
      <c r="J1977" s="27"/>
      <c r="K1977" s="27"/>
      <c r="L1977" s="15"/>
      <c r="M1977" s="15"/>
      <c r="N1977" s="4" t="s">
        <v>4369</v>
      </c>
      <c r="O1977" s="4"/>
    </row>
    <row r="1978" spans="1:15" x14ac:dyDescent="0.2">
      <c r="A1978" s="2">
        <v>40007692</v>
      </c>
      <c r="B1978" s="2" t="s">
        <v>2870</v>
      </c>
      <c r="C1978" s="5">
        <v>905808305</v>
      </c>
      <c r="D1978" s="21">
        <v>6</v>
      </c>
      <c r="E1978" s="21"/>
      <c r="F1978" s="21" t="s">
        <v>10438</v>
      </c>
      <c r="G1978" s="21"/>
      <c r="H1978" s="54">
        <v>12</v>
      </c>
      <c r="I1978" s="51"/>
      <c r="J1978" s="27"/>
      <c r="K1978" s="27"/>
      <c r="L1978" s="15"/>
      <c r="M1978" s="15"/>
      <c r="N1978" s="4" t="s">
        <v>4412</v>
      </c>
      <c r="O1978" s="4"/>
    </row>
    <row r="1979" spans="1:15" x14ac:dyDescent="0.2">
      <c r="A1979" s="2">
        <v>40006368</v>
      </c>
      <c r="B1979" s="2" t="s">
        <v>3735</v>
      </c>
      <c r="C1979" s="5" t="s">
        <v>7440</v>
      </c>
      <c r="D1979" s="21">
        <v>2</v>
      </c>
      <c r="E1979" s="21"/>
      <c r="F1979" s="21" t="s">
        <v>10438</v>
      </c>
      <c r="G1979" s="21"/>
      <c r="H1979" s="54">
        <v>6</v>
      </c>
      <c r="I1979" s="51"/>
      <c r="J1979" s="27"/>
      <c r="K1979" s="27"/>
      <c r="L1979" s="15"/>
      <c r="M1979" s="15"/>
      <c r="N1979" s="4" t="s">
        <v>4551</v>
      </c>
      <c r="O1979" s="4"/>
    </row>
    <row r="1980" spans="1:15" x14ac:dyDescent="0.2">
      <c r="A1980" s="2">
        <v>10018310</v>
      </c>
      <c r="B1980" s="2" t="s">
        <v>151</v>
      </c>
      <c r="C1980" s="5" t="s">
        <v>5691</v>
      </c>
      <c r="D1980" s="21">
        <v>4</v>
      </c>
      <c r="E1980" s="21"/>
      <c r="F1980" s="21" t="s">
        <v>10438</v>
      </c>
      <c r="G1980" s="21"/>
      <c r="H1980" s="54">
        <v>255</v>
      </c>
      <c r="I1980" s="51"/>
      <c r="J1980" s="27"/>
      <c r="K1980" s="27"/>
      <c r="L1980" s="15"/>
      <c r="M1980" s="15"/>
      <c r="N1980" s="4">
        <v>79</v>
      </c>
      <c r="O1980" s="4"/>
    </row>
    <row r="1981" spans="1:15" x14ac:dyDescent="0.2">
      <c r="A1981" s="2">
        <v>10018267</v>
      </c>
      <c r="B1981" s="2" t="s">
        <v>137</v>
      </c>
      <c r="C1981" s="5" t="s">
        <v>5675</v>
      </c>
      <c r="D1981" s="21">
        <v>30</v>
      </c>
      <c r="E1981" s="21"/>
      <c r="F1981" s="30">
        <v>1</v>
      </c>
      <c r="G1981" s="21"/>
      <c r="H1981" s="54">
        <v>260</v>
      </c>
      <c r="I1981" s="51"/>
      <c r="J1981" s="27"/>
      <c r="K1981" s="27"/>
      <c r="L1981" s="15">
        <v>25</v>
      </c>
      <c r="M1981" s="15">
        <v>10</v>
      </c>
      <c r="N1981" s="4">
        <v>79</v>
      </c>
      <c r="O1981" s="4"/>
    </row>
    <row r="1982" spans="1:15" x14ac:dyDescent="0.2">
      <c r="A1982" s="2">
        <v>10019735</v>
      </c>
      <c r="B1982" s="2" t="s">
        <v>575</v>
      </c>
      <c r="C1982" s="5" t="s">
        <v>6207</v>
      </c>
      <c r="D1982" s="21">
        <v>2</v>
      </c>
      <c r="E1982" s="21"/>
      <c r="F1982" s="21" t="s">
        <v>10438</v>
      </c>
      <c r="G1982" s="21"/>
      <c r="H1982" s="54">
        <v>1002</v>
      </c>
      <c r="I1982" s="51"/>
      <c r="J1982" s="27"/>
      <c r="K1982" s="27"/>
      <c r="L1982" s="15">
        <v>2</v>
      </c>
      <c r="M1982" s="15">
        <v>2</v>
      </c>
      <c r="N1982" s="4">
        <v>79</v>
      </c>
      <c r="O1982" s="4"/>
    </row>
    <row r="1983" spans="1:15" x14ac:dyDescent="0.2">
      <c r="A1983" s="2">
        <v>10018455</v>
      </c>
      <c r="B1983" s="2" t="s">
        <v>182</v>
      </c>
      <c r="C1983" s="5" t="s">
        <v>5730</v>
      </c>
      <c r="D1983" s="21">
        <v>80</v>
      </c>
      <c r="E1983" s="21"/>
      <c r="F1983" s="21" t="s">
        <v>10438</v>
      </c>
      <c r="G1983" s="21"/>
      <c r="H1983" s="54">
        <v>320</v>
      </c>
      <c r="I1983" s="51"/>
      <c r="J1983" s="27"/>
      <c r="K1983" s="27"/>
      <c r="L1983" s="15">
        <v>50</v>
      </c>
      <c r="M1983" s="15"/>
      <c r="N1983" s="4">
        <v>79</v>
      </c>
      <c r="O1983" s="4">
        <v>103</v>
      </c>
    </row>
    <row r="1984" spans="1:15" x14ac:dyDescent="0.2">
      <c r="A1984" s="2">
        <v>10018312</v>
      </c>
      <c r="B1984" s="2" t="s">
        <v>153</v>
      </c>
      <c r="C1984" s="5" t="s">
        <v>5693</v>
      </c>
      <c r="D1984" s="21">
        <v>30</v>
      </c>
      <c r="E1984" s="21"/>
      <c r="F1984" s="21" t="s">
        <v>10438</v>
      </c>
      <c r="G1984" s="21"/>
      <c r="H1984" s="54">
        <v>301</v>
      </c>
      <c r="I1984" s="51"/>
      <c r="J1984" s="27"/>
      <c r="K1984" s="27"/>
      <c r="L1984" s="15">
        <v>5</v>
      </c>
      <c r="M1984" s="15">
        <v>10</v>
      </c>
      <c r="N1984" s="4">
        <v>79</v>
      </c>
      <c r="O1984" s="4"/>
    </row>
    <row r="1985" spans="1:15" x14ac:dyDescent="0.2">
      <c r="A1985" s="2">
        <v>10018264</v>
      </c>
      <c r="B1985" s="2" t="s">
        <v>135</v>
      </c>
      <c r="C1985" s="5">
        <v>412045661</v>
      </c>
      <c r="D1985" s="21">
        <v>1</v>
      </c>
      <c r="E1985" s="21"/>
      <c r="F1985" s="21" t="s">
        <v>10438</v>
      </c>
      <c r="G1985" s="21"/>
      <c r="H1985" s="54">
        <v>355</v>
      </c>
      <c r="I1985" s="51"/>
      <c r="J1985" s="27"/>
      <c r="K1985" s="27"/>
      <c r="L1985" s="15"/>
      <c r="M1985" s="15"/>
      <c r="N1985" s="4"/>
      <c r="O1985" s="4"/>
    </row>
    <row r="1986" spans="1:15" x14ac:dyDescent="0.2">
      <c r="A1986" s="2">
        <v>10018796</v>
      </c>
      <c r="B1986" s="2" t="s">
        <v>319</v>
      </c>
      <c r="C1986" s="5">
        <v>445060451</v>
      </c>
      <c r="D1986" s="21">
        <v>10</v>
      </c>
      <c r="E1986" s="21"/>
      <c r="F1986" s="21" t="s">
        <v>10438</v>
      </c>
      <c r="G1986" s="21"/>
      <c r="H1986" s="54">
        <v>1956</v>
      </c>
      <c r="I1986" s="51"/>
      <c r="J1986" s="27"/>
      <c r="K1986" s="27"/>
      <c r="L1986" s="15"/>
      <c r="M1986" s="15"/>
      <c r="N1986" s="4">
        <v>79</v>
      </c>
      <c r="O1986" s="4"/>
    </row>
    <row r="1987" spans="1:15" x14ac:dyDescent="0.2">
      <c r="A1987" s="2">
        <v>40008124</v>
      </c>
      <c r="B1987" s="2" t="s">
        <v>3248</v>
      </c>
      <c r="C1987" s="5" t="s">
        <v>8943</v>
      </c>
      <c r="D1987" s="21">
        <v>4</v>
      </c>
      <c r="E1987" s="21"/>
      <c r="F1987" s="30">
        <v>1</v>
      </c>
      <c r="G1987" s="21"/>
      <c r="H1987" s="54">
        <v>3</v>
      </c>
      <c r="I1987" s="51"/>
      <c r="J1987" s="27"/>
      <c r="K1987" s="27"/>
      <c r="L1987" s="15">
        <v>2</v>
      </c>
      <c r="M1987" s="15">
        <v>8</v>
      </c>
      <c r="N1987" s="4" t="s">
        <v>5197</v>
      </c>
      <c r="O1987" s="4"/>
    </row>
    <row r="1988" spans="1:15" x14ac:dyDescent="0.2">
      <c r="A1988" s="2">
        <v>40006125</v>
      </c>
      <c r="B1988" s="2" t="s">
        <v>1516</v>
      </c>
      <c r="C1988" s="5" t="s">
        <v>7221</v>
      </c>
      <c r="D1988" s="21">
        <v>3</v>
      </c>
      <c r="E1988" s="21"/>
      <c r="F1988" s="21" t="s">
        <v>10438</v>
      </c>
      <c r="G1988" s="21"/>
      <c r="H1988" s="54">
        <v>11</v>
      </c>
      <c r="I1988" s="51"/>
      <c r="J1988" s="27"/>
      <c r="K1988" s="27"/>
      <c r="L1988" s="15"/>
      <c r="M1988" s="15"/>
      <c r="N1988" s="4" t="s">
        <v>4246</v>
      </c>
      <c r="O1988" s="4"/>
    </row>
    <row r="1989" spans="1:15" x14ac:dyDescent="0.2">
      <c r="A1989" s="2">
        <v>40006480</v>
      </c>
      <c r="B1989" s="2" t="s">
        <v>1833</v>
      </c>
      <c r="C1989" s="5" t="s">
        <v>7541</v>
      </c>
      <c r="D1989" s="21">
        <v>1</v>
      </c>
      <c r="E1989" s="21"/>
      <c r="F1989" s="21" t="s">
        <v>10438</v>
      </c>
      <c r="G1989" s="21"/>
      <c r="H1989" s="54">
        <v>349</v>
      </c>
      <c r="I1989" s="51"/>
      <c r="J1989" s="27"/>
      <c r="K1989" s="27"/>
      <c r="L1989" s="15"/>
      <c r="M1989" s="15"/>
      <c r="N1989" s="4"/>
      <c r="O1989" s="4" t="s">
        <v>10373</v>
      </c>
    </row>
    <row r="1990" spans="1:15" x14ac:dyDescent="0.2">
      <c r="A1990" s="2">
        <v>40005305</v>
      </c>
      <c r="B1990" s="2" t="s">
        <v>800</v>
      </c>
      <c r="C1990" s="5" t="s">
        <v>6517</v>
      </c>
      <c r="D1990" s="21">
        <v>4</v>
      </c>
      <c r="E1990" s="21"/>
      <c r="F1990" s="21" t="s">
        <v>10438</v>
      </c>
      <c r="G1990" s="21"/>
      <c r="H1990" s="54">
        <v>10</v>
      </c>
      <c r="I1990" s="51"/>
      <c r="J1990" s="27"/>
      <c r="K1990" s="27"/>
      <c r="L1990" s="15"/>
      <c r="M1990" s="15"/>
      <c r="N1990" s="4" t="s">
        <v>4042</v>
      </c>
      <c r="O1990" s="4"/>
    </row>
    <row r="1991" spans="1:15" x14ac:dyDescent="0.2">
      <c r="A1991" s="2">
        <v>40006931</v>
      </c>
      <c r="B1991" s="2" t="s">
        <v>2224</v>
      </c>
      <c r="C1991" s="5" t="s">
        <v>7933</v>
      </c>
      <c r="D1991" s="21">
        <v>10</v>
      </c>
      <c r="E1991" s="21"/>
      <c r="F1991" s="21" t="s">
        <v>10438</v>
      </c>
      <c r="G1991" s="21"/>
      <c r="H1991" s="54">
        <v>8</v>
      </c>
      <c r="I1991" s="51"/>
      <c r="J1991" s="27"/>
      <c r="K1991" s="27"/>
      <c r="L1991" s="15"/>
      <c r="M1991" s="15"/>
      <c r="N1991" s="4" t="s">
        <v>4247</v>
      </c>
      <c r="O1991" s="4"/>
    </row>
    <row r="1992" spans="1:15" x14ac:dyDescent="0.2">
      <c r="A1992" s="2">
        <v>40005441</v>
      </c>
      <c r="B1992" s="2" t="s">
        <v>915</v>
      </c>
      <c r="C1992" s="5" t="s">
        <v>6637</v>
      </c>
      <c r="D1992" s="21">
        <v>1</v>
      </c>
      <c r="E1992" s="21"/>
      <c r="F1992" s="21" t="s">
        <v>10438</v>
      </c>
      <c r="G1992" s="21"/>
      <c r="H1992" s="54">
        <v>91</v>
      </c>
      <c r="I1992" s="51"/>
      <c r="J1992" s="27"/>
      <c r="K1992" s="27"/>
      <c r="L1992" s="15"/>
      <c r="M1992" s="15"/>
      <c r="N1992" s="4"/>
      <c r="O1992" s="4" t="s">
        <v>10373</v>
      </c>
    </row>
    <row r="1993" spans="1:15" x14ac:dyDescent="0.2">
      <c r="A1993" s="2">
        <v>10018521</v>
      </c>
      <c r="B1993" s="2" t="s">
        <v>201</v>
      </c>
      <c r="C1993" s="5" t="s">
        <v>5756</v>
      </c>
      <c r="D1993" s="21"/>
      <c r="E1993" s="21"/>
      <c r="F1993" s="21" t="s">
        <v>10438</v>
      </c>
      <c r="G1993" s="21"/>
      <c r="H1993" s="54">
        <v>685</v>
      </c>
      <c r="I1993" s="51"/>
      <c r="J1993" s="27"/>
      <c r="K1993" s="27"/>
      <c r="L1993" s="15">
        <v>2</v>
      </c>
      <c r="M1993" s="15">
        <v>2</v>
      </c>
      <c r="N1993" s="4">
        <v>110</v>
      </c>
      <c r="O1993" s="4"/>
    </row>
    <row r="1994" spans="1:15" x14ac:dyDescent="0.2">
      <c r="A1994" s="2">
        <v>40006532</v>
      </c>
      <c r="B1994" s="2" t="s">
        <v>1874</v>
      </c>
      <c r="C1994" s="5" t="s">
        <v>7582</v>
      </c>
      <c r="D1994" s="21">
        <v>13</v>
      </c>
      <c r="E1994" s="21"/>
      <c r="F1994" s="21" t="s">
        <v>10438</v>
      </c>
      <c r="G1994" s="21"/>
      <c r="H1994" s="54">
        <v>297</v>
      </c>
      <c r="I1994" s="51"/>
      <c r="J1994" s="27"/>
      <c r="K1994" s="27"/>
      <c r="L1994" s="15">
        <v>10</v>
      </c>
      <c r="M1994" s="15"/>
      <c r="N1994" s="4">
        <v>107</v>
      </c>
      <c r="O1994" s="4"/>
    </row>
    <row r="1995" spans="1:15" x14ac:dyDescent="0.2">
      <c r="A1995" s="2">
        <v>10018070</v>
      </c>
      <c r="B1995" s="2" t="s">
        <v>69</v>
      </c>
      <c r="C1995" s="5" t="s">
        <v>5602</v>
      </c>
      <c r="D1995" s="21">
        <v>12</v>
      </c>
      <c r="E1995" s="21"/>
      <c r="F1995" s="21" t="s">
        <v>10438</v>
      </c>
      <c r="G1995" s="21"/>
      <c r="H1995" s="54">
        <v>2085</v>
      </c>
      <c r="I1995" s="51"/>
      <c r="J1995" s="27"/>
      <c r="K1995" s="27"/>
      <c r="L1995" s="15">
        <v>15</v>
      </c>
      <c r="M1995" s="15">
        <v>15</v>
      </c>
      <c r="N1995" s="4"/>
      <c r="O1995" s="4"/>
    </row>
    <row r="1996" spans="1:15" x14ac:dyDescent="0.2">
      <c r="A1996" s="2">
        <v>10019624</v>
      </c>
      <c r="B1996" s="2" t="s">
        <v>560</v>
      </c>
      <c r="C1996" s="5" t="s">
        <v>6187</v>
      </c>
      <c r="D1996" s="21"/>
      <c r="E1996" s="21"/>
      <c r="F1996" s="21" t="s">
        <v>10438</v>
      </c>
      <c r="G1996" s="21"/>
      <c r="H1996" s="54">
        <v>903</v>
      </c>
      <c r="I1996" s="51"/>
      <c r="J1996" s="27"/>
      <c r="K1996" s="27"/>
      <c r="L1996" s="15">
        <v>25</v>
      </c>
      <c r="M1996" s="15"/>
      <c r="N1996" s="4"/>
      <c r="O1996" s="4"/>
    </row>
    <row r="1997" spans="1:15" x14ac:dyDescent="0.2">
      <c r="A1997" s="2">
        <v>10017963</v>
      </c>
      <c r="B1997" s="2" t="s">
        <v>32</v>
      </c>
      <c r="C1997" s="5" t="s">
        <v>5562</v>
      </c>
      <c r="D1997" s="21">
        <v>1</v>
      </c>
      <c r="E1997" s="21"/>
      <c r="F1997" s="21" t="s">
        <v>10438</v>
      </c>
      <c r="G1997" s="21"/>
      <c r="H1997" s="54">
        <v>904</v>
      </c>
      <c r="I1997" s="51"/>
      <c r="J1997" s="27"/>
      <c r="K1997" s="27"/>
      <c r="L1997" s="15"/>
      <c r="M1997" s="15"/>
      <c r="N1997" s="4"/>
      <c r="O1997" s="4">
        <v>63</v>
      </c>
    </row>
    <row r="1998" spans="1:15" x14ac:dyDescent="0.2">
      <c r="A1998" s="2">
        <v>10018458</v>
      </c>
      <c r="B1998" s="2" t="s">
        <v>3628</v>
      </c>
      <c r="C1998" s="5" t="s">
        <v>5733</v>
      </c>
      <c r="D1998" s="21">
        <v>2</v>
      </c>
      <c r="E1998" s="21"/>
      <c r="F1998" s="21" t="s">
        <v>10438</v>
      </c>
      <c r="G1998" s="21"/>
      <c r="H1998" s="54">
        <v>211</v>
      </c>
      <c r="I1998" s="51"/>
      <c r="J1998" s="27"/>
      <c r="K1998" s="27"/>
      <c r="L1998" s="15"/>
      <c r="M1998" s="15">
        <v>2</v>
      </c>
      <c r="N1998" s="4">
        <v>107</v>
      </c>
      <c r="O1998" s="4"/>
    </row>
    <row r="1999" spans="1:15" x14ac:dyDescent="0.2">
      <c r="A1999" s="2">
        <v>40006413</v>
      </c>
      <c r="B1999" s="2" t="s">
        <v>1772</v>
      </c>
      <c r="C1999" s="5" t="s">
        <v>7482</v>
      </c>
      <c r="D1999" s="21">
        <v>2</v>
      </c>
      <c r="E1999" s="21"/>
      <c r="F1999" s="21" t="s">
        <v>10438</v>
      </c>
      <c r="G1999" s="21"/>
      <c r="H1999" s="54">
        <v>80</v>
      </c>
      <c r="I1999" s="51"/>
      <c r="J1999" s="27"/>
      <c r="K1999" s="27"/>
      <c r="L1999" s="15"/>
      <c r="M1999" s="15"/>
      <c r="N1999" s="4" t="s">
        <v>4579</v>
      </c>
      <c r="O1999" s="4"/>
    </row>
    <row r="2000" spans="1:15" x14ac:dyDescent="0.2">
      <c r="A2000" s="2">
        <v>40010312</v>
      </c>
      <c r="B2000" s="2" t="s">
        <v>3498</v>
      </c>
      <c r="C2000" s="5" t="s">
        <v>9193</v>
      </c>
      <c r="D2000" s="21">
        <v>14</v>
      </c>
      <c r="E2000" s="21"/>
      <c r="F2000" s="21" t="s">
        <v>10438</v>
      </c>
      <c r="G2000" s="21"/>
      <c r="H2000" s="54">
        <v>40</v>
      </c>
      <c r="I2000" s="51"/>
      <c r="J2000" s="27"/>
      <c r="K2000" s="27"/>
      <c r="L2000" s="15"/>
      <c r="M2000" s="15"/>
      <c r="N2000" s="4" t="s">
        <v>5255</v>
      </c>
      <c r="O2000" s="4"/>
    </row>
    <row r="2001" spans="1:15" x14ac:dyDescent="0.2">
      <c r="A2001" s="2">
        <v>40007565</v>
      </c>
      <c r="B2001" s="2" t="s">
        <v>3761</v>
      </c>
      <c r="C2001" s="5" t="s">
        <v>9430</v>
      </c>
      <c r="D2001" s="21">
        <v>3</v>
      </c>
      <c r="E2001" s="21"/>
      <c r="F2001" s="21" t="s">
        <v>10438</v>
      </c>
      <c r="G2001" s="21"/>
      <c r="H2001" s="54">
        <v>43</v>
      </c>
      <c r="I2001" s="51"/>
      <c r="J2001" s="27"/>
      <c r="K2001" s="27"/>
      <c r="L2001" s="15"/>
      <c r="M2001" s="15">
        <v>10</v>
      </c>
      <c r="N2001" s="4">
        <v>82</v>
      </c>
      <c r="O2001" s="4"/>
    </row>
    <row r="2002" spans="1:15" x14ac:dyDescent="0.2">
      <c r="A2002" s="2">
        <v>10019396</v>
      </c>
      <c r="B2002" s="2" t="s">
        <v>508</v>
      </c>
      <c r="C2002" s="5" t="s">
        <v>6127</v>
      </c>
      <c r="D2002" s="21">
        <v>11</v>
      </c>
      <c r="E2002" s="21"/>
      <c r="F2002" s="21" t="s">
        <v>10438</v>
      </c>
      <c r="G2002" s="21"/>
      <c r="H2002" s="54">
        <v>41</v>
      </c>
      <c r="I2002" s="51"/>
      <c r="J2002" s="27"/>
      <c r="K2002" s="27"/>
      <c r="L2002" s="15">
        <v>5</v>
      </c>
      <c r="M2002" s="15">
        <v>2</v>
      </c>
      <c r="N2002" s="4">
        <v>82</v>
      </c>
      <c r="O2002" s="4"/>
    </row>
    <row r="2003" spans="1:15" x14ac:dyDescent="0.2">
      <c r="A2003" s="2">
        <v>10019739</v>
      </c>
      <c r="B2003" s="2" t="s">
        <v>577</v>
      </c>
      <c r="C2003" s="5" t="s">
        <v>6209</v>
      </c>
      <c r="D2003" s="21">
        <v>1</v>
      </c>
      <c r="E2003" s="21"/>
      <c r="F2003" s="21" t="s">
        <v>10438</v>
      </c>
      <c r="G2003" s="21"/>
      <c r="H2003" s="54">
        <v>150</v>
      </c>
      <c r="I2003" s="51"/>
      <c r="J2003" s="27"/>
      <c r="K2003" s="27"/>
      <c r="L2003" s="15"/>
      <c r="M2003" s="15"/>
      <c r="N2003" s="4">
        <v>107</v>
      </c>
      <c r="O2003" s="4"/>
    </row>
    <row r="2004" spans="1:15" x14ac:dyDescent="0.2">
      <c r="A2004" s="2">
        <v>40007226</v>
      </c>
      <c r="B2004" s="2" t="s">
        <v>2483</v>
      </c>
      <c r="C2004" s="5" t="s">
        <v>8185</v>
      </c>
      <c r="D2004" s="21">
        <v>2</v>
      </c>
      <c r="E2004" s="21"/>
      <c r="F2004" s="21" t="s">
        <v>10438</v>
      </c>
      <c r="G2004" s="21"/>
      <c r="H2004" s="54">
        <v>517</v>
      </c>
      <c r="I2004" s="51"/>
      <c r="J2004" s="27"/>
      <c r="K2004" s="27"/>
      <c r="L2004" s="15"/>
      <c r="M2004" s="15"/>
      <c r="N2004" s="4"/>
      <c r="O2004" s="4">
        <v>21</v>
      </c>
    </row>
    <row r="2005" spans="1:15" x14ac:dyDescent="0.2">
      <c r="A2005" s="2">
        <v>10019901</v>
      </c>
      <c r="B2005" s="2" t="s">
        <v>620</v>
      </c>
      <c r="C2005" s="5" t="s">
        <v>6258</v>
      </c>
      <c r="D2005" s="21"/>
      <c r="E2005" s="21"/>
      <c r="F2005" s="21" t="s">
        <v>10438</v>
      </c>
      <c r="G2005" s="21"/>
      <c r="H2005" s="54">
        <v>255</v>
      </c>
      <c r="I2005" s="51"/>
      <c r="J2005" s="27"/>
      <c r="K2005" s="27"/>
      <c r="L2005" s="15"/>
      <c r="M2005" s="15"/>
      <c r="N2005" s="4"/>
      <c r="O2005" s="4">
        <v>81</v>
      </c>
    </row>
    <row r="2006" spans="1:15" x14ac:dyDescent="0.2">
      <c r="A2006" s="2">
        <v>40005411</v>
      </c>
      <c r="B2006" s="2" t="s">
        <v>887</v>
      </c>
      <c r="C2006" s="5" t="s">
        <v>6610</v>
      </c>
      <c r="D2006" s="21">
        <v>1</v>
      </c>
      <c r="E2006" s="21"/>
      <c r="F2006" s="21" t="s">
        <v>10438</v>
      </c>
      <c r="G2006" s="21"/>
      <c r="H2006" s="54">
        <v>17</v>
      </c>
      <c r="I2006" s="51"/>
      <c r="J2006" s="27"/>
      <c r="K2006" s="27"/>
      <c r="L2006" s="15"/>
      <c r="M2006" s="15"/>
      <c r="N2006" s="4"/>
      <c r="O2006" s="4" t="s">
        <v>10373</v>
      </c>
    </row>
    <row r="2007" spans="1:15" x14ac:dyDescent="0.2">
      <c r="A2007" s="2">
        <v>40008206</v>
      </c>
      <c r="B2007" s="2" t="s">
        <v>3326</v>
      </c>
      <c r="C2007" s="5" t="s">
        <v>9018</v>
      </c>
      <c r="D2007" s="21">
        <v>12</v>
      </c>
      <c r="E2007" s="21"/>
      <c r="F2007" s="21" t="s">
        <v>10438</v>
      </c>
      <c r="G2007" s="21"/>
      <c r="H2007" s="54">
        <v>10</v>
      </c>
      <c r="I2007" s="51"/>
      <c r="J2007" s="27"/>
      <c r="K2007" s="27"/>
      <c r="L2007" s="15"/>
      <c r="M2007" s="15"/>
      <c r="N2007" s="4" t="s">
        <v>4890</v>
      </c>
      <c r="O2007" s="4"/>
    </row>
    <row r="2008" spans="1:15" x14ac:dyDescent="0.2">
      <c r="A2008" s="2">
        <v>40007280</v>
      </c>
      <c r="B2008" s="2" t="s">
        <v>3694</v>
      </c>
      <c r="C2008" s="5" t="s">
        <v>8225</v>
      </c>
      <c r="D2008" s="21">
        <v>9</v>
      </c>
      <c r="E2008" s="21"/>
      <c r="F2008" s="30">
        <v>1</v>
      </c>
      <c r="G2008" s="21"/>
      <c r="H2008" s="54">
        <v>6</v>
      </c>
      <c r="I2008" s="51"/>
      <c r="J2008" s="27"/>
      <c r="K2008" s="27"/>
      <c r="L2008" s="15"/>
      <c r="M2008" s="15"/>
      <c r="N2008" s="4" t="s">
        <v>4320</v>
      </c>
      <c r="O2008" s="4"/>
    </row>
    <row r="2009" spans="1:15" x14ac:dyDescent="0.2">
      <c r="A2009" s="2">
        <v>40005722</v>
      </c>
      <c r="B2009" s="2" t="s">
        <v>1150</v>
      </c>
      <c r="C2009" s="5" t="s">
        <v>6868</v>
      </c>
      <c r="D2009" s="21">
        <v>8</v>
      </c>
      <c r="E2009" s="21"/>
      <c r="F2009" s="21" t="s">
        <v>10438</v>
      </c>
      <c r="G2009" s="21"/>
      <c r="H2009" s="54">
        <v>14</v>
      </c>
      <c r="I2009" s="51"/>
      <c r="J2009" s="27"/>
      <c r="K2009" s="27"/>
      <c r="L2009" s="15"/>
      <c r="M2009" s="15"/>
      <c r="N2009" s="4" t="s">
        <v>4234</v>
      </c>
      <c r="O2009" s="4"/>
    </row>
    <row r="2010" spans="1:15" x14ac:dyDescent="0.2">
      <c r="A2010" s="2">
        <v>10018788</v>
      </c>
      <c r="B2010" s="2" t="s">
        <v>314</v>
      </c>
      <c r="C2010" s="5" t="s">
        <v>5897</v>
      </c>
      <c r="D2010" s="21">
        <v>4</v>
      </c>
      <c r="E2010" s="21"/>
      <c r="F2010" s="21" t="s">
        <v>10438</v>
      </c>
      <c r="G2010" s="21"/>
      <c r="H2010" s="54">
        <v>596</v>
      </c>
      <c r="I2010" s="51"/>
      <c r="J2010" s="27"/>
      <c r="K2010" s="27"/>
      <c r="L2010" s="15"/>
      <c r="M2010" s="15"/>
      <c r="N2010" s="4">
        <v>110</v>
      </c>
      <c r="O2010" s="4"/>
    </row>
    <row r="2011" spans="1:15" x14ac:dyDescent="0.2">
      <c r="A2011" s="2">
        <v>10033338</v>
      </c>
      <c r="B2011" s="2" t="s">
        <v>692</v>
      </c>
      <c r="C2011" s="5">
        <v>3320152</v>
      </c>
      <c r="D2011" s="21">
        <v>6</v>
      </c>
      <c r="E2011" s="21"/>
      <c r="F2011" s="21" t="s">
        <v>10438</v>
      </c>
      <c r="G2011" s="21"/>
      <c r="H2011" s="54">
        <v>150</v>
      </c>
      <c r="I2011" s="51"/>
      <c r="J2011" s="27"/>
      <c r="K2011" s="27"/>
      <c r="L2011" s="15"/>
      <c r="M2011" s="15"/>
      <c r="N2011" s="4" t="s">
        <v>3969</v>
      </c>
      <c r="O2011" s="4"/>
    </row>
    <row r="2012" spans="1:15" x14ac:dyDescent="0.2">
      <c r="A2012" s="2">
        <v>40006921</v>
      </c>
      <c r="B2012" s="2" t="s">
        <v>2216</v>
      </c>
      <c r="C2012" s="5" t="s">
        <v>7925</v>
      </c>
      <c r="D2012" s="21">
        <v>6</v>
      </c>
      <c r="E2012" s="21"/>
      <c r="F2012" s="21" t="s">
        <v>10438</v>
      </c>
      <c r="G2012" s="21"/>
      <c r="H2012" s="54">
        <v>459</v>
      </c>
      <c r="I2012" s="51"/>
      <c r="J2012" s="27"/>
      <c r="K2012" s="27"/>
      <c r="L2012" s="15"/>
      <c r="M2012" s="15"/>
      <c r="N2012" s="4" t="s">
        <v>4745</v>
      </c>
      <c r="O2012" s="4">
        <v>43</v>
      </c>
    </row>
    <row r="2013" spans="1:15" x14ac:dyDescent="0.2">
      <c r="A2013" s="2">
        <v>40008280</v>
      </c>
      <c r="B2013" s="2" t="s">
        <v>3392</v>
      </c>
      <c r="C2013" s="5" t="s">
        <v>9084</v>
      </c>
      <c r="D2013" s="21">
        <v>19</v>
      </c>
      <c r="E2013" s="21"/>
      <c r="F2013" s="21" t="s">
        <v>10438</v>
      </c>
      <c r="G2013" s="21"/>
      <c r="H2013" s="54">
        <v>209</v>
      </c>
      <c r="I2013" s="51"/>
      <c r="J2013" s="27"/>
      <c r="K2013" s="27"/>
      <c r="L2013" s="15"/>
      <c r="M2013" s="15"/>
      <c r="N2013" s="4" t="s">
        <v>5230</v>
      </c>
      <c r="O2013" s="4"/>
    </row>
    <row r="2014" spans="1:15" x14ac:dyDescent="0.2">
      <c r="A2014" s="2">
        <v>40007683</v>
      </c>
      <c r="B2014" s="2" t="s">
        <v>2861</v>
      </c>
      <c r="C2014" s="5" t="s">
        <v>8560</v>
      </c>
      <c r="D2014" s="21">
        <v>8</v>
      </c>
      <c r="E2014" s="21"/>
      <c r="F2014" s="21" t="s">
        <v>10438</v>
      </c>
      <c r="G2014" s="21"/>
      <c r="H2014" s="54">
        <v>410</v>
      </c>
      <c r="I2014" s="51"/>
      <c r="J2014" s="27"/>
      <c r="K2014" s="27"/>
      <c r="L2014" s="15"/>
      <c r="M2014" s="15"/>
      <c r="N2014" s="4" t="s">
        <v>4062</v>
      </c>
      <c r="O2014" s="4" t="s">
        <v>10117</v>
      </c>
    </row>
    <row r="2015" spans="1:15" x14ac:dyDescent="0.2">
      <c r="A2015" s="2">
        <v>40006513</v>
      </c>
      <c r="B2015" s="2" t="s">
        <v>1861</v>
      </c>
      <c r="C2015" s="5" t="s">
        <v>7569</v>
      </c>
      <c r="D2015" s="21">
        <v>1</v>
      </c>
      <c r="E2015" s="21"/>
      <c r="F2015" s="21" t="s">
        <v>10438</v>
      </c>
      <c r="G2015" s="21"/>
      <c r="H2015" s="54">
        <v>6</v>
      </c>
      <c r="I2015" s="51"/>
      <c r="J2015" s="27"/>
      <c r="K2015" s="27"/>
      <c r="L2015" s="15"/>
      <c r="M2015" s="15"/>
      <c r="N2015" s="4"/>
      <c r="O2015" s="4" t="s">
        <v>10373</v>
      </c>
    </row>
    <row r="2016" spans="1:15" x14ac:dyDescent="0.2">
      <c r="A2016" s="2">
        <v>40005319</v>
      </c>
      <c r="B2016" s="2" t="s">
        <v>810</v>
      </c>
      <c r="C2016" s="5" t="s">
        <v>6527</v>
      </c>
      <c r="D2016" s="21">
        <v>4</v>
      </c>
      <c r="E2016" s="21"/>
      <c r="F2016" s="21" t="s">
        <v>10438</v>
      </c>
      <c r="G2016" s="21"/>
      <c r="H2016" s="54">
        <v>9</v>
      </c>
      <c r="I2016" s="51"/>
      <c r="J2016" s="27"/>
      <c r="K2016" s="27"/>
      <c r="L2016" s="15"/>
      <c r="M2016" s="15"/>
      <c r="N2016" s="4" t="s">
        <v>4040</v>
      </c>
      <c r="O2016" s="4"/>
    </row>
    <row r="2017" spans="1:15" x14ac:dyDescent="0.2">
      <c r="A2017" s="2">
        <v>40006669</v>
      </c>
      <c r="B2017" s="2" t="s">
        <v>1993</v>
      </c>
      <c r="C2017" s="5" t="s">
        <v>7702</v>
      </c>
      <c r="D2017" s="21">
        <v>8</v>
      </c>
      <c r="E2017" s="21"/>
      <c r="F2017" s="21" t="s">
        <v>10438</v>
      </c>
      <c r="G2017" s="21"/>
      <c r="H2017" s="54">
        <v>16</v>
      </c>
      <c r="I2017" s="51"/>
      <c r="J2017" s="27"/>
      <c r="K2017" s="27"/>
      <c r="L2017" s="15"/>
      <c r="M2017" s="15"/>
      <c r="N2017" s="4"/>
      <c r="O2017" s="4" t="s">
        <v>10373</v>
      </c>
    </row>
    <row r="2018" spans="1:15" x14ac:dyDescent="0.2">
      <c r="A2018" s="2">
        <v>40007906</v>
      </c>
      <c r="B2018" s="2" t="s">
        <v>3061</v>
      </c>
      <c r="C2018" s="5" t="s">
        <v>8752</v>
      </c>
      <c r="D2018" s="21">
        <v>3</v>
      </c>
      <c r="E2018" s="21"/>
      <c r="F2018" s="21" t="s">
        <v>10438</v>
      </c>
      <c r="G2018" s="21"/>
      <c r="H2018" s="54">
        <v>525</v>
      </c>
      <c r="I2018" s="51"/>
      <c r="J2018" s="27"/>
      <c r="K2018" s="27"/>
      <c r="L2018" s="15"/>
      <c r="M2018" s="15"/>
      <c r="N2018" s="4"/>
      <c r="O2018" s="4">
        <v>39</v>
      </c>
    </row>
    <row r="2019" spans="1:15" x14ac:dyDescent="0.2">
      <c r="A2019" s="2">
        <v>40005991</v>
      </c>
      <c r="B2019" s="2" t="s">
        <v>1396</v>
      </c>
      <c r="C2019" s="5" t="s">
        <v>7102</v>
      </c>
      <c r="D2019" s="21">
        <v>8</v>
      </c>
      <c r="E2019" s="21"/>
      <c r="F2019" s="21" t="s">
        <v>10438</v>
      </c>
      <c r="G2019" s="21"/>
      <c r="H2019" s="54">
        <v>1381</v>
      </c>
      <c r="I2019" s="51"/>
      <c r="J2019" s="27"/>
      <c r="K2019" s="27"/>
      <c r="L2019" s="15"/>
      <c r="M2019" s="15"/>
      <c r="N2019" s="4"/>
      <c r="O2019" s="4">
        <v>39</v>
      </c>
    </row>
    <row r="2020" spans="1:15" x14ac:dyDescent="0.2">
      <c r="A2020" s="2">
        <v>40006832</v>
      </c>
      <c r="B2020" s="2" t="s">
        <v>2131</v>
      </c>
      <c r="C2020" s="5" t="s">
        <v>7839</v>
      </c>
      <c r="D2020" s="21">
        <v>3</v>
      </c>
      <c r="E2020" s="21"/>
      <c r="F2020" s="21" t="s">
        <v>10438</v>
      </c>
      <c r="G2020" s="21"/>
      <c r="H2020" s="54">
        <v>116</v>
      </c>
      <c r="I2020" s="51"/>
      <c r="J2020" s="27"/>
      <c r="K2020" s="27"/>
      <c r="L2020" s="15"/>
      <c r="M2020" s="15"/>
      <c r="N2020" s="4"/>
      <c r="O2020" s="4" t="s">
        <v>4605</v>
      </c>
    </row>
    <row r="2021" spans="1:15" x14ac:dyDescent="0.2">
      <c r="A2021" s="2">
        <v>40005417</v>
      </c>
      <c r="B2021" s="2" t="s">
        <v>893</v>
      </c>
      <c r="C2021" s="5" t="s">
        <v>6616</v>
      </c>
      <c r="D2021" s="21">
        <v>2</v>
      </c>
      <c r="E2021" s="21"/>
      <c r="F2021" s="21" t="s">
        <v>10438</v>
      </c>
      <c r="G2021" s="21"/>
      <c r="H2021" s="54">
        <v>345</v>
      </c>
      <c r="I2021" s="51"/>
      <c r="J2021" s="27"/>
      <c r="K2021" s="27"/>
      <c r="L2021" s="15"/>
      <c r="M2021" s="15"/>
      <c r="N2021" s="4"/>
      <c r="O2021" s="4" t="s">
        <v>10373</v>
      </c>
    </row>
    <row r="2022" spans="1:15" x14ac:dyDescent="0.2">
      <c r="A2022" s="2">
        <v>40005423</v>
      </c>
      <c r="B2022" s="2" t="s">
        <v>899</v>
      </c>
      <c r="C2022" s="5" t="s">
        <v>6621</v>
      </c>
      <c r="D2022" s="21">
        <v>2</v>
      </c>
      <c r="E2022" s="21"/>
      <c r="F2022" s="21" t="s">
        <v>10438</v>
      </c>
      <c r="G2022" s="21"/>
      <c r="H2022" s="54">
        <v>227</v>
      </c>
      <c r="I2022" s="51"/>
      <c r="J2022" s="27"/>
      <c r="K2022" s="27"/>
      <c r="L2022" s="15"/>
      <c r="M2022" s="15"/>
      <c r="N2022" s="4"/>
      <c r="O2022" s="4" t="s">
        <v>10373</v>
      </c>
    </row>
    <row r="2023" spans="1:15" x14ac:dyDescent="0.2">
      <c r="A2023" s="2">
        <v>40005425</v>
      </c>
      <c r="B2023" s="2" t="s">
        <v>900</v>
      </c>
      <c r="C2023" s="5" t="s">
        <v>6622</v>
      </c>
      <c r="D2023" s="21">
        <v>2</v>
      </c>
      <c r="E2023" s="21"/>
      <c r="F2023" s="21" t="s">
        <v>10438</v>
      </c>
      <c r="G2023" s="21"/>
      <c r="H2023" s="54">
        <v>262</v>
      </c>
      <c r="I2023" s="51"/>
      <c r="J2023" s="27"/>
      <c r="K2023" s="27"/>
      <c r="L2023" s="15"/>
      <c r="M2023" s="15"/>
      <c r="N2023" s="4"/>
      <c r="O2023" s="4" t="s">
        <v>10373</v>
      </c>
    </row>
    <row r="2024" spans="1:15" x14ac:dyDescent="0.2">
      <c r="A2024" s="2">
        <v>40006584</v>
      </c>
      <c r="B2024" s="2" t="s">
        <v>1921</v>
      </c>
      <c r="C2024" s="5" t="s">
        <v>7629</v>
      </c>
      <c r="D2024" s="21">
        <v>1</v>
      </c>
      <c r="E2024" s="21"/>
      <c r="F2024" s="21" t="s">
        <v>10438</v>
      </c>
      <c r="G2024" s="21"/>
      <c r="H2024" s="54">
        <v>358</v>
      </c>
      <c r="I2024" s="51"/>
      <c r="J2024" s="27"/>
      <c r="K2024" s="27"/>
      <c r="L2024" s="15"/>
      <c r="M2024" s="15"/>
      <c r="N2024" s="4"/>
      <c r="O2024" s="4" t="s">
        <v>10373</v>
      </c>
    </row>
    <row r="2025" spans="1:15" x14ac:dyDescent="0.2">
      <c r="A2025" s="2">
        <v>40006724</v>
      </c>
      <c r="B2025" s="2" t="s">
        <v>2031</v>
      </c>
      <c r="C2025" s="5" t="s">
        <v>7741</v>
      </c>
      <c r="D2025" s="21">
        <v>2</v>
      </c>
      <c r="E2025" s="21"/>
      <c r="F2025" s="21" t="s">
        <v>10438</v>
      </c>
      <c r="G2025" s="21"/>
      <c r="H2025" s="54">
        <v>440</v>
      </c>
      <c r="I2025" s="51"/>
      <c r="J2025" s="27"/>
      <c r="K2025" s="27"/>
      <c r="L2025" s="15"/>
      <c r="M2025" s="15"/>
      <c r="N2025" s="4"/>
      <c r="O2025" s="4" t="s">
        <v>10373</v>
      </c>
    </row>
    <row r="2026" spans="1:15" x14ac:dyDescent="0.2">
      <c r="A2026" s="2">
        <v>40006725</v>
      </c>
      <c r="B2026" s="2" t="s">
        <v>2032</v>
      </c>
      <c r="C2026" s="5" t="s">
        <v>7742</v>
      </c>
      <c r="D2026" s="21">
        <v>1</v>
      </c>
      <c r="E2026" s="21"/>
      <c r="F2026" s="21" t="s">
        <v>10438</v>
      </c>
      <c r="G2026" s="21"/>
      <c r="H2026" s="54">
        <v>142</v>
      </c>
      <c r="I2026" s="51"/>
      <c r="J2026" s="27"/>
      <c r="K2026" s="27"/>
      <c r="L2026" s="15"/>
      <c r="M2026" s="15"/>
      <c r="N2026" s="4"/>
      <c r="O2026" s="4" t="s">
        <v>10373</v>
      </c>
    </row>
    <row r="2027" spans="1:15" x14ac:dyDescent="0.2">
      <c r="A2027" s="2">
        <v>40006453</v>
      </c>
      <c r="B2027" s="2" t="s">
        <v>1810</v>
      </c>
      <c r="C2027" s="5" t="s">
        <v>7517</v>
      </c>
      <c r="D2027" s="21">
        <v>26</v>
      </c>
      <c r="E2027" s="21"/>
      <c r="F2027" s="30">
        <v>2</v>
      </c>
      <c r="G2027" s="21"/>
      <c r="H2027" s="54">
        <v>92</v>
      </c>
      <c r="I2027" s="51"/>
      <c r="J2027" s="27"/>
      <c r="K2027" s="27"/>
      <c r="L2027" s="15"/>
      <c r="M2027" s="15"/>
      <c r="N2027" s="4" t="s">
        <v>4604</v>
      </c>
      <c r="O2027" s="4"/>
    </row>
    <row r="2028" spans="1:15" x14ac:dyDescent="0.2">
      <c r="A2028" s="2">
        <v>10017894</v>
      </c>
      <c r="B2028" s="2" t="s">
        <v>20</v>
      </c>
      <c r="C2028" s="5" t="s">
        <v>5538</v>
      </c>
      <c r="D2028" s="21">
        <v>7</v>
      </c>
      <c r="E2028" s="21"/>
      <c r="F2028" s="21" t="s">
        <v>10438</v>
      </c>
      <c r="G2028" s="21"/>
      <c r="H2028" s="54">
        <v>331</v>
      </c>
      <c r="I2028" s="51"/>
      <c r="J2028" s="27"/>
      <c r="K2028" s="27"/>
      <c r="L2028" s="15"/>
      <c r="M2028" s="15"/>
      <c r="N2028" s="4" t="s">
        <v>3935</v>
      </c>
      <c r="O2028" s="4"/>
    </row>
    <row r="2029" spans="1:15" x14ac:dyDescent="0.2">
      <c r="A2029" s="2">
        <v>40006816</v>
      </c>
      <c r="B2029" s="2" t="s">
        <v>2115</v>
      </c>
      <c r="C2029" s="5" t="s">
        <v>7824</v>
      </c>
      <c r="D2029" s="21">
        <v>10</v>
      </c>
      <c r="E2029" s="21"/>
      <c r="F2029" s="21" t="s">
        <v>10438</v>
      </c>
      <c r="G2029" s="21"/>
      <c r="H2029" s="54">
        <v>128</v>
      </c>
      <c r="I2029" s="51"/>
      <c r="J2029" s="27"/>
      <c r="K2029" s="27"/>
      <c r="L2029" s="15"/>
      <c r="M2029" s="15"/>
      <c r="N2029" s="4"/>
      <c r="O2029" s="4" t="s">
        <v>4073</v>
      </c>
    </row>
    <row r="2030" spans="1:15" x14ac:dyDescent="0.2">
      <c r="A2030" s="2">
        <v>40006863</v>
      </c>
      <c r="B2030" s="2" t="s">
        <v>2161</v>
      </c>
      <c r="C2030" s="5" t="s">
        <v>7870</v>
      </c>
      <c r="D2030" s="21">
        <v>29</v>
      </c>
      <c r="E2030" s="21"/>
      <c r="F2030" s="21" t="s">
        <v>10438</v>
      </c>
      <c r="G2030" s="21"/>
      <c r="H2030" s="54">
        <v>78</v>
      </c>
      <c r="I2030" s="51"/>
      <c r="J2030" s="27"/>
      <c r="K2030" s="27"/>
      <c r="L2030" s="15"/>
      <c r="M2030" s="15">
        <v>20</v>
      </c>
      <c r="N2030" s="4" t="s">
        <v>4662</v>
      </c>
      <c r="O2030" s="4"/>
    </row>
    <row r="2031" spans="1:15" x14ac:dyDescent="0.2">
      <c r="A2031" s="2">
        <v>40005473</v>
      </c>
      <c r="B2031" s="2" t="s">
        <v>944</v>
      </c>
      <c r="C2031" s="5" t="s">
        <v>6666</v>
      </c>
      <c r="D2031" s="21">
        <v>1</v>
      </c>
      <c r="E2031" s="21"/>
      <c r="F2031" s="21" t="s">
        <v>10438</v>
      </c>
      <c r="G2031" s="21"/>
      <c r="H2031" s="54">
        <v>17</v>
      </c>
      <c r="I2031" s="51"/>
      <c r="J2031" s="27"/>
      <c r="K2031" s="27"/>
      <c r="L2031" s="15"/>
      <c r="M2031" s="15"/>
      <c r="N2031" s="4"/>
      <c r="O2031" s="4" t="s">
        <v>10373</v>
      </c>
    </row>
    <row r="2032" spans="1:15" x14ac:dyDescent="0.2">
      <c r="A2032" s="2">
        <v>40006548</v>
      </c>
      <c r="B2032" s="2" t="s">
        <v>1888</v>
      </c>
      <c r="C2032" s="10" t="s">
        <v>7596</v>
      </c>
      <c r="D2032" s="21">
        <v>2</v>
      </c>
      <c r="E2032" s="21"/>
      <c r="F2032" s="21" t="s">
        <v>10438</v>
      </c>
      <c r="G2032" s="21"/>
      <c r="H2032" s="54">
        <v>51</v>
      </c>
      <c r="I2032" s="51"/>
      <c r="J2032" s="27"/>
      <c r="K2032" s="27"/>
      <c r="L2032" s="15"/>
      <c r="M2032" s="15"/>
      <c r="N2032" s="4"/>
      <c r="O2032" s="4">
        <v>90</v>
      </c>
    </row>
    <row r="2033" spans="1:15" x14ac:dyDescent="0.2">
      <c r="A2033" s="2">
        <v>40010787</v>
      </c>
      <c r="B2033" s="2" t="s">
        <v>3568</v>
      </c>
      <c r="C2033" s="5" t="s">
        <v>9288</v>
      </c>
      <c r="D2033" s="21">
        <v>3</v>
      </c>
      <c r="E2033" s="21"/>
      <c r="F2033" s="21" t="s">
        <v>10438</v>
      </c>
      <c r="G2033" s="21"/>
      <c r="H2033" s="54">
        <v>20</v>
      </c>
      <c r="I2033" s="51"/>
      <c r="J2033" s="27"/>
      <c r="K2033" s="27"/>
      <c r="L2033" s="15"/>
      <c r="M2033" s="15"/>
      <c r="N2033" s="4" t="s">
        <v>5278</v>
      </c>
      <c r="O2033" s="4"/>
    </row>
    <row r="2034" spans="1:15" x14ac:dyDescent="0.2">
      <c r="A2034" s="2">
        <v>40006696</v>
      </c>
      <c r="B2034" s="2" t="s">
        <v>2013</v>
      </c>
      <c r="C2034" s="5" t="s">
        <v>7722</v>
      </c>
      <c r="D2034" s="21">
        <v>3</v>
      </c>
      <c r="E2034" s="21"/>
      <c r="F2034" s="21" t="s">
        <v>10438</v>
      </c>
      <c r="G2034" s="21"/>
      <c r="H2034" s="54">
        <v>86</v>
      </c>
      <c r="I2034" s="51"/>
      <c r="J2034" s="27"/>
      <c r="K2034" s="27"/>
      <c r="L2034" s="15"/>
      <c r="M2034" s="15">
        <v>5</v>
      </c>
      <c r="N2034" s="4" t="s">
        <v>4533</v>
      </c>
      <c r="O2034" s="4"/>
    </row>
    <row r="2035" spans="1:15" x14ac:dyDescent="0.2">
      <c r="A2035" s="2">
        <v>40005172</v>
      </c>
      <c r="B2035" s="2" t="s">
        <v>719</v>
      </c>
      <c r="C2035" s="5" t="s">
        <v>6433</v>
      </c>
      <c r="D2035" s="21">
        <v>2</v>
      </c>
      <c r="E2035" s="21"/>
      <c r="F2035" s="21" t="s">
        <v>10438</v>
      </c>
      <c r="G2035" s="21"/>
      <c r="H2035" s="54">
        <v>124</v>
      </c>
      <c r="I2035" s="51"/>
      <c r="J2035" s="27"/>
      <c r="K2035" s="27"/>
      <c r="L2035" s="15"/>
      <c r="M2035" s="15"/>
      <c r="N2035" s="4" t="s">
        <v>3989</v>
      </c>
      <c r="O2035" s="4"/>
    </row>
    <row r="2036" spans="1:15" x14ac:dyDescent="0.2">
      <c r="A2036" s="2">
        <v>40005474</v>
      </c>
      <c r="B2036" s="2" t="s">
        <v>945</v>
      </c>
      <c r="C2036" s="5" t="s">
        <v>6667</v>
      </c>
      <c r="D2036" s="21">
        <v>1</v>
      </c>
      <c r="E2036" s="21"/>
      <c r="F2036" s="21" t="s">
        <v>10438</v>
      </c>
      <c r="G2036" s="21"/>
      <c r="H2036" s="54">
        <v>172</v>
      </c>
      <c r="I2036" s="51"/>
      <c r="J2036" s="27"/>
      <c r="K2036" s="27"/>
      <c r="L2036" s="15"/>
      <c r="M2036" s="15"/>
      <c r="N2036" s="4" t="s">
        <v>4486</v>
      </c>
      <c r="O2036" s="4"/>
    </row>
    <row r="2037" spans="1:15" x14ac:dyDescent="0.2">
      <c r="A2037" s="2">
        <v>10039718</v>
      </c>
      <c r="B2037" s="2" t="s">
        <v>5458</v>
      </c>
      <c r="C2037" s="5" t="s">
        <v>6376</v>
      </c>
      <c r="D2037" s="21">
        <v>2</v>
      </c>
      <c r="E2037" s="21"/>
      <c r="F2037" s="21" t="s">
        <v>10438</v>
      </c>
      <c r="G2037" s="21"/>
      <c r="H2037" s="54">
        <v>136</v>
      </c>
      <c r="I2037" s="51"/>
      <c r="J2037" s="27"/>
      <c r="K2037" s="27"/>
      <c r="L2037" s="15"/>
      <c r="M2037" s="15"/>
      <c r="N2037" s="4"/>
      <c r="O2037" s="4" t="s">
        <v>10344</v>
      </c>
    </row>
    <row r="2038" spans="1:15" x14ac:dyDescent="0.2">
      <c r="A2038" s="2">
        <v>10018721</v>
      </c>
      <c r="B2038" s="2" t="s">
        <v>5358</v>
      </c>
      <c r="C2038" s="5" t="s">
        <v>5860</v>
      </c>
      <c r="D2038" s="21">
        <v>14</v>
      </c>
      <c r="E2038" s="21"/>
      <c r="F2038" s="21" t="s">
        <v>10438</v>
      </c>
      <c r="G2038" s="21"/>
      <c r="H2038" s="54">
        <v>2540</v>
      </c>
      <c r="I2038" s="51">
        <v>2290</v>
      </c>
      <c r="J2038" s="27"/>
      <c r="K2038" s="27"/>
      <c r="L2038" s="15"/>
      <c r="M2038" s="15">
        <v>3</v>
      </c>
      <c r="N2038" s="4" t="s">
        <v>10713</v>
      </c>
      <c r="O2038" s="4" t="s">
        <v>10452</v>
      </c>
    </row>
    <row r="2039" spans="1:15" x14ac:dyDescent="0.2">
      <c r="A2039" s="2">
        <v>10018720</v>
      </c>
      <c r="B2039" s="2" t="s">
        <v>285</v>
      </c>
      <c r="C2039" s="5" t="s">
        <v>5859</v>
      </c>
      <c r="D2039" s="21">
        <v>14</v>
      </c>
      <c r="E2039" s="21">
        <v>14</v>
      </c>
      <c r="F2039" s="21" t="s">
        <v>10438</v>
      </c>
      <c r="G2039" s="21">
        <v>6</v>
      </c>
      <c r="H2039" s="54">
        <v>10545</v>
      </c>
      <c r="I2039" s="51">
        <v>9705</v>
      </c>
      <c r="J2039" s="27">
        <v>52</v>
      </c>
      <c r="K2039" s="27">
        <v>52</v>
      </c>
      <c r="L2039" s="15">
        <v>80</v>
      </c>
      <c r="M2039" s="15"/>
      <c r="N2039" s="4" t="s">
        <v>3607</v>
      </c>
      <c r="O2039" s="4" t="s">
        <v>10457</v>
      </c>
    </row>
    <row r="2040" spans="1:15" x14ac:dyDescent="0.2">
      <c r="A2040" s="2">
        <v>10018425</v>
      </c>
      <c r="B2040" s="2" t="s">
        <v>5344</v>
      </c>
      <c r="C2040" s="5" t="s">
        <v>5716</v>
      </c>
      <c r="D2040" s="21">
        <v>11</v>
      </c>
      <c r="E2040" s="21"/>
      <c r="F2040" s="21" t="s">
        <v>10438</v>
      </c>
      <c r="G2040" s="21"/>
      <c r="H2040" s="54">
        <v>5510</v>
      </c>
      <c r="I2040" s="51">
        <v>4410</v>
      </c>
      <c r="J2040" s="27">
        <v>15</v>
      </c>
      <c r="K2040" s="27"/>
      <c r="L2040" s="15"/>
      <c r="M2040" s="15"/>
      <c r="N2040" s="4"/>
      <c r="O2040" s="4" t="s">
        <v>10448</v>
      </c>
    </row>
    <row r="2041" spans="1:15" x14ac:dyDescent="0.2">
      <c r="A2041" s="2">
        <v>10041606</v>
      </c>
      <c r="B2041" s="2" t="s">
        <v>5439</v>
      </c>
      <c r="C2041" s="5" t="s">
        <v>9412</v>
      </c>
      <c r="D2041" s="21"/>
      <c r="E2041" s="21"/>
      <c r="F2041" s="21" t="s">
        <v>10438</v>
      </c>
      <c r="G2041" s="21"/>
      <c r="H2041" s="54">
        <v>3355</v>
      </c>
      <c r="I2041" s="51"/>
      <c r="J2041" s="27"/>
      <c r="K2041" s="27"/>
      <c r="L2041" s="15">
        <v>4</v>
      </c>
      <c r="M2041" s="15"/>
      <c r="N2041" s="4"/>
      <c r="O2041" s="4"/>
    </row>
    <row r="2042" spans="1:15" x14ac:dyDescent="0.2">
      <c r="A2042" s="2">
        <v>10031417</v>
      </c>
      <c r="B2042" s="2" t="s">
        <v>686</v>
      </c>
      <c r="C2042" s="5" t="s">
        <v>6349</v>
      </c>
      <c r="D2042" s="21">
        <v>2</v>
      </c>
      <c r="E2042" s="21"/>
      <c r="F2042" s="21" t="s">
        <v>10438</v>
      </c>
      <c r="G2042" s="21"/>
      <c r="H2042" s="54">
        <v>10080</v>
      </c>
      <c r="I2042" s="51"/>
      <c r="J2042" s="27">
        <v>16</v>
      </c>
      <c r="K2042" s="27"/>
      <c r="L2042" s="15">
        <v>10</v>
      </c>
      <c r="M2042" s="15"/>
      <c r="N2042" s="4" t="s">
        <v>3607</v>
      </c>
      <c r="O2042" s="4"/>
    </row>
    <row r="2043" spans="1:15" x14ac:dyDescent="0.2">
      <c r="A2043" s="2">
        <v>10018751</v>
      </c>
      <c r="B2043" s="2" t="s">
        <v>297</v>
      </c>
      <c r="C2043" s="5" t="s">
        <v>5876</v>
      </c>
      <c r="D2043" s="21">
        <v>8</v>
      </c>
      <c r="E2043" s="21"/>
      <c r="F2043" s="21" t="s">
        <v>10438</v>
      </c>
      <c r="G2043" s="21"/>
      <c r="H2043" s="54">
        <v>5170</v>
      </c>
      <c r="I2043" s="51">
        <v>4550</v>
      </c>
      <c r="J2043" s="27">
        <v>18</v>
      </c>
      <c r="K2043" s="27"/>
      <c r="L2043" s="15"/>
      <c r="M2043" s="15"/>
      <c r="N2043" s="4" t="s">
        <v>10713</v>
      </c>
      <c r="O2043" s="4" t="s">
        <v>10452</v>
      </c>
    </row>
    <row r="2044" spans="1:15" x14ac:dyDescent="0.2">
      <c r="A2044" s="2">
        <v>40005209</v>
      </c>
      <c r="B2044" s="2" t="s">
        <v>747</v>
      </c>
      <c r="C2044" s="5" t="s">
        <v>6460</v>
      </c>
      <c r="D2044" s="21">
        <v>4</v>
      </c>
      <c r="E2044" s="21"/>
      <c r="F2044" s="21" t="s">
        <v>10438</v>
      </c>
      <c r="G2044" s="21"/>
      <c r="H2044" s="54">
        <v>180</v>
      </c>
      <c r="I2044" s="51"/>
      <c r="J2044" s="27"/>
      <c r="K2044" s="27"/>
      <c r="L2044" s="15"/>
      <c r="M2044" s="15"/>
      <c r="N2044" s="4" t="s">
        <v>4016</v>
      </c>
      <c r="O2044" s="4"/>
    </row>
    <row r="2045" spans="1:15" x14ac:dyDescent="0.2">
      <c r="A2045" s="2">
        <v>10018535</v>
      </c>
      <c r="B2045" s="2" t="s">
        <v>208</v>
      </c>
      <c r="C2045" s="5" t="s">
        <v>5765</v>
      </c>
      <c r="D2045" s="21">
        <v>54</v>
      </c>
      <c r="E2045" s="21"/>
      <c r="F2045" s="30">
        <v>6</v>
      </c>
      <c r="G2045" s="21"/>
      <c r="H2045" s="54">
        <v>36</v>
      </c>
      <c r="I2045" s="51"/>
      <c r="J2045" s="27"/>
      <c r="K2045" s="27"/>
      <c r="L2045" s="15"/>
      <c r="M2045" s="15"/>
      <c r="N2045" s="4">
        <v>73</v>
      </c>
      <c r="O2045" s="4"/>
    </row>
    <row r="2046" spans="1:15" x14ac:dyDescent="0.2">
      <c r="A2046" s="2">
        <v>10013669</v>
      </c>
      <c r="B2046" s="2" t="s">
        <v>0</v>
      </c>
      <c r="C2046" s="5" t="s">
        <v>5520</v>
      </c>
      <c r="D2046" s="21">
        <v>17</v>
      </c>
      <c r="E2046" s="21">
        <v>17</v>
      </c>
      <c r="F2046" s="21" t="s">
        <v>10438</v>
      </c>
      <c r="G2046" s="21">
        <v>12</v>
      </c>
      <c r="H2046" s="54">
        <v>1720</v>
      </c>
      <c r="I2046" s="51">
        <v>1585</v>
      </c>
      <c r="J2046" s="27">
        <v>36</v>
      </c>
      <c r="K2046" s="27">
        <v>36</v>
      </c>
      <c r="L2046" s="15">
        <v>60</v>
      </c>
      <c r="M2046" s="15">
        <v>20</v>
      </c>
      <c r="N2046" s="4" t="s">
        <v>3934</v>
      </c>
      <c r="O2046" s="4" t="s">
        <v>10447</v>
      </c>
    </row>
    <row r="2047" spans="1:15" x14ac:dyDescent="0.2">
      <c r="A2047" s="2">
        <v>10013672</v>
      </c>
      <c r="B2047" s="2" t="s">
        <v>2</v>
      </c>
      <c r="C2047" s="5" t="s">
        <v>5521</v>
      </c>
      <c r="D2047" s="21">
        <v>12</v>
      </c>
      <c r="E2047" s="21"/>
      <c r="F2047" s="21" t="s">
        <v>10438</v>
      </c>
      <c r="G2047" s="21"/>
      <c r="H2047" s="54">
        <v>3235</v>
      </c>
      <c r="I2047" s="51">
        <v>2915</v>
      </c>
      <c r="J2047" s="27"/>
      <c r="K2047" s="27"/>
      <c r="L2047" s="15">
        <v>10</v>
      </c>
      <c r="M2047" s="15">
        <v>20</v>
      </c>
      <c r="N2047" s="4"/>
      <c r="O2047" s="4" t="s">
        <v>10446</v>
      </c>
    </row>
    <row r="2048" spans="1:15" x14ac:dyDescent="0.2">
      <c r="A2048" s="2">
        <v>10013673</v>
      </c>
      <c r="B2048" s="2" t="s">
        <v>3809</v>
      </c>
      <c r="C2048" s="5" t="s">
        <v>5522</v>
      </c>
      <c r="D2048" s="21">
        <v>10</v>
      </c>
      <c r="E2048" s="21"/>
      <c r="F2048" s="21" t="s">
        <v>10438</v>
      </c>
      <c r="G2048" s="21"/>
      <c r="H2048" s="54">
        <v>3705</v>
      </c>
      <c r="I2048" s="51">
        <v>3335</v>
      </c>
      <c r="J2048" s="27">
        <v>6</v>
      </c>
      <c r="K2048" s="27"/>
      <c r="L2048" s="15">
        <v>10</v>
      </c>
      <c r="M2048" s="15">
        <v>4</v>
      </c>
      <c r="N2048" s="4"/>
      <c r="O2048" s="4"/>
    </row>
    <row r="2049" spans="1:15" x14ac:dyDescent="0.2">
      <c r="A2049" s="2">
        <v>40007725</v>
      </c>
      <c r="B2049" s="2" t="s">
        <v>2900</v>
      </c>
      <c r="C2049" s="5" t="s">
        <v>8597</v>
      </c>
      <c r="D2049" s="21">
        <v>1</v>
      </c>
      <c r="E2049" s="21"/>
      <c r="F2049" s="21" t="s">
        <v>10438</v>
      </c>
      <c r="G2049" s="21"/>
      <c r="H2049" s="54">
        <v>39</v>
      </c>
      <c r="I2049" s="51"/>
      <c r="J2049" s="27"/>
      <c r="K2049" s="27"/>
      <c r="L2049" s="15"/>
      <c r="M2049" s="15"/>
      <c r="N2049" s="4" t="s">
        <v>5049</v>
      </c>
      <c r="O2049" s="4" t="s">
        <v>10141</v>
      </c>
    </row>
    <row r="2050" spans="1:15" x14ac:dyDescent="0.2">
      <c r="A2050" s="2">
        <v>40007268</v>
      </c>
      <c r="B2050" s="2" t="s">
        <v>2516</v>
      </c>
      <c r="C2050" s="5" t="s">
        <v>8213</v>
      </c>
      <c r="D2050" s="21">
        <v>3</v>
      </c>
      <c r="E2050" s="21"/>
      <c r="F2050" s="21" t="s">
        <v>10438</v>
      </c>
      <c r="G2050" s="21"/>
      <c r="H2050" s="54">
        <v>88</v>
      </c>
      <c r="I2050" s="51"/>
      <c r="J2050" s="27"/>
      <c r="K2050" s="27"/>
      <c r="L2050" s="15"/>
      <c r="M2050" s="15"/>
      <c r="N2050" s="4" t="s">
        <v>3966</v>
      </c>
      <c r="O2050" s="4">
        <v>86</v>
      </c>
    </row>
    <row r="2051" spans="1:15" x14ac:dyDescent="0.2">
      <c r="A2051" s="2">
        <v>40007594</v>
      </c>
      <c r="B2051" s="2" t="s">
        <v>2789</v>
      </c>
      <c r="C2051" s="5" t="s">
        <v>8488</v>
      </c>
      <c r="D2051" s="21">
        <v>8</v>
      </c>
      <c r="E2051" s="21"/>
      <c r="F2051" s="21" t="s">
        <v>10438</v>
      </c>
      <c r="G2051" s="21"/>
      <c r="H2051" s="54">
        <v>13</v>
      </c>
      <c r="I2051" s="51"/>
      <c r="J2051" s="27"/>
      <c r="K2051" s="27"/>
      <c r="L2051" s="15"/>
      <c r="M2051" s="15"/>
      <c r="N2051" s="4" t="s">
        <v>10474</v>
      </c>
      <c r="O2051" s="4"/>
    </row>
    <row r="2052" spans="1:15" x14ac:dyDescent="0.2">
      <c r="A2052" s="2">
        <v>40006226</v>
      </c>
      <c r="B2052" s="2" t="s">
        <v>1606</v>
      </c>
      <c r="C2052" s="5">
        <v>957310027</v>
      </c>
      <c r="D2052" s="21">
        <v>1</v>
      </c>
      <c r="E2052" s="21"/>
      <c r="F2052" s="21" t="s">
        <v>10438</v>
      </c>
      <c r="G2052" s="21"/>
      <c r="H2052" s="54">
        <v>404</v>
      </c>
      <c r="I2052" s="51"/>
      <c r="J2052" s="27"/>
      <c r="K2052" s="27"/>
      <c r="L2052" s="15"/>
      <c r="M2052" s="15"/>
      <c r="N2052" s="4"/>
      <c r="O2052" s="4">
        <v>79</v>
      </c>
    </row>
    <row r="2053" spans="1:15" x14ac:dyDescent="0.2">
      <c r="A2053" s="2">
        <v>40008060</v>
      </c>
      <c r="B2053" s="2" t="s">
        <v>3192</v>
      </c>
      <c r="C2053" s="5" t="s">
        <v>8887</v>
      </c>
      <c r="D2053" s="21">
        <v>1</v>
      </c>
      <c r="E2053" s="21"/>
      <c r="F2053" s="21" t="s">
        <v>10438</v>
      </c>
      <c r="G2053" s="21"/>
      <c r="H2053" s="54">
        <v>82</v>
      </c>
      <c r="I2053" s="51"/>
      <c r="J2053" s="27"/>
      <c r="K2053" s="27"/>
      <c r="L2053" s="15"/>
      <c r="M2053" s="15"/>
      <c r="N2053" s="4" t="s">
        <v>4100</v>
      </c>
      <c r="O2053" s="4"/>
    </row>
    <row r="2054" spans="1:15" x14ac:dyDescent="0.2">
      <c r="A2054" s="2">
        <v>40006455</v>
      </c>
      <c r="B2054" s="2" t="s">
        <v>3827</v>
      </c>
      <c r="C2054" s="5" t="s">
        <v>7518</v>
      </c>
      <c r="D2054" s="21">
        <v>2</v>
      </c>
      <c r="E2054" s="21"/>
      <c r="F2054" s="21" t="s">
        <v>10438</v>
      </c>
      <c r="G2054" s="21"/>
      <c r="H2054" s="54">
        <v>54</v>
      </c>
      <c r="I2054" s="51"/>
      <c r="J2054" s="27"/>
      <c r="K2054" s="27"/>
      <c r="L2054" s="15"/>
      <c r="M2054" s="15"/>
      <c r="N2054" s="4" t="s">
        <v>4293</v>
      </c>
      <c r="O2054" s="4"/>
    </row>
    <row r="2055" spans="1:15" x14ac:dyDescent="0.2">
      <c r="A2055" s="2">
        <v>40005587</v>
      </c>
      <c r="B2055" s="2" t="s">
        <v>1035</v>
      </c>
      <c r="C2055" s="5" t="s">
        <v>6761</v>
      </c>
      <c r="D2055" s="21">
        <v>2</v>
      </c>
      <c r="E2055" s="21"/>
      <c r="F2055" s="21" t="s">
        <v>10438</v>
      </c>
      <c r="G2055" s="21"/>
      <c r="H2055" s="54">
        <v>32</v>
      </c>
      <c r="I2055" s="51"/>
      <c r="J2055" s="27"/>
      <c r="K2055" s="27"/>
      <c r="L2055" s="15"/>
      <c r="M2055" s="15"/>
      <c r="N2055" s="4"/>
      <c r="O2055" s="4">
        <v>78</v>
      </c>
    </row>
    <row r="2056" spans="1:15" x14ac:dyDescent="0.2">
      <c r="A2056" s="2">
        <v>40005560</v>
      </c>
      <c r="B2056" s="2" t="s">
        <v>1016</v>
      </c>
      <c r="C2056" s="5" t="s">
        <v>6741</v>
      </c>
      <c r="D2056" s="21">
        <v>2</v>
      </c>
      <c r="E2056" s="21"/>
      <c r="F2056" s="21" t="s">
        <v>10438</v>
      </c>
      <c r="G2056" s="21"/>
      <c r="H2056" s="54">
        <v>158</v>
      </c>
      <c r="I2056" s="51"/>
      <c r="J2056" s="27"/>
      <c r="K2056" s="27"/>
      <c r="L2056" s="15"/>
      <c r="M2056" s="15"/>
      <c r="N2056" s="4"/>
      <c r="O2056" s="4">
        <v>78</v>
      </c>
    </row>
    <row r="2057" spans="1:15" x14ac:dyDescent="0.2">
      <c r="A2057" s="2">
        <v>40010583</v>
      </c>
      <c r="B2057" s="2" t="s">
        <v>3560</v>
      </c>
      <c r="C2057" s="10" t="s">
        <v>9277</v>
      </c>
      <c r="D2057" s="21">
        <v>15</v>
      </c>
      <c r="E2057" s="21"/>
      <c r="F2057" s="30">
        <v>1</v>
      </c>
      <c r="G2057" s="21"/>
      <c r="H2057" s="54">
        <v>116</v>
      </c>
      <c r="I2057" s="51"/>
      <c r="J2057" s="27"/>
      <c r="K2057" s="27"/>
      <c r="L2057" s="15"/>
      <c r="M2057" s="15"/>
      <c r="N2057" s="4" t="s">
        <v>4474</v>
      </c>
      <c r="O2057" s="4"/>
    </row>
    <row r="2058" spans="1:15" x14ac:dyDescent="0.2">
      <c r="A2058" s="2">
        <v>40007631</v>
      </c>
      <c r="B2058" s="2" t="s">
        <v>2818</v>
      </c>
      <c r="C2058" s="5">
        <v>225213111</v>
      </c>
      <c r="D2058" s="21">
        <v>8</v>
      </c>
      <c r="E2058" s="21"/>
      <c r="F2058" s="21" t="s">
        <v>10438</v>
      </c>
      <c r="G2058" s="21"/>
      <c r="H2058" s="54">
        <v>56</v>
      </c>
      <c r="I2058" s="51"/>
      <c r="J2058" s="27"/>
      <c r="K2058" s="27"/>
      <c r="L2058" s="15"/>
      <c r="M2058" s="15"/>
      <c r="N2058" s="4"/>
      <c r="O2058" s="4">
        <v>86</v>
      </c>
    </row>
    <row r="2059" spans="1:15" x14ac:dyDescent="0.2">
      <c r="A2059" s="2">
        <v>40008252</v>
      </c>
      <c r="B2059" s="2" t="s">
        <v>3369</v>
      </c>
      <c r="C2059" s="5" t="s">
        <v>9060</v>
      </c>
      <c r="D2059" s="21">
        <v>2</v>
      </c>
      <c r="E2059" s="21"/>
      <c r="F2059" s="21" t="s">
        <v>10438</v>
      </c>
      <c r="G2059" s="21"/>
      <c r="H2059" s="54">
        <v>192</v>
      </c>
      <c r="I2059" s="51"/>
      <c r="J2059" s="27"/>
      <c r="K2059" s="27"/>
      <c r="L2059" s="15"/>
      <c r="M2059" s="15"/>
      <c r="N2059" s="4"/>
      <c r="O2059" s="4" t="s">
        <v>10175</v>
      </c>
    </row>
    <row r="2060" spans="1:15" x14ac:dyDescent="0.2">
      <c r="A2060" s="2">
        <v>40007610</v>
      </c>
      <c r="B2060" s="2" t="s">
        <v>2799</v>
      </c>
      <c r="C2060" s="5" t="s">
        <v>8499</v>
      </c>
      <c r="D2060" s="21">
        <v>1</v>
      </c>
      <c r="E2060" s="21"/>
      <c r="F2060" s="21" t="s">
        <v>10438</v>
      </c>
      <c r="G2060" s="21"/>
      <c r="H2060" s="54">
        <v>240</v>
      </c>
      <c r="I2060" s="51"/>
      <c r="J2060" s="27"/>
      <c r="K2060" s="27"/>
      <c r="L2060" s="15"/>
      <c r="M2060" s="15"/>
      <c r="N2060" s="4" t="s">
        <v>4273</v>
      </c>
      <c r="O2060" s="4"/>
    </row>
    <row r="2061" spans="1:15" x14ac:dyDescent="0.2">
      <c r="A2061" s="2">
        <v>40007602</v>
      </c>
      <c r="B2061" s="2" t="s">
        <v>2795</v>
      </c>
      <c r="C2061" s="5" t="s">
        <v>8494</v>
      </c>
      <c r="D2061" s="21">
        <v>2</v>
      </c>
      <c r="E2061" s="21"/>
      <c r="F2061" s="21" t="s">
        <v>10438</v>
      </c>
      <c r="G2061" s="21"/>
      <c r="H2061" s="54">
        <v>249</v>
      </c>
      <c r="I2061" s="51"/>
      <c r="J2061" s="27"/>
      <c r="K2061" s="27"/>
      <c r="L2061" s="15"/>
      <c r="M2061" s="15"/>
      <c r="N2061" s="4"/>
      <c r="O2061" s="4">
        <v>87</v>
      </c>
    </row>
    <row r="2062" spans="1:15" x14ac:dyDescent="0.2">
      <c r="A2062" s="2">
        <v>40006580</v>
      </c>
      <c r="B2062" s="2" t="s">
        <v>1917</v>
      </c>
      <c r="C2062" s="5" t="s">
        <v>7625</v>
      </c>
      <c r="D2062" s="21">
        <v>2</v>
      </c>
      <c r="E2062" s="21"/>
      <c r="F2062" s="21" t="s">
        <v>10438</v>
      </c>
      <c r="G2062" s="21"/>
      <c r="H2062" s="54">
        <v>94</v>
      </c>
      <c r="I2062" s="51"/>
      <c r="J2062" s="27"/>
      <c r="K2062" s="27"/>
      <c r="L2062" s="15"/>
      <c r="M2062" s="15"/>
      <c r="N2062" s="4" t="s">
        <v>4630</v>
      </c>
      <c r="O2062" s="4"/>
    </row>
    <row r="2063" spans="1:15" x14ac:dyDescent="0.2">
      <c r="A2063" s="2">
        <v>40006594</v>
      </c>
      <c r="B2063" s="2" t="s">
        <v>1931</v>
      </c>
      <c r="C2063" s="5" t="s">
        <v>7639</v>
      </c>
      <c r="D2063" s="21">
        <v>3</v>
      </c>
      <c r="E2063" s="21"/>
      <c r="F2063" s="21" t="s">
        <v>10438</v>
      </c>
      <c r="G2063" s="21"/>
      <c r="H2063" s="54">
        <v>102</v>
      </c>
      <c r="I2063" s="51"/>
      <c r="J2063" s="27"/>
      <c r="K2063" s="27"/>
      <c r="L2063" s="15"/>
      <c r="M2063" s="15"/>
      <c r="N2063" s="4" t="s">
        <v>4630</v>
      </c>
      <c r="O2063" s="4"/>
    </row>
    <row r="2064" spans="1:15" x14ac:dyDescent="0.2">
      <c r="A2064" s="2">
        <v>40008299</v>
      </c>
      <c r="B2064" s="2" t="s">
        <v>3409</v>
      </c>
      <c r="C2064" s="5" t="s">
        <v>9102</v>
      </c>
      <c r="D2064" s="21">
        <v>1</v>
      </c>
      <c r="E2064" s="21"/>
      <c r="F2064" s="21" t="s">
        <v>10438</v>
      </c>
      <c r="G2064" s="21"/>
      <c r="H2064" s="54">
        <v>106</v>
      </c>
      <c r="I2064" s="51"/>
      <c r="J2064" s="27"/>
      <c r="K2064" s="27"/>
      <c r="L2064" s="15"/>
      <c r="M2064" s="15"/>
      <c r="N2064" s="4"/>
      <c r="O2064" s="4" t="s">
        <v>10157</v>
      </c>
    </row>
    <row r="2065" spans="1:15" x14ac:dyDescent="0.2">
      <c r="A2065" s="2">
        <v>40005680</v>
      </c>
      <c r="B2065" s="2" t="s">
        <v>1114</v>
      </c>
      <c r="C2065" s="5" t="s">
        <v>6832</v>
      </c>
      <c r="D2065" s="21">
        <v>22</v>
      </c>
      <c r="E2065" s="21"/>
      <c r="F2065" s="21" t="s">
        <v>10438</v>
      </c>
      <c r="G2065" s="21"/>
      <c r="H2065" s="54">
        <v>1</v>
      </c>
      <c r="I2065" s="51"/>
      <c r="J2065" s="27"/>
      <c r="K2065" s="27"/>
      <c r="L2065" s="15"/>
      <c r="M2065" s="15"/>
      <c r="N2065" s="4" t="s">
        <v>3993</v>
      </c>
      <c r="O2065" s="4"/>
    </row>
    <row r="2066" spans="1:15" x14ac:dyDescent="0.2">
      <c r="A2066" s="2">
        <v>40006424</v>
      </c>
      <c r="B2066" s="2" t="s">
        <v>1783</v>
      </c>
      <c r="C2066" s="5" t="s">
        <v>7492</v>
      </c>
      <c r="D2066" s="21">
        <v>1</v>
      </c>
      <c r="E2066" s="21"/>
      <c r="F2066" s="21" t="s">
        <v>10438</v>
      </c>
      <c r="G2066" s="21"/>
      <c r="H2066" s="54">
        <v>6</v>
      </c>
      <c r="I2066" s="51"/>
      <c r="J2066" s="27"/>
      <c r="K2066" s="27"/>
      <c r="L2066" s="15"/>
      <c r="M2066" s="15"/>
      <c r="N2066" s="4" t="s">
        <v>4504</v>
      </c>
      <c r="O2066" s="4"/>
    </row>
    <row r="2067" spans="1:15" x14ac:dyDescent="0.2">
      <c r="A2067" s="2">
        <v>40005573</v>
      </c>
      <c r="B2067" s="2" t="s">
        <v>1025</v>
      </c>
      <c r="C2067" s="5" t="s">
        <v>6750</v>
      </c>
      <c r="D2067" s="21">
        <v>1</v>
      </c>
      <c r="E2067" s="21"/>
      <c r="F2067" s="21" t="s">
        <v>10438</v>
      </c>
      <c r="G2067" s="21"/>
      <c r="H2067" s="54">
        <v>4</v>
      </c>
      <c r="I2067" s="51"/>
      <c r="J2067" s="27"/>
      <c r="K2067" s="27"/>
      <c r="L2067" s="15"/>
      <c r="M2067" s="15"/>
      <c r="N2067" s="4" t="s">
        <v>4151</v>
      </c>
      <c r="O2067" s="4"/>
    </row>
    <row r="2068" spans="1:15" x14ac:dyDescent="0.2">
      <c r="A2068" s="2">
        <v>40007219</v>
      </c>
      <c r="B2068" s="2" t="s">
        <v>3918</v>
      </c>
      <c r="C2068" s="5" t="s">
        <v>8179</v>
      </c>
      <c r="D2068" s="21">
        <v>15</v>
      </c>
      <c r="E2068" s="21"/>
      <c r="F2068" s="21" t="s">
        <v>10438</v>
      </c>
      <c r="G2068" s="21"/>
      <c r="H2068" s="54">
        <v>4</v>
      </c>
      <c r="I2068" s="51"/>
      <c r="J2068" s="27"/>
      <c r="K2068" s="27"/>
      <c r="L2068" s="15"/>
      <c r="M2068" s="15"/>
      <c r="N2068" s="4" t="s">
        <v>4514</v>
      </c>
      <c r="O2068" s="4"/>
    </row>
    <row r="2069" spans="1:15" x14ac:dyDescent="0.2">
      <c r="A2069" s="2">
        <v>40006137</v>
      </c>
      <c r="B2069" s="2" t="s">
        <v>1528</v>
      </c>
      <c r="C2069" s="5" t="s">
        <v>7232</v>
      </c>
      <c r="D2069" s="21">
        <v>1</v>
      </c>
      <c r="E2069" s="21"/>
      <c r="F2069" s="21" t="s">
        <v>10438</v>
      </c>
      <c r="G2069" s="21"/>
      <c r="H2069" s="54">
        <v>1</v>
      </c>
      <c r="I2069" s="51"/>
      <c r="J2069" s="27"/>
      <c r="K2069" s="27"/>
      <c r="L2069" s="15"/>
      <c r="M2069" s="15"/>
      <c r="N2069" s="4" t="s">
        <v>4436</v>
      </c>
      <c r="O2069" s="4"/>
    </row>
    <row r="2070" spans="1:15" x14ac:dyDescent="0.2">
      <c r="A2070" s="2">
        <v>40006119</v>
      </c>
      <c r="B2070" s="2" t="s">
        <v>1510</v>
      </c>
      <c r="C2070" s="5" t="s">
        <v>7215</v>
      </c>
      <c r="D2070" s="21">
        <v>15</v>
      </c>
      <c r="E2070" s="21"/>
      <c r="F2070" s="21" t="s">
        <v>10438</v>
      </c>
      <c r="G2070" s="21"/>
      <c r="H2070" s="54">
        <v>5</v>
      </c>
      <c r="I2070" s="51"/>
      <c r="J2070" s="27"/>
      <c r="K2070" s="27"/>
      <c r="L2070" s="15"/>
      <c r="M2070" s="15"/>
      <c r="N2070" s="4" t="s">
        <v>4426</v>
      </c>
      <c r="O2070" s="4"/>
    </row>
    <row r="2071" spans="1:15" x14ac:dyDescent="0.2">
      <c r="A2071" s="2">
        <v>40006130</v>
      </c>
      <c r="B2071" s="2" t="s">
        <v>1521</v>
      </c>
      <c r="C2071" s="5" t="s">
        <v>5325</v>
      </c>
      <c r="D2071" s="21">
        <v>11</v>
      </c>
      <c r="E2071" s="21"/>
      <c r="F2071" s="21" t="s">
        <v>10438</v>
      </c>
      <c r="G2071" s="21"/>
      <c r="H2071" s="54">
        <v>3</v>
      </c>
      <c r="I2071" s="51"/>
      <c r="J2071" s="27"/>
      <c r="K2071" s="27"/>
      <c r="L2071" s="15"/>
      <c r="M2071" s="15">
        <v>2</v>
      </c>
      <c r="N2071" s="4" t="s">
        <v>4433</v>
      </c>
      <c r="O2071" s="4"/>
    </row>
    <row r="2072" spans="1:15" x14ac:dyDescent="0.2">
      <c r="A2072" s="2">
        <v>40006105</v>
      </c>
      <c r="B2072" s="2" t="s">
        <v>1496</v>
      </c>
      <c r="C2072" s="5" t="s">
        <v>7202</v>
      </c>
      <c r="D2072" s="21">
        <v>58</v>
      </c>
      <c r="E2072" s="21"/>
      <c r="F2072" s="21" t="s">
        <v>10438</v>
      </c>
      <c r="G2072" s="21"/>
      <c r="H2072" s="54">
        <v>5</v>
      </c>
      <c r="I2072" s="51"/>
      <c r="J2072" s="27"/>
      <c r="K2072" s="27"/>
      <c r="L2072" s="15"/>
      <c r="M2072" s="15"/>
      <c r="N2072" s="4" t="s">
        <v>4416</v>
      </c>
      <c r="O2072" s="4"/>
    </row>
    <row r="2073" spans="1:15" x14ac:dyDescent="0.2">
      <c r="A2073" s="2">
        <v>40006106</v>
      </c>
      <c r="B2073" s="2" t="s">
        <v>1497</v>
      </c>
      <c r="C2073" s="5" t="s">
        <v>7203</v>
      </c>
      <c r="D2073" s="21">
        <v>7</v>
      </c>
      <c r="E2073" s="21"/>
      <c r="F2073" s="21" t="s">
        <v>10438</v>
      </c>
      <c r="G2073" s="21"/>
      <c r="H2073" s="54">
        <v>4</v>
      </c>
      <c r="I2073" s="51"/>
      <c r="J2073" s="27"/>
      <c r="K2073" s="27"/>
      <c r="L2073" s="15"/>
      <c r="M2073" s="15">
        <v>5</v>
      </c>
      <c r="N2073" s="4" t="s">
        <v>4417</v>
      </c>
      <c r="O2073" s="4"/>
    </row>
    <row r="2074" spans="1:15" x14ac:dyDescent="0.2">
      <c r="A2074" s="2">
        <v>40006107</v>
      </c>
      <c r="B2074" s="2" t="s">
        <v>1498</v>
      </c>
      <c r="C2074" s="5" t="s">
        <v>7204</v>
      </c>
      <c r="D2074" s="21"/>
      <c r="E2074" s="21"/>
      <c r="F2074" s="21" t="s">
        <v>10438</v>
      </c>
      <c r="G2074" s="21"/>
      <c r="H2074" s="54">
        <v>6</v>
      </c>
      <c r="I2074" s="51"/>
      <c r="J2074" s="27"/>
      <c r="K2074" s="27"/>
      <c r="L2074" s="15"/>
      <c r="M2074" s="15"/>
      <c r="N2074" s="4" t="s">
        <v>4092</v>
      </c>
      <c r="O2074" s="4"/>
    </row>
    <row r="2075" spans="1:15" x14ac:dyDescent="0.2">
      <c r="A2075" s="2">
        <v>40007921</v>
      </c>
      <c r="B2075" s="2" t="s">
        <v>3076</v>
      </c>
      <c r="C2075" s="5" t="s">
        <v>8767</v>
      </c>
      <c r="D2075" s="21">
        <v>17</v>
      </c>
      <c r="E2075" s="21"/>
      <c r="F2075" s="21" t="s">
        <v>10438</v>
      </c>
      <c r="G2075" s="21"/>
      <c r="H2075" s="54">
        <v>68</v>
      </c>
      <c r="I2075" s="51"/>
      <c r="J2075" s="27"/>
      <c r="K2075" s="27"/>
      <c r="L2075" s="15"/>
      <c r="M2075" s="15"/>
      <c r="N2075" s="4" t="s">
        <v>5128</v>
      </c>
      <c r="O2075" s="4"/>
    </row>
    <row r="2076" spans="1:15" x14ac:dyDescent="0.2">
      <c r="A2076" s="2">
        <v>40006276</v>
      </c>
      <c r="B2076" s="2" t="s">
        <v>1650</v>
      </c>
      <c r="C2076" s="5" t="s">
        <v>7357</v>
      </c>
      <c r="D2076" s="21">
        <v>1</v>
      </c>
      <c r="E2076" s="21"/>
      <c r="F2076" s="21" t="s">
        <v>10438</v>
      </c>
      <c r="G2076" s="21"/>
      <c r="H2076" s="54">
        <v>870</v>
      </c>
      <c r="I2076" s="51"/>
      <c r="J2076" s="27"/>
      <c r="K2076" s="27"/>
      <c r="L2076" s="15"/>
      <c r="M2076" s="15"/>
      <c r="N2076" s="4"/>
      <c r="O2076" s="4" t="s">
        <v>10236</v>
      </c>
    </row>
    <row r="2077" spans="1:15" x14ac:dyDescent="0.2">
      <c r="A2077" s="2">
        <v>10018661</v>
      </c>
      <c r="B2077" s="2" t="s">
        <v>259</v>
      </c>
      <c r="C2077" s="5" t="s">
        <v>5827</v>
      </c>
      <c r="D2077" s="21">
        <v>10</v>
      </c>
      <c r="E2077" s="21"/>
      <c r="F2077" s="30" t="s">
        <v>10438</v>
      </c>
      <c r="G2077" s="21"/>
      <c r="H2077" s="54">
        <v>955</v>
      </c>
      <c r="I2077" s="51">
        <v>880</v>
      </c>
      <c r="J2077" s="27">
        <v>32</v>
      </c>
      <c r="K2077" s="27"/>
      <c r="L2077" s="15">
        <v>30</v>
      </c>
      <c r="M2077" s="15">
        <v>30</v>
      </c>
      <c r="N2077" s="4" t="s">
        <v>3934</v>
      </c>
      <c r="O2077" s="4" t="s">
        <v>10452</v>
      </c>
    </row>
    <row r="2078" spans="1:15" x14ac:dyDescent="0.2">
      <c r="A2078" s="2">
        <v>10018586</v>
      </c>
      <c r="B2078" s="2" t="s">
        <v>225</v>
      </c>
      <c r="C2078" s="5" t="s">
        <v>5786</v>
      </c>
      <c r="D2078" s="21">
        <v>4</v>
      </c>
      <c r="E2078" s="21"/>
      <c r="F2078" s="21" t="s">
        <v>10438</v>
      </c>
      <c r="G2078" s="21"/>
      <c r="H2078" s="54">
        <v>2095</v>
      </c>
      <c r="I2078" s="51">
        <v>1930</v>
      </c>
      <c r="J2078" s="27"/>
      <c r="K2078" s="27"/>
      <c r="L2078" s="15"/>
      <c r="M2078" s="15">
        <v>15</v>
      </c>
      <c r="N2078" s="4" t="s">
        <v>3934</v>
      </c>
      <c r="O2078" s="4" t="s">
        <v>10449</v>
      </c>
    </row>
    <row r="2079" spans="1:15" x14ac:dyDescent="0.2">
      <c r="A2079" s="2">
        <v>10019162</v>
      </c>
      <c r="B2079" s="2" t="s">
        <v>450</v>
      </c>
      <c r="C2079" s="5" t="s">
        <v>6056</v>
      </c>
      <c r="D2079" s="21">
        <v>13</v>
      </c>
      <c r="E2079" s="21"/>
      <c r="F2079" s="21" t="s">
        <v>10438</v>
      </c>
      <c r="G2079" s="21"/>
      <c r="H2079" s="54">
        <v>148</v>
      </c>
      <c r="I2079" s="51"/>
      <c r="J2079" s="27"/>
      <c r="K2079" s="27"/>
      <c r="L2079" s="15"/>
      <c r="M2079" s="15"/>
      <c r="N2079" s="4"/>
      <c r="O2079" s="4" t="s">
        <v>10345</v>
      </c>
    </row>
    <row r="2080" spans="1:15" x14ac:dyDescent="0.2">
      <c r="A2080" s="2">
        <v>10019160</v>
      </c>
      <c r="B2080" s="2" t="s">
        <v>449</v>
      </c>
      <c r="C2080" s="5" t="s">
        <v>6055</v>
      </c>
      <c r="D2080" s="21">
        <v>8</v>
      </c>
      <c r="E2080" s="21"/>
      <c r="F2080" s="21" t="s">
        <v>10438</v>
      </c>
      <c r="G2080" s="21"/>
      <c r="H2080" s="54">
        <v>176</v>
      </c>
      <c r="I2080" s="51"/>
      <c r="J2080" s="27"/>
      <c r="K2080" s="27"/>
      <c r="L2080" s="15"/>
      <c r="M2080" s="15"/>
      <c r="N2080" s="4"/>
      <c r="O2080" s="4" t="s">
        <v>10346</v>
      </c>
    </row>
    <row r="2081" spans="1:15" x14ac:dyDescent="0.2">
      <c r="A2081" s="2">
        <v>10019164</v>
      </c>
      <c r="B2081" s="2" t="s">
        <v>451</v>
      </c>
      <c r="C2081" s="5" t="s">
        <v>6057</v>
      </c>
      <c r="D2081" s="21">
        <v>3</v>
      </c>
      <c r="E2081" s="21"/>
      <c r="F2081" s="21" t="s">
        <v>10438</v>
      </c>
      <c r="G2081" s="21"/>
      <c r="H2081" s="54">
        <v>143</v>
      </c>
      <c r="I2081" s="51"/>
      <c r="J2081" s="27"/>
      <c r="K2081" s="27"/>
      <c r="L2081" s="15"/>
      <c r="M2081" s="15"/>
      <c r="N2081" s="4">
        <v>76</v>
      </c>
      <c r="O2081" s="4"/>
    </row>
    <row r="2082" spans="1:15" x14ac:dyDescent="0.2">
      <c r="A2082" s="2">
        <v>10019156</v>
      </c>
      <c r="B2082" s="2" t="s">
        <v>447</v>
      </c>
      <c r="C2082" s="5" t="s">
        <v>6053</v>
      </c>
      <c r="D2082" s="21">
        <v>3</v>
      </c>
      <c r="E2082" s="21"/>
      <c r="F2082" s="21" t="s">
        <v>10438</v>
      </c>
      <c r="G2082" s="21"/>
      <c r="H2082" s="54">
        <v>122</v>
      </c>
      <c r="I2082" s="51"/>
      <c r="J2082" s="27"/>
      <c r="K2082" s="27"/>
      <c r="L2082" s="15"/>
      <c r="M2082" s="15"/>
      <c r="N2082" s="4"/>
      <c r="O2082" s="4" t="s">
        <v>10347</v>
      </c>
    </row>
    <row r="2083" spans="1:15" x14ac:dyDescent="0.2">
      <c r="A2083" s="2">
        <v>40005593</v>
      </c>
      <c r="B2083" s="2" t="s">
        <v>1040</v>
      </c>
      <c r="C2083" s="5" t="s">
        <v>6767</v>
      </c>
      <c r="D2083" s="21">
        <v>5</v>
      </c>
      <c r="E2083" s="21"/>
      <c r="F2083" s="21" t="s">
        <v>10438</v>
      </c>
      <c r="G2083" s="21"/>
      <c r="H2083" s="54">
        <v>2</v>
      </c>
      <c r="I2083" s="51"/>
      <c r="J2083" s="27"/>
      <c r="K2083" s="27"/>
      <c r="L2083" s="15"/>
      <c r="M2083" s="15"/>
      <c r="N2083" s="4" t="s">
        <v>4162</v>
      </c>
      <c r="O2083" s="4"/>
    </row>
    <row r="2084" spans="1:15" x14ac:dyDescent="0.2">
      <c r="A2084" s="2">
        <v>40008104</v>
      </c>
      <c r="B2084" s="2" t="s">
        <v>3231</v>
      </c>
      <c r="C2084" s="5" t="s">
        <v>8927</v>
      </c>
      <c r="D2084" s="21">
        <v>7</v>
      </c>
      <c r="E2084" s="21"/>
      <c r="F2084" s="21" t="s">
        <v>10438</v>
      </c>
      <c r="G2084" s="21"/>
      <c r="H2084" s="54">
        <v>1091</v>
      </c>
      <c r="I2084" s="51"/>
      <c r="J2084" s="27"/>
      <c r="K2084" s="27"/>
      <c r="L2084" s="15"/>
      <c r="M2084" s="15"/>
      <c r="N2084" s="4"/>
      <c r="O2084" s="4">
        <v>43</v>
      </c>
    </row>
    <row r="2085" spans="1:15" x14ac:dyDescent="0.2">
      <c r="A2085" s="2">
        <v>40007881</v>
      </c>
      <c r="B2085" s="2" t="s">
        <v>3036</v>
      </c>
      <c r="C2085" s="5">
        <v>119.654</v>
      </c>
      <c r="D2085" s="21">
        <v>6</v>
      </c>
      <c r="E2085" s="21"/>
      <c r="F2085" s="21" t="s">
        <v>10438</v>
      </c>
      <c r="G2085" s="21"/>
      <c r="H2085" s="54">
        <v>1070</v>
      </c>
      <c r="I2085" s="51"/>
      <c r="J2085" s="27"/>
      <c r="K2085" s="27"/>
      <c r="L2085" s="15"/>
      <c r="M2085" s="15"/>
      <c r="N2085" s="4"/>
      <c r="O2085" s="4" t="s">
        <v>10314</v>
      </c>
    </row>
    <row r="2086" spans="1:15" x14ac:dyDescent="0.2">
      <c r="A2086" s="2">
        <v>40007872</v>
      </c>
      <c r="B2086" s="2" t="s">
        <v>3028</v>
      </c>
      <c r="C2086" s="5">
        <v>125.723</v>
      </c>
      <c r="D2086" s="21">
        <v>3</v>
      </c>
      <c r="E2086" s="21"/>
      <c r="F2086" s="21" t="s">
        <v>10438</v>
      </c>
      <c r="G2086" s="21"/>
      <c r="H2086" s="54">
        <v>855</v>
      </c>
      <c r="I2086" s="51"/>
      <c r="J2086" s="27"/>
      <c r="K2086" s="27"/>
      <c r="L2086" s="15"/>
      <c r="M2086" s="15"/>
      <c r="N2086" s="4"/>
      <c r="O2086" s="4" t="s">
        <v>10314</v>
      </c>
    </row>
    <row r="2087" spans="1:15" x14ac:dyDescent="0.2">
      <c r="A2087" s="2">
        <v>40007875</v>
      </c>
      <c r="B2087" s="2" t="s">
        <v>3031</v>
      </c>
      <c r="C2087" s="5">
        <v>119.577</v>
      </c>
      <c r="D2087" s="21">
        <v>7</v>
      </c>
      <c r="E2087" s="21"/>
      <c r="F2087" s="21" t="s">
        <v>10438</v>
      </c>
      <c r="G2087" s="21"/>
      <c r="H2087" s="54">
        <v>298</v>
      </c>
      <c r="I2087" s="51"/>
      <c r="J2087" s="27"/>
      <c r="K2087" s="27"/>
      <c r="L2087" s="15"/>
      <c r="M2087" s="15"/>
      <c r="N2087" s="4"/>
      <c r="O2087" s="4">
        <v>91</v>
      </c>
    </row>
    <row r="2088" spans="1:15" x14ac:dyDescent="0.2">
      <c r="A2088" s="2">
        <v>40005342</v>
      </c>
      <c r="B2088" s="2" t="s">
        <v>828</v>
      </c>
      <c r="C2088" s="5" t="s">
        <v>6546</v>
      </c>
      <c r="D2088" s="21"/>
      <c r="E2088" s="21"/>
      <c r="F2088" s="30">
        <v>1</v>
      </c>
      <c r="G2088" s="21"/>
      <c r="H2088" s="54">
        <v>950</v>
      </c>
      <c r="I2088" s="51"/>
      <c r="J2088" s="27"/>
      <c r="K2088" s="27"/>
      <c r="L2088" s="15"/>
      <c r="M2088" s="15"/>
      <c r="N2088" s="4" t="s">
        <v>4060</v>
      </c>
      <c r="O2088" s="4"/>
    </row>
    <row r="2089" spans="1:15" x14ac:dyDescent="0.2">
      <c r="A2089" s="2">
        <v>40008030</v>
      </c>
      <c r="B2089" s="2" t="s">
        <v>3170</v>
      </c>
      <c r="C2089" s="5" t="s">
        <v>8864</v>
      </c>
      <c r="D2089" s="21">
        <v>9</v>
      </c>
      <c r="E2089" s="21"/>
      <c r="F2089" s="21" t="s">
        <v>10438</v>
      </c>
      <c r="G2089" s="21"/>
      <c r="H2089" s="54">
        <v>37</v>
      </c>
      <c r="I2089" s="51"/>
      <c r="J2089" s="27"/>
      <c r="K2089" s="27"/>
      <c r="L2089" s="15"/>
      <c r="M2089" s="15"/>
      <c r="N2089" s="4"/>
      <c r="O2089" s="4" t="s">
        <v>10079</v>
      </c>
    </row>
    <row r="2090" spans="1:15" x14ac:dyDescent="0.2">
      <c r="A2090" s="2">
        <v>40007585</v>
      </c>
      <c r="B2090" s="2" t="s">
        <v>2780</v>
      </c>
      <c r="C2090" s="5" t="s">
        <v>8479</v>
      </c>
      <c r="D2090" s="21">
        <v>9</v>
      </c>
      <c r="E2090" s="21"/>
      <c r="F2090" s="21" t="s">
        <v>10438</v>
      </c>
      <c r="G2090" s="21"/>
      <c r="H2090" s="54">
        <v>46</v>
      </c>
      <c r="I2090" s="51"/>
      <c r="J2090" s="27"/>
      <c r="K2090" s="27"/>
      <c r="L2090" s="15"/>
      <c r="M2090" s="15"/>
      <c r="N2090" s="4"/>
      <c r="O2090" s="4" t="s">
        <v>10118</v>
      </c>
    </row>
    <row r="2091" spans="1:15" x14ac:dyDescent="0.2">
      <c r="A2091" s="2">
        <v>40007559</v>
      </c>
      <c r="B2091" s="2" t="s">
        <v>2758</v>
      </c>
      <c r="C2091" s="5" t="s">
        <v>8459</v>
      </c>
      <c r="D2091" s="21"/>
      <c r="E2091" s="21"/>
      <c r="F2091" s="21" t="s">
        <v>10438</v>
      </c>
      <c r="G2091" s="21"/>
      <c r="H2091" s="54">
        <v>17</v>
      </c>
      <c r="I2091" s="51"/>
      <c r="J2091" s="27"/>
      <c r="K2091" s="27"/>
      <c r="L2091" s="15"/>
      <c r="M2091" s="15"/>
      <c r="N2091" s="4" t="s">
        <v>4998</v>
      </c>
      <c r="O2091" s="4"/>
    </row>
    <row r="2092" spans="1:15" x14ac:dyDescent="0.2">
      <c r="A2092" s="2">
        <v>40007343</v>
      </c>
      <c r="B2092" s="2" t="s">
        <v>2578</v>
      </c>
      <c r="C2092" s="5" t="s">
        <v>8275</v>
      </c>
      <c r="D2092" s="21">
        <v>14</v>
      </c>
      <c r="E2092" s="21"/>
      <c r="F2092" s="21" t="s">
        <v>10438</v>
      </c>
      <c r="G2092" s="21"/>
      <c r="H2092" s="54">
        <v>240</v>
      </c>
      <c r="I2092" s="51"/>
      <c r="J2092" s="27"/>
      <c r="K2092" s="27"/>
      <c r="L2092" s="15"/>
      <c r="M2092" s="15"/>
      <c r="N2092" s="4" t="s">
        <v>4923</v>
      </c>
      <c r="O2092" s="4"/>
    </row>
    <row r="2093" spans="1:15" x14ac:dyDescent="0.2">
      <c r="A2093" s="2">
        <v>40008081</v>
      </c>
      <c r="B2093" s="2" t="s">
        <v>3211</v>
      </c>
      <c r="C2093" s="5" t="s">
        <v>8907</v>
      </c>
      <c r="D2093" s="21">
        <v>2</v>
      </c>
      <c r="E2093" s="21"/>
      <c r="F2093" s="21" t="s">
        <v>10438</v>
      </c>
      <c r="G2093" s="21"/>
      <c r="H2093" s="54">
        <v>174</v>
      </c>
      <c r="I2093" s="51"/>
      <c r="J2093" s="27"/>
      <c r="K2093" s="27"/>
      <c r="L2093" s="15"/>
      <c r="M2093" s="15"/>
      <c r="N2093" s="4" t="s">
        <v>4271</v>
      </c>
      <c r="O2093" s="4"/>
    </row>
    <row r="2094" spans="1:15" x14ac:dyDescent="0.2">
      <c r="A2094" s="2">
        <v>40006460</v>
      </c>
      <c r="B2094" s="2" t="s">
        <v>1815</v>
      </c>
      <c r="C2094" s="5" t="s">
        <v>7523</v>
      </c>
      <c r="D2094" s="21">
        <v>1</v>
      </c>
      <c r="E2094" s="21"/>
      <c r="F2094" s="21" t="s">
        <v>10438</v>
      </c>
      <c r="G2094" s="21"/>
      <c r="H2094" s="54">
        <v>288</v>
      </c>
      <c r="I2094" s="51"/>
      <c r="J2094" s="27"/>
      <c r="K2094" s="27"/>
      <c r="L2094" s="15"/>
      <c r="M2094" s="15"/>
      <c r="N2094" s="4" t="s">
        <v>4608</v>
      </c>
      <c r="O2094" s="4"/>
    </row>
    <row r="2095" spans="1:15" x14ac:dyDescent="0.2">
      <c r="A2095" s="2">
        <v>40007041</v>
      </c>
      <c r="B2095" s="2" t="s">
        <v>2320</v>
      </c>
      <c r="C2095" s="5" t="s">
        <v>8030</v>
      </c>
      <c r="D2095" s="21">
        <v>15</v>
      </c>
      <c r="E2095" s="21"/>
      <c r="F2095" s="21" t="s">
        <v>10438</v>
      </c>
      <c r="G2095" s="21"/>
      <c r="H2095" s="54">
        <v>154</v>
      </c>
      <c r="I2095" s="51"/>
      <c r="J2095" s="27"/>
      <c r="K2095" s="27"/>
      <c r="L2095" s="15"/>
      <c r="M2095" s="15"/>
      <c r="N2095" s="4" t="s">
        <v>4803</v>
      </c>
      <c r="O2095" s="4" t="s">
        <v>10236</v>
      </c>
    </row>
    <row r="2096" spans="1:15" x14ac:dyDescent="0.2">
      <c r="A2096" s="2">
        <v>40007529</v>
      </c>
      <c r="B2096" s="2" t="s">
        <v>2733</v>
      </c>
      <c r="C2096" s="5" t="s">
        <v>8435</v>
      </c>
      <c r="D2096" s="21">
        <v>14</v>
      </c>
      <c r="E2096" s="21"/>
      <c r="F2096" s="21" t="s">
        <v>10438</v>
      </c>
      <c r="G2096" s="21"/>
      <c r="H2096" s="54">
        <v>82</v>
      </c>
      <c r="I2096" s="51"/>
      <c r="J2096" s="27"/>
      <c r="K2096" s="27"/>
      <c r="L2096" s="15"/>
      <c r="M2096" s="15"/>
      <c r="N2096" s="4" t="s">
        <v>5224</v>
      </c>
      <c r="O2096" s="4"/>
    </row>
    <row r="2097" spans="1:15" x14ac:dyDescent="0.2">
      <c r="A2097" s="2">
        <v>40006855</v>
      </c>
      <c r="B2097" s="2" t="s">
        <v>2153</v>
      </c>
      <c r="C2097" s="5" t="s">
        <v>7862</v>
      </c>
      <c r="D2097" s="21">
        <v>2</v>
      </c>
      <c r="E2097" s="21"/>
      <c r="F2097" s="30">
        <v>1</v>
      </c>
      <c r="G2097" s="21"/>
      <c r="H2097" s="54">
        <v>46</v>
      </c>
      <c r="I2097" s="51"/>
      <c r="J2097" s="27"/>
      <c r="K2097" s="27"/>
      <c r="L2097" s="15"/>
      <c r="M2097" s="15"/>
      <c r="N2097" s="4" t="s">
        <v>4715</v>
      </c>
      <c r="O2097" s="4"/>
    </row>
    <row r="2098" spans="1:15" x14ac:dyDescent="0.2">
      <c r="A2098" s="2">
        <v>40008132</v>
      </c>
      <c r="B2098" s="2" t="s">
        <v>3255</v>
      </c>
      <c r="C2098" s="5" t="s">
        <v>8951</v>
      </c>
      <c r="D2098" s="21">
        <v>3</v>
      </c>
      <c r="E2098" s="21"/>
      <c r="F2098" s="21" t="s">
        <v>10438</v>
      </c>
      <c r="G2098" s="21"/>
      <c r="H2098" s="54">
        <v>77</v>
      </c>
      <c r="I2098" s="51"/>
      <c r="J2098" s="27"/>
      <c r="K2098" s="27"/>
      <c r="L2098" s="15"/>
      <c r="M2098" s="15"/>
      <c r="N2098" s="4"/>
      <c r="O2098" s="4" t="s">
        <v>10168</v>
      </c>
    </row>
    <row r="2099" spans="1:15" x14ac:dyDescent="0.2">
      <c r="A2099" s="2">
        <v>40007885</v>
      </c>
      <c r="B2099" s="2" t="s">
        <v>3040</v>
      </c>
      <c r="C2099" s="5" t="s">
        <v>8733</v>
      </c>
      <c r="D2099" s="21">
        <v>11</v>
      </c>
      <c r="E2099" s="21"/>
      <c r="F2099" s="21" t="s">
        <v>10438</v>
      </c>
      <c r="G2099" s="21"/>
      <c r="H2099" s="54">
        <v>87</v>
      </c>
      <c r="I2099" s="51"/>
      <c r="J2099" s="27"/>
      <c r="K2099" s="27"/>
      <c r="L2099" s="15"/>
      <c r="M2099" s="15"/>
      <c r="N2099" s="4" t="s">
        <v>4062</v>
      </c>
      <c r="O2099" s="4"/>
    </row>
    <row r="2100" spans="1:15" x14ac:dyDescent="0.2">
      <c r="A2100" s="2">
        <v>40008078</v>
      </c>
      <c r="B2100" s="2" t="s">
        <v>3208</v>
      </c>
      <c r="C2100" s="5" t="s">
        <v>8904</v>
      </c>
      <c r="D2100" s="21">
        <v>1</v>
      </c>
      <c r="E2100" s="21"/>
      <c r="F2100" s="21" t="s">
        <v>10438</v>
      </c>
      <c r="G2100" s="21"/>
      <c r="H2100" s="54">
        <v>191</v>
      </c>
      <c r="I2100" s="51"/>
      <c r="J2100" s="27"/>
      <c r="K2100" s="27"/>
      <c r="L2100" s="15"/>
      <c r="M2100" s="15"/>
      <c r="N2100" s="4" t="s">
        <v>3936</v>
      </c>
      <c r="O2100" s="4"/>
    </row>
    <row r="2101" spans="1:15" x14ac:dyDescent="0.2">
      <c r="A2101" s="2">
        <v>40008261</v>
      </c>
      <c r="B2101" s="2" t="s">
        <v>3375</v>
      </c>
      <c r="C2101" s="5" t="s">
        <v>9067</v>
      </c>
      <c r="D2101" s="21">
        <v>1</v>
      </c>
      <c r="E2101" s="21"/>
      <c r="F2101" s="21" t="s">
        <v>10438</v>
      </c>
      <c r="G2101" s="21"/>
      <c r="H2101" s="54">
        <v>67</v>
      </c>
      <c r="I2101" s="51"/>
      <c r="J2101" s="27"/>
      <c r="K2101" s="27"/>
      <c r="L2101" s="15"/>
      <c r="M2101" s="15">
        <v>5</v>
      </c>
      <c r="N2101" s="4" t="s">
        <v>4594</v>
      </c>
      <c r="O2101" s="4"/>
    </row>
    <row r="2102" spans="1:15" x14ac:dyDescent="0.2">
      <c r="A2102" s="2">
        <v>40006783</v>
      </c>
      <c r="B2102" s="2" t="s">
        <v>2083</v>
      </c>
      <c r="C2102" s="5" t="s">
        <v>7793</v>
      </c>
      <c r="D2102" s="21">
        <v>4</v>
      </c>
      <c r="E2102" s="21"/>
      <c r="F2102" s="21" t="s">
        <v>10438</v>
      </c>
      <c r="G2102" s="21"/>
      <c r="H2102" s="54">
        <v>57</v>
      </c>
      <c r="I2102" s="51"/>
      <c r="J2102" s="27"/>
      <c r="K2102" s="27"/>
      <c r="L2102" s="15"/>
      <c r="M2102" s="15"/>
      <c r="N2102" s="4" t="s">
        <v>4663</v>
      </c>
      <c r="O2102" s="4"/>
    </row>
    <row r="2103" spans="1:15" x14ac:dyDescent="0.2">
      <c r="A2103" s="2">
        <v>40006686</v>
      </c>
      <c r="B2103" s="2" t="s">
        <v>2005</v>
      </c>
      <c r="C2103" s="5" t="s">
        <v>7714</v>
      </c>
      <c r="D2103" s="21">
        <v>9</v>
      </c>
      <c r="E2103" s="21"/>
      <c r="F2103" s="21" t="s">
        <v>10438</v>
      </c>
      <c r="G2103" s="21"/>
      <c r="H2103" s="54">
        <v>69</v>
      </c>
      <c r="I2103" s="51"/>
      <c r="J2103" s="27"/>
      <c r="K2103" s="27"/>
      <c r="L2103" s="15"/>
      <c r="M2103" s="15"/>
      <c r="N2103" s="4" t="s">
        <v>4645</v>
      </c>
      <c r="O2103" s="4"/>
    </row>
    <row r="2104" spans="1:15" x14ac:dyDescent="0.2">
      <c r="A2104" s="2">
        <v>40007063</v>
      </c>
      <c r="B2104" s="2" t="s">
        <v>2338</v>
      </c>
      <c r="C2104" s="5" t="s">
        <v>8047</v>
      </c>
      <c r="D2104" s="21">
        <v>3</v>
      </c>
      <c r="E2104" s="21"/>
      <c r="F2104" s="21" t="s">
        <v>10438</v>
      </c>
      <c r="G2104" s="21"/>
      <c r="H2104" s="54">
        <v>33</v>
      </c>
      <c r="I2104" s="51"/>
      <c r="J2104" s="27"/>
      <c r="K2104" s="27"/>
      <c r="L2104" s="15"/>
      <c r="M2104" s="15"/>
      <c r="N2104" s="4" t="s">
        <v>4814</v>
      </c>
      <c r="O2104" s="4"/>
    </row>
    <row r="2105" spans="1:15" x14ac:dyDescent="0.2">
      <c r="A2105" s="2">
        <v>40007505</v>
      </c>
      <c r="B2105" s="2" t="s">
        <v>5399</v>
      </c>
      <c r="C2105" s="5" t="s">
        <v>8416</v>
      </c>
      <c r="D2105" s="21">
        <v>2</v>
      </c>
      <c r="E2105" s="21"/>
      <c r="F2105" s="21" t="s">
        <v>10438</v>
      </c>
      <c r="G2105" s="21"/>
      <c r="H2105" s="54">
        <v>33</v>
      </c>
      <c r="I2105" s="51"/>
      <c r="J2105" s="27"/>
      <c r="K2105" s="27"/>
      <c r="L2105" s="15"/>
      <c r="M2105" s="15"/>
      <c r="N2105" s="4" t="s">
        <v>5297</v>
      </c>
      <c r="O2105" s="4"/>
    </row>
    <row r="2106" spans="1:15" x14ac:dyDescent="0.2">
      <c r="A2106" s="2">
        <v>40007115</v>
      </c>
      <c r="B2106" s="2" t="s">
        <v>2385</v>
      </c>
      <c r="C2106" s="5" t="s">
        <v>8091</v>
      </c>
      <c r="D2106" s="21">
        <v>2</v>
      </c>
      <c r="E2106" s="21"/>
      <c r="F2106" s="21" t="s">
        <v>10438</v>
      </c>
      <c r="G2106" s="21"/>
      <c r="H2106" s="54">
        <v>763</v>
      </c>
      <c r="I2106" s="51"/>
      <c r="J2106" s="27"/>
      <c r="K2106" s="27"/>
      <c r="L2106" s="15"/>
      <c r="M2106" s="15"/>
      <c r="N2106" s="4" t="s">
        <v>4267</v>
      </c>
      <c r="O2106" s="4"/>
    </row>
    <row r="2107" spans="1:15" x14ac:dyDescent="0.2">
      <c r="A2107" s="2">
        <v>40008283</v>
      </c>
      <c r="B2107" s="2" t="s">
        <v>3395</v>
      </c>
      <c r="C2107" s="5" t="s">
        <v>9087</v>
      </c>
      <c r="D2107" s="21">
        <v>22</v>
      </c>
      <c r="E2107" s="21"/>
      <c r="F2107" s="21" t="s">
        <v>10438</v>
      </c>
      <c r="G2107" s="21"/>
      <c r="H2107" s="54">
        <v>41</v>
      </c>
      <c r="I2107" s="51"/>
      <c r="J2107" s="27"/>
      <c r="K2107" s="27"/>
      <c r="L2107" s="15"/>
      <c r="M2107" s="15"/>
      <c r="N2107" s="4" t="s">
        <v>4197</v>
      </c>
      <c r="O2107" s="4" t="s">
        <v>10136</v>
      </c>
    </row>
    <row r="2108" spans="1:15" x14ac:dyDescent="0.2">
      <c r="A2108" s="2">
        <v>40006470</v>
      </c>
      <c r="B2108" s="2" t="s">
        <v>1823</v>
      </c>
      <c r="C2108" s="5" t="s">
        <v>7531</v>
      </c>
      <c r="D2108" s="21">
        <v>11</v>
      </c>
      <c r="E2108" s="21"/>
      <c r="F2108" s="21" t="s">
        <v>10438</v>
      </c>
      <c r="G2108" s="21"/>
      <c r="H2108" s="54">
        <v>351</v>
      </c>
      <c r="I2108" s="51"/>
      <c r="J2108" s="27"/>
      <c r="K2108" s="27"/>
      <c r="L2108" s="15"/>
      <c r="M2108" s="15"/>
      <c r="N2108" s="4" t="s">
        <v>10722</v>
      </c>
      <c r="O2108" s="4" t="s">
        <v>10161</v>
      </c>
    </row>
    <row r="2109" spans="1:15" x14ac:dyDescent="0.2">
      <c r="A2109" s="2">
        <v>40006618</v>
      </c>
      <c r="B2109" s="2" t="s">
        <v>1954</v>
      </c>
      <c r="C2109" s="5" t="s">
        <v>7663</v>
      </c>
      <c r="D2109" s="21">
        <v>1</v>
      </c>
      <c r="E2109" s="21"/>
      <c r="F2109" s="21" t="s">
        <v>10438</v>
      </c>
      <c r="G2109" s="21"/>
      <c r="H2109" s="54">
        <v>89</v>
      </c>
      <c r="I2109" s="51"/>
      <c r="J2109" s="27"/>
      <c r="K2109" s="27"/>
      <c r="L2109" s="15"/>
      <c r="M2109" s="15"/>
      <c r="N2109" s="4"/>
      <c r="O2109" s="4" t="s">
        <v>4410</v>
      </c>
    </row>
    <row r="2110" spans="1:15" x14ac:dyDescent="0.2">
      <c r="A2110" s="2">
        <v>40006473</v>
      </c>
      <c r="B2110" s="2" t="s">
        <v>1826</v>
      </c>
      <c r="C2110" s="5" t="s">
        <v>7534</v>
      </c>
      <c r="D2110" s="21">
        <v>27</v>
      </c>
      <c r="E2110" s="21"/>
      <c r="F2110" s="21" t="s">
        <v>10438</v>
      </c>
      <c r="G2110" s="21"/>
      <c r="H2110" s="54">
        <v>72</v>
      </c>
      <c r="I2110" s="51"/>
      <c r="J2110" s="27"/>
      <c r="K2110" s="27"/>
      <c r="L2110" s="15"/>
      <c r="M2110" s="15"/>
      <c r="N2110" s="4" t="s">
        <v>4612</v>
      </c>
      <c r="O2110" s="4" t="s">
        <v>10101</v>
      </c>
    </row>
    <row r="2111" spans="1:15" x14ac:dyDescent="0.2">
      <c r="A2111" s="2">
        <v>40007398</v>
      </c>
      <c r="B2111" s="2" t="s">
        <v>2624</v>
      </c>
      <c r="C2111" s="5" t="s">
        <v>8322</v>
      </c>
      <c r="D2111" s="21">
        <v>22</v>
      </c>
      <c r="E2111" s="21"/>
      <c r="F2111" s="21" t="s">
        <v>10438</v>
      </c>
      <c r="G2111" s="21"/>
      <c r="H2111" s="54">
        <v>194</v>
      </c>
      <c r="I2111" s="51"/>
      <c r="J2111" s="27"/>
      <c r="K2111" s="27"/>
      <c r="L2111" s="15"/>
      <c r="M2111" s="15"/>
      <c r="N2111" s="4" t="s">
        <v>4942</v>
      </c>
      <c r="O2111" s="4" t="s">
        <v>10123</v>
      </c>
    </row>
    <row r="2112" spans="1:15" x14ac:dyDescent="0.2">
      <c r="A2112" s="2">
        <v>40005827</v>
      </c>
      <c r="B2112" s="2" t="s">
        <v>1247</v>
      </c>
      <c r="C2112" s="5" t="s">
        <v>6959</v>
      </c>
      <c r="D2112" s="21">
        <v>10</v>
      </c>
      <c r="E2112" s="21"/>
      <c r="F2112" s="21" t="s">
        <v>10438</v>
      </c>
      <c r="G2112" s="21"/>
      <c r="H2112" s="54">
        <v>36</v>
      </c>
      <c r="I2112" s="51"/>
      <c r="J2112" s="27"/>
      <c r="K2112" s="27"/>
      <c r="L2112" s="15"/>
      <c r="M2112" s="15"/>
      <c r="N2112" s="4" t="s">
        <v>4282</v>
      </c>
      <c r="O2112" s="4"/>
    </row>
    <row r="2113" spans="1:15" x14ac:dyDescent="0.2">
      <c r="A2113" s="2">
        <v>40006476</v>
      </c>
      <c r="B2113" s="2" t="s">
        <v>1829</v>
      </c>
      <c r="C2113" s="5" t="s">
        <v>7537</v>
      </c>
      <c r="D2113" s="21">
        <v>5</v>
      </c>
      <c r="E2113" s="21"/>
      <c r="F2113" s="21" t="s">
        <v>10438</v>
      </c>
      <c r="G2113" s="21"/>
      <c r="H2113" s="54">
        <v>65</v>
      </c>
      <c r="I2113" s="51"/>
      <c r="J2113" s="27"/>
      <c r="K2113" s="27"/>
      <c r="L2113" s="15"/>
      <c r="M2113" s="15"/>
      <c r="N2113" s="4" t="s">
        <v>4613</v>
      </c>
      <c r="O2113" s="4"/>
    </row>
    <row r="2114" spans="1:15" x14ac:dyDescent="0.2">
      <c r="A2114" s="2">
        <v>40011211</v>
      </c>
      <c r="B2114" s="2" t="s">
        <v>3778</v>
      </c>
      <c r="C2114" s="5" t="s">
        <v>9355</v>
      </c>
      <c r="D2114" s="21">
        <v>6</v>
      </c>
      <c r="E2114" s="21"/>
      <c r="F2114" s="21" t="s">
        <v>10438</v>
      </c>
      <c r="G2114" s="21"/>
      <c r="H2114" s="54">
        <v>50</v>
      </c>
      <c r="I2114" s="51"/>
      <c r="J2114" s="27"/>
      <c r="K2114" s="27"/>
      <c r="L2114" s="15"/>
      <c r="M2114" s="15"/>
      <c r="N2114" s="4" t="s">
        <v>4258</v>
      </c>
      <c r="O2114" s="4"/>
    </row>
    <row r="2115" spans="1:15" x14ac:dyDescent="0.2">
      <c r="A2115" s="2">
        <v>40007702</v>
      </c>
      <c r="B2115" s="2" t="s">
        <v>2878</v>
      </c>
      <c r="C2115" s="5" t="s">
        <v>8576</v>
      </c>
      <c r="D2115" s="21">
        <v>5</v>
      </c>
      <c r="E2115" s="21"/>
      <c r="F2115" s="21" t="s">
        <v>10438</v>
      </c>
      <c r="G2115" s="21"/>
      <c r="H2115" s="54">
        <v>95</v>
      </c>
      <c r="I2115" s="51"/>
      <c r="J2115" s="27"/>
      <c r="K2115" s="27"/>
      <c r="L2115" s="15"/>
      <c r="M2115" s="15"/>
      <c r="N2115" s="4" t="s">
        <v>5039</v>
      </c>
      <c r="O2115" s="4"/>
    </row>
    <row r="2116" spans="1:15" x14ac:dyDescent="0.2">
      <c r="A2116" s="2">
        <v>40008281</v>
      </c>
      <c r="B2116" s="2" t="s">
        <v>3393</v>
      </c>
      <c r="C2116" s="5" t="s">
        <v>9085</v>
      </c>
      <c r="D2116" s="21">
        <v>7</v>
      </c>
      <c r="E2116" s="21"/>
      <c r="F2116" s="21" t="s">
        <v>10438</v>
      </c>
      <c r="G2116" s="21"/>
      <c r="H2116" s="54">
        <v>265</v>
      </c>
      <c r="I2116" s="51"/>
      <c r="J2116" s="27"/>
      <c r="K2116" s="27"/>
      <c r="L2116" s="15"/>
      <c r="M2116" s="15"/>
      <c r="N2116" s="4" t="s">
        <v>5231</v>
      </c>
      <c r="O2116" s="4"/>
    </row>
    <row r="2117" spans="1:15" x14ac:dyDescent="0.2">
      <c r="A2117" s="2">
        <v>40008279</v>
      </c>
      <c r="B2117" s="2" t="s">
        <v>3391</v>
      </c>
      <c r="C2117" s="5" t="s">
        <v>9083</v>
      </c>
      <c r="D2117" s="21">
        <v>7</v>
      </c>
      <c r="E2117" s="21"/>
      <c r="F2117" s="21" t="s">
        <v>10438</v>
      </c>
      <c r="G2117" s="21"/>
      <c r="H2117" s="54">
        <v>154</v>
      </c>
      <c r="I2117" s="51"/>
      <c r="J2117" s="27"/>
      <c r="K2117" s="27"/>
      <c r="L2117" s="15"/>
      <c r="M2117" s="15"/>
      <c r="N2117" s="4" t="s">
        <v>4248</v>
      </c>
      <c r="O2117" s="4" t="s">
        <v>10100</v>
      </c>
    </row>
    <row r="2118" spans="1:15" x14ac:dyDescent="0.2">
      <c r="A2118" s="2">
        <v>40008277</v>
      </c>
      <c r="B2118" s="2" t="s">
        <v>3389</v>
      </c>
      <c r="C2118" s="5" t="s">
        <v>9081</v>
      </c>
      <c r="D2118" s="21">
        <v>6</v>
      </c>
      <c r="E2118" s="21"/>
      <c r="F2118" s="21" t="s">
        <v>10438</v>
      </c>
      <c r="G2118" s="21"/>
      <c r="H2118" s="54">
        <v>225</v>
      </c>
      <c r="I2118" s="51"/>
      <c r="J2118" s="27"/>
      <c r="K2118" s="27"/>
      <c r="L2118" s="15"/>
      <c r="M2118" s="15"/>
      <c r="N2118" s="4"/>
      <c r="O2118" s="4" t="s">
        <v>10119</v>
      </c>
    </row>
    <row r="2119" spans="1:15" x14ac:dyDescent="0.2">
      <c r="A2119" s="2">
        <v>40005932</v>
      </c>
      <c r="B2119" s="2" t="s">
        <v>1341</v>
      </c>
      <c r="C2119" s="5" t="s">
        <v>7047</v>
      </c>
      <c r="D2119" s="21">
        <v>3</v>
      </c>
      <c r="E2119" s="21"/>
      <c r="F2119" s="21" t="s">
        <v>10438</v>
      </c>
      <c r="G2119" s="21"/>
      <c r="H2119" s="54">
        <v>36</v>
      </c>
      <c r="I2119" s="51"/>
      <c r="J2119" s="27"/>
      <c r="K2119" s="27"/>
      <c r="L2119" s="15"/>
      <c r="M2119" s="15"/>
      <c r="N2119" s="4"/>
      <c r="O2119" s="4" t="s">
        <v>10077</v>
      </c>
    </row>
    <row r="2120" spans="1:15" x14ac:dyDescent="0.2">
      <c r="A2120" s="2">
        <v>40007966</v>
      </c>
      <c r="B2120" s="2" t="s">
        <v>3115</v>
      </c>
      <c r="C2120" s="5" t="s">
        <v>8810</v>
      </c>
      <c r="D2120" s="21">
        <v>8</v>
      </c>
      <c r="E2120" s="21"/>
      <c r="F2120" s="21" t="s">
        <v>10438</v>
      </c>
      <c r="G2120" s="21"/>
      <c r="H2120" s="54">
        <v>85</v>
      </c>
      <c r="I2120" s="51"/>
      <c r="J2120" s="27"/>
      <c r="K2120" s="27"/>
      <c r="L2120" s="15"/>
      <c r="M2120" s="15"/>
      <c r="N2120" s="4" t="s">
        <v>5151</v>
      </c>
      <c r="O2120" s="4"/>
    </row>
    <row r="2121" spans="1:15" x14ac:dyDescent="0.2">
      <c r="A2121" s="2">
        <v>40006850</v>
      </c>
      <c r="B2121" s="2" t="s">
        <v>2148</v>
      </c>
      <c r="C2121" s="5" t="s">
        <v>7857</v>
      </c>
      <c r="D2121" s="21">
        <v>3</v>
      </c>
      <c r="E2121" s="21"/>
      <c r="F2121" s="21" t="s">
        <v>10438</v>
      </c>
      <c r="G2121" s="21"/>
      <c r="H2121" s="54">
        <v>43</v>
      </c>
      <c r="I2121" s="51"/>
      <c r="J2121" s="27"/>
      <c r="K2121" s="27"/>
      <c r="L2121" s="15"/>
      <c r="M2121" s="15"/>
      <c r="N2121" s="4" t="s">
        <v>4710</v>
      </c>
      <c r="O2121" s="4"/>
    </row>
    <row r="2122" spans="1:15" x14ac:dyDescent="0.2">
      <c r="A2122" s="2">
        <v>40007331</v>
      </c>
      <c r="B2122" s="2" t="s">
        <v>2571</v>
      </c>
      <c r="C2122" s="5" t="s">
        <v>8265</v>
      </c>
      <c r="D2122" s="21">
        <v>61</v>
      </c>
      <c r="E2122" s="21"/>
      <c r="F2122" s="21" t="s">
        <v>10438</v>
      </c>
      <c r="G2122" s="21"/>
      <c r="H2122" s="54">
        <v>63</v>
      </c>
      <c r="I2122" s="51"/>
      <c r="J2122" s="27"/>
      <c r="K2122" s="27"/>
      <c r="L2122" s="15"/>
      <c r="M2122" s="15"/>
      <c r="N2122" s="4" t="s">
        <v>4920</v>
      </c>
      <c r="O2122" s="4" t="s">
        <v>10121</v>
      </c>
    </row>
    <row r="2123" spans="1:15" x14ac:dyDescent="0.2">
      <c r="A2123" s="2">
        <v>40007688</v>
      </c>
      <c r="B2123" s="2" t="s">
        <v>2866</v>
      </c>
      <c r="C2123" s="5" t="s">
        <v>8565</v>
      </c>
      <c r="D2123" s="21">
        <v>7</v>
      </c>
      <c r="E2123" s="21"/>
      <c r="F2123" s="21" t="s">
        <v>10438</v>
      </c>
      <c r="G2123" s="21"/>
      <c r="H2123" s="54">
        <v>143</v>
      </c>
      <c r="I2123" s="51"/>
      <c r="J2123" s="27"/>
      <c r="K2123" s="27"/>
      <c r="L2123" s="15"/>
      <c r="M2123" s="15"/>
      <c r="N2123" s="4" t="s">
        <v>4195</v>
      </c>
      <c r="O2123" s="4" t="s">
        <v>10114</v>
      </c>
    </row>
    <row r="2124" spans="1:15" x14ac:dyDescent="0.2">
      <c r="A2124" s="2">
        <v>40006896</v>
      </c>
      <c r="B2124" s="2" t="s">
        <v>2191</v>
      </c>
      <c r="C2124" s="5" t="s">
        <v>7900</v>
      </c>
      <c r="D2124" s="21">
        <v>20</v>
      </c>
      <c r="E2124" s="21"/>
      <c r="F2124" s="21" t="s">
        <v>10438</v>
      </c>
      <c r="G2124" s="21"/>
      <c r="H2124" s="54">
        <v>194</v>
      </c>
      <c r="I2124" s="51"/>
      <c r="J2124" s="27"/>
      <c r="K2124" s="27"/>
      <c r="L2124" s="15"/>
      <c r="M2124" s="15"/>
      <c r="N2124" s="4" t="s">
        <v>4166</v>
      </c>
      <c r="O2124" s="4" t="s">
        <v>10188</v>
      </c>
    </row>
    <row r="2125" spans="1:15" x14ac:dyDescent="0.2">
      <c r="A2125" s="2">
        <v>40007569</v>
      </c>
      <c r="B2125" s="2" t="s">
        <v>2765</v>
      </c>
      <c r="C2125" s="5" t="s">
        <v>8466</v>
      </c>
      <c r="D2125" s="21">
        <v>9</v>
      </c>
      <c r="E2125" s="21"/>
      <c r="F2125" s="21" t="s">
        <v>10438</v>
      </c>
      <c r="G2125" s="21"/>
      <c r="H2125" s="54">
        <v>474</v>
      </c>
      <c r="I2125" s="51"/>
      <c r="J2125" s="27"/>
      <c r="K2125" s="27"/>
      <c r="L2125" s="15"/>
      <c r="M2125" s="15"/>
      <c r="N2125" s="4"/>
      <c r="O2125" s="4" t="s">
        <v>10151</v>
      </c>
    </row>
    <row r="2126" spans="1:15" x14ac:dyDescent="0.2">
      <c r="A2126" s="2">
        <v>40007085</v>
      </c>
      <c r="B2126" s="2" t="s">
        <v>2358</v>
      </c>
      <c r="C2126" s="5" t="s">
        <v>8065</v>
      </c>
      <c r="D2126" s="21">
        <v>27</v>
      </c>
      <c r="E2126" s="21"/>
      <c r="F2126" s="21" t="s">
        <v>10438</v>
      </c>
      <c r="G2126" s="21"/>
      <c r="H2126" s="54">
        <v>184</v>
      </c>
      <c r="I2126" s="51"/>
      <c r="J2126" s="27"/>
      <c r="K2126" s="27"/>
      <c r="L2126" s="15"/>
      <c r="M2126" s="15"/>
      <c r="N2126" s="4"/>
      <c r="O2126" s="4" t="s">
        <v>10139</v>
      </c>
    </row>
    <row r="2127" spans="1:15" x14ac:dyDescent="0.2">
      <c r="A2127" s="2">
        <v>40007407</v>
      </c>
      <c r="B2127" s="2" t="s">
        <v>2632</v>
      </c>
      <c r="C2127" s="5" t="s">
        <v>8331</v>
      </c>
      <c r="D2127" s="21">
        <v>4</v>
      </c>
      <c r="E2127" s="21"/>
      <c r="F2127" s="21" t="s">
        <v>10438</v>
      </c>
      <c r="G2127" s="21"/>
      <c r="H2127" s="54">
        <v>314</v>
      </c>
      <c r="I2127" s="51"/>
      <c r="J2127" s="27"/>
      <c r="K2127" s="27"/>
      <c r="L2127" s="15"/>
      <c r="M2127" s="15"/>
      <c r="N2127" s="4" t="s">
        <v>4947</v>
      </c>
      <c r="O2127" s="4"/>
    </row>
    <row r="2128" spans="1:15" x14ac:dyDescent="0.2">
      <c r="A2128" s="2">
        <v>40007682</v>
      </c>
      <c r="B2128" s="2" t="s">
        <v>2860</v>
      </c>
      <c r="C2128" s="5" t="s">
        <v>8559</v>
      </c>
      <c r="D2128" s="21">
        <v>6</v>
      </c>
      <c r="E2128" s="21"/>
      <c r="F2128" s="21" t="s">
        <v>10438</v>
      </c>
      <c r="G2128" s="21"/>
      <c r="H2128" s="54">
        <v>95</v>
      </c>
      <c r="I2128" s="51"/>
      <c r="J2128" s="27"/>
      <c r="K2128" s="27"/>
      <c r="L2128" s="15"/>
      <c r="M2128" s="15"/>
      <c r="N2128" s="4"/>
      <c r="O2128" s="4" t="s">
        <v>10132</v>
      </c>
    </row>
    <row r="2129" spans="1:15" x14ac:dyDescent="0.2">
      <c r="A2129" s="2">
        <v>40008282</v>
      </c>
      <c r="B2129" s="2" t="s">
        <v>3394</v>
      </c>
      <c r="C2129" s="5" t="s">
        <v>9086</v>
      </c>
      <c r="D2129" s="21">
        <v>9</v>
      </c>
      <c r="E2129" s="21"/>
      <c r="F2129" s="21" t="s">
        <v>10438</v>
      </c>
      <c r="G2129" s="21"/>
      <c r="H2129" s="54">
        <v>265</v>
      </c>
      <c r="I2129" s="51"/>
      <c r="J2129" s="27"/>
      <c r="K2129" s="27"/>
      <c r="L2129" s="15"/>
      <c r="M2129" s="15"/>
      <c r="N2129" s="4" t="s">
        <v>4658</v>
      </c>
      <c r="O2129" s="4"/>
    </row>
    <row r="2130" spans="1:15" x14ac:dyDescent="0.2">
      <c r="A2130" s="2">
        <v>40006205</v>
      </c>
      <c r="B2130" s="2" t="s">
        <v>1588</v>
      </c>
      <c r="C2130" s="5" t="s">
        <v>7295</v>
      </c>
      <c r="D2130" s="21">
        <v>11</v>
      </c>
      <c r="E2130" s="21"/>
      <c r="F2130" s="21" t="s">
        <v>10438</v>
      </c>
      <c r="G2130" s="21"/>
      <c r="H2130" s="54">
        <v>439</v>
      </c>
      <c r="I2130" s="51"/>
      <c r="J2130" s="27"/>
      <c r="K2130" s="27"/>
      <c r="L2130" s="15"/>
      <c r="M2130" s="15"/>
      <c r="N2130" s="4"/>
      <c r="O2130" s="4">
        <v>88</v>
      </c>
    </row>
    <row r="2131" spans="1:15" x14ac:dyDescent="0.2">
      <c r="A2131" s="2">
        <v>40007690</v>
      </c>
      <c r="B2131" s="2" t="s">
        <v>2868</v>
      </c>
      <c r="C2131" s="5" t="s">
        <v>8567</v>
      </c>
      <c r="D2131" s="21">
        <v>18</v>
      </c>
      <c r="E2131" s="21"/>
      <c r="F2131" s="21" t="s">
        <v>10438</v>
      </c>
      <c r="G2131" s="21"/>
      <c r="H2131" s="54">
        <v>336</v>
      </c>
      <c r="I2131" s="51"/>
      <c r="J2131" s="27"/>
      <c r="K2131" s="27"/>
      <c r="L2131" s="15"/>
      <c r="M2131" s="15"/>
      <c r="N2131" s="4"/>
      <c r="O2131" s="4" t="s">
        <v>10104</v>
      </c>
    </row>
    <row r="2132" spans="1:15" x14ac:dyDescent="0.2">
      <c r="A2132" s="2">
        <v>40008285</v>
      </c>
      <c r="B2132" s="2" t="s">
        <v>3396</v>
      </c>
      <c r="C2132" s="5" t="s">
        <v>9088</v>
      </c>
      <c r="D2132" s="21">
        <v>9</v>
      </c>
      <c r="E2132" s="21"/>
      <c r="F2132" s="21" t="s">
        <v>10438</v>
      </c>
      <c r="G2132" s="21"/>
      <c r="H2132" s="54">
        <v>332</v>
      </c>
      <c r="I2132" s="51"/>
      <c r="J2132" s="27"/>
      <c r="K2132" s="27"/>
      <c r="L2132" s="15"/>
      <c r="M2132" s="15"/>
      <c r="N2132" s="4" t="s">
        <v>4851</v>
      </c>
      <c r="O2132" s="4" t="s">
        <v>10238</v>
      </c>
    </row>
    <row r="2133" spans="1:15" x14ac:dyDescent="0.2">
      <c r="A2133" s="2">
        <v>40006852</v>
      </c>
      <c r="B2133" s="2" t="s">
        <v>2150</v>
      </c>
      <c r="C2133" s="5" t="s">
        <v>7859</v>
      </c>
      <c r="D2133" s="21">
        <v>2</v>
      </c>
      <c r="E2133" s="21"/>
      <c r="F2133" s="21" t="s">
        <v>10438</v>
      </c>
      <c r="G2133" s="21"/>
      <c r="H2133" s="54">
        <v>36</v>
      </c>
      <c r="I2133" s="51"/>
      <c r="J2133" s="27"/>
      <c r="K2133" s="27"/>
      <c r="L2133" s="15"/>
      <c r="M2133" s="15"/>
      <c r="N2133" s="4" t="s">
        <v>4712</v>
      </c>
      <c r="O2133" s="4"/>
    </row>
    <row r="2134" spans="1:15" x14ac:dyDescent="0.2">
      <c r="A2134" s="2">
        <v>40008278</v>
      </c>
      <c r="B2134" s="2" t="s">
        <v>3390</v>
      </c>
      <c r="C2134" s="5" t="s">
        <v>9082</v>
      </c>
      <c r="D2134" s="21">
        <v>1</v>
      </c>
      <c r="E2134" s="21"/>
      <c r="F2134" s="21" t="s">
        <v>10438</v>
      </c>
      <c r="G2134" s="21"/>
      <c r="H2134" s="54">
        <v>527</v>
      </c>
      <c r="I2134" s="51"/>
      <c r="J2134" s="27"/>
      <c r="K2134" s="27"/>
      <c r="L2134" s="15"/>
      <c r="M2134" s="15"/>
      <c r="N2134" s="4" t="s">
        <v>4608</v>
      </c>
      <c r="O2134" s="4"/>
    </row>
    <row r="2135" spans="1:15" x14ac:dyDescent="0.2">
      <c r="A2135" s="2">
        <v>40006784</v>
      </c>
      <c r="B2135" s="2" t="s">
        <v>2084</v>
      </c>
      <c r="C2135" s="5" t="s">
        <v>7794</v>
      </c>
      <c r="D2135" s="21">
        <v>12</v>
      </c>
      <c r="E2135" s="21"/>
      <c r="F2135" s="21" t="s">
        <v>10438</v>
      </c>
      <c r="G2135" s="21"/>
      <c r="H2135" s="54">
        <v>72</v>
      </c>
      <c r="I2135" s="51"/>
      <c r="J2135" s="27"/>
      <c r="K2135" s="27"/>
      <c r="L2135" s="15"/>
      <c r="M2135" s="15"/>
      <c r="N2135" s="4"/>
      <c r="O2135" s="4" t="s">
        <v>4945</v>
      </c>
    </row>
    <row r="2136" spans="1:15" x14ac:dyDescent="0.2">
      <c r="A2136" s="2">
        <v>40006789</v>
      </c>
      <c r="B2136" s="2" t="s">
        <v>2089</v>
      </c>
      <c r="C2136" s="5" t="s">
        <v>7798</v>
      </c>
      <c r="D2136" s="21">
        <v>14</v>
      </c>
      <c r="E2136" s="21"/>
      <c r="F2136" s="21" t="s">
        <v>10438</v>
      </c>
      <c r="G2136" s="21"/>
      <c r="H2136" s="54">
        <v>72</v>
      </c>
      <c r="I2136" s="51"/>
      <c r="J2136" s="27"/>
      <c r="K2136" s="27"/>
      <c r="L2136" s="15"/>
      <c r="M2136" s="15"/>
      <c r="N2136" s="4"/>
      <c r="O2136" s="4" t="s">
        <v>10087</v>
      </c>
    </row>
    <row r="2137" spans="1:15" x14ac:dyDescent="0.2">
      <c r="A2137" s="2">
        <v>40005617</v>
      </c>
      <c r="B2137" s="2" t="s">
        <v>1060</v>
      </c>
      <c r="C2137" s="5" t="s">
        <v>6788</v>
      </c>
      <c r="D2137" s="21">
        <v>11</v>
      </c>
      <c r="E2137" s="21"/>
      <c r="F2137" s="21" t="s">
        <v>10438</v>
      </c>
      <c r="G2137" s="21"/>
      <c r="H2137" s="54">
        <v>1</v>
      </c>
      <c r="I2137" s="51"/>
      <c r="J2137" s="27"/>
      <c r="K2137" s="27"/>
      <c r="L2137" s="15"/>
      <c r="M2137" s="15"/>
      <c r="N2137" s="4" t="s">
        <v>4176</v>
      </c>
      <c r="O2137" s="4"/>
    </row>
    <row r="2138" spans="1:15" x14ac:dyDescent="0.2">
      <c r="A2138" s="2">
        <v>40005684</v>
      </c>
      <c r="B2138" s="2" t="s">
        <v>1118</v>
      </c>
      <c r="C2138" s="5" t="s">
        <v>6836</v>
      </c>
      <c r="D2138" s="21">
        <v>15</v>
      </c>
      <c r="E2138" s="21"/>
      <c r="F2138" s="21" t="s">
        <v>10438</v>
      </c>
      <c r="G2138" s="21"/>
      <c r="H2138" s="54">
        <v>1</v>
      </c>
      <c r="I2138" s="51"/>
      <c r="J2138" s="27"/>
      <c r="K2138" s="27"/>
      <c r="L2138" s="15"/>
      <c r="M2138" s="15"/>
      <c r="N2138" s="4" t="s">
        <v>4215</v>
      </c>
      <c r="O2138" s="4"/>
    </row>
    <row r="2139" spans="1:15" x14ac:dyDescent="0.2">
      <c r="A2139" s="2">
        <v>40006329</v>
      </c>
      <c r="B2139" s="2" t="s">
        <v>1696</v>
      </c>
      <c r="C2139" s="5" t="s">
        <v>7406</v>
      </c>
      <c r="D2139" s="21">
        <v>15</v>
      </c>
      <c r="E2139" s="21"/>
      <c r="F2139" s="21" t="s">
        <v>10438</v>
      </c>
      <c r="G2139" s="21"/>
      <c r="H2139" s="54">
        <v>15</v>
      </c>
      <c r="I2139" s="51"/>
      <c r="J2139" s="27"/>
      <c r="K2139" s="27"/>
      <c r="L2139" s="15"/>
      <c r="M2139" s="15"/>
      <c r="N2139" s="4"/>
      <c r="O2139" s="4" t="s">
        <v>10169</v>
      </c>
    </row>
    <row r="2140" spans="1:15" x14ac:dyDescent="0.2">
      <c r="A2140" s="2">
        <v>40007109</v>
      </c>
      <c r="B2140" s="2" t="s">
        <v>2379</v>
      </c>
      <c r="C2140" s="5" t="s">
        <v>8085</v>
      </c>
      <c r="D2140" s="21">
        <v>1</v>
      </c>
      <c r="E2140" s="21"/>
      <c r="F2140" s="21" t="s">
        <v>10438</v>
      </c>
      <c r="G2140" s="21"/>
      <c r="H2140" s="54">
        <v>17</v>
      </c>
      <c r="I2140" s="51"/>
      <c r="J2140" s="27"/>
      <c r="K2140" s="27"/>
      <c r="L2140" s="15"/>
      <c r="M2140" s="15"/>
      <c r="N2140" s="4" t="s">
        <v>4832</v>
      </c>
      <c r="O2140" s="4"/>
    </row>
    <row r="2141" spans="1:15" x14ac:dyDescent="0.2">
      <c r="A2141" s="2">
        <v>40005375</v>
      </c>
      <c r="B2141" s="2" t="s">
        <v>5301</v>
      </c>
      <c r="C2141" s="5" t="s">
        <v>6576</v>
      </c>
      <c r="D2141" s="21">
        <v>5</v>
      </c>
      <c r="E2141" s="21"/>
      <c r="F2141" s="21" t="s">
        <v>10438</v>
      </c>
      <c r="G2141" s="21"/>
      <c r="H2141" s="54">
        <v>18</v>
      </c>
      <c r="I2141" s="51"/>
      <c r="J2141" s="27"/>
      <c r="K2141" s="27"/>
      <c r="L2141" s="15"/>
      <c r="M2141" s="15"/>
      <c r="N2141" s="4" t="s">
        <v>4081</v>
      </c>
      <c r="O2141" s="4"/>
    </row>
    <row r="2142" spans="1:15" x14ac:dyDescent="0.2">
      <c r="A2142" s="2">
        <v>40005673</v>
      </c>
      <c r="B2142" s="2" t="s">
        <v>1109</v>
      </c>
      <c r="C2142" s="5" t="s">
        <v>6827</v>
      </c>
      <c r="D2142" s="21">
        <v>1</v>
      </c>
      <c r="E2142" s="21"/>
      <c r="F2142" s="21" t="s">
        <v>10438</v>
      </c>
      <c r="G2142" s="21"/>
      <c r="H2142" s="54">
        <v>11</v>
      </c>
      <c r="I2142" s="51"/>
      <c r="J2142" s="27"/>
      <c r="K2142" s="27"/>
      <c r="L2142" s="15"/>
      <c r="M2142" s="15"/>
      <c r="N2142" s="4" t="s">
        <v>4209</v>
      </c>
      <c r="O2142" s="4"/>
    </row>
    <row r="2143" spans="1:15" x14ac:dyDescent="0.2">
      <c r="A2143" s="2">
        <v>40006073</v>
      </c>
      <c r="B2143" s="2" t="s">
        <v>1466</v>
      </c>
      <c r="C2143" s="5" t="s">
        <v>5515</v>
      </c>
      <c r="D2143" s="21">
        <v>21</v>
      </c>
      <c r="E2143" s="21"/>
      <c r="F2143" s="21" t="s">
        <v>10438</v>
      </c>
      <c r="G2143" s="21"/>
      <c r="H2143" s="54">
        <v>4</v>
      </c>
      <c r="I2143" s="51"/>
      <c r="J2143" s="27"/>
      <c r="K2143" s="27"/>
      <c r="L2143" s="15"/>
      <c r="M2143" s="15"/>
      <c r="N2143" s="4" t="s">
        <v>4396</v>
      </c>
      <c r="O2143" s="4"/>
    </row>
    <row r="2144" spans="1:15" x14ac:dyDescent="0.2">
      <c r="A2144" s="2">
        <v>40006793</v>
      </c>
      <c r="B2144" s="2" t="s">
        <v>2092</v>
      </c>
      <c r="C2144" s="5" t="s">
        <v>7801</v>
      </c>
      <c r="D2144" s="21">
        <v>30</v>
      </c>
      <c r="E2144" s="21"/>
      <c r="F2144" s="21" t="s">
        <v>10438</v>
      </c>
      <c r="G2144" s="21"/>
      <c r="H2144" s="54">
        <v>4</v>
      </c>
      <c r="I2144" s="51"/>
      <c r="J2144" s="27"/>
      <c r="K2144" s="27"/>
      <c r="L2144" s="15"/>
      <c r="M2144" s="15"/>
      <c r="N2144" s="4" t="s">
        <v>4686</v>
      </c>
      <c r="O2144" s="4"/>
    </row>
    <row r="2145" spans="1:15" x14ac:dyDescent="0.2">
      <c r="A2145" s="2">
        <v>40007639</v>
      </c>
      <c r="B2145" s="2" t="s">
        <v>2824</v>
      </c>
      <c r="C2145" s="5" t="s">
        <v>8524</v>
      </c>
      <c r="D2145" s="21">
        <v>1</v>
      </c>
      <c r="E2145" s="21"/>
      <c r="F2145" s="21" t="s">
        <v>10438</v>
      </c>
      <c r="G2145" s="21"/>
      <c r="H2145" s="54">
        <v>5.5</v>
      </c>
      <c r="I2145" s="51"/>
      <c r="J2145" s="27"/>
      <c r="K2145" s="27"/>
      <c r="L2145" s="15"/>
      <c r="M2145" s="15"/>
      <c r="N2145" s="4" t="s">
        <v>4460</v>
      </c>
      <c r="O2145" s="4"/>
    </row>
    <row r="2146" spans="1:15" x14ac:dyDescent="0.2">
      <c r="A2146" s="2">
        <v>40007116</v>
      </c>
      <c r="B2146" s="2" t="s">
        <v>2386</v>
      </c>
      <c r="C2146" s="5" t="s">
        <v>8092</v>
      </c>
      <c r="D2146" s="21">
        <v>2</v>
      </c>
      <c r="E2146" s="21"/>
      <c r="F2146" s="21" t="s">
        <v>10438</v>
      </c>
      <c r="G2146" s="21"/>
      <c r="H2146" s="54">
        <v>22</v>
      </c>
      <c r="I2146" s="51"/>
      <c r="J2146" s="27"/>
      <c r="K2146" s="27"/>
      <c r="L2146" s="15"/>
      <c r="M2146" s="15"/>
      <c r="N2146" s="4" t="s">
        <v>4354</v>
      </c>
      <c r="O2146" s="4"/>
    </row>
    <row r="2147" spans="1:15" x14ac:dyDescent="0.2">
      <c r="A2147" s="2">
        <v>40006341</v>
      </c>
      <c r="B2147" s="2" t="s">
        <v>1706</v>
      </c>
      <c r="C2147" s="5" t="s">
        <v>7415</v>
      </c>
      <c r="D2147" s="21">
        <v>3</v>
      </c>
      <c r="E2147" s="21"/>
      <c r="F2147" s="21" t="s">
        <v>10438</v>
      </c>
      <c r="G2147" s="21"/>
      <c r="H2147" s="54">
        <v>15</v>
      </c>
      <c r="I2147" s="51"/>
      <c r="J2147" s="27"/>
      <c r="K2147" s="27"/>
      <c r="L2147" s="15"/>
      <c r="M2147" s="15">
        <v>3</v>
      </c>
      <c r="N2147" s="4" t="s">
        <v>4534</v>
      </c>
      <c r="O2147" s="4"/>
    </row>
    <row r="2148" spans="1:15" x14ac:dyDescent="0.2">
      <c r="A2148" s="2">
        <v>40005183</v>
      </c>
      <c r="B2148" s="2" t="s">
        <v>727</v>
      </c>
      <c r="C2148" s="5" t="s">
        <v>6440</v>
      </c>
      <c r="D2148" s="21">
        <v>1</v>
      </c>
      <c r="E2148" s="21"/>
      <c r="F2148" s="21" t="s">
        <v>10438</v>
      </c>
      <c r="G2148" s="21"/>
      <c r="H2148" s="54">
        <v>11</v>
      </c>
      <c r="I2148" s="51"/>
      <c r="J2148" s="27"/>
      <c r="K2148" s="27"/>
      <c r="L2148" s="15"/>
      <c r="M2148" s="15"/>
      <c r="N2148" s="4" t="s">
        <v>3995</v>
      </c>
      <c r="O2148" s="4"/>
    </row>
    <row r="2149" spans="1:15" x14ac:dyDescent="0.2">
      <c r="A2149" s="2">
        <v>10039720</v>
      </c>
      <c r="B2149" s="2" t="s">
        <v>5460</v>
      </c>
      <c r="C2149" s="5" t="s">
        <v>6378</v>
      </c>
      <c r="D2149" s="21">
        <v>1</v>
      </c>
      <c r="E2149" s="21"/>
      <c r="F2149" s="21" t="s">
        <v>10438</v>
      </c>
      <c r="G2149" s="21"/>
      <c r="H2149" s="54">
        <v>4</v>
      </c>
      <c r="I2149" s="51"/>
      <c r="J2149" s="27"/>
      <c r="K2149" s="27"/>
      <c r="L2149" s="15"/>
      <c r="M2149" s="15"/>
      <c r="N2149" s="4" t="s">
        <v>4580</v>
      </c>
      <c r="O2149" s="4"/>
    </row>
    <row r="2150" spans="1:15" x14ac:dyDescent="0.2">
      <c r="A2150" s="2">
        <v>40005374</v>
      </c>
      <c r="B2150" s="2" t="s">
        <v>854</v>
      </c>
      <c r="C2150" s="5" t="s">
        <v>6575</v>
      </c>
      <c r="D2150" s="21">
        <v>3</v>
      </c>
      <c r="E2150" s="21"/>
      <c r="F2150" s="21" t="s">
        <v>10438</v>
      </c>
      <c r="G2150" s="21"/>
      <c r="H2150" s="54">
        <v>8</v>
      </c>
      <c r="I2150" s="51"/>
      <c r="J2150" s="27"/>
      <c r="K2150" s="27"/>
      <c r="L2150" s="15"/>
      <c r="M2150" s="15"/>
      <c r="N2150" s="4" t="s">
        <v>4081</v>
      </c>
      <c r="O2150" s="4"/>
    </row>
    <row r="2151" spans="1:15" x14ac:dyDescent="0.2">
      <c r="A2151" s="2">
        <v>40007408</v>
      </c>
      <c r="B2151" s="2" t="s">
        <v>2633</v>
      </c>
      <c r="C2151" s="5" t="s">
        <v>8332</v>
      </c>
      <c r="D2151" s="21">
        <v>5</v>
      </c>
      <c r="E2151" s="21"/>
      <c r="F2151" s="21" t="s">
        <v>10438</v>
      </c>
      <c r="G2151" s="21"/>
      <c r="H2151" s="54">
        <v>12</v>
      </c>
      <c r="I2151" s="51"/>
      <c r="J2151" s="27"/>
      <c r="K2151" s="27"/>
      <c r="L2151" s="15"/>
      <c r="M2151" s="15"/>
      <c r="N2151" s="4" t="s">
        <v>4948</v>
      </c>
      <c r="O2151" s="4"/>
    </row>
    <row r="2152" spans="1:15" x14ac:dyDescent="0.2">
      <c r="A2152" s="2">
        <v>40007339</v>
      </c>
      <c r="B2152" s="2" t="s">
        <v>5479</v>
      </c>
      <c r="C2152" s="5" t="s">
        <v>5503</v>
      </c>
      <c r="D2152" s="21">
        <v>5</v>
      </c>
      <c r="E2152" s="21"/>
      <c r="F2152" s="21" t="s">
        <v>10438</v>
      </c>
      <c r="G2152" s="21"/>
      <c r="H2152" s="54">
        <v>6</v>
      </c>
      <c r="I2152" s="51"/>
      <c r="J2152" s="27"/>
      <c r="K2152" s="27"/>
      <c r="L2152" s="15"/>
      <c r="M2152" s="15"/>
      <c r="N2152" s="4" t="s">
        <v>4364</v>
      </c>
      <c r="O2152" s="4"/>
    </row>
    <row r="2153" spans="1:15" x14ac:dyDescent="0.2">
      <c r="A2153" s="2">
        <v>40006103</v>
      </c>
      <c r="B2153" s="2" t="s">
        <v>1494</v>
      </c>
      <c r="C2153" s="5" t="s">
        <v>7200</v>
      </c>
      <c r="D2153" s="21">
        <v>17</v>
      </c>
      <c r="E2153" s="21"/>
      <c r="F2153" s="21" t="s">
        <v>10438</v>
      </c>
      <c r="G2153" s="21"/>
      <c r="H2153" s="54">
        <v>1</v>
      </c>
      <c r="I2153" s="51"/>
      <c r="J2153" s="27"/>
      <c r="K2153" s="27"/>
      <c r="L2153" s="15"/>
      <c r="M2153" s="15"/>
      <c r="N2153" s="4" t="s">
        <v>4415</v>
      </c>
      <c r="O2153" s="4"/>
    </row>
    <row r="2154" spans="1:15" x14ac:dyDescent="0.2">
      <c r="A2154" s="2">
        <v>40005653</v>
      </c>
      <c r="B2154" s="2" t="s">
        <v>1092</v>
      </c>
      <c r="C2154" s="5" t="s">
        <v>6811</v>
      </c>
      <c r="D2154" s="21">
        <v>3</v>
      </c>
      <c r="E2154" s="21"/>
      <c r="F2154" s="21" t="s">
        <v>10438</v>
      </c>
      <c r="G2154" s="21"/>
      <c r="H2154" s="54">
        <v>20</v>
      </c>
      <c r="I2154" s="51"/>
      <c r="J2154" s="27"/>
      <c r="K2154" s="27"/>
      <c r="L2154" s="15"/>
      <c r="M2154" s="15"/>
      <c r="N2154" s="4" t="s">
        <v>4194</v>
      </c>
      <c r="O2154" s="4"/>
    </row>
    <row r="2155" spans="1:15" x14ac:dyDescent="0.2">
      <c r="A2155" s="2">
        <v>40007715</v>
      </c>
      <c r="B2155" s="2" t="s">
        <v>2891</v>
      </c>
      <c r="C2155" s="5" t="s">
        <v>8588</v>
      </c>
      <c r="D2155" s="21">
        <v>10</v>
      </c>
      <c r="E2155" s="21"/>
      <c r="F2155" s="21" t="s">
        <v>10438</v>
      </c>
      <c r="G2155" s="21"/>
      <c r="H2155" s="54">
        <v>7</v>
      </c>
      <c r="I2155" s="51"/>
      <c r="J2155" s="27"/>
      <c r="K2155" s="27"/>
      <c r="L2155" s="15"/>
      <c r="M2155" s="15"/>
      <c r="N2155" s="4" t="s">
        <v>5046</v>
      </c>
      <c r="O2155" s="4"/>
    </row>
    <row r="2156" spans="1:15" x14ac:dyDescent="0.2">
      <c r="A2156" s="2">
        <v>40005780</v>
      </c>
      <c r="B2156" s="2" t="s">
        <v>1205</v>
      </c>
      <c r="C2156" s="5" t="s">
        <v>6917</v>
      </c>
      <c r="D2156" s="21">
        <v>2</v>
      </c>
      <c r="E2156" s="21"/>
      <c r="F2156" s="21" t="s">
        <v>10438</v>
      </c>
      <c r="G2156" s="21"/>
      <c r="H2156" s="54">
        <v>7</v>
      </c>
      <c r="I2156" s="51"/>
      <c r="J2156" s="27"/>
      <c r="K2156" s="27"/>
      <c r="L2156" s="15"/>
      <c r="M2156" s="15"/>
      <c r="N2156" s="4"/>
      <c r="O2156" s="4" t="s">
        <v>5193</v>
      </c>
    </row>
    <row r="2157" spans="1:15" x14ac:dyDescent="0.2">
      <c r="A2157" s="2">
        <v>40006275</v>
      </c>
      <c r="B2157" s="2" t="s">
        <v>1649</v>
      </c>
      <c r="C2157" s="5" t="s">
        <v>7356</v>
      </c>
      <c r="D2157" s="21">
        <v>2</v>
      </c>
      <c r="E2157" s="21"/>
      <c r="F2157" s="21" t="s">
        <v>10438</v>
      </c>
      <c r="G2157" s="21"/>
      <c r="H2157" s="54">
        <v>21</v>
      </c>
      <c r="I2157" s="51"/>
      <c r="J2157" s="27"/>
      <c r="K2157" s="27"/>
      <c r="L2157" s="15"/>
      <c r="M2157" s="15"/>
      <c r="N2157" s="4" t="s">
        <v>4501</v>
      </c>
      <c r="O2157" s="4"/>
    </row>
    <row r="2158" spans="1:15" x14ac:dyDescent="0.2">
      <c r="A2158" s="2">
        <v>40007626</v>
      </c>
      <c r="B2158" s="2" t="s">
        <v>2813</v>
      </c>
      <c r="C2158" s="5" t="s">
        <v>8513</v>
      </c>
      <c r="D2158" s="21">
        <v>20</v>
      </c>
      <c r="E2158" s="21"/>
      <c r="F2158" s="21" t="s">
        <v>10438</v>
      </c>
      <c r="G2158" s="21"/>
      <c r="H2158" s="54">
        <v>7</v>
      </c>
      <c r="I2158" s="51"/>
      <c r="J2158" s="27"/>
      <c r="K2158" s="27"/>
      <c r="L2158" s="15"/>
      <c r="M2158" s="15"/>
      <c r="N2158" s="4" t="s">
        <v>5018</v>
      </c>
      <c r="O2158" s="4"/>
    </row>
    <row r="2159" spans="1:15" x14ac:dyDescent="0.2">
      <c r="A2159" s="2">
        <v>40011243</v>
      </c>
      <c r="B2159" s="2" t="s">
        <v>3868</v>
      </c>
      <c r="C2159" s="5" t="s">
        <v>9368</v>
      </c>
      <c r="D2159" s="21">
        <v>9</v>
      </c>
      <c r="E2159" s="21"/>
      <c r="F2159" s="21" t="s">
        <v>10438</v>
      </c>
      <c r="G2159" s="21"/>
      <c r="H2159" s="54">
        <v>17</v>
      </c>
      <c r="I2159" s="51"/>
      <c r="J2159" s="27"/>
      <c r="K2159" s="27"/>
      <c r="L2159" s="15"/>
      <c r="M2159" s="15"/>
      <c r="N2159" s="4" t="s">
        <v>10044</v>
      </c>
      <c r="O2159" s="4"/>
    </row>
    <row r="2160" spans="1:15" x14ac:dyDescent="0.2">
      <c r="A2160" s="2">
        <v>40011245</v>
      </c>
      <c r="B2160" s="2" t="s">
        <v>3870</v>
      </c>
      <c r="C2160" s="5" t="s">
        <v>9370</v>
      </c>
      <c r="D2160" s="21">
        <v>5</v>
      </c>
      <c r="E2160" s="21"/>
      <c r="F2160" s="21" t="s">
        <v>10438</v>
      </c>
      <c r="G2160" s="21"/>
      <c r="H2160" s="54">
        <v>6</v>
      </c>
      <c r="I2160" s="51"/>
      <c r="J2160" s="27"/>
      <c r="K2160" s="27"/>
      <c r="L2160" s="15"/>
      <c r="M2160" s="15"/>
      <c r="N2160" s="4" t="s">
        <v>10045</v>
      </c>
      <c r="O2160" s="4"/>
    </row>
    <row r="2161" spans="1:15" x14ac:dyDescent="0.2">
      <c r="A2161" s="2">
        <v>40005235</v>
      </c>
      <c r="B2161" s="2" t="s">
        <v>761</v>
      </c>
      <c r="C2161" s="5" t="s">
        <v>6475</v>
      </c>
      <c r="D2161" s="21"/>
      <c r="E2161" s="21"/>
      <c r="F2161" s="21" t="s">
        <v>10438</v>
      </c>
      <c r="G2161" s="21"/>
      <c r="H2161" s="54">
        <v>10</v>
      </c>
      <c r="I2161" s="51"/>
      <c r="J2161" s="27"/>
      <c r="K2161" s="27"/>
      <c r="L2161" s="15"/>
      <c r="M2161" s="15"/>
      <c r="N2161" s="4" t="s">
        <v>4011</v>
      </c>
      <c r="O2161" s="4"/>
    </row>
    <row r="2162" spans="1:15" x14ac:dyDescent="0.2">
      <c r="A2162" s="2">
        <v>10039719</v>
      </c>
      <c r="B2162" s="2" t="s">
        <v>5459</v>
      </c>
      <c r="C2162" s="5" t="s">
        <v>6377</v>
      </c>
      <c r="D2162" s="21">
        <v>2</v>
      </c>
      <c r="E2162" s="21"/>
      <c r="F2162" s="21" t="s">
        <v>10438</v>
      </c>
      <c r="G2162" s="21"/>
      <c r="H2162" s="54">
        <v>7</v>
      </c>
      <c r="I2162" s="51"/>
      <c r="J2162" s="27"/>
      <c r="K2162" s="27"/>
      <c r="L2162" s="15"/>
      <c r="M2162" s="15"/>
      <c r="N2162" s="4" t="s">
        <v>4580</v>
      </c>
      <c r="O2162" s="4"/>
    </row>
    <row r="2163" spans="1:15" x14ac:dyDescent="0.2">
      <c r="A2163" s="2">
        <v>40011244</v>
      </c>
      <c r="B2163" s="2" t="s">
        <v>3869</v>
      </c>
      <c r="C2163" s="5" t="s">
        <v>9369</v>
      </c>
      <c r="D2163" s="21">
        <v>10</v>
      </c>
      <c r="E2163" s="21"/>
      <c r="F2163" s="21" t="s">
        <v>10438</v>
      </c>
      <c r="G2163" s="21"/>
      <c r="H2163" s="54">
        <v>13</v>
      </c>
      <c r="I2163" s="51"/>
      <c r="J2163" s="27"/>
      <c r="K2163" s="27"/>
      <c r="L2163" s="15"/>
      <c r="M2163" s="15"/>
      <c r="N2163" s="4" t="s">
        <v>4777</v>
      </c>
      <c r="O2163" s="4"/>
    </row>
    <row r="2164" spans="1:15" x14ac:dyDescent="0.2">
      <c r="A2164" s="2">
        <v>40010964</v>
      </c>
      <c r="B2164" s="2" t="s">
        <v>3583</v>
      </c>
      <c r="C2164" s="5" t="s">
        <v>9303</v>
      </c>
      <c r="D2164" s="21"/>
      <c r="E2164" s="21"/>
      <c r="F2164" s="30">
        <v>1</v>
      </c>
      <c r="G2164" s="21"/>
      <c r="H2164" s="54">
        <v>13</v>
      </c>
      <c r="I2164" s="51"/>
      <c r="J2164" s="27"/>
      <c r="K2164" s="27"/>
      <c r="L2164" s="15"/>
      <c r="M2164" s="15"/>
      <c r="N2164" s="4" t="s">
        <v>3945</v>
      </c>
      <c r="O2164" s="4"/>
    </row>
    <row r="2165" spans="1:15" x14ac:dyDescent="0.2">
      <c r="A2165" s="2">
        <v>10018219</v>
      </c>
      <c r="B2165" s="2" t="s">
        <v>110</v>
      </c>
      <c r="C2165" s="5" t="s">
        <v>5647</v>
      </c>
      <c r="D2165" s="21">
        <v>1</v>
      </c>
      <c r="E2165" s="21"/>
      <c r="F2165" s="21" t="s">
        <v>10438</v>
      </c>
      <c r="G2165" s="21"/>
      <c r="H2165" s="54">
        <v>7</v>
      </c>
      <c r="I2165" s="51"/>
      <c r="J2165" s="27"/>
      <c r="K2165" s="27"/>
      <c r="L2165" s="15"/>
      <c r="M2165" s="15"/>
      <c r="N2165" s="4"/>
      <c r="O2165" s="4" t="s">
        <v>5035</v>
      </c>
    </row>
    <row r="2166" spans="1:15" x14ac:dyDescent="0.2">
      <c r="A2166" s="2">
        <v>40007309</v>
      </c>
      <c r="B2166" s="2" t="s">
        <v>2551</v>
      </c>
      <c r="C2166" s="5" t="s">
        <v>8248</v>
      </c>
      <c r="D2166" s="21">
        <v>1</v>
      </c>
      <c r="E2166" s="21"/>
      <c r="F2166" s="21" t="s">
        <v>10438</v>
      </c>
      <c r="G2166" s="21"/>
      <c r="H2166" s="54">
        <v>9</v>
      </c>
      <c r="I2166" s="51"/>
      <c r="J2166" s="27"/>
      <c r="K2166" s="27"/>
      <c r="L2166" s="15"/>
      <c r="M2166" s="15"/>
      <c r="N2166" s="4">
        <v>65</v>
      </c>
      <c r="O2166" s="4"/>
    </row>
    <row r="2167" spans="1:15" x14ac:dyDescent="0.2">
      <c r="A2167" s="2">
        <v>40007721</v>
      </c>
      <c r="B2167" s="2" t="s">
        <v>2896</v>
      </c>
      <c r="C2167" s="5" t="s">
        <v>8593</v>
      </c>
      <c r="D2167" s="21">
        <v>8</v>
      </c>
      <c r="E2167" s="21"/>
      <c r="F2167" s="21" t="s">
        <v>10438</v>
      </c>
      <c r="G2167" s="21"/>
      <c r="H2167" s="54">
        <v>46</v>
      </c>
      <c r="I2167" s="51"/>
      <c r="J2167" s="27"/>
      <c r="K2167" s="27"/>
      <c r="L2167" s="15"/>
      <c r="M2167" s="15"/>
      <c r="N2167" s="4" t="s">
        <v>4890</v>
      </c>
      <c r="O2167" s="4"/>
    </row>
    <row r="2168" spans="1:15" x14ac:dyDescent="0.2">
      <c r="A2168" s="2">
        <v>40007644</v>
      </c>
      <c r="B2168" s="2" t="s">
        <v>3736</v>
      </c>
      <c r="C2168" s="5" t="s">
        <v>8528</v>
      </c>
      <c r="D2168" s="21">
        <v>6</v>
      </c>
      <c r="E2168" s="21"/>
      <c r="F2168" s="21" t="s">
        <v>10438</v>
      </c>
      <c r="G2168" s="21"/>
      <c r="H2168" s="54">
        <v>12</v>
      </c>
      <c r="I2168" s="51"/>
      <c r="J2168" s="27"/>
      <c r="K2168" s="27"/>
      <c r="L2168" s="15"/>
      <c r="M2168" s="15">
        <v>3</v>
      </c>
      <c r="N2168" s="4" t="s">
        <v>4269</v>
      </c>
      <c r="O2168" s="4"/>
    </row>
    <row r="2169" spans="1:15" x14ac:dyDescent="0.2">
      <c r="A2169" s="2">
        <v>40008018</v>
      </c>
      <c r="B2169" s="2" t="s">
        <v>3158</v>
      </c>
      <c r="C2169" s="5" t="s">
        <v>8852</v>
      </c>
      <c r="D2169" s="21">
        <v>4</v>
      </c>
      <c r="E2169" s="21"/>
      <c r="F2169" s="21" t="s">
        <v>10438</v>
      </c>
      <c r="G2169" s="21"/>
      <c r="H2169" s="54">
        <v>2</v>
      </c>
      <c r="I2169" s="51"/>
      <c r="J2169" s="27"/>
      <c r="K2169" s="27"/>
      <c r="L2169" s="15"/>
      <c r="M2169" s="15"/>
      <c r="N2169" s="4" t="s">
        <v>4595</v>
      </c>
      <c r="O2169" s="4"/>
    </row>
    <row r="2170" spans="1:15" x14ac:dyDescent="0.2">
      <c r="A2170" s="2">
        <v>40007006</v>
      </c>
      <c r="B2170" s="2" t="s">
        <v>3824</v>
      </c>
      <c r="C2170" s="5" t="s">
        <v>7997</v>
      </c>
      <c r="D2170" s="21">
        <v>3</v>
      </c>
      <c r="E2170" s="21"/>
      <c r="F2170" s="21" t="s">
        <v>10438</v>
      </c>
      <c r="G2170" s="21"/>
      <c r="H2170" s="54">
        <v>9</v>
      </c>
      <c r="I2170" s="51"/>
      <c r="J2170" s="27"/>
      <c r="K2170" s="27"/>
      <c r="L2170" s="15"/>
      <c r="M2170" s="15"/>
      <c r="N2170" s="4" t="s">
        <v>4787</v>
      </c>
      <c r="O2170" s="4"/>
    </row>
    <row r="2171" spans="1:15" x14ac:dyDescent="0.2">
      <c r="A2171" s="2">
        <v>40007100</v>
      </c>
      <c r="B2171" s="2" t="s">
        <v>2372</v>
      </c>
      <c r="C2171" s="5" t="s">
        <v>8077</v>
      </c>
      <c r="D2171" s="21">
        <v>2</v>
      </c>
      <c r="E2171" s="21"/>
      <c r="F2171" s="21" t="s">
        <v>10438</v>
      </c>
      <c r="G2171" s="21"/>
      <c r="H2171" s="54">
        <v>21</v>
      </c>
      <c r="I2171" s="51"/>
      <c r="J2171" s="27"/>
      <c r="K2171" s="27"/>
      <c r="L2171" s="15"/>
      <c r="M2171" s="15"/>
      <c r="N2171" s="4" t="s">
        <v>4680</v>
      </c>
      <c r="O2171" s="4"/>
    </row>
    <row r="2172" spans="1:15" x14ac:dyDescent="0.2">
      <c r="A2172" s="2">
        <v>40007000</v>
      </c>
      <c r="B2172" s="2" t="s">
        <v>2286</v>
      </c>
      <c r="C2172" s="5" t="s">
        <v>7994</v>
      </c>
      <c r="D2172" s="21">
        <v>89</v>
      </c>
      <c r="E2172" s="21"/>
      <c r="F2172" s="30">
        <v>2</v>
      </c>
      <c r="G2172" s="21"/>
      <c r="H2172" s="54">
        <v>8</v>
      </c>
      <c r="I2172" s="51"/>
      <c r="J2172" s="27"/>
      <c r="K2172" s="27"/>
      <c r="L2172" s="15"/>
      <c r="M2172" s="15"/>
      <c r="N2172" s="4" t="s">
        <v>4784</v>
      </c>
      <c r="O2172" s="4"/>
    </row>
    <row r="2173" spans="1:15" x14ac:dyDescent="0.2">
      <c r="A2173" s="2">
        <v>40005580</v>
      </c>
      <c r="B2173" s="2" t="s">
        <v>1030</v>
      </c>
      <c r="C2173" s="5" t="s">
        <v>6756</v>
      </c>
      <c r="D2173" s="21">
        <v>1</v>
      </c>
      <c r="E2173" s="21"/>
      <c r="F2173" s="21" t="s">
        <v>10438</v>
      </c>
      <c r="G2173" s="21"/>
      <c r="H2173" s="54">
        <v>1</v>
      </c>
      <c r="I2173" s="51"/>
      <c r="J2173" s="27"/>
      <c r="K2173" s="27"/>
      <c r="L2173" s="15"/>
      <c r="M2173" s="15"/>
      <c r="N2173" s="4" t="s">
        <v>4156</v>
      </c>
      <c r="O2173" s="4"/>
    </row>
    <row r="2174" spans="1:15" x14ac:dyDescent="0.2">
      <c r="A2174" s="2">
        <v>40007516</v>
      </c>
      <c r="B2174" s="2" t="s">
        <v>2722</v>
      </c>
      <c r="C2174" s="5" t="s">
        <v>8425</v>
      </c>
      <c r="D2174" s="21">
        <v>6</v>
      </c>
      <c r="E2174" s="21"/>
      <c r="F2174" s="21" t="s">
        <v>10438</v>
      </c>
      <c r="G2174" s="21"/>
      <c r="H2174" s="54">
        <v>36</v>
      </c>
      <c r="I2174" s="51"/>
      <c r="J2174" s="27"/>
      <c r="K2174" s="27"/>
      <c r="L2174" s="15"/>
      <c r="M2174" s="15"/>
      <c r="N2174" s="4" t="s">
        <v>4984</v>
      </c>
      <c r="O2174" s="4"/>
    </row>
    <row r="2175" spans="1:15" x14ac:dyDescent="0.2">
      <c r="A2175" s="2">
        <v>40006115</v>
      </c>
      <c r="B2175" s="2" t="s">
        <v>1506</v>
      </c>
      <c r="C2175" s="5" t="s">
        <v>7211</v>
      </c>
      <c r="D2175" s="21">
        <v>7</v>
      </c>
      <c r="E2175" s="21"/>
      <c r="F2175" s="21" t="s">
        <v>10438</v>
      </c>
      <c r="G2175" s="21"/>
      <c r="H2175" s="54">
        <v>14</v>
      </c>
      <c r="I2175" s="51"/>
      <c r="J2175" s="27"/>
      <c r="K2175" s="27"/>
      <c r="L2175" s="15"/>
      <c r="M2175" s="15"/>
      <c r="N2175" s="4" t="s">
        <v>4054</v>
      </c>
      <c r="O2175" s="4"/>
    </row>
    <row r="2176" spans="1:15" x14ac:dyDescent="0.2">
      <c r="A2176" s="2">
        <v>40007877</v>
      </c>
      <c r="B2176" s="2" t="s">
        <v>3033</v>
      </c>
      <c r="C2176" s="5" t="s">
        <v>8727</v>
      </c>
      <c r="D2176" s="21">
        <v>16</v>
      </c>
      <c r="E2176" s="21"/>
      <c r="F2176" s="21" t="s">
        <v>10438</v>
      </c>
      <c r="G2176" s="21"/>
      <c r="H2176" s="54">
        <v>7</v>
      </c>
      <c r="I2176" s="51"/>
      <c r="J2176" s="27"/>
      <c r="K2176" s="27"/>
      <c r="L2176" s="15"/>
      <c r="M2176" s="15"/>
      <c r="N2176" s="4" t="s">
        <v>4721</v>
      </c>
      <c r="O2176" s="4"/>
    </row>
    <row r="2177" spans="1:15" x14ac:dyDescent="0.2">
      <c r="A2177" s="2">
        <v>40005942</v>
      </c>
      <c r="B2177" s="2" t="s">
        <v>1349</v>
      </c>
      <c r="C2177" s="5" t="s">
        <v>7055</v>
      </c>
      <c r="D2177" s="21">
        <v>6</v>
      </c>
      <c r="E2177" s="21"/>
      <c r="F2177" s="21" t="s">
        <v>10438</v>
      </c>
      <c r="G2177" s="21"/>
      <c r="H2177" s="54">
        <v>4</v>
      </c>
      <c r="I2177" s="51"/>
      <c r="J2177" s="27"/>
      <c r="K2177" s="27"/>
      <c r="L2177" s="15"/>
      <c r="M2177" s="15"/>
      <c r="N2177" s="4" t="s">
        <v>4330</v>
      </c>
      <c r="O2177" s="4"/>
    </row>
    <row r="2178" spans="1:15" x14ac:dyDescent="0.2">
      <c r="A2178" s="2">
        <v>40006178</v>
      </c>
      <c r="B2178" s="2" t="s">
        <v>1563</v>
      </c>
      <c r="C2178" s="5" t="s">
        <v>7270</v>
      </c>
      <c r="D2178" s="21">
        <v>2</v>
      </c>
      <c r="E2178" s="21"/>
      <c r="F2178" s="21" t="s">
        <v>10438</v>
      </c>
      <c r="G2178" s="21"/>
      <c r="H2178" s="54">
        <v>14</v>
      </c>
      <c r="I2178" s="51"/>
      <c r="J2178" s="27"/>
      <c r="K2178" s="27"/>
      <c r="L2178" s="15"/>
      <c r="M2178" s="15"/>
      <c r="N2178" s="4" t="s">
        <v>4453</v>
      </c>
      <c r="O2178" s="4"/>
    </row>
    <row r="2179" spans="1:15" x14ac:dyDescent="0.2">
      <c r="A2179" s="2">
        <v>40006491</v>
      </c>
      <c r="B2179" s="2" t="s">
        <v>1842</v>
      </c>
      <c r="C2179" s="5" t="s">
        <v>7550</v>
      </c>
      <c r="D2179" s="21">
        <v>5</v>
      </c>
      <c r="E2179" s="21"/>
      <c r="F2179" s="21" t="s">
        <v>10438</v>
      </c>
      <c r="G2179" s="21"/>
      <c r="H2179" s="54">
        <v>6</v>
      </c>
      <c r="I2179" s="51"/>
      <c r="J2179" s="27"/>
      <c r="K2179" s="27"/>
      <c r="L2179" s="15"/>
      <c r="M2179" s="15"/>
      <c r="N2179" s="4" t="s">
        <v>4619</v>
      </c>
      <c r="O2179" s="4"/>
    </row>
    <row r="2180" spans="1:15" x14ac:dyDescent="0.2">
      <c r="A2180" s="2">
        <v>40006879</v>
      </c>
      <c r="B2180" s="2" t="s">
        <v>2174</v>
      </c>
      <c r="C2180" s="5" t="s">
        <v>7883</v>
      </c>
      <c r="D2180" s="21">
        <v>5</v>
      </c>
      <c r="E2180" s="21"/>
      <c r="F2180" s="21" t="s">
        <v>10438</v>
      </c>
      <c r="G2180" s="21"/>
      <c r="H2180" s="54">
        <v>1</v>
      </c>
      <c r="I2180" s="51"/>
      <c r="J2180" s="27"/>
      <c r="K2180" s="27"/>
      <c r="L2180" s="15"/>
      <c r="M2180" s="15"/>
      <c r="N2180" s="4" t="s">
        <v>4212</v>
      </c>
      <c r="O2180" s="4"/>
    </row>
    <row r="2181" spans="1:15" x14ac:dyDescent="0.2">
      <c r="A2181" s="2">
        <v>40008269</v>
      </c>
      <c r="B2181" s="2" t="s">
        <v>3381</v>
      </c>
      <c r="C2181" s="5" t="s">
        <v>9074</v>
      </c>
      <c r="D2181" s="21">
        <v>31</v>
      </c>
      <c r="E2181" s="21"/>
      <c r="F2181" s="21" t="s">
        <v>10438</v>
      </c>
      <c r="G2181" s="21"/>
      <c r="H2181" s="54">
        <v>1</v>
      </c>
      <c r="I2181" s="51"/>
      <c r="J2181" s="27"/>
      <c r="K2181" s="27"/>
      <c r="L2181" s="15"/>
      <c r="M2181" s="15"/>
      <c r="N2181" s="4" t="s">
        <v>4520</v>
      </c>
      <c r="O2181" s="4"/>
    </row>
    <row r="2182" spans="1:15" x14ac:dyDescent="0.2">
      <c r="A2182" s="2">
        <v>40007117</v>
      </c>
      <c r="B2182" s="2" t="s">
        <v>2387</v>
      </c>
      <c r="C2182" s="5" t="s">
        <v>8093</v>
      </c>
      <c r="D2182" s="21">
        <v>5</v>
      </c>
      <c r="E2182" s="21"/>
      <c r="F2182" s="21" t="s">
        <v>10438</v>
      </c>
      <c r="G2182" s="21"/>
      <c r="H2182" s="54">
        <v>9</v>
      </c>
      <c r="I2182" s="51"/>
      <c r="J2182" s="27"/>
      <c r="K2182" s="27"/>
      <c r="L2182" s="15"/>
      <c r="M2182" s="15"/>
      <c r="N2182" s="4" t="s">
        <v>4494</v>
      </c>
      <c r="O2182" s="4"/>
    </row>
    <row r="2183" spans="1:15" x14ac:dyDescent="0.2">
      <c r="A2183" s="2">
        <v>40007088</v>
      </c>
      <c r="B2183" s="2" t="s">
        <v>2361</v>
      </c>
      <c r="C2183" s="5" t="s">
        <v>8067</v>
      </c>
      <c r="D2183" s="21">
        <v>5</v>
      </c>
      <c r="E2183" s="21"/>
      <c r="F2183" s="21" t="s">
        <v>10438</v>
      </c>
      <c r="G2183" s="21"/>
      <c r="H2183" s="54">
        <v>7</v>
      </c>
      <c r="I2183" s="51"/>
      <c r="J2183" s="27"/>
      <c r="K2183" s="27"/>
      <c r="L2183" s="15"/>
      <c r="M2183" s="15"/>
      <c r="N2183" s="4" t="s">
        <v>4564</v>
      </c>
      <c r="O2183" s="4"/>
    </row>
    <row r="2184" spans="1:15" x14ac:dyDescent="0.2">
      <c r="A2184" s="2">
        <v>40005778</v>
      </c>
      <c r="B2184" s="2" t="s">
        <v>1203</v>
      </c>
      <c r="C2184" s="5" t="s">
        <v>6915</v>
      </c>
      <c r="D2184" s="21">
        <v>2</v>
      </c>
      <c r="E2184" s="21"/>
      <c r="F2184" s="21" t="s">
        <v>10438</v>
      </c>
      <c r="G2184" s="21"/>
      <c r="H2184" s="54">
        <v>7</v>
      </c>
      <c r="I2184" s="51"/>
      <c r="J2184" s="27"/>
      <c r="K2184" s="27"/>
      <c r="L2184" s="15"/>
      <c r="M2184" s="15"/>
      <c r="N2184" s="4"/>
      <c r="O2184" s="4" t="s">
        <v>4410</v>
      </c>
    </row>
    <row r="2185" spans="1:15" x14ac:dyDescent="0.2">
      <c r="A2185" s="2">
        <v>40005779</v>
      </c>
      <c r="B2185" s="2" t="s">
        <v>1204</v>
      </c>
      <c r="C2185" s="5" t="s">
        <v>6916</v>
      </c>
      <c r="D2185" s="21">
        <v>13</v>
      </c>
      <c r="E2185" s="21"/>
      <c r="F2185" s="21" t="s">
        <v>10438</v>
      </c>
      <c r="G2185" s="21"/>
      <c r="H2185" s="54">
        <v>7</v>
      </c>
      <c r="I2185" s="51"/>
      <c r="J2185" s="27"/>
      <c r="K2185" s="27"/>
      <c r="L2185" s="15"/>
      <c r="M2185" s="15"/>
      <c r="N2185" s="4" t="s">
        <v>4107</v>
      </c>
      <c r="O2185" s="4"/>
    </row>
    <row r="2186" spans="1:15" x14ac:dyDescent="0.2">
      <c r="A2186" s="2">
        <v>40005781</v>
      </c>
      <c r="B2186" s="2" t="s">
        <v>1206</v>
      </c>
      <c r="C2186" s="5" t="s">
        <v>6918</v>
      </c>
      <c r="D2186" s="21">
        <v>1</v>
      </c>
      <c r="E2186" s="21"/>
      <c r="F2186" s="21" t="s">
        <v>10438</v>
      </c>
      <c r="G2186" s="21"/>
      <c r="H2186" s="54">
        <v>7</v>
      </c>
      <c r="I2186" s="51"/>
      <c r="J2186" s="27"/>
      <c r="K2186" s="27"/>
      <c r="L2186" s="15"/>
      <c r="M2186" s="15"/>
      <c r="N2186" s="4"/>
      <c r="O2186" s="4" t="s">
        <v>5199</v>
      </c>
    </row>
    <row r="2187" spans="1:15" x14ac:dyDescent="0.2">
      <c r="A2187" s="2">
        <v>40005782</v>
      </c>
      <c r="B2187" s="2" t="s">
        <v>1207</v>
      </c>
      <c r="C2187" s="5" t="s">
        <v>6919</v>
      </c>
      <c r="D2187" s="21">
        <v>4</v>
      </c>
      <c r="E2187" s="21"/>
      <c r="F2187" s="21" t="s">
        <v>10438</v>
      </c>
      <c r="G2187" s="21"/>
      <c r="H2187" s="54">
        <v>10</v>
      </c>
      <c r="I2187" s="51"/>
      <c r="J2187" s="27"/>
      <c r="K2187" s="27"/>
      <c r="L2187" s="15"/>
      <c r="M2187" s="15"/>
      <c r="N2187" s="4"/>
      <c r="O2187" s="4" t="s">
        <v>5193</v>
      </c>
    </row>
    <row r="2188" spans="1:15" x14ac:dyDescent="0.2">
      <c r="A2188" s="2">
        <v>40007419</v>
      </c>
      <c r="B2188" s="2" t="s">
        <v>2642</v>
      </c>
      <c r="C2188" s="5" t="s">
        <v>8340</v>
      </c>
      <c r="D2188" s="21">
        <v>6</v>
      </c>
      <c r="E2188" s="21"/>
      <c r="F2188" s="21" t="s">
        <v>10438</v>
      </c>
      <c r="G2188" s="21"/>
      <c r="H2188" s="54">
        <v>9</v>
      </c>
      <c r="I2188" s="51"/>
      <c r="J2188" s="27"/>
      <c r="K2188" s="27"/>
      <c r="L2188" s="15"/>
      <c r="M2188" s="15"/>
      <c r="N2188" s="4" t="s">
        <v>4953</v>
      </c>
      <c r="O2188" s="4"/>
    </row>
    <row r="2189" spans="1:15" x14ac:dyDescent="0.2">
      <c r="A2189" s="2">
        <v>40005233</v>
      </c>
      <c r="B2189" s="2" t="s">
        <v>759</v>
      </c>
      <c r="C2189" s="5" t="s">
        <v>6473</v>
      </c>
      <c r="D2189" s="21">
        <v>9</v>
      </c>
      <c r="E2189" s="21"/>
      <c r="F2189" s="21" t="s">
        <v>10438</v>
      </c>
      <c r="G2189" s="21"/>
      <c r="H2189" s="54">
        <v>28</v>
      </c>
      <c r="I2189" s="51"/>
      <c r="J2189" s="27"/>
      <c r="K2189" s="27"/>
      <c r="L2189" s="15"/>
      <c r="M2189" s="15"/>
      <c r="N2189" s="4" t="s">
        <v>4015</v>
      </c>
      <c r="O2189" s="4"/>
    </row>
    <row r="2190" spans="1:15" x14ac:dyDescent="0.2">
      <c r="A2190" s="2">
        <v>40007624</v>
      </c>
      <c r="B2190" s="2" t="s">
        <v>2811</v>
      </c>
      <c r="C2190" s="5" t="s">
        <v>8511</v>
      </c>
      <c r="D2190" s="21">
        <v>1</v>
      </c>
      <c r="E2190" s="21"/>
      <c r="F2190" s="21" t="s">
        <v>10438</v>
      </c>
      <c r="G2190" s="21"/>
      <c r="H2190" s="54">
        <v>7</v>
      </c>
      <c r="I2190" s="51"/>
      <c r="J2190" s="27"/>
      <c r="K2190" s="27"/>
      <c r="L2190" s="15">
        <v>5</v>
      </c>
      <c r="M2190" s="15"/>
      <c r="N2190" s="4" t="s">
        <v>5017</v>
      </c>
      <c r="O2190" s="4"/>
    </row>
    <row r="2191" spans="1:15" x14ac:dyDescent="0.2">
      <c r="A2191" s="2">
        <v>40007578</v>
      </c>
      <c r="B2191" s="2" t="s">
        <v>2773</v>
      </c>
      <c r="C2191" s="5" t="s">
        <v>8473</v>
      </c>
      <c r="D2191" s="21">
        <v>7</v>
      </c>
      <c r="E2191" s="21"/>
      <c r="F2191" s="21" t="s">
        <v>10438</v>
      </c>
      <c r="G2191" s="21"/>
      <c r="H2191" s="54">
        <v>7</v>
      </c>
      <c r="I2191" s="51"/>
      <c r="J2191" s="27"/>
      <c r="K2191" s="27"/>
      <c r="L2191" s="15"/>
      <c r="M2191" s="15"/>
      <c r="N2191" s="4" t="s">
        <v>4527</v>
      </c>
      <c r="O2191" s="4"/>
    </row>
    <row r="2192" spans="1:15" x14ac:dyDescent="0.2">
      <c r="A2192" s="2">
        <v>40007416</v>
      </c>
      <c r="B2192" s="2" t="s">
        <v>3919</v>
      </c>
      <c r="C2192" s="5" t="s">
        <v>8338</v>
      </c>
      <c r="D2192" s="21">
        <v>5</v>
      </c>
      <c r="E2192" s="21"/>
      <c r="F2192" s="21" t="s">
        <v>10438</v>
      </c>
      <c r="G2192" s="21"/>
      <c r="H2192" s="54">
        <v>3</v>
      </c>
      <c r="I2192" s="51"/>
      <c r="J2192" s="27"/>
      <c r="K2192" s="27"/>
      <c r="L2192" s="15"/>
      <c r="M2192" s="15"/>
      <c r="N2192" s="4" t="s">
        <v>4431</v>
      </c>
      <c r="O2192" s="4"/>
    </row>
    <row r="2193" spans="1:15" x14ac:dyDescent="0.2">
      <c r="A2193" s="2">
        <v>10018769</v>
      </c>
      <c r="B2193" s="2" t="s">
        <v>301</v>
      </c>
      <c r="C2193" s="5" t="s">
        <v>5882</v>
      </c>
      <c r="D2193" s="21">
        <v>7</v>
      </c>
      <c r="E2193" s="21"/>
      <c r="F2193" s="21" t="s">
        <v>10438</v>
      </c>
      <c r="G2193" s="21"/>
      <c r="H2193" s="54">
        <v>5</v>
      </c>
      <c r="I2193" s="51"/>
      <c r="J2193" s="27"/>
      <c r="K2193" s="27"/>
      <c r="L2193" s="15"/>
      <c r="M2193" s="15"/>
      <c r="N2193" s="4" t="s">
        <v>3946</v>
      </c>
      <c r="O2193" s="4"/>
    </row>
    <row r="2194" spans="1:15" x14ac:dyDescent="0.2">
      <c r="A2194" s="2">
        <v>40007417</v>
      </c>
      <c r="B2194" s="2" t="s">
        <v>2640</v>
      </c>
      <c r="C2194" s="5">
        <v>923208004</v>
      </c>
      <c r="D2194" s="21">
        <v>4</v>
      </c>
      <c r="E2194" s="21"/>
      <c r="F2194" s="21" t="s">
        <v>10438</v>
      </c>
      <c r="G2194" s="21"/>
      <c r="H2194" s="54">
        <v>7</v>
      </c>
      <c r="I2194" s="51"/>
      <c r="J2194" s="27"/>
      <c r="K2194" s="27"/>
      <c r="L2194" s="15"/>
      <c r="M2194" s="15"/>
      <c r="N2194" s="4" t="s">
        <v>4413</v>
      </c>
      <c r="O2194" s="4"/>
    </row>
    <row r="2195" spans="1:15" x14ac:dyDescent="0.2">
      <c r="A2195" s="2">
        <v>40008071</v>
      </c>
      <c r="B2195" s="2" t="s">
        <v>3202</v>
      </c>
      <c r="C2195" s="5" t="s">
        <v>8898</v>
      </c>
      <c r="D2195" s="21">
        <v>21</v>
      </c>
      <c r="E2195" s="21"/>
      <c r="F2195" s="21" t="s">
        <v>10438</v>
      </c>
      <c r="G2195" s="21"/>
      <c r="H2195" s="54">
        <v>11</v>
      </c>
      <c r="I2195" s="51"/>
      <c r="J2195" s="27"/>
      <c r="K2195" s="27"/>
      <c r="L2195" s="15"/>
      <c r="M2195" s="15"/>
      <c r="N2195" s="4" t="s">
        <v>5187</v>
      </c>
      <c r="O2195" s="4"/>
    </row>
    <row r="2196" spans="1:15" x14ac:dyDescent="0.2">
      <c r="A2196" s="2">
        <v>10017888</v>
      </c>
      <c r="B2196" s="2" t="s">
        <v>16</v>
      </c>
      <c r="C2196" s="5">
        <v>980008606</v>
      </c>
      <c r="D2196" s="21">
        <v>248</v>
      </c>
      <c r="E2196" s="21"/>
      <c r="F2196" s="21" t="s">
        <v>10438</v>
      </c>
      <c r="G2196" s="21"/>
      <c r="H2196" s="54">
        <v>41</v>
      </c>
      <c r="I2196" s="51"/>
      <c r="J2196" s="27"/>
      <c r="K2196" s="27"/>
      <c r="L2196" s="15"/>
      <c r="M2196" s="15"/>
      <c r="N2196" s="4">
        <v>73</v>
      </c>
      <c r="O2196" s="4">
        <v>107</v>
      </c>
    </row>
    <row r="2197" spans="1:15" x14ac:dyDescent="0.2">
      <c r="A2197" s="2">
        <v>10018423</v>
      </c>
      <c r="B2197" s="2" t="s">
        <v>174</v>
      </c>
      <c r="C2197" s="5" t="s">
        <v>5715</v>
      </c>
      <c r="D2197" s="21">
        <v>38</v>
      </c>
      <c r="E2197" s="21"/>
      <c r="F2197" s="21" t="s">
        <v>10438</v>
      </c>
      <c r="G2197" s="21"/>
      <c r="H2197" s="54">
        <v>102</v>
      </c>
      <c r="I2197" s="51"/>
      <c r="J2197" s="27"/>
      <c r="K2197" s="27"/>
      <c r="L2197" s="15"/>
      <c r="M2197" s="15"/>
      <c r="N2197" s="4">
        <v>107</v>
      </c>
      <c r="O2197" s="4"/>
    </row>
    <row r="2198" spans="1:15" x14ac:dyDescent="0.2">
      <c r="A2198" s="2">
        <v>10019535</v>
      </c>
      <c r="B2198" s="2" t="s">
        <v>539</v>
      </c>
      <c r="C2198" s="5" t="s">
        <v>6162</v>
      </c>
      <c r="D2198" s="21">
        <v>9</v>
      </c>
      <c r="E2198" s="21"/>
      <c r="F2198" s="30" t="s">
        <v>10438</v>
      </c>
      <c r="G2198" s="21"/>
      <c r="H2198" s="54">
        <v>2865</v>
      </c>
      <c r="I2198" s="51">
        <v>2640</v>
      </c>
      <c r="J2198" s="27">
        <v>29</v>
      </c>
      <c r="K2198" s="27"/>
      <c r="L2198" s="15"/>
      <c r="M2198" s="15"/>
      <c r="N2198" s="4" t="s">
        <v>10713</v>
      </c>
      <c r="O2198" s="4" t="s">
        <v>10455</v>
      </c>
    </row>
    <row r="2199" spans="1:15" x14ac:dyDescent="0.2">
      <c r="A2199" s="2">
        <v>10019342</v>
      </c>
      <c r="B2199" s="2" t="s">
        <v>5368</v>
      </c>
      <c r="C2199" s="5" t="s">
        <v>6119</v>
      </c>
      <c r="D2199" s="21"/>
      <c r="E2199" s="21"/>
      <c r="F2199" s="21" t="s">
        <v>10438</v>
      </c>
      <c r="G2199" s="21"/>
      <c r="H2199" s="54">
        <v>17218</v>
      </c>
      <c r="I2199" s="51"/>
      <c r="J2199" s="27"/>
      <c r="K2199" s="27"/>
      <c r="L2199" s="15">
        <v>5</v>
      </c>
      <c r="M2199" s="15">
        <v>5</v>
      </c>
      <c r="N2199" s="4"/>
      <c r="O2199" s="4"/>
    </row>
    <row r="2200" spans="1:15" x14ac:dyDescent="0.2">
      <c r="A2200" s="2">
        <v>40006908</v>
      </c>
      <c r="B2200" s="2" t="s">
        <v>2203</v>
      </c>
      <c r="C2200" s="5" t="s">
        <v>7912</v>
      </c>
      <c r="D2200" s="21">
        <v>10</v>
      </c>
      <c r="E2200" s="21"/>
      <c r="F2200" s="21" t="s">
        <v>10438</v>
      </c>
      <c r="G2200" s="21"/>
      <c r="H2200" s="54">
        <v>6</v>
      </c>
      <c r="I2200" s="51"/>
      <c r="J2200" s="27"/>
      <c r="K2200" s="27"/>
      <c r="L2200" s="15"/>
      <c r="M2200" s="15"/>
      <c r="N2200" s="4" t="s">
        <v>4426</v>
      </c>
      <c r="O2200" s="4"/>
    </row>
    <row r="2201" spans="1:15" x14ac:dyDescent="0.2">
      <c r="A2201" s="2">
        <v>40006861</v>
      </c>
      <c r="B2201" s="2" t="s">
        <v>2159</v>
      </c>
      <c r="C2201" s="5" t="s">
        <v>7868</v>
      </c>
      <c r="D2201" s="21">
        <v>12</v>
      </c>
      <c r="E2201" s="21"/>
      <c r="F2201" s="21" t="s">
        <v>10438</v>
      </c>
      <c r="G2201" s="21"/>
      <c r="H2201" s="54">
        <v>10</v>
      </c>
      <c r="I2201" s="51"/>
      <c r="J2201" s="27"/>
      <c r="K2201" s="27"/>
      <c r="L2201" s="15"/>
      <c r="M2201" s="15"/>
      <c r="N2201" s="4" t="s">
        <v>4719</v>
      </c>
      <c r="O2201" s="4"/>
    </row>
    <row r="2202" spans="1:15" x14ac:dyDescent="0.2">
      <c r="A2202" s="2">
        <v>40010300</v>
      </c>
      <c r="B2202" s="2" t="s">
        <v>3489</v>
      </c>
      <c r="C2202" s="5" t="s">
        <v>9183</v>
      </c>
      <c r="D2202" s="21">
        <v>9</v>
      </c>
      <c r="E2202" s="21"/>
      <c r="F2202" s="21" t="s">
        <v>10438</v>
      </c>
      <c r="G2202" s="21"/>
      <c r="H2202" s="54">
        <v>23</v>
      </c>
      <c r="I2202" s="51"/>
      <c r="J2202" s="27"/>
      <c r="K2202" s="27"/>
      <c r="L2202" s="15"/>
      <c r="M2202" s="15"/>
      <c r="N2202" s="4" t="s">
        <v>4623</v>
      </c>
      <c r="O2202" s="4"/>
    </row>
    <row r="2203" spans="1:15" x14ac:dyDescent="0.2">
      <c r="A2203" s="2">
        <v>40006345</v>
      </c>
      <c r="B2203" s="7" t="s">
        <v>1709</v>
      </c>
      <c r="C2203" s="5" t="s">
        <v>7418</v>
      </c>
      <c r="D2203" s="21">
        <v>9</v>
      </c>
      <c r="E2203" s="21"/>
      <c r="F2203" s="21" t="s">
        <v>10438</v>
      </c>
      <c r="G2203" s="21"/>
      <c r="H2203" s="54">
        <v>5</v>
      </c>
      <c r="I2203" s="51"/>
      <c r="J2203" s="27"/>
      <c r="K2203" s="27"/>
      <c r="L2203" s="15"/>
      <c r="M2203" s="15"/>
      <c r="N2203" s="4" t="s">
        <v>4537</v>
      </c>
      <c r="O2203" s="4"/>
    </row>
    <row r="2204" spans="1:15" x14ac:dyDescent="0.2">
      <c r="A2204" s="2">
        <v>40006409</v>
      </c>
      <c r="B2204" s="2" t="s">
        <v>1769</v>
      </c>
      <c r="C2204" s="5">
        <v>203245002</v>
      </c>
      <c r="D2204" s="21">
        <v>10</v>
      </c>
      <c r="E2204" s="21"/>
      <c r="F2204" s="21" t="s">
        <v>10438</v>
      </c>
      <c r="G2204" s="21"/>
      <c r="H2204" s="54">
        <v>12</v>
      </c>
      <c r="I2204" s="51"/>
      <c r="J2204" s="27"/>
      <c r="K2204" s="27"/>
      <c r="L2204" s="15"/>
      <c r="M2204" s="15"/>
      <c r="N2204" s="4" t="s">
        <v>4576</v>
      </c>
      <c r="O2204" s="4"/>
    </row>
    <row r="2205" spans="1:15" x14ac:dyDescent="0.2">
      <c r="A2205" s="2">
        <v>40007909</v>
      </c>
      <c r="B2205" s="2" t="s">
        <v>3064</v>
      </c>
      <c r="C2205" s="5" t="s">
        <v>8755</v>
      </c>
      <c r="D2205" s="21">
        <v>10</v>
      </c>
      <c r="E2205" s="21"/>
      <c r="F2205" s="21" t="s">
        <v>10438</v>
      </c>
      <c r="G2205" s="21"/>
      <c r="H2205" s="54">
        <v>11</v>
      </c>
      <c r="I2205" s="51"/>
      <c r="J2205" s="27"/>
      <c r="K2205" s="27"/>
      <c r="L2205" s="15"/>
      <c r="M2205" s="15"/>
      <c r="N2205" s="4" t="s">
        <v>4356</v>
      </c>
      <c r="O2205" s="4"/>
    </row>
    <row r="2206" spans="1:15" x14ac:dyDescent="0.2">
      <c r="A2206" s="2">
        <v>40007083</v>
      </c>
      <c r="B2206" s="2" t="s">
        <v>2356</v>
      </c>
      <c r="C2206" s="5" t="s">
        <v>8063</v>
      </c>
      <c r="D2206" s="21">
        <v>37</v>
      </c>
      <c r="E2206" s="21"/>
      <c r="F2206" s="21" t="s">
        <v>10438</v>
      </c>
      <c r="G2206" s="21"/>
      <c r="H2206" s="54">
        <v>11</v>
      </c>
      <c r="I2206" s="51"/>
      <c r="J2206" s="27"/>
      <c r="K2206" s="27"/>
      <c r="L2206" s="15"/>
      <c r="M2206" s="15"/>
      <c r="N2206" s="4" t="s">
        <v>4820</v>
      </c>
      <c r="O2206" s="4"/>
    </row>
    <row r="2207" spans="1:15" x14ac:dyDescent="0.2">
      <c r="A2207" s="2">
        <v>10019320</v>
      </c>
      <c r="B2207" s="2" t="s">
        <v>498</v>
      </c>
      <c r="C2207" s="56" t="s">
        <v>6113</v>
      </c>
      <c r="D2207" s="21">
        <v>-1</v>
      </c>
      <c r="E2207" s="21"/>
      <c r="F2207" s="21" t="s">
        <v>10438</v>
      </c>
      <c r="G2207" s="21"/>
      <c r="H2207" s="54">
        <v>798</v>
      </c>
      <c r="I2207" s="51"/>
      <c r="J2207" s="27"/>
      <c r="K2207" s="27"/>
      <c r="L2207" s="15"/>
      <c r="M2207" s="15">
        <v>8</v>
      </c>
      <c r="N2207" s="4">
        <v>99</v>
      </c>
      <c r="O2207" s="4"/>
    </row>
    <row r="2208" spans="1:15" x14ac:dyDescent="0.2">
      <c r="A2208" s="2">
        <v>40006158</v>
      </c>
      <c r="B2208" s="2" t="s">
        <v>1545</v>
      </c>
      <c r="C2208" s="5" t="s">
        <v>7251</v>
      </c>
      <c r="D2208" s="21">
        <v>7</v>
      </c>
      <c r="E2208" s="21"/>
      <c r="F2208" s="21" t="s">
        <v>10438</v>
      </c>
      <c r="G2208" s="21"/>
      <c r="H2208" s="54">
        <v>247</v>
      </c>
      <c r="I2208" s="51"/>
      <c r="J2208" s="27"/>
      <c r="K2208" s="27"/>
      <c r="L2208" s="15"/>
      <c r="M2208" s="15"/>
      <c r="N2208" s="4">
        <v>68</v>
      </c>
      <c r="O2208" s="4"/>
    </row>
    <row r="2209" spans="1:15" x14ac:dyDescent="0.2">
      <c r="A2209" s="2">
        <v>40007965</v>
      </c>
      <c r="B2209" s="2" t="s">
        <v>3114</v>
      </c>
      <c r="C2209" s="5" t="s">
        <v>8809</v>
      </c>
      <c r="D2209" s="21">
        <v>2</v>
      </c>
      <c r="E2209" s="21"/>
      <c r="F2209" s="21" t="s">
        <v>10438</v>
      </c>
      <c r="G2209" s="21"/>
      <c r="H2209" s="54">
        <v>68</v>
      </c>
      <c r="I2209" s="51"/>
      <c r="J2209" s="27"/>
      <c r="K2209" s="27"/>
      <c r="L2209" s="15"/>
      <c r="M2209" s="15"/>
      <c r="N2209" s="4"/>
      <c r="O2209" s="4">
        <v>43</v>
      </c>
    </row>
    <row r="2210" spans="1:15" x14ac:dyDescent="0.2">
      <c r="A2210" s="2">
        <v>10018038</v>
      </c>
      <c r="B2210" s="2" t="s">
        <v>3740</v>
      </c>
      <c r="C2210" s="5" t="s">
        <v>5591</v>
      </c>
      <c r="D2210" s="21">
        <v>3</v>
      </c>
      <c r="E2210" s="21"/>
      <c r="F2210" s="21" t="s">
        <v>10438</v>
      </c>
      <c r="G2210" s="21"/>
      <c r="H2210" s="54">
        <v>25</v>
      </c>
      <c r="I2210" s="51"/>
      <c r="J2210" s="27"/>
      <c r="K2210" s="27"/>
      <c r="L2210" s="15">
        <v>5</v>
      </c>
      <c r="M2210" s="15">
        <v>4</v>
      </c>
      <c r="N2210" s="4" t="s">
        <v>3936</v>
      </c>
      <c r="O2210" s="4"/>
    </row>
    <row r="2211" spans="1:15" x14ac:dyDescent="0.2">
      <c r="A2211" s="2">
        <v>40005431</v>
      </c>
      <c r="B2211" s="2" t="s">
        <v>906</v>
      </c>
      <c r="C2211" s="5" t="s">
        <v>6628</v>
      </c>
      <c r="D2211" s="21">
        <v>12</v>
      </c>
      <c r="E2211" s="21"/>
      <c r="F2211" s="21" t="s">
        <v>10438</v>
      </c>
      <c r="G2211" s="21"/>
      <c r="H2211" s="54">
        <v>23</v>
      </c>
      <c r="I2211" s="51"/>
      <c r="J2211" s="27"/>
      <c r="K2211" s="27"/>
      <c r="L2211" s="15"/>
      <c r="M2211" s="15"/>
      <c r="N2211" s="4"/>
      <c r="O2211" s="4" t="s">
        <v>4189</v>
      </c>
    </row>
    <row r="2212" spans="1:15" x14ac:dyDescent="0.2">
      <c r="A2212" s="2">
        <v>40006543</v>
      </c>
      <c r="B2212" s="2" t="s">
        <v>1883</v>
      </c>
      <c r="C2212" s="5" t="s">
        <v>7591</v>
      </c>
      <c r="D2212" s="21">
        <v>1</v>
      </c>
      <c r="E2212" s="21"/>
      <c r="F2212" s="21" t="s">
        <v>10438</v>
      </c>
      <c r="G2212" s="21"/>
      <c r="H2212" s="54">
        <v>95</v>
      </c>
      <c r="I2212" s="51"/>
      <c r="J2212" s="27"/>
      <c r="K2212" s="27"/>
      <c r="L2212" s="15"/>
      <c r="M2212" s="15"/>
      <c r="N2212" s="4"/>
      <c r="O2212" s="4" t="s">
        <v>5035</v>
      </c>
    </row>
    <row r="2213" spans="1:15" x14ac:dyDescent="0.2">
      <c r="A2213" s="2">
        <v>40006642</v>
      </c>
      <c r="B2213" s="2" t="s">
        <v>1976</v>
      </c>
      <c r="C2213" s="5" t="s">
        <v>7685</v>
      </c>
      <c r="D2213" s="21">
        <v>1</v>
      </c>
      <c r="E2213" s="21"/>
      <c r="F2213" s="21" t="s">
        <v>10438</v>
      </c>
      <c r="G2213" s="21"/>
      <c r="H2213" s="54">
        <v>136</v>
      </c>
      <c r="I2213" s="51"/>
      <c r="J2213" s="27"/>
      <c r="K2213" s="27"/>
      <c r="L2213" s="15"/>
      <c r="M2213" s="15"/>
      <c r="N2213" s="4"/>
      <c r="O2213" s="4" t="s">
        <v>10120</v>
      </c>
    </row>
    <row r="2214" spans="1:15" x14ac:dyDescent="0.2">
      <c r="A2214" s="2">
        <v>40005255</v>
      </c>
      <c r="B2214" s="2" t="s">
        <v>773</v>
      </c>
      <c r="C2214" s="5" t="s">
        <v>6488</v>
      </c>
      <c r="D2214" s="21">
        <v>2</v>
      </c>
      <c r="E2214" s="21"/>
      <c r="F2214" s="21" t="s">
        <v>10438</v>
      </c>
      <c r="G2214" s="21"/>
      <c r="H2214" s="54">
        <v>840</v>
      </c>
      <c r="I2214" s="51"/>
      <c r="J2214" s="27"/>
      <c r="K2214" s="27"/>
      <c r="L2214" s="15"/>
      <c r="M2214" s="15"/>
      <c r="N2214" s="4"/>
      <c r="O2214" s="4">
        <v>101</v>
      </c>
    </row>
    <row r="2215" spans="1:15" x14ac:dyDescent="0.2">
      <c r="A2215" s="2">
        <v>40006601</v>
      </c>
      <c r="B2215" s="2" t="s">
        <v>1938</v>
      </c>
      <c r="C2215" s="5" t="s">
        <v>7646</v>
      </c>
      <c r="D2215" s="21">
        <v>2</v>
      </c>
      <c r="E2215" s="21"/>
      <c r="F2215" s="21" t="s">
        <v>10438</v>
      </c>
      <c r="G2215" s="21"/>
      <c r="H2215" s="54">
        <v>214</v>
      </c>
      <c r="I2215" s="51"/>
      <c r="J2215" s="27"/>
      <c r="K2215" s="27"/>
      <c r="L2215" s="15"/>
      <c r="M2215" s="15"/>
      <c r="N2215" s="4"/>
      <c r="O2215" s="4" t="s">
        <v>10374</v>
      </c>
    </row>
    <row r="2216" spans="1:15" x14ac:dyDescent="0.2">
      <c r="A2216" s="2">
        <v>40006603</v>
      </c>
      <c r="B2216" s="2" t="s">
        <v>1940</v>
      </c>
      <c r="C2216" s="5" t="s">
        <v>7648</v>
      </c>
      <c r="D2216" s="21">
        <v>1</v>
      </c>
      <c r="E2216" s="21"/>
      <c r="F2216" s="21" t="s">
        <v>10438</v>
      </c>
      <c r="G2216" s="21"/>
      <c r="H2216" s="54">
        <v>160</v>
      </c>
      <c r="I2216" s="51"/>
      <c r="J2216" s="27"/>
      <c r="K2216" s="27"/>
      <c r="L2216" s="15"/>
      <c r="M2216" s="15"/>
      <c r="N2216" s="4"/>
      <c r="O2216" s="4" t="s">
        <v>10374</v>
      </c>
    </row>
    <row r="2217" spans="1:15" x14ac:dyDescent="0.2">
      <c r="A2217" s="2">
        <v>40005549</v>
      </c>
      <c r="B2217" s="2" t="s">
        <v>1008</v>
      </c>
      <c r="C2217" s="5" t="s">
        <v>6732</v>
      </c>
      <c r="D2217" s="21">
        <v>4</v>
      </c>
      <c r="E2217" s="21"/>
      <c r="F2217" s="21" t="s">
        <v>10438</v>
      </c>
      <c r="G2217" s="21"/>
      <c r="H2217" s="54">
        <v>212</v>
      </c>
      <c r="I2217" s="51"/>
      <c r="J2217" s="27"/>
      <c r="K2217" s="27"/>
      <c r="L2217" s="15"/>
      <c r="M2217" s="15"/>
      <c r="N2217" s="4"/>
      <c r="O2217" s="4">
        <v>87</v>
      </c>
    </row>
    <row r="2218" spans="1:15" x14ac:dyDescent="0.2">
      <c r="A2218" s="2">
        <v>40007084</v>
      </c>
      <c r="B2218" s="2" t="s">
        <v>2357</v>
      </c>
      <c r="C2218" s="5" t="s">
        <v>8064</v>
      </c>
      <c r="D2218" s="21">
        <v>8</v>
      </c>
      <c r="E2218" s="21"/>
      <c r="F2218" s="21" t="s">
        <v>10438</v>
      </c>
      <c r="G2218" s="21"/>
      <c r="H2218" s="54">
        <v>454</v>
      </c>
      <c r="I2218" s="51"/>
      <c r="J2218" s="27"/>
      <c r="K2218" s="27"/>
      <c r="L2218" s="15"/>
      <c r="M2218" s="15"/>
      <c r="N2218" s="4">
        <v>35</v>
      </c>
      <c r="O2218" s="4">
        <v>83</v>
      </c>
    </row>
    <row r="2219" spans="1:15" x14ac:dyDescent="0.2">
      <c r="A2219" s="2">
        <v>40007294</v>
      </c>
      <c r="B2219" s="2" t="s">
        <v>2539</v>
      </c>
      <c r="C2219" s="5" t="s">
        <v>8238</v>
      </c>
      <c r="D2219" s="21">
        <v>1</v>
      </c>
      <c r="E2219" s="21"/>
      <c r="F2219" s="21" t="s">
        <v>10438</v>
      </c>
      <c r="G2219" s="21"/>
      <c r="H2219" s="54">
        <v>445</v>
      </c>
      <c r="I2219" s="51"/>
      <c r="J2219" s="27"/>
      <c r="K2219" s="27"/>
      <c r="L2219" s="15"/>
      <c r="M2219" s="15"/>
      <c r="N2219" s="4"/>
      <c r="O2219" s="4">
        <v>65</v>
      </c>
    </row>
    <row r="2220" spans="1:15" x14ac:dyDescent="0.2">
      <c r="A2220" s="2">
        <v>40006199</v>
      </c>
      <c r="B2220" s="2" t="s">
        <v>1582</v>
      </c>
      <c r="C2220" s="5" t="s">
        <v>7289</v>
      </c>
      <c r="D2220" s="21">
        <v>1</v>
      </c>
      <c r="E2220" s="21"/>
      <c r="F2220" s="21" t="s">
        <v>10438</v>
      </c>
      <c r="G2220" s="21"/>
      <c r="H2220" s="54">
        <v>361</v>
      </c>
      <c r="I2220" s="51"/>
      <c r="J2220" s="27"/>
      <c r="K2220" s="27"/>
      <c r="L2220" s="15"/>
      <c r="M2220" s="15"/>
      <c r="N2220" s="4"/>
      <c r="O2220" s="4" t="s">
        <v>10321</v>
      </c>
    </row>
    <row r="2221" spans="1:15" x14ac:dyDescent="0.2">
      <c r="A2221" s="2">
        <v>40006587</v>
      </c>
      <c r="B2221" s="2" t="s">
        <v>1924</v>
      </c>
      <c r="C2221" s="5" t="s">
        <v>7632</v>
      </c>
      <c r="D2221" s="21">
        <v>2</v>
      </c>
      <c r="E2221" s="21"/>
      <c r="F2221" s="21" t="s">
        <v>10438</v>
      </c>
      <c r="G2221" s="21"/>
      <c r="H2221" s="54">
        <v>352</v>
      </c>
      <c r="I2221" s="51"/>
      <c r="J2221" s="27"/>
      <c r="K2221" s="27"/>
      <c r="L2221" s="15"/>
      <c r="M2221" s="15"/>
      <c r="N2221" s="4"/>
      <c r="O2221" s="4">
        <v>91</v>
      </c>
    </row>
    <row r="2222" spans="1:15" x14ac:dyDescent="0.2">
      <c r="A2222" s="2">
        <v>40006591</v>
      </c>
      <c r="B2222" s="2" t="s">
        <v>1928</v>
      </c>
      <c r="C2222" s="5" t="s">
        <v>7636</v>
      </c>
      <c r="D2222" s="21">
        <v>1</v>
      </c>
      <c r="E2222" s="21"/>
      <c r="F2222" s="21" t="s">
        <v>10438</v>
      </c>
      <c r="G2222" s="21"/>
      <c r="H2222" s="54">
        <v>255</v>
      </c>
      <c r="I2222" s="51"/>
      <c r="J2222" s="27"/>
      <c r="K2222" s="27"/>
      <c r="L2222" s="15"/>
      <c r="M2222" s="15"/>
      <c r="N2222" s="4"/>
      <c r="O2222" s="4" t="s">
        <v>10374</v>
      </c>
    </row>
    <row r="2223" spans="1:15" x14ac:dyDescent="0.2">
      <c r="A2223" s="2">
        <v>40006596</v>
      </c>
      <c r="B2223" s="2" t="s">
        <v>1933</v>
      </c>
      <c r="C2223" s="5" t="s">
        <v>7641</v>
      </c>
      <c r="D2223" s="21">
        <v>2</v>
      </c>
      <c r="E2223" s="21"/>
      <c r="F2223" s="21" t="s">
        <v>10438</v>
      </c>
      <c r="G2223" s="21"/>
      <c r="H2223" s="54">
        <v>702</v>
      </c>
      <c r="I2223" s="51"/>
      <c r="J2223" s="27"/>
      <c r="K2223" s="27"/>
      <c r="L2223" s="15"/>
      <c r="M2223" s="15"/>
      <c r="N2223" s="4"/>
      <c r="O2223" s="4" t="s">
        <v>10374</v>
      </c>
    </row>
    <row r="2224" spans="1:15" x14ac:dyDescent="0.2">
      <c r="A2224" s="2">
        <v>40011249</v>
      </c>
      <c r="B2224" s="2" t="s">
        <v>3732</v>
      </c>
      <c r="C2224" s="5" t="s">
        <v>9374</v>
      </c>
      <c r="D2224" s="21"/>
      <c r="E2224" s="21"/>
      <c r="F2224" s="21" t="s">
        <v>10438</v>
      </c>
      <c r="G2224" s="21"/>
      <c r="H2224" s="54">
        <v>253</v>
      </c>
      <c r="I2224" s="51"/>
      <c r="J2224" s="27"/>
      <c r="K2224" s="27"/>
      <c r="L2224" s="15"/>
      <c r="M2224" s="15"/>
      <c r="N2224" s="4"/>
      <c r="O2224" s="4" t="s">
        <v>10375</v>
      </c>
    </row>
    <row r="2225" spans="1:15" x14ac:dyDescent="0.2">
      <c r="A2225" s="2">
        <v>40006595</v>
      </c>
      <c r="B2225" s="2" t="s">
        <v>1932</v>
      </c>
      <c r="C2225" s="5" t="s">
        <v>7640</v>
      </c>
      <c r="D2225" s="21">
        <v>2</v>
      </c>
      <c r="E2225" s="21"/>
      <c r="F2225" s="21" t="s">
        <v>10438</v>
      </c>
      <c r="G2225" s="21"/>
      <c r="H2225" s="54">
        <v>168</v>
      </c>
      <c r="I2225" s="51"/>
      <c r="J2225" s="27"/>
      <c r="K2225" s="27"/>
      <c r="L2225" s="15"/>
      <c r="M2225" s="15"/>
      <c r="N2225" s="4"/>
      <c r="O2225" s="4" t="s">
        <v>10374</v>
      </c>
    </row>
    <row r="2226" spans="1:15" x14ac:dyDescent="0.2">
      <c r="A2226" s="2">
        <v>40006597</v>
      </c>
      <c r="B2226" s="2" t="s">
        <v>1934</v>
      </c>
      <c r="C2226" s="5" t="s">
        <v>7642</v>
      </c>
      <c r="D2226" s="21">
        <v>1</v>
      </c>
      <c r="E2226" s="21"/>
      <c r="F2226" s="21" t="s">
        <v>10438</v>
      </c>
      <c r="G2226" s="21"/>
      <c r="H2226" s="54">
        <v>211</v>
      </c>
      <c r="I2226" s="51"/>
      <c r="J2226" s="27"/>
      <c r="K2226" s="27"/>
      <c r="L2226" s="15"/>
      <c r="M2226" s="15"/>
      <c r="N2226" s="4"/>
      <c r="O2226" s="4" t="s">
        <v>10374</v>
      </c>
    </row>
    <row r="2227" spans="1:15" x14ac:dyDescent="0.2">
      <c r="A2227" s="2">
        <v>40006598</v>
      </c>
      <c r="B2227" s="2" t="s">
        <v>1935</v>
      </c>
      <c r="C2227" s="5" t="s">
        <v>7643</v>
      </c>
      <c r="D2227" s="21">
        <v>2</v>
      </c>
      <c r="E2227" s="21"/>
      <c r="F2227" s="21" t="s">
        <v>10438</v>
      </c>
      <c r="G2227" s="21"/>
      <c r="H2227" s="54">
        <v>114</v>
      </c>
      <c r="I2227" s="51"/>
      <c r="J2227" s="27"/>
      <c r="K2227" s="27"/>
      <c r="L2227" s="15"/>
      <c r="M2227" s="15"/>
      <c r="N2227" s="4"/>
      <c r="O2227" s="4" t="s">
        <v>10374</v>
      </c>
    </row>
    <row r="2228" spans="1:15" x14ac:dyDescent="0.2">
      <c r="A2228" s="2">
        <v>40006602</v>
      </c>
      <c r="B2228" s="2" t="s">
        <v>1939</v>
      </c>
      <c r="C2228" s="5" t="s">
        <v>7647</v>
      </c>
      <c r="D2228" s="21">
        <v>2</v>
      </c>
      <c r="E2228" s="21"/>
      <c r="F2228" s="21" t="s">
        <v>10438</v>
      </c>
      <c r="G2228" s="21"/>
      <c r="H2228" s="54">
        <v>224</v>
      </c>
      <c r="I2228" s="51"/>
      <c r="J2228" s="27"/>
      <c r="K2228" s="27"/>
      <c r="L2228" s="15"/>
      <c r="M2228" s="15"/>
      <c r="N2228" s="4"/>
      <c r="O2228" s="4" t="s">
        <v>10374</v>
      </c>
    </row>
    <row r="2229" spans="1:15" x14ac:dyDescent="0.2">
      <c r="A2229" s="2">
        <v>40011153</v>
      </c>
      <c r="B2229" s="2" t="s">
        <v>3597</v>
      </c>
      <c r="C2229" s="5" t="s">
        <v>9331</v>
      </c>
      <c r="D2229" s="21">
        <v>1</v>
      </c>
      <c r="E2229" s="21"/>
      <c r="F2229" s="21" t="s">
        <v>10438</v>
      </c>
      <c r="G2229" s="21"/>
      <c r="H2229" s="54">
        <v>182</v>
      </c>
      <c r="I2229" s="51"/>
      <c r="J2229" s="27"/>
      <c r="K2229" s="27"/>
      <c r="L2229" s="15"/>
      <c r="M2229" s="15"/>
      <c r="N2229" s="4"/>
      <c r="O2229" s="4">
        <v>64</v>
      </c>
    </row>
    <row r="2230" spans="1:15" x14ac:dyDescent="0.2">
      <c r="A2230" s="2">
        <v>40005349</v>
      </c>
      <c r="B2230" s="2" t="s">
        <v>834</v>
      </c>
      <c r="C2230" s="5" t="s">
        <v>6552</v>
      </c>
      <c r="D2230" s="21">
        <v>2</v>
      </c>
      <c r="E2230" s="21"/>
      <c r="F2230" s="21" t="s">
        <v>10438</v>
      </c>
      <c r="G2230" s="21"/>
      <c r="H2230" s="54">
        <v>206</v>
      </c>
      <c r="I2230" s="51"/>
      <c r="J2230" s="27"/>
      <c r="K2230" s="27"/>
      <c r="L2230" s="15"/>
      <c r="M2230" s="15"/>
      <c r="N2230" s="4"/>
      <c r="O2230" s="4">
        <v>88</v>
      </c>
    </row>
    <row r="2231" spans="1:15" x14ac:dyDescent="0.2">
      <c r="A2231" s="2">
        <v>40005814</v>
      </c>
      <c r="B2231" s="2" t="s">
        <v>1235</v>
      </c>
      <c r="C2231" s="5" t="s">
        <v>6948</v>
      </c>
      <c r="D2231" s="21">
        <v>2</v>
      </c>
      <c r="E2231" s="21"/>
      <c r="F2231" s="21" t="s">
        <v>10438</v>
      </c>
      <c r="G2231" s="21"/>
      <c r="H2231" s="54">
        <v>165</v>
      </c>
      <c r="I2231" s="51"/>
      <c r="J2231" s="27"/>
      <c r="K2231" s="27"/>
      <c r="L2231" s="15"/>
      <c r="M2231" s="15"/>
      <c r="N2231" s="4" t="s">
        <v>4065</v>
      </c>
      <c r="O2231" s="4"/>
    </row>
    <row r="2232" spans="1:15" x14ac:dyDescent="0.2">
      <c r="A2232" s="2">
        <v>40005247</v>
      </c>
      <c r="B2232" s="2" t="s">
        <v>3815</v>
      </c>
      <c r="C2232" s="5" t="s">
        <v>6482</v>
      </c>
      <c r="D2232" s="21">
        <v>1</v>
      </c>
      <c r="E2232" s="21"/>
      <c r="F2232" s="21" t="s">
        <v>10438</v>
      </c>
      <c r="G2232" s="21"/>
      <c r="H2232" s="54">
        <v>124</v>
      </c>
      <c r="I2232" s="51"/>
      <c r="J2232" s="27"/>
      <c r="K2232" s="27"/>
      <c r="L2232" s="15"/>
      <c r="M2232" s="15"/>
      <c r="N2232" s="4"/>
      <c r="O2232" s="4" t="s">
        <v>10143</v>
      </c>
    </row>
    <row r="2233" spans="1:15" x14ac:dyDescent="0.2">
      <c r="A2233" s="2">
        <v>40005909</v>
      </c>
      <c r="B2233" s="2" t="s">
        <v>1320</v>
      </c>
      <c r="C2233" s="5" t="s">
        <v>7028</v>
      </c>
      <c r="D2233" s="21">
        <v>2</v>
      </c>
      <c r="E2233" s="21"/>
      <c r="F2233" s="21" t="s">
        <v>10438</v>
      </c>
      <c r="G2233" s="21"/>
      <c r="H2233" s="54">
        <v>91</v>
      </c>
      <c r="I2233" s="51"/>
      <c r="J2233" s="27"/>
      <c r="K2233" s="27"/>
      <c r="L2233" s="15"/>
      <c r="M2233" s="15"/>
      <c r="N2233" s="4"/>
      <c r="O2233" s="4">
        <v>87</v>
      </c>
    </row>
    <row r="2234" spans="1:15" x14ac:dyDescent="0.2">
      <c r="A2234" s="2">
        <v>40010307</v>
      </c>
      <c r="B2234" s="2" t="s">
        <v>3816</v>
      </c>
      <c r="C2234" s="5" t="s">
        <v>9189</v>
      </c>
      <c r="D2234" s="21">
        <v>2</v>
      </c>
      <c r="E2234" s="21"/>
      <c r="F2234" s="21" t="s">
        <v>10438</v>
      </c>
      <c r="G2234" s="21"/>
      <c r="H2234" s="54">
        <v>338</v>
      </c>
      <c r="I2234" s="51"/>
      <c r="J2234" s="27"/>
      <c r="K2234" s="27"/>
      <c r="L2234" s="15"/>
      <c r="M2234" s="15"/>
      <c r="N2234" s="4"/>
      <c r="O2234" s="4" t="s">
        <v>10376</v>
      </c>
    </row>
    <row r="2235" spans="1:15" x14ac:dyDescent="0.2">
      <c r="A2235" s="2">
        <v>40006600</v>
      </c>
      <c r="B2235" s="2" t="s">
        <v>1937</v>
      </c>
      <c r="C2235" s="5" t="s">
        <v>7645</v>
      </c>
      <c r="D2235" s="21">
        <v>3</v>
      </c>
      <c r="E2235" s="21"/>
      <c r="F2235" s="21" t="s">
        <v>10438</v>
      </c>
      <c r="G2235" s="21"/>
      <c r="H2235" s="54">
        <v>145</v>
      </c>
      <c r="I2235" s="51"/>
      <c r="J2235" s="27"/>
      <c r="K2235" s="27"/>
      <c r="L2235" s="15"/>
      <c r="M2235" s="15"/>
      <c r="N2235" s="4"/>
      <c r="O2235" s="4" t="s">
        <v>10374</v>
      </c>
    </row>
    <row r="2236" spans="1:15" x14ac:dyDescent="0.2">
      <c r="A2236" s="2">
        <v>40006087</v>
      </c>
      <c r="B2236" s="2" t="s">
        <v>1479</v>
      </c>
      <c r="C2236" s="5" t="s">
        <v>7184</v>
      </c>
      <c r="D2236" s="21">
        <v>2</v>
      </c>
      <c r="E2236" s="21"/>
      <c r="F2236" s="21" t="s">
        <v>10438</v>
      </c>
      <c r="G2236" s="21"/>
      <c r="H2236" s="54">
        <v>60</v>
      </c>
      <c r="I2236" s="51"/>
      <c r="J2236" s="27"/>
      <c r="K2236" s="27"/>
      <c r="L2236" s="15"/>
      <c r="M2236" s="15"/>
      <c r="N2236" s="4"/>
      <c r="O2236" s="4">
        <v>87</v>
      </c>
    </row>
    <row r="2237" spans="1:15" x14ac:dyDescent="0.2">
      <c r="A2237" s="2">
        <v>40011248</v>
      </c>
      <c r="B2237" s="2" t="s">
        <v>3731</v>
      </c>
      <c r="C2237" s="5" t="s">
        <v>9373</v>
      </c>
      <c r="D2237" s="21">
        <v>2</v>
      </c>
      <c r="E2237" s="21"/>
      <c r="F2237" s="21" t="s">
        <v>10438</v>
      </c>
      <c r="G2237" s="21"/>
      <c r="H2237" s="54">
        <v>110</v>
      </c>
      <c r="I2237" s="51"/>
      <c r="J2237" s="27"/>
      <c r="K2237" s="27"/>
      <c r="L2237" s="15"/>
      <c r="M2237" s="15"/>
      <c r="N2237" s="4"/>
      <c r="O2237" s="4" t="s">
        <v>10375</v>
      </c>
    </row>
    <row r="2238" spans="1:15" x14ac:dyDescent="0.2">
      <c r="A2238" s="2">
        <v>40005312</v>
      </c>
      <c r="B2238" s="2" t="s">
        <v>804</v>
      </c>
      <c r="C2238" s="5" t="s">
        <v>6521</v>
      </c>
      <c r="D2238" s="21">
        <v>2</v>
      </c>
      <c r="E2238" s="21"/>
      <c r="F2238" s="21" t="s">
        <v>10438</v>
      </c>
      <c r="G2238" s="21"/>
      <c r="H2238" s="54">
        <v>241</v>
      </c>
      <c r="I2238" s="51"/>
      <c r="J2238" s="27"/>
      <c r="K2238" s="27"/>
      <c r="L2238" s="15"/>
      <c r="M2238" s="15"/>
      <c r="N2238" s="4"/>
      <c r="O2238" s="4" t="s">
        <v>10134</v>
      </c>
    </row>
    <row r="2239" spans="1:15" x14ac:dyDescent="0.2">
      <c r="A2239" s="2">
        <v>40006365</v>
      </c>
      <c r="B2239" s="2" t="s">
        <v>1728</v>
      </c>
      <c r="C2239" s="5" t="s">
        <v>7438</v>
      </c>
      <c r="D2239" s="21">
        <v>3</v>
      </c>
      <c r="E2239" s="21"/>
      <c r="F2239" s="21" t="s">
        <v>10438</v>
      </c>
      <c r="G2239" s="21"/>
      <c r="H2239" s="54">
        <v>179</v>
      </c>
      <c r="I2239" s="51"/>
      <c r="J2239" s="27"/>
      <c r="K2239" s="27"/>
      <c r="L2239" s="15"/>
      <c r="M2239" s="15"/>
      <c r="N2239" s="4"/>
      <c r="O2239" s="4">
        <v>87</v>
      </c>
    </row>
    <row r="2240" spans="1:15" x14ac:dyDescent="0.2">
      <c r="A2240" s="2">
        <v>10040635</v>
      </c>
      <c r="B2240" s="7" t="s">
        <v>5389</v>
      </c>
      <c r="C2240" s="5" t="s">
        <v>6396</v>
      </c>
      <c r="D2240" s="21">
        <v>1</v>
      </c>
      <c r="E2240" s="21"/>
      <c r="F2240" s="21" t="s">
        <v>10438</v>
      </c>
      <c r="G2240" s="21"/>
      <c r="H2240" s="54">
        <v>509</v>
      </c>
      <c r="I2240" s="51"/>
      <c r="J2240" s="27"/>
      <c r="K2240" s="27"/>
      <c r="L2240" s="15"/>
      <c r="M2240" s="15"/>
      <c r="N2240" s="4"/>
      <c r="O2240" s="4">
        <v>19</v>
      </c>
    </row>
    <row r="2241" spans="1:15" x14ac:dyDescent="0.2">
      <c r="A2241" s="2">
        <v>40005181</v>
      </c>
      <c r="B2241" s="2" t="s">
        <v>725</v>
      </c>
      <c r="C2241" s="5" t="s">
        <v>6438</v>
      </c>
      <c r="D2241" s="21">
        <v>1</v>
      </c>
      <c r="E2241" s="21"/>
      <c r="F2241" s="21" t="s">
        <v>10438</v>
      </c>
      <c r="G2241" s="21"/>
      <c r="H2241" s="54">
        <v>18</v>
      </c>
      <c r="I2241" s="51"/>
      <c r="J2241" s="27"/>
      <c r="K2241" s="27"/>
      <c r="L2241" s="15"/>
      <c r="M2241" s="15"/>
      <c r="N2241" s="4"/>
      <c r="O2241" s="4" t="s">
        <v>4921</v>
      </c>
    </row>
    <row r="2242" spans="1:15" x14ac:dyDescent="0.2">
      <c r="A2242" s="2">
        <v>10018985</v>
      </c>
      <c r="B2242" s="2" t="s">
        <v>393</v>
      </c>
      <c r="C2242" s="5" t="s">
        <v>5991</v>
      </c>
      <c r="D2242" s="21"/>
      <c r="E2242" s="21"/>
      <c r="F2242" s="21" t="s">
        <v>10438</v>
      </c>
      <c r="G2242" s="21"/>
      <c r="H2242" s="54">
        <v>142</v>
      </c>
      <c r="I2242" s="51"/>
      <c r="J2242" s="27"/>
      <c r="K2242" s="27"/>
      <c r="L2242" s="15"/>
      <c r="M2242" s="15"/>
      <c r="N2242" s="4">
        <v>71</v>
      </c>
      <c r="O2242" s="4"/>
    </row>
    <row r="2243" spans="1:15" x14ac:dyDescent="0.2">
      <c r="A2243" s="2">
        <v>10019268</v>
      </c>
      <c r="B2243" s="2" t="s">
        <v>479</v>
      </c>
      <c r="C2243" s="5" t="s">
        <v>6092</v>
      </c>
      <c r="D2243" s="21">
        <v>13</v>
      </c>
      <c r="E2243" s="21"/>
      <c r="F2243" s="21" t="s">
        <v>10438</v>
      </c>
      <c r="G2243" s="21"/>
      <c r="H2243" s="54">
        <v>20</v>
      </c>
      <c r="I2243" s="51"/>
      <c r="J2243" s="27"/>
      <c r="K2243" s="27"/>
      <c r="L2243" s="15"/>
      <c r="M2243" s="15"/>
      <c r="N2243" s="4">
        <v>104</v>
      </c>
      <c r="O2243" s="4"/>
    </row>
    <row r="2244" spans="1:15" x14ac:dyDescent="0.2">
      <c r="A2244" s="2">
        <v>10018568</v>
      </c>
      <c r="B2244" s="2" t="s">
        <v>219</v>
      </c>
      <c r="C2244" s="5" t="s">
        <v>5778</v>
      </c>
      <c r="D2244" s="21"/>
      <c r="E2244" s="21"/>
      <c r="F2244" s="21" t="s">
        <v>10438</v>
      </c>
      <c r="G2244" s="21"/>
      <c r="H2244" s="54">
        <v>42</v>
      </c>
      <c r="I2244" s="51"/>
      <c r="J2244" s="27"/>
      <c r="K2244" s="27"/>
      <c r="L2244" s="15">
        <v>20</v>
      </c>
      <c r="M2244" s="15"/>
      <c r="N2244" s="4">
        <v>104</v>
      </c>
      <c r="O2244" s="4"/>
    </row>
    <row r="2245" spans="1:15" x14ac:dyDescent="0.2">
      <c r="A2245" s="2">
        <v>10019298</v>
      </c>
      <c r="B2245" s="2" t="s">
        <v>3660</v>
      </c>
      <c r="C2245" s="5" t="s">
        <v>6104</v>
      </c>
      <c r="D2245" s="21">
        <v>1</v>
      </c>
      <c r="E2245" s="21"/>
      <c r="F2245" s="21" t="s">
        <v>10438</v>
      </c>
      <c r="G2245" s="21"/>
      <c r="H2245" s="54">
        <v>160</v>
      </c>
      <c r="I2245" s="51"/>
      <c r="J2245" s="27"/>
      <c r="K2245" s="27"/>
      <c r="L2245" s="15"/>
      <c r="M2245" s="15"/>
      <c r="N2245" s="4">
        <v>104</v>
      </c>
      <c r="O2245" s="4"/>
    </row>
    <row r="2246" spans="1:15" x14ac:dyDescent="0.2">
      <c r="A2246" s="2">
        <v>10041626</v>
      </c>
      <c r="B2246" s="2" t="s">
        <v>5454</v>
      </c>
      <c r="C2246" s="5" t="s">
        <v>6404</v>
      </c>
      <c r="D2246" s="21">
        <v>110</v>
      </c>
      <c r="E2246" s="21"/>
      <c r="F2246" s="21" t="s">
        <v>10438</v>
      </c>
      <c r="G2246" s="21"/>
      <c r="H2246" s="54">
        <v>25</v>
      </c>
      <c r="I2246" s="51"/>
      <c r="J2246" s="27"/>
      <c r="K2246" s="27"/>
      <c r="L2246" s="15"/>
      <c r="M2246" s="15"/>
      <c r="N2246" s="4">
        <v>70</v>
      </c>
      <c r="O2246" s="4"/>
    </row>
    <row r="2247" spans="1:15" x14ac:dyDescent="0.2">
      <c r="A2247" s="2">
        <v>10041625</v>
      </c>
      <c r="B2247" s="2" t="s">
        <v>5452</v>
      </c>
      <c r="C2247" s="5" t="s">
        <v>6403</v>
      </c>
      <c r="D2247" s="21">
        <v>10</v>
      </c>
      <c r="E2247" s="21"/>
      <c r="F2247" s="21" t="s">
        <v>10438</v>
      </c>
      <c r="G2247" s="21"/>
      <c r="H2247" s="54">
        <v>25</v>
      </c>
      <c r="I2247" s="51"/>
      <c r="J2247" s="27"/>
      <c r="K2247" s="27"/>
      <c r="L2247" s="15"/>
      <c r="M2247" s="15"/>
      <c r="N2247" s="4">
        <v>71</v>
      </c>
      <c r="O2247" s="4"/>
    </row>
    <row r="2248" spans="1:15" x14ac:dyDescent="0.2">
      <c r="A2248" s="2">
        <v>10018858</v>
      </c>
      <c r="B2248" s="2" t="s">
        <v>341</v>
      </c>
      <c r="C2248" s="5" t="s">
        <v>5931</v>
      </c>
      <c r="D2248" s="21"/>
      <c r="E2248" s="21"/>
      <c r="F2248" s="21" t="s">
        <v>10438</v>
      </c>
      <c r="G2248" s="21"/>
      <c r="H2248" s="54">
        <v>53</v>
      </c>
      <c r="I2248" s="51"/>
      <c r="J2248" s="27"/>
      <c r="K2248" s="27"/>
      <c r="L2248" s="15"/>
      <c r="M2248" s="15">
        <v>50</v>
      </c>
      <c r="N2248" s="4">
        <v>71</v>
      </c>
      <c r="O2248" s="4"/>
    </row>
    <row r="2249" spans="1:15" x14ac:dyDescent="0.2">
      <c r="A2249" s="2">
        <v>10019580</v>
      </c>
      <c r="B2249" s="2" t="s">
        <v>554</v>
      </c>
      <c r="C2249" s="5" t="s">
        <v>6180</v>
      </c>
      <c r="D2249" s="21">
        <v>24</v>
      </c>
      <c r="E2249" s="21"/>
      <c r="F2249" s="21" t="s">
        <v>10438</v>
      </c>
      <c r="G2249" s="21"/>
      <c r="H2249" s="54">
        <v>39</v>
      </c>
      <c r="I2249" s="51"/>
      <c r="J2249" s="27"/>
      <c r="K2249" s="27"/>
      <c r="L2249" s="15"/>
      <c r="M2249" s="15"/>
      <c r="N2249" s="4">
        <v>78</v>
      </c>
      <c r="O2249" s="4"/>
    </row>
    <row r="2250" spans="1:15" x14ac:dyDescent="0.2">
      <c r="A2250" s="2">
        <v>10018856</v>
      </c>
      <c r="B2250" s="2" t="s">
        <v>340</v>
      </c>
      <c r="C2250" s="5" t="s">
        <v>5930</v>
      </c>
      <c r="D2250" s="21">
        <v>9</v>
      </c>
      <c r="E2250" s="21"/>
      <c r="F2250" s="21" t="s">
        <v>10438</v>
      </c>
      <c r="G2250" s="21"/>
      <c r="H2250" s="54">
        <v>286</v>
      </c>
      <c r="I2250" s="51"/>
      <c r="J2250" s="27"/>
      <c r="K2250" s="27"/>
      <c r="L2250" s="15"/>
      <c r="M2250" s="15"/>
      <c r="N2250" s="4">
        <v>52</v>
      </c>
      <c r="O2250" s="4"/>
    </row>
    <row r="2251" spans="1:15" x14ac:dyDescent="0.2">
      <c r="A2251" s="2">
        <v>40006746</v>
      </c>
      <c r="B2251" s="2" t="s">
        <v>2049</v>
      </c>
      <c r="C2251" s="5" t="s">
        <v>7761</v>
      </c>
      <c r="D2251" s="21">
        <v>22</v>
      </c>
      <c r="E2251" s="21"/>
      <c r="F2251" s="21" t="s">
        <v>10438</v>
      </c>
      <c r="G2251" s="21"/>
      <c r="H2251" s="54">
        <v>7</v>
      </c>
      <c r="I2251" s="51"/>
      <c r="J2251" s="27"/>
      <c r="K2251" s="27"/>
      <c r="L2251" s="15"/>
      <c r="M2251" s="15"/>
      <c r="N2251" s="4" t="s">
        <v>4422</v>
      </c>
      <c r="O2251" s="4"/>
    </row>
    <row r="2252" spans="1:15" x14ac:dyDescent="0.2">
      <c r="A2252" s="2">
        <v>10018173</v>
      </c>
      <c r="B2252" s="2" t="s">
        <v>88</v>
      </c>
      <c r="C2252" s="5" t="s">
        <v>5626</v>
      </c>
      <c r="D2252" s="21">
        <v>10</v>
      </c>
      <c r="E2252" s="21"/>
      <c r="F2252" s="21" t="s">
        <v>10438</v>
      </c>
      <c r="G2252" s="21"/>
      <c r="H2252" s="54">
        <v>45</v>
      </c>
      <c r="I2252" s="51"/>
      <c r="J2252" s="27"/>
      <c r="K2252" s="27"/>
      <c r="L2252" s="15"/>
      <c r="M2252" s="15"/>
      <c r="N2252" s="4">
        <v>71</v>
      </c>
      <c r="O2252" s="4"/>
    </row>
    <row r="2253" spans="1:15" x14ac:dyDescent="0.2">
      <c r="A2253" s="2">
        <v>10018300</v>
      </c>
      <c r="B2253" s="2" t="s">
        <v>147</v>
      </c>
      <c r="C2253" s="5" t="s">
        <v>5687</v>
      </c>
      <c r="D2253" s="21">
        <v>12</v>
      </c>
      <c r="E2253" s="21"/>
      <c r="F2253" s="21" t="s">
        <v>10438</v>
      </c>
      <c r="G2253" s="21"/>
      <c r="H2253" s="54">
        <v>92</v>
      </c>
      <c r="I2253" s="51"/>
      <c r="J2253" s="27"/>
      <c r="K2253" s="27"/>
      <c r="L2253" s="15"/>
      <c r="M2253" s="15"/>
      <c r="N2253" s="4">
        <v>81</v>
      </c>
      <c r="O2253" s="4"/>
    </row>
    <row r="2254" spans="1:15" x14ac:dyDescent="0.2">
      <c r="A2254" s="2">
        <v>10018302</v>
      </c>
      <c r="B2254" s="2" t="s">
        <v>148</v>
      </c>
      <c r="C2254" s="5" t="s">
        <v>5688</v>
      </c>
      <c r="D2254" s="21">
        <v>11</v>
      </c>
      <c r="E2254" s="21"/>
      <c r="F2254" s="21" t="s">
        <v>10438</v>
      </c>
      <c r="G2254" s="21"/>
      <c r="H2254" s="54">
        <v>94</v>
      </c>
      <c r="I2254" s="51"/>
      <c r="J2254" s="27"/>
      <c r="K2254" s="27"/>
      <c r="L2254" s="15"/>
      <c r="M2254" s="15"/>
      <c r="N2254" s="4">
        <v>81</v>
      </c>
      <c r="O2254" s="4"/>
    </row>
    <row r="2255" spans="1:15" x14ac:dyDescent="0.2">
      <c r="A2255" s="2">
        <v>10018122</v>
      </c>
      <c r="B2255" s="2" t="s">
        <v>3899</v>
      </c>
      <c r="C2255" s="5" t="s">
        <v>5609</v>
      </c>
      <c r="D2255" s="21"/>
      <c r="E2255" s="21"/>
      <c r="F2255" s="21" t="s">
        <v>10438</v>
      </c>
      <c r="G2255" s="21"/>
      <c r="H2255" s="54">
        <v>187</v>
      </c>
      <c r="I2255" s="51"/>
      <c r="J2255" s="27"/>
      <c r="K2255" s="27"/>
      <c r="L2255" s="15"/>
      <c r="M2255" s="15"/>
      <c r="N2255" s="4">
        <v>83</v>
      </c>
      <c r="O2255" s="4"/>
    </row>
    <row r="2256" spans="1:15" x14ac:dyDescent="0.2">
      <c r="A2256" s="2">
        <v>10018823</v>
      </c>
      <c r="B2256" s="2" t="s">
        <v>3653</v>
      </c>
      <c r="C2256" s="5" t="s">
        <v>5917</v>
      </c>
      <c r="D2256" s="21">
        <v>2</v>
      </c>
      <c r="E2256" s="21"/>
      <c r="F2256" s="21" t="s">
        <v>10438</v>
      </c>
      <c r="G2256" s="21"/>
      <c r="H2256" s="54">
        <v>14</v>
      </c>
      <c r="I2256" s="51"/>
      <c r="J2256" s="27"/>
      <c r="K2256" s="27"/>
      <c r="L2256" s="15"/>
      <c r="M2256" s="15"/>
      <c r="N2256" s="4"/>
      <c r="O2256" s="4"/>
    </row>
    <row r="2257" spans="1:15" x14ac:dyDescent="0.2">
      <c r="A2257" s="2">
        <v>10018824</v>
      </c>
      <c r="B2257" s="2" t="s">
        <v>3654</v>
      </c>
      <c r="C2257" s="5" t="s">
        <v>5918</v>
      </c>
      <c r="D2257" s="21"/>
      <c r="E2257" s="21"/>
      <c r="F2257" s="21" t="s">
        <v>10438</v>
      </c>
      <c r="G2257" s="21"/>
      <c r="H2257" s="54">
        <v>14</v>
      </c>
      <c r="I2257" s="51"/>
      <c r="J2257" s="27"/>
      <c r="K2257" s="27"/>
      <c r="L2257" s="15"/>
      <c r="M2257" s="15"/>
      <c r="N2257" s="4">
        <v>78</v>
      </c>
      <c r="O2257" s="4"/>
    </row>
    <row r="2258" spans="1:15" x14ac:dyDescent="0.2">
      <c r="A2258" s="2">
        <v>10018827</v>
      </c>
      <c r="B2258" s="2" t="s">
        <v>3898</v>
      </c>
      <c r="C2258" s="5" t="s">
        <v>5919</v>
      </c>
      <c r="D2258" s="21"/>
      <c r="E2258" s="21"/>
      <c r="F2258" s="21" t="s">
        <v>10438</v>
      </c>
      <c r="G2258" s="21"/>
      <c r="H2258" s="54">
        <v>42</v>
      </c>
      <c r="I2258" s="51"/>
      <c r="J2258" s="27"/>
      <c r="K2258" s="27"/>
      <c r="L2258" s="15"/>
      <c r="M2258" s="15"/>
      <c r="N2258" s="4">
        <v>78</v>
      </c>
      <c r="O2258" s="4"/>
    </row>
    <row r="2259" spans="1:15" x14ac:dyDescent="0.2">
      <c r="A2259" s="2">
        <v>10018285</v>
      </c>
      <c r="B2259" s="2" t="s">
        <v>145</v>
      </c>
      <c r="C2259" s="5" t="s">
        <v>5685</v>
      </c>
      <c r="D2259" s="21">
        <v>50</v>
      </c>
      <c r="E2259" s="21"/>
      <c r="F2259" s="21" t="s">
        <v>10438</v>
      </c>
      <c r="G2259" s="21"/>
      <c r="H2259" s="54">
        <v>35</v>
      </c>
      <c r="I2259" s="51"/>
      <c r="J2259" s="27"/>
      <c r="K2259" s="27"/>
      <c r="L2259" s="15"/>
      <c r="M2259" s="15"/>
      <c r="N2259" s="4">
        <v>71</v>
      </c>
      <c r="O2259" s="4"/>
    </row>
    <row r="2260" spans="1:15" x14ac:dyDescent="0.2">
      <c r="A2260" s="2">
        <v>10018273</v>
      </c>
      <c r="B2260" s="2" t="s">
        <v>140</v>
      </c>
      <c r="C2260" s="5" t="s">
        <v>5678</v>
      </c>
      <c r="D2260" s="21">
        <v>1</v>
      </c>
      <c r="E2260" s="21"/>
      <c r="F2260" s="21" t="s">
        <v>10438</v>
      </c>
      <c r="G2260" s="21"/>
      <c r="H2260" s="54">
        <v>92</v>
      </c>
      <c r="I2260" s="51"/>
      <c r="J2260" s="27"/>
      <c r="K2260" s="27"/>
      <c r="L2260" s="15">
        <v>20</v>
      </c>
      <c r="M2260" s="15">
        <v>10</v>
      </c>
      <c r="N2260" s="4">
        <v>70</v>
      </c>
      <c r="O2260" s="4"/>
    </row>
    <row r="2261" spans="1:15" x14ac:dyDescent="0.2">
      <c r="A2261" s="2">
        <v>10018449</v>
      </c>
      <c r="B2261" s="2" t="s">
        <v>3669</v>
      </c>
      <c r="C2261" s="5" t="s">
        <v>5726</v>
      </c>
      <c r="D2261" s="21"/>
      <c r="E2261" s="21"/>
      <c r="F2261" s="21" t="s">
        <v>10438</v>
      </c>
      <c r="G2261" s="21"/>
      <c r="H2261" s="54">
        <v>50</v>
      </c>
      <c r="I2261" s="51"/>
      <c r="J2261" s="27"/>
      <c r="K2261" s="27"/>
      <c r="L2261" s="15">
        <v>50</v>
      </c>
      <c r="M2261" s="15">
        <v>30</v>
      </c>
      <c r="N2261" s="4">
        <v>70</v>
      </c>
      <c r="O2261" s="4"/>
    </row>
    <row r="2262" spans="1:15" x14ac:dyDescent="0.2">
      <c r="A2262" s="2">
        <v>10029922</v>
      </c>
      <c r="B2262" s="2" t="s">
        <v>679</v>
      </c>
      <c r="C2262" s="5" t="s">
        <v>6341</v>
      </c>
      <c r="D2262" s="21">
        <v>14</v>
      </c>
      <c r="E2262" s="21"/>
      <c r="F2262" s="21" t="s">
        <v>10438</v>
      </c>
      <c r="G2262" s="21"/>
      <c r="H2262" s="54">
        <v>20</v>
      </c>
      <c r="I2262" s="51"/>
      <c r="J2262" s="27"/>
      <c r="K2262" s="27"/>
      <c r="L2262" s="15"/>
      <c r="M2262" s="15"/>
      <c r="N2262" s="4">
        <v>70</v>
      </c>
      <c r="O2262" s="4"/>
    </row>
    <row r="2263" spans="1:15" x14ac:dyDescent="0.2">
      <c r="A2263" s="2">
        <v>10018581</v>
      </c>
      <c r="B2263" s="2" t="s">
        <v>223</v>
      </c>
      <c r="C2263" s="5" t="s">
        <v>5783</v>
      </c>
      <c r="D2263" s="21">
        <v>1</v>
      </c>
      <c r="E2263" s="21"/>
      <c r="F2263" s="21" t="s">
        <v>10438</v>
      </c>
      <c r="G2263" s="21"/>
      <c r="H2263" s="54">
        <v>5294</v>
      </c>
      <c r="I2263" s="51"/>
      <c r="J2263" s="27"/>
      <c r="K2263" s="27"/>
      <c r="L2263" s="15"/>
      <c r="M2263" s="15"/>
      <c r="N2263" s="4"/>
      <c r="O2263" s="4"/>
    </row>
    <row r="2264" spans="1:15" x14ac:dyDescent="0.2">
      <c r="A2264" s="2">
        <v>40007901</v>
      </c>
      <c r="B2264" s="2" t="s">
        <v>3056</v>
      </c>
      <c r="C2264" s="5" t="s">
        <v>8747</v>
      </c>
      <c r="D2264" s="21">
        <v>1</v>
      </c>
      <c r="E2264" s="21"/>
      <c r="F2264" s="21" t="s">
        <v>10438</v>
      </c>
      <c r="G2264" s="21"/>
      <c r="H2264" s="54">
        <v>198</v>
      </c>
      <c r="I2264" s="51"/>
      <c r="J2264" s="27"/>
      <c r="K2264" s="27"/>
      <c r="L2264" s="15"/>
      <c r="M2264" s="15"/>
      <c r="N2264" s="4"/>
      <c r="O2264" s="4" t="s">
        <v>4464</v>
      </c>
    </row>
    <row r="2265" spans="1:15" x14ac:dyDescent="0.2">
      <c r="A2265" s="2">
        <v>40006189</v>
      </c>
      <c r="B2265" s="2" t="s">
        <v>1572</v>
      </c>
      <c r="C2265" s="5" t="s">
        <v>7280</v>
      </c>
      <c r="D2265" s="21">
        <v>10</v>
      </c>
      <c r="E2265" s="21"/>
      <c r="F2265" s="21" t="s">
        <v>10438</v>
      </c>
      <c r="G2265" s="21"/>
      <c r="H2265" s="54">
        <v>199</v>
      </c>
      <c r="I2265" s="51"/>
      <c r="J2265" s="27"/>
      <c r="K2265" s="27"/>
      <c r="L2265" s="15"/>
      <c r="M2265" s="15"/>
      <c r="N2265" s="4" t="s">
        <v>10723</v>
      </c>
      <c r="O2265" s="4"/>
    </row>
    <row r="2266" spans="1:15" x14ac:dyDescent="0.2">
      <c r="A2266" s="2">
        <v>40007020</v>
      </c>
      <c r="B2266" s="2" t="s">
        <v>2301</v>
      </c>
      <c r="C2266" s="5" t="s">
        <v>8011</v>
      </c>
      <c r="D2266" s="21">
        <v>4</v>
      </c>
      <c r="E2266" s="21"/>
      <c r="F2266" s="21" t="s">
        <v>10438</v>
      </c>
      <c r="G2266" s="21"/>
      <c r="H2266" s="54">
        <v>968</v>
      </c>
      <c r="I2266" s="51"/>
      <c r="J2266" s="27"/>
      <c r="K2266" s="27"/>
      <c r="L2266" s="15"/>
      <c r="M2266" s="15"/>
      <c r="N2266" s="4" t="s">
        <v>4773</v>
      </c>
      <c r="O2266" s="4"/>
    </row>
    <row r="2267" spans="1:15" x14ac:dyDescent="0.2">
      <c r="A2267" s="2">
        <v>40007964</v>
      </c>
      <c r="B2267" s="2" t="s">
        <v>3113</v>
      </c>
      <c r="C2267" s="5" t="s">
        <v>8808</v>
      </c>
      <c r="D2267" s="21">
        <v>5</v>
      </c>
      <c r="E2267" s="21"/>
      <c r="F2267" s="21" t="s">
        <v>10438</v>
      </c>
      <c r="G2267" s="21"/>
      <c r="H2267" s="54">
        <v>451</v>
      </c>
      <c r="I2267" s="51"/>
      <c r="J2267" s="27"/>
      <c r="K2267" s="27"/>
      <c r="L2267" s="15"/>
      <c r="M2267" s="15"/>
      <c r="N2267" s="4" t="s">
        <v>4984</v>
      </c>
      <c r="O2267" s="4">
        <v>40</v>
      </c>
    </row>
    <row r="2268" spans="1:15" x14ac:dyDescent="0.2">
      <c r="A2268" s="2">
        <v>40006829</v>
      </c>
      <c r="B2268" s="2" t="s">
        <v>2128</v>
      </c>
      <c r="C2268" s="5" t="s">
        <v>7836</v>
      </c>
      <c r="D2268" s="21">
        <v>6</v>
      </c>
      <c r="E2268" s="21"/>
      <c r="F2268" s="21" t="s">
        <v>10438</v>
      </c>
      <c r="G2268" s="21"/>
      <c r="H2268" s="54">
        <v>451</v>
      </c>
      <c r="I2268" s="51"/>
      <c r="J2268" s="27"/>
      <c r="K2268" s="27"/>
      <c r="L2268" s="15"/>
      <c r="M2268" s="15"/>
      <c r="N2268" s="4" t="s">
        <v>4701</v>
      </c>
      <c r="O2268" s="4"/>
    </row>
    <row r="2269" spans="1:15" x14ac:dyDescent="0.2">
      <c r="A2269" s="2">
        <v>40005736</v>
      </c>
      <c r="B2269" s="2" t="s">
        <v>1163</v>
      </c>
      <c r="C2269" s="5">
        <v>195143200</v>
      </c>
      <c r="D2269" s="21">
        <v>6</v>
      </c>
      <c r="E2269" s="21"/>
      <c r="F2269" s="21" t="s">
        <v>10438</v>
      </c>
      <c r="G2269" s="21"/>
      <c r="H2269" s="54">
        <v>1144</v>
      </c>
      <c r="I2269" s="51"/>
      <c r="J2269" s="27"/>
      <c r="K2269" s="27"/>
      <c r="L2269" s="15"/>
      <c r="M2269" s="15"/>
      <c r="N2269" s="4" t="s">
        <v>4246</v>
      </c>
      <c r="O2269" s="4">
        <v>91</v>
      </c>
    </row>
    <row r="2270" spans="1:15" x14ac:dyDescent="0.2">
      <c r="A2270" s="2">
        <v>40010517</v>
      </c>
      <c r="B2270" s="2" t="s">
        <v>3545</v>
      </c>
      <c r="C2270" s="5" t="s">
        <v>9250</v>
      </c>
      <c r="D2270" s="21">
        <v>1</v>
      </c>
      <c r="E2270" s="21"/>
      <c r="F2270" s="21" t="s">
        <v>10438</v>
      </c>
      <c r="G2270" s="21"/>
      <c r="H2270" s="54">
        <v>1702</v>
      </c>
      <c r="I2270" s="51"/>
      <c r="J2270" s="27"/>
      <c r="K2270" s="27"/>
      <c r="L2270" s="15"/>
      <c r="M2270" s="15"/>
      <c r="N2270" s="4" t="s">
        <v>4501</v>
      </c>
      <c r="O2270" s="4"/>
    </row>
    <row r="2271" spans="1:15" x14ac:dyDescent="0.2">
      <c r="A2271" s="2">
        <v>40006891</v>
      </c>
      <c r="B2271" s="2" t="s">
        <v>2186</v>
      </c>
      <c r="C2271" s="5" t="s">
        <v>7895</v>
      </c>
      <c r="D2271" s="21">
        <v>3</v>
      </c>
      <c r="E2271" s="21"/>
      <c r="F2271" s="21" t="s">
        <v>10438</v>
      </c>
      <c r="G2271" s="21"/>
      <c r="H2271" s="54">
        <v>3816</v>
      </c>
      <c r="I2271" s="51"/>
      <c r="J2271" s="27"/>
      <c r="K2271" s="27"/>
      <c r="L2271" s="15"/>
      <c r="M2271" s="15"/>
      <c r="N2271" s="4"/>
      <c r="O2271" s="4" t="s">
        <v>10236</v>
      </c>
    </row>
    <row r="2272" spans="1:15" x14ac:dyDescent="0.2">
      <c r="A2272" s="2">
        <v>40007628</v>
      </c>
      <c r="B2272" s="2" t="s">
        <v>2815</v>
      </c>
      <c r="C2272" s="5" t="s">
        <v>8515</v>
      </c>
      <c r="D2272" s="21">
        <v>3</v>
      </c>
      <c r="E2272" s="21"/>
      <c r="F2272" s="21" t="s">
        <v>10438</v>
      </c>
      <c r="G2272" s="21"/>
      <c r="H2272" s="54">
        <v>95</v>
      </c>
      <c r="I2272" s="51"/>
      <c r="J2272" s="27"/>
      <c r="K2272" s="27"/>
      <c r="L2272" s="15"/>
      <c r="M2272" s="15"/>
      <c r="N2272" s="4" t="s">
        <v>4508</v>
      </c>
      <c r="O2272" s="4"/>
    </row>
    <row r="2273" spans="1:15" x14ac:dyDescent="0.2">
      <c r="A2273" s="2">
        <v>40005391</v>
      </c>
      <c r="B2273" s="2" t="s">
        <v>868</v>
      </c>
      <c r="C2273" s="5" t="s">
        <v>6590</v>
      </c>
      <c r="D2273" s="21">
        <v>1</v>
      </c>
      <c r="E2273" s="21"/>
      <c r="F2273" s="21" t="s">
        <v>10438</v>
      </c>
      <c r="G2273" s="21"/>
      <c r="H2273" s="54">
        <v>46</v>
      </c>
      <c r="I2273" s="51"/>
      <c r="J2273" s="27"/>
      <c r="K2273" s="27"/>
      <c r="L2273" s="15"/>
      <c r="M2273" s="15"/>
      <c r="N2273" s="4" t="s">
        <v>4094</v>
      </c>
      <c r="O2273" s="4"/>
    </row>
    <row r="2274" spans="1:15" x14ac:dyDescent="0.2">
      <c r="A2274" s="2">
        <v>40008092</v>
      </c>
      <c r="B2274" s="2" t="s">
        <v>3220</v>
      </c>
      <c r="C2274" s="5" t="s">
        <v>8917</v>
      </c>
      <c r="D2274" s="21">
        <v>1</v>
      </c>
      <c r="E2274" s="21"/>
      <c r="F2274" s="21" t="s">
        <v>10438</v>
      </c>
      <c r="G2274" s="21"/>
      <c r="H2274" s="54">
        <v>84</v>
      </c>
      <c r="I2274" s="51"/>
      <c r="J2274" s="27"/>
      <c r="K2274" s="27"/>
      <c r="L2274" s="15"/>
      <c r="M2274" s="15"/>
      <c r="N2274" s="4" t="s">
        <v>4830</v>
      </c>
      <c r="O2274" s="4"/>
    </row>
    <row r="2275" spans="1:15" x14ac:dyDescent="0.2">
      <c r="A2275" s="2">
        <v>40006701</v>
      </c>
      <c r="B2275" s="2" t="s">
        <v>2015</v>
      </c>
      <c r="C2275" s="5" t="s">
        <v>7725</v>
      </c>
      <c r="D2275" s="21">
        <v>2</v>
      </c>
      <c r="E2275" s="21"/>
      <c r="F2275" s="21" t="s">
        <v>10438</v>
      </c>
      <c r="G2275" s="21"/>
      <c r="H2275" s="54">
        <v>28</v>
      </c>
      <c r="I2275" s="51"/>
      <c r="J2275" s="27"/>
      <c r="K2275" s="27"/>
      <c r="L2275" s="15"/>
      <c r="M2275" s="15"/>
      <c r="N2275" s="4" t="s">
        <v>4650</v>
      </c>
      <c r="O2275" s="4"/>
    </row>
    <row r="2276" spans="1:15" x14ac:dyDescent="0.2">
      <c r="A2276" s="2">
        <v>40006374</v>
      </c>
      <c r="B2276" s="2" t="s">
        <v>1734</v>
      </c>
      <c r="C2276" s="5" t="s">
        <v>7445</v>
      </c>
      <c r="D2276" s="21">
        <v>3</v>
      </c>
      <c r="E2276" s="21"/>
      <c r="F2276" s="30">
        <v>2</v>
      </c>
      <c r="G2276" s="21"/>
      <c r="H2276" s="54">
        <v>15</v>
      </c>
      <c r="I2276" s="51"/>
      <c r="J2276" s="27"/>
      <c r="K2276" s="27"/>
      <c r="L2276" s="15">
        <v>5</v>
      </c>
      <c r="M2276" s="15"/>
      <c r="N2276" s="4" t="s">
        <v>4035</v>
      </c>
      <c r="O2276" s="4"/>
    </row>
    <row r="2277" spans="1:15" x14ac:dyDescent="0.2">
      <c r="A2277" s="2">
        <v>40005345</v>
      </c>
      <c r="B2277" s="2" t="s">
        <v>830</v>
      </c>
      <c r="C2277" s="5" t="s">
        <v>6548</v>
      </c>
      <c r="D2277" s="21">
        <v>17</v>
      </c>
      <c r="E2277" s="21"/>
      <c r="F2277" s="21" t="s">
        <v>10438</v>
      </c>
      <c r="G2277" s="21"/>
      <c r="H2277" s="54">
        <v>108</v>
      </c>
      <c r="I2277" s="51"/>
      <c r="J2277" s="27"/>
      <c r="K2277" s="27"/>
      <c r="L2277" s="15"/>
      <c r="M2277" s="15"/>
      <c r="N2277" s="4" t="s">
        <v>4062</v>
      </c>
      <c r="O2277" s="4"/>
    </row>
    <row r="2278" spans="1:15" x14ac:dyDescent="0.2">
      <c r="A2278" s="2">
        <v>10018428</v>
      </c>
      <c r="B2278" s="2" t="s">
        <v>176</v>
      </c>
      <c r="C2278" s="5" t="s">
        <v>5718</v>
      </c>
      <c r="D2278" s="21">
        <v>13</v>
      </c>
      <c r="E2278" s="21"/>
      <c r="F2278" s="21" t="s">
        <v>10438</v>
      </c>
      <c r="G2278" s="21"/>
      <c r="H2278" s="54">
        <v>8630</v>
      </c>
      <c r="I2278" s="51">
        <v>7770</v>
      </c>
      <c r="J2278" s="27">
        <v>12</v>
      </c>
      <c r="K2278" s="27"/>
      <c r="L2278" s="15"/>
      <c r="M2278" s="15"/>
      <c r="N2278" s="4" t="s">
        <v>3607</v>
      </c>
      <c r="O2278" s="4" t="s">
        <v>10448</v>
      </c>
    </row>
    <row r="2279" spans="1:15" x14ac:dyDescent="0.2">
      <c r="A2279" s="2">
        <v>10018442</v>
      </c>
      <c r="B2279" s="2" t="s">
        <v>179</v>
      </c>
      <c r="C2279" s="5" t="s">
        <v>5723</v>
      </c>
      <c r="D2279" s="21"/>
      <c r="E2279" s="21"/>
      <c r="F2279" s="21" t="s">
        <v>10438</v>
      </c>
      <c r="G2279" s="21"/>
      <c r="H2279" s="54">
        <v>8480</v>
      </c>
      <c r="I2279" s="51"/>
      <c r="J2279" s="27"/>
      <c r="K2279" s="27"/>
      <c r="L2279" s="15"/>
      <c r="M2279" s="15"/>
      <c r="N2279" s="4" t="s">
        <v>3607</v>
      </c>
      <c r="O2279" s="4"/>
    </row>
    <row r="2280" spans="1:15" x14ac:dyDescent="0.2">
      <c r="A2280" s="2">
        <v>10013692</v>
      </c>
      <c r="B2280" s="2" t="s">
        <v>6</v>
      </c>
      <c r="C2280" s="5" t="s">
        <v>5526</v>
      </c>
      <c r="D2280" s="21">
        <v>36</v>
      </c>
      <c r="E2280" s="21">
        <v>36</v>
      </c>
      <c r="F2280" s="30" t="s">
        <v>10438</v>
      </c>
      <c r="G2280" s="21">
        <v>19</v>
      </c>
      <c r="H2280" s="54">
        <v>1935</v>
      </c>
      <c r="I2280" s="51">
        <v>1785</v>
      </c>
      <c r="J2280" s="27">
        <v>65</v>
      </c>
      <c r="K2280" s="27">
        <v>65</v>
      </c>
      <c r="L2280" s="15"/>
      <c r="M2280" s="15"/>
      <c r="N2280" s="4" t="s">
        <v>3934</v>
      </c>
      <c r="O2280" s="4" t="s">
        <v>10447</v>
      </c>
    </row>
    <row r="2281" spans="1:15" x14ac:dyDescent="0.2">
      <c r="A2281" s="2">
        <v>10018432</v>
      </c>
      <c r="B2281" s="2" t="s">
        <v>3807</v>
      </c>
      <c r="C2281" s="5" t="s">
        <v>5719</v>
      </c>
      <c r="D2281" s="21">
        <v>6</v>
      </c>
      <c r="E2281" s="21"/>
      <c r="F2281" s="21" t="s">
        <v>10438</v>
      </c>
      <c r="G2281" s="21"/>
      <c r="H2281" s="54">
        <v>10145</v>
      </c>
      <c r="I2281" s="51">
        <v>9135</v>
      </c>
      <c r="J2281" s="27"/>
      <c r="K2281" s="27"/>
      <c r="L2281" s="15"/>
      <c r="M2281" s="15"/>
      <c r="N2281" s="4"/>
      <c r="O2281" s="4" t="s">
        <v>10457</v>
      </c>
    </row>
    <row r="2282" spans="1:15" x14ac:dyDescent="0.2">
      <c r="A2282" s="2">
        <v>10019233</v>
      </c>
      <c r="B2282" s="2" t="s">
        <v>5366</v>
      </c>
      <c r="C2282" s="5" t="s">
        <v>6077</v>
      </c>
      <c r="D2282" s="21">
        <v>6</v>
      </c>
      <c r="E2282" s="21"/>
      <c r="F2282" s="21" t="s">
        <v>10438</v>
      </c>
      <c r="G2282" s="21"/>
      <c r="H2282" s="54">
        <v>5724</v>
      </c>
      <c r="I2282" s="51">
        <v>5155</v>
      </c>
      <c r="J2282" s="27"/>
      <c r="K2282" s="27"/>
      <c r="L2282" s="15"/>
      <c r="M2282" s="15"/>
      <c r="N2282" s="4"/>
      <c r="O2282" s="4"/>
    </row>
    <row r="2283" spans="1:15" x14ac:dyDescent="0.2">
      <c r="A2283" s="2">
        <v>40006565</v>
      </c>
      <c r="B2283" s="2" t="s">
        <v>1904</v>
      </c>
      <c r="C2283" s="5" t="s">
        <v>7612</v>
      </c>
      <c r="D2283" s="21">
        <v>1</v>
      </c>
      <c r="E2283" s="21"/>
      <c r="F2283" s="21" t="s">
        <v>10438</v>
      </c>
      <c r="G2283" s="21"/>
      <c r="H2283" s="54">
        <v>258</v>
      </c>
      <c r="I2283" s="51"/>
      <c r="J2283" s="27"/>
      <c r="K2283" s="27"/>
      <c r="L2283" s="15"/>
      <c r="M2283" s="15"/>
      <c r="N2283" s="4"/>
      <c r="O2283" s="4" t="s">
        <v>10374</v>
      </c>
    </row>
    <row r="2284" spans="1:15" x14ac:dyDescent="0.2">
      <c r="A2284" s="2">
        <v>40005752</v>
      </c>
      <c r="B2284" s="2" t="s">
        <v>1178</v>
      </c>
      <c r="C2284" s="5" t="s">
        <v>6890</v>
      </c>
      <c r="D2284" s="21">
        <v>1</v>
      </c>
      <c r="E2284" s="21"/>
      <c r="F2284" s="21" t="s">
        <v>10438</v>
      </c>
      <c r="G2284" s="21"/>
      <c r="H2284" s="54">
        <v>160</v>
      </c>
      <c r="I2284" s="51"/>
      <c r="J2284" s="27"/>
      <c r="K2284" s="27"/>
      <c r="L2284" s="15"/>
      <c r="M2284" s="15"/>
      <c r="N2284" s="4"/>
      <c r="O2284" s="4" t="s">
        <v>10374</v>
      </c>
    </row>
    <row r="2285" spans="1:15" x14ac:dyDescent="0.2">
      <c r="A2285" s="2">
        <v>40006563</v>
      </c>
      <c r="B2285" s="2" t="s">
        <v>1902</v>
      </c>
      <c r="C2285" s="5" t="s">
        <v>7610</v>
      </c>
      <c r="D2285" s="21">
        <v>1</v>
      </c>
      <c r="E2285" s="21"/>
      <c r="F2285" s="21" t="s">
        <v>10438</v>
      </c>
      <c r="G2285" s="21"/>
      <c r="H2285" s="54">
        <v>151</v>
      </c>
      <c r="I2285" s="51"/>
      <c r="J2285" s="27"/>
      <c r="K2285" s="27"/>
      <c r="L2285" s="15"/>
      <c r="M2285" s="15"/>
      <c r="N2285" s="4"/>
      <c r="O2285" s="4" t="s">
        <v>10374</v>
      </c>
    </row>
    <row r="2286" spans="1:15" x14ac:dyDescent="0.2">
      <c r="A2286" s="2">
        <v>40006359</v>
      </c>
      <c r="B2286" s="2" t="s">
        <v>1722</v>
      </c>
      <c r="C2286" s="5" t="s">
        <v>7432</v>
      </c>
      <c r="D2286" s="21">
        <v>7</v>
      </c>
      <c r="E2286" s="21"/>
      <c r="F2286" s="21" t="s">
        <v>10438</v>
      </c>
      <c r="G2286" s="21"/>
      <c r="H2286" s="54">
        <v>11</v>
      </c>
      <c r="I2286" s="51"/>
      <c r="J2286" s="27"/>
      <c r="K2286" s="27"/>
      <c r="L2286" s="15"/>
      <c r="M2286" s="15"/>
      <c r="N2286" s="4" t="s">
        <v>4545</v>
      </c>
      <c r="O2286" s="4"/>
    </row>
    <row r="2287" spans="1:15" x14ac:dyDescent="0.2">
      <c r="A2287" s="2">
        <v>40008002</v>
      </c>
      <c r="B2287" s="2" t="s">
        <v>3142</v>
      </c>
      <c r="C2287" s="5">
        <v>957151100</v>
      </c>
      <c r="D2287" s="21">
        <v>1</v>
      </c>
      <c r="E2287" s="21"/>
      <c r="F2287" s="21" t="s">
        <v>10438</v>
      </c>
      <c r="G2287" s="21"/>
      <c r="H2287" s="54">
        <v>1891</v>
      </c>
      <c r="I2287" s="51"/>
      <c r="J2287" s="27"/>
      <c r="K2287" s="27"/>
      <c r="L2287" s="15"/>
      <c r="M2287" s="15"/>
      <c r="N2287" s="4"/>
      <c r="O2287" s="4">
        <v>17</v>
      </c>
    </row>
    <row r="2288" spans="1:15" x14ac:dyDescent="0.2">
      <c r="A2288" s="2">
        <v>40007931</v>
      </c>
      <c r="B2288" s="2" t="s">
        <v>3084</v>
      </c>
      <c r="C2288" s="5" t="s">
        <v>8777</v>
      </c>
      <c r="D2288" s="21"/>
      <c r="E2288" s="21"/>
      <c r="F2288" s="21" t="s">
        <v>10438</v>
      </c>
      <c r="G2288" s="21"/>
      <c r="H2288" s="54">
        <v>23</v>
      </c>
      <c r="I2288" s="51"/>
      <c r="J2288" s="27"/>
      <c r="K2288" s="27"/>
      <c r="L2288" s="15"/>
      <c r="M2288" s="15"/>
      <c r="N2288" s="4" t="s">
        <v>3937</v>
      </c>
      <c r="O2288" s="4"/>
    </row>
    <row r="2289" spans="1:15" x14ac:dyDescent="0.2">
      <c r="A2289" s="2">
        <v>40006338</v>
      </c>
      <c r="B2289" s="2" t="s">
        <v>1703</v>
      </c>
      <c r="C2289" s="5" t="s">
        <v>7412</v>
      </c>
      <c r="D2289" s="21">
        <v>1</v>
      </c>
      <c r="E2289" s="21"/>
      <c r="F2289" s="21" t="s">
        <v>10438</v>
      </c>
      <c r="G2289" s="21"/>
      <c r="H2289" s="54">
        <v>173</v>
      </c>
      <c r="I2289" s="51"/>
      <c r="J2289" s="27"/>
      <c r="K2289" s="27"/>
      <c r="L2289" s="15"/>
      <c r="M2289" s="15"/>
      <c r="N2289" s="4" t="s">
        <v>4293</v>
      </c>
      <c r="O2289" s="4"/>
    </row>
    <row r="2290" spans="1:15" x14ac:dyDescent="0.2">
      <c r="A2290" s="2">
        <v>40006081</v>
      </c>
      <c r="B2290" s="2" t="s">
        <v>1473</v>
      </c>
      <c r="C2290" s="5" t="s">
        <v>7178</v>
      </c>
      <c r="D2290" s="21">
        <v>4</v>
      </c>
      <c r="E2290" s="21"/>
      <c r="F2290" s="21" t="s">
        <v>10438</v>
      </c>
      <c r="G2290" s="21"/>
      <c r="H2290" s="54">
        <v>13</v>
      </c>
      <c r="I2290" s="51"/>
      <c r="J2290" s="27"/>
      <c r="K2290" s="27"/>
      <c r="L2290" s="15"/>
      <c r="M2290" s="15"/>
      <c r="N2290" s="4" t="s">
        <v>4401</v>
      </c>
      <c r="O2290" s="4"/>
    </row>
    <row r="2291" spans="1:15" x14ac:dyDescent="0.2">
      <c r="A2291" s="2">
        <v>40007634</v>
      </c>
      <c r="B2291" s="2" t="s">
        <v>2821</v>
      </c>
      <c r="C2291" s="5" t="s">
        <v>8520</v>
      </c>
      <c r="D2291" s="21">
        <v>1</v>
      </c>
      <c r="E2291" s="21"/>
      <c r="F2291" s="21" t="s">
        <v>10438</v>
      </c>
      <c r="G2291" s="21"/>
      <c r="H2291" s="54">
        <v>45</v>
      </c>
      <c r="I2291" s="51"/>
      <c r="J2291" s="27"/>
      <c r="K2291" s="27"/>
      <c r="L2291" s="15"/>
      <c r="M2291" s="15"/>
      <c r="N2291" s="4" t="s">
        <v>4251</v>
      </c>
      <c r="O2291" s="4"/>
    </row>
    <row r="2292" spans="1:15" x14ac:dyDescent="0.2">
      <c r="A2292" s="2">
        <v>40007235</v>
      </c>
      <c r="B2292" s="2" t="s">
        <v>2491</v>
      </c>
      <c r="C2292" s="5" t="s">
        <v>8191</v>
      </c>
      <c r="D2292" s="21">
        <v>1</v>
      </c>
      <c r="E2292" s="21"/>
      <c r="F2292" s="21" t="s">
        <v>10438</v>
      </c>
      <c r="G2292" s="21"/>
      <c r="H2292" s="54">
        <v>31</v>
      </c>
      <c r="I2292" s="51"/>
      <c r="J2292" s="27"/>
      <c r="K2292" s="27"/>
      <c r="L2292" s="15"/>
      <c r="M2292" s="15"/>
      <c r="N2292" s="4" t="s">
        <v>4887</v>
      </c>
      <c r="O2292" s="4"/>
    </row>
    <row r="2293" spans="1:15" x14ac:dyDescent="0.2">
      <c r="A2293" s="2">
        <v>40006798</v>
      </c>
      <c r="B2293" s="2" t="s">
        <v>2097</v>
      </c>
      <c r="C2293" s="5" t="s">
        <v>7806</v>
      </c>
      <c r="D2293" s="21">
        <v>2</v>
      </c>
      <c r="E2293" s="21"/>
      <c r="F2293" s="21" t="s">
        <v>10438</v>
      </c>
      <c r="G2293" s="21"/>
      <c r="H2293" s="54">
        <v>41</v>
      </c>
      <c r="I2293" s="51"/>
      <c r="J2293" s="27"/>
      <c r="K2293" s="27"/>
      <c r="L2293" s="15"/>
      <c r="M2293" s="15"/>
      <c r="N2293" s="4" t="s">
        <v>4370</v>
      </c>
      <c r="O2293" s="4"/>
    </row>
    <row r="2294" spans="1:15" x14ac:dyDescent="0.2">
      <c r="A2294" s="2">
        <v>40005442</v>
      </c>
      <c r="B2294" s="2" t="s">
        <v>916</v>
      </c>
      <c r="C2294" s="5" t="s">
        <v>6638</v>
      </c>
      <c r="D2294" s="21">
        <v>1</v>
      </c>
      <c r="E2294" s="21"/>
      <c r="F2294" s="21" t="s">
        <v>10438</v>
      </c>
      <c r="G2294" s="21"/>
      <c r="H2294" s="54">
        <v>60</v>
      </c>
      <c r="I2294" s="51"/>
      <c r="J2294" s="27"/>
      <c r="K2294" s="27"/>
      <c r="L2294" s="15"/>
      <c r="M2294" s="15"/>
      <c r="N2294" s="4"/>
      <c r="O2294" s="4" t="s">
        <v>10237</v>
      </c>
    </row>
    <row r="2295" spans="1:15" x14ac:dyDescent="0.2">
      <c r="A2295" s="2">
        <v>10019869</v>
      </c>
      <c r="B2295" s="2" t="s">
        <v>607</v>
      </c>
      <c r="C2295" s="5" t="s">
        <v>6244</v>
      </c>
      <c r="D2295" s="21">
        <v>30</v>
      </c>
      <c r="E2295" s="21"/>
      <c r="F2295" s="21" t="s">
        <v>10438</v>
      </c>
      <c r="G2295" s="21"/>
      <c r="H2295" s="54">
        <v>75</v>
      </c>
      <c r="I2295" s="51"/>
      <c r="J2295" s="27"/>
      <c r="K2295" s="27"/>
      <c r="L2295" s="15"/>
      <c r="M2295" s="15"/>
      <c r="N2295" s="4" t="s">
        <v>3937</v>
      </c>
      <c r="O2295" s="4"/>
    </row>
    <row r="2296" spans="1:15" x14ac:dyDescent="0.2">
      <c r="A2296" s="2">
        <v>40006606</v>
      </c>
      <c r="B2296" s="2" t="s">
        <v>3885</v>
      </c>
      <c r="C2296" s="5" t="s">
        <v>7651</v>
      </c>
      <c r="D2296" s="21">
        <v>1</v>
      </c>
      <c r="E2296" s="21"/>
      <c r="F2296" s="21" t="s">
        <v>10438</v>
      </c>
      <c r="G2296" s="21"/>
      <c r="H2296" s="54">
        <v>23</v>
      </c>
      <c r="I2296" s="51"/>
      <c r="J2296" s="27"/>
      <c r="K2296" s="27"/>
      <c r="L2296" s="15"/>
      <c r="M2296" s="15"/>
      <c r="N2296" s="4">
        <v>65</v>
      </c>
      <c r="O2296" s="4"/>
    </row>
    <row r="2297" spans="1:15" x14ac:dyDescent="0.2">
      <c r="A2297" s="2">
        <v>40006607</v>
      </c>
      <c r="B2297" s="2" t="s">
        <v>1943</v>
      </c>
      <c r="C2297" s="5" t="s">
        <v>7652</v>
      </c>
      <c r="D2297" s="21">
        <v>1</v>
      </c>
      <c r="E2297" s="21"/>
      <c r="F2297" s="21" t="s">
        <v>10438</v>
      </c>
      <c r="G2297" s="21"/>
      <c r="H2297" s="54">
        <v>26</v>
      </c>
      <c r="I2297" s="51"/>
      <c r="J2297" s="27"/>
      <c r="K2297" s="27"/>
      <c r="L2297" s="15"/>
      <c r="M2297" s="15"/>
      <c r="N2297" s="4"/>
      <c r="O2297" s="4" t="s">
        <v>10348</v>
      </c>
    </row>
    <row r="2298" spans="1:15" x14ac:dyDescent="0.2">
      <c r="A2298" s="2">
        <v>10018792</v>
      </c>
      <c r="B2298" s="2" t="s">
        <v>316</v>
      </c>
      <c r="C2298" s="5" t="s">
        <v>5899</v>
      </c>
      <c r="D2298" s="21">
        <v>4</v>
      </c>
      <c r="E2298" s="21"/>
      <c r="F2298" s="21" t="s">
        <v>10438</v>
      </c>
      <c r="G2298" s="21"/>
      <c r="H2298" s="54">
        <v>70</v>
      </c>
      <c r="I2298" s="51"/>
      <c r="J2298" s="27"/>
      <c r="K2298" s="27"/>
      <c r="L2298" s="15"/>
      <c r="M2298" s="15"/>
      <c r="N2298" s="4" t="s">
        <v>3947</v>
      </c>
      <c r="O2298" s="4"/>
    </row>
    <row r="2299" spans="1:15" x14ac:dyDescent="0.2">
      <c r="A2299" s="2">
        <v>10019880</v>
      </c>
      <c r="B2299" s="2" t="s">
        <v>611</v>
      </c>
      <c r="C2299" s="5" t="s">
        <v>6248</v>
      </c>
      <c r="D2299" s="21">
        <v>4</v>
      </c>
      <c r="E2299" s="21"/>
      <c r="F2299" s="21" t="s">
        <v>10438</v>
      </c>
      <c r="G2299" s="21"/>
      <c r="H2299" s="54">
        <v>20</v>
      </c>
      <c r="I2299" s="51"/>
      <c r="J2299" s="27"/>
      <c r="K2299" s="27"/>
      <c r="L2299" s="15"/>
      <c r="M2299" s="15"/>
      <c r="N2299" s="4" t="s">
        <v>3965</v>
      </c>
      <c r="O2299" s="4"/>
    </row>
    <row r="2300" spans="1:15" x14ac:dyDescent="0.2">
      <c r="A2300" s="2">
        <v>40007348</v>
      </c>
      <c r="B2300" s="2" t="s">
        <v>2581</v>
      </c>
      <c r="C2300" s="5" t="s">
        <v>8279</v>
      </c>
      <c r="D2300" s="21">
        <v>16</v>
      </c>
      <c r="E2300" s="21"/>
      <c r="F2300" s="21" t="s">
        <v>10438</v>
      </c>
      <c r="G2300" s="21"/>
      <c r="H2300" s="54">
        <v>66</v>
      </c>
      <c r="I2300" s="51"/>
      <c r="J2300" s="27"/>
      <c r="K2300" s="27"/>
      <c r="L2300" s="15"/>
      <c r="M2300" s="15"/>
      <c r="N2300" s="4"/>
      <c r="O2300" s="4" t="s">
        <v>4697</v>
      </c>
    </row>
    <row r="2301" spans="1:15" x14ac:dyDescent="0.2">
      <c r="A2301" s="2">
        <v>10019881</v>
      </c>
      <c r="B2301" s="2" t="s">
        <v>612</v>
      </c>
      <c r="C2301" s="5" t="s">
        <v>6249</v>
      </c>
      <c r="D2301" s="21"/>
      <c r="E2301" s="21"/>
      <c r="F2301" s="21" t="s">
        <v>10438</v>
      </c>
      <c r="G2301" s="21"/>
      <c r="H2301" s="54">
        <v>30</v>
      </c>
      <c r="I2301" s="51"/>
      <c r="J2301" s="27"/>
      <c r="K2301" s="27"/>
      <c r="L2301" s="15"/>
      <c r="M2301" s="15"/>
      <c r="N2301" s="4" t="s">
        <v>3937</v>
      </c>
      <c r="O2301" s="4"/>
    </row>
    <row r="2302" spans="1:15" x14ac:dyDescent="0.2">
      <c r="A2302" s="2">
        <v>40007957</v>
      </c>
      <c r="B2302" s="2" t="s">
        <v>3107</v>
      </c>
      <c r="C2302" s="5" t="s">
        <v>8802</v>
      </c>
      <c r="D2302" s="21">
        <v>14</v>
      </c>
      <c r="E2302" s="21"/>
      <c r="F2302" s="21" t="s">
        <v>10438</v>
      </c>
      <c r="G2302" s="21"/>
      <c r="H2302" s="54">
        <v>14</v>
      </c>
      <c r="I2302" s="51"/>
      <c r="J2302" s="27"/>
      <c r="K2302" s="27"/>
      <c r="L2302" s="15"/>
      <c r="M2302" s="15"/>
      <c r="N2302" s="4" t="s">
        <v>5148</v>
      </c>
      <c r="O2302" s="4"/>
    </row>
    <row r="2303" spans="1:15" x14ac:dyDescent="0.2">
      <c r="A2303" s="2">
        <v>40007941</v>
      </c>
      <c r="B2303" s="2" t="s">
        <v>3094</v>
      </c>
      <c r="C2303" s="5" t="s">
        <v>8786</v>
      </c>
      <c r="D2303" s="21">
        <v>6</v>
      </c>
      <c r="E2303" s="21"/>
      <c r="F2303" s="21" t="s">
        <v>10438</v>
      </c>
      <c r="G2303" s="21"/>
      <c r="H2303" s="54">
        <v>8</v>
      </c>
      <c r="I2303" s="51"/>
      <c r="J2303" s="27"/>
      <c r="K2303" s="27"/>
      <c r="L2303" s="15"/>
      <c r="M2303" s="15"/>
      <c r="N2303" s="4" t="s">
        <v>5142</v>
      </c>
      <c r="O2303" s="4"/>
    </row>
    <row r="2304" spans="1:15" x14ac:dyDescent="0.2">
      <c r="A2304" s="2">
        <v>10018132</v>
      </c>
      <c r="B2304" s="2" t="s">
        <v>75</v>
      </c>
      <c r="C2304" s="5" t="s">
        <v>5610</v>
      </c>
      <c r="D2304" s="21">
        <v>6</v>
      </c>
      <c r="E2304" s="21"/>
      <c r="F2304" s="21" t="s">
        <v>10438</v>
      </c>
      <c r="G2304" s="21"/>
      <c r="H2304" s="54">
        <v>15</v>
      </c>
      <c r="I2304" s="51"/>
      <c r="J2304" s="27"/>
      <c r="K2304" s="27"/>
      <c r="L2304" s="15"/>
      <c r="M2304" s="15"/>
      <c r="N2304" s="4" t="s">
        <v>3937</v>
      </c>
      <c r="O2304" s="4"/>
    </row>
    <row r="2305" spans="1:15" x14ac:dyDescent="0.2">
      <c r="A2305" s="2">
        <v>40007883</v>
      </c>
      <c r="B2305" s="2" t="s">
        <v>3038</v>
      </c>
      <c r="C2305" s="5" t="s">
        <v>8731</v>
      </c>
      <c r="D2305" s="21">
        <v>11</v>
      </c>
      <c r="E2305" s="21"/>
      <c r="F2305" s="21" t="s">
        <v>10438</v>
      </c>
      <c r="G2305" s="21"/>
      <c r="H2305" s="54">
        <v>128</v>
      </c>
      <c r="I2305" s="51"/>
      <c r="J2305" s="27"/>
      <c r="K2305" s="27"/>
      <c r="L2305" s="15"/>
      <c r="M2305" s="15"/>
      <c r="N2305" s="4"/>
      <c r="O2305" s="4">
        <v>84</v>
      </c>
    </row>
    <row r="2306" spans="1:15" x14ac:dyDescent="0.2">
      <c r="A2306" s="2">
        <v>40007015</v>
      </c>
      <c r="B2306" s="2" t="s">
        <v>2297</v>
      </c>
      <c r="C2306" s="5" t="s">
        <v>8006</v>
      </c>
      <c r="D2306" s="21">
        <v>20</v>
      </c>
      <c r="E2306" s="21"/>
      <c r="F2306" s="21" t="s">
        <v>10438</v>
      </c>
      <c r="G2306" s="21"/>
      <c r="H2306" s="54">
        <v>46</v>
      </c>
      <c r="I2306" s="51"/>
      <c r="J2306" s="27"/>
      <c r="K2306" s="27"/>
      <c r="L2306" s="15"/>
      <c r="M2306" s="15"/>
      <c r="N2306" s="4" t="s">
        <v>4790</v>
      </c>
      <c r="O2306" s="4"/>
    </row>
    <row r="2307" spans="1:15" x14ac:dyDescent="0.2">
      <c r="A2307" s="2">
        <v>40006337</v>
      </c>
      <c r="B2307" s="2" t="s">
        <v>3679</v>
      </c>
      <c r="C2307" s="5" t="s">
        <v>7411</v>
      </c>
      <c r="D2307" s="21">
        <v>6</v>
      </c>
      <c r="E2307" s="21"/>
      <c r="F2307" s="21" t="s">
        <v>10438</v>
      </c>
      <c r="G2307" s="21"/>
      <c r="H2307" s="54">
        <v>136</v>
      </c>
      <c r="I2307" s="51"/>
      <c r="J2307" s="27"/>
      <c r="K2307" s="27"/>
      <c r="L2307" s="15"/>
      <c r="M2307" s="15"/>
      <c r="N2307" s="4" t="s">
        <v>4533</v>
      </c>
      <c r="O2307" s="4"/>
    </row>
    <row r="2308" spans="1:15" x14ac:dyDescent="0.2">
      <c r="A2308" s="2">
        <v>40008147</v>
      </c>
      <c r="B2308" s="2" t="s">
        <v>3270</v>
      </c>
      <c r="C2308" s="5" t="s">
        <v>8965</v>
      </c>
      <c r="D2308" s="21">
        <v>8</v>
      </c>
      <c r="E2308" s="21"/>
      <c r="F2308" s="21" t="s">
        <v>10438</v>
      </c>
      <c r="G2308" s="21"/>
      <c r="H2308" s="54">
        <v>39</v>
      </c>
      <c r="I2308" s="51"/>
      <c r="J2308" s="27"/>
      <c r="K2308" s="27"/>
      <c r="L2308" s="15"/>
      <c r="M2308" s="15"/>
      <c r="N2308" s="4"/>
      <c r="O2308" s="4">
        <v>83</v>
      </c>
    </row>
    <row r="2309" spans="1:15" x14ac:dyDescent="0.2">
      <c r="A2309" s="2">
        <v>40005296</v>
      </c>
      <c r="B2309" s="2" t="s">
        <v>795</v>
      </c>
      <c r="C2309" s="5" t="s">
        <v>6512</v>
      </c>
      <c r="D2309" s="21">
        <v>5</v>
      </c>
      <c r="E2309" s="21"/>
      <c r="F2309" s="21" t="s">
        <v>10438</v>
      </c>
      <c r="G2309" s="21"/>
      <c r="H2309" s="54">
        <v>181</v>
      </c>
      <c r="I2309" s="51"/>
      <c r="J2309" s="27"/>
      <c r="K2309" s="27"/>
      <c r="L2309" s="15"/>
      <c r="M2309" s="15"/>
      <c r="N2309" s="4" t="s">
        <v>4038</v>
      </c>
      <c r="O2309" s="4"/>
    </row>
    <row r="2310" spans="1:15" x14ac:dyDescent="0.2">
      <c r="A2310" s="2">
        <v>40010558</v>
      </c>
      <c r="B2310" s="2" t="s">
        <v>3550</v>
      </c>
      <c r="C2310" s="5" t="s">
        <v>9259</v>
      </c>
      <c r="D2310" s="21">
        <v>2</v>
      </c>
      <c r="E2310" s="21"/>
      <c r="F2310" s="21" t="s">
        <v>10438</v>
      </c>
      <c r="G2310" s="21"/>
      <c r="H2310" s="54">
        <v>228</v>
      </c>
      <c r="I2310" s="51"/>
      <c r="J2310" s="27"/>
      <c r="K2310" s="27"/>
      <c r="L2310" s="15"/>
      <c r="M2310" s="15"/>
      <c r="N2310" s="4" t="s">
        <v>4091</v>
      </c>
      <c r="O2310" s="4">
        <v>64</v>
      </c>
    </row>
    <row r="2311" spans="1:15" x14ac:dyDescent="0.2">
      <c r="A2311" s="2">
        <v>40010260</v>
      </c>
      <c r="B2311" s="2" t="s">
        <v>3454</v>
      </c>
      <c r="C2311" s="5" t="s">
        <v>9148</v>
      </c>
      <c r="D2311" s="21">
        <v>9</v>
      </c>
      <c r="E2311" s="21"/>
      <c r="F2311" s="30">
        <v>1</v>
      </c>
      <c r="G2311" s="21"/>
      <c r="H2311" s="54">
        <v>38</v>
      </c>
      <c r="I2311" s="51"/>
      <c r="J2311" s="27"/>
      <c r="K2311" s="27"/>
      <c r="L2311" s="15"/>
      <c r="M2311" s="15"/>
      <c r="N2311" s="4" t="s">
        <v>5182</v>
      </c>
      <c r="O2311" s="4"/>
    </row>
    <row r="2312" spans="1:15" x14ac:dyDescent="0.2">
      <c r="A2312" s="2">
        <v>40007172</v>
      </c>
      <c r="B2312" s="2" t="s">
        <v>2439</v>
      </c>
      <c r="C2312" s="5" t="s">
        <v>8141</v>
      </c>
      <c r="D2312" s="21">
        <v>50</v>
      </c>
      <c r="E2312" s="21"/>
      <c r="F2312" s="30">
        <v>1</v>
      </c>
      <c r="G2312" s="21"/>
      <c r="H2312" s="54">
        <v>39</v>
      </c>
      <c r="I2312" s="51"/>
      <c r="J2312" s="27"/>
      <c r="K2312" s="27"/>
      <c r="L2312" s="15"/>
      <c r="M2312" s="15"/>
      <c r="N2312" s="4" t="s">
        <v>4489</v>
      </c>
      <c r="O2312" s="4"/>
    </row>
    <row r="2313" spans="1:15" x14ac:dyDescent="0.2">
      <c r="A2313" s="2">
        <v>40005924</v>
      </c>
      <c r="B2313" s="2" t="s">
        <v>1334</v>
      </c>
      <c r="C2313" s="5" t="s">
        <v>7040</v>
      </c>
      <c r="D2313" s="21">
        <v>53</v>
      </c>
      <c r="E2313" s="21"/>
      <c r="F2313" s="21" t="s">
        <v>10438</v>
      </c>
      <c r="G2313" s="21"/>
      <c r="H2313" s="54">
        <v>1</v>
      </c>
      <c r="I2313" s="51"/>
      <c r="J2313" s="27"/>
      <c r="K2313" s="27"/>
      <c r="L2313" s="15"/>
      <c r="M2313" s="15"/>
      <c r="N2313" s="4" t="s">
        <v>4320</v>
      </c>
      <c r="O2313" s="4"/>
    </row>
    <row r="2314" spans="1:15" x14ac:dyDescent="0.2">
      <c r="A2314" s="2">
        <v>40006913</v>
      </c>
      <c r="B2314" s="2" t="s">
        <v>2208</v>
      </c>
      <c r="C2314" s="5" t="s">
        <v>7917</v>
      </c>
      <c r="D2314" s="21">
        <v>10</v>
      </c>
      <c r="E2314" s="21"/>
      <c r="F2314" s="21" t="s">
        <v>10438</v>
      </c>
      <c r="G2314" s="21"/>
      <c r="H2314" s="54">
        <v>50</v>
      </c>
      <c r="I2314" s="51"/>
      <c r="J2314" s="27"/>
      <c r="K2314" s="27"/>
      <c r="L2314" s="15"/>
      <c r="M2314" s="15"/>
      <c r="N2314" s="4" t="s">
        <v>3975</v>
      </c>
      <c r="O2314" s="4"/>
    </row>
    <row r="2315" spans="1:15" x14ac:dyDescent="0.2">
      <c r="A2315" s="2">
        <v>40006982</v>
      </c>
      <c r="B2315" s="2" t="s">
        <v>2271</v>
      </c>
      <c r="C2315" s="5" t="s">
        <v>7977</v>
      </c>
      <c r="D2315" s="21">
        <v>34</v>
      </c>
      <c r="E2315" s="21"/>
      <c r="F2315" s="21" t="s">
        <v>10438</v>
      </c>
      <c r="G2315" s="21"/>
      <c r="H2315" s="54">
        <v>75</v>
      </c>
      <c r="I2315" s="51"/>
      <c r="J2315" s="27"/>
      <c r="K2315" s="27"/>
      <c r="L2315" s="15"/>
      <c r="M2315" s="15"/>
      <c r="N2315" s="4" t="s">
        <v>4667</v>
      </c>
      <c r="O2315" s="4" t="s">
        <v>10192</v>
      </c>
    </row>
    <row r="2316" spans="1:15" x14ac:dyDescent="0.2">
      <c r="A2316" s="2">
        <v>40005476</v>
      </c>
      <c r="B2316" s="2" t="s">
        <v>947</v>
      </c>
      <c r="C2316" s="5" t="s">
        <v>6669</v>
      </c>
      <c r="D2316" s="21">
        <v>2</v>
      </c>
      <c r="E2316" s="21"/>
      <c r="F2316" s="21" t="s">
        <v>10438</v>
      </c>
      <c r="G2316" s="21"/>
      <c r="H2316" s="54">
        <v>144</v>
      </c>
      <c r="I2316" s="51"/>
      <c r="J2316" s="27"/>
      <c r="K2316" s="27"/>
      <c r="L2316" s="15"/>
      <c r="M2316" s="15"/>
      <c r="N2316" s="4" t="s">
        <v>4037</v>
      </c>
      <c r="O2316" s="4"/>
    </row>
    <row r="2317" spans="1:15" x14ac:dyDescent="0.2">
      <c r="A2317" s="2">
        <v>40010301</v>
      </c>
      <c r="B2317" s="2" t="s">
        <v>3490</v>
      </c>
      <c r="C2317" s="5" t="s">
        <v>9184</v>
      </c>
      <c r="D2317" s="21">
        <v>2</v>
      </c>
      <c r="E2317" s="21"/>
      <c r="F2317" s="21" t="s">
        <v>10438</v>
      </c>
      <c r="G2317" s="21"/>
      <c r="H2317" s="54">
        <v>39</v>
      </c>
      <c r="I2317" s="51"/>
      <c r="J2317" s="27"/>
      <c r="K2317" s="27"/>
      <c r="L2317" s="15"/>
      <c r="M2317" s="15"/>
      <c r="N2317" s="4" t="s">
        <v>5263</v>
      </c>
      <c r="O2317" s="4"/>
    </row>
    <row r="2318" spans="1:15" x14ac:dyDescent="0.2">
      <c r="A2318" s="2">
        <v>40005655</v>
      </c>
      <c r="B2318" s="2" t="s">
        <v>1093</v>
      </c>
      <c r="C2318" s="5" t="s">
        <v>6812</v>
      </c>
      <c r="D2318" s="21">
        <v>1</v>
      </c>
      <c r="E2318" s="21"/>
      <c r="F2318" s="21" t="s">
        <v>10438</v>
      </c>
      <c r="G2318" s="21"/>
      <c r="H2318" s="54">
        <v>104</v>
      </c>
      <c r="I2318" s="51"/>
      <c r="J2318" s="27"/>
      <c r="K2318" s="27"/>
      <c r="L2318" s="15"/>
      <c r="M2318" s="15"/>
      <c r="N2318" s="4" t="s">
        <v>4195</v>
      </c>
      <c r="O2318" s="4"/>
    </row>
    <row r="2319" spans="1:15" x14ac:dyDescent="0.2">
      <c r="A2319" s="2">
        <v>40006868</v>
      </c>
      <c r="B2319" s="2" t="s">
        <v>2164</v>
      </c>
      <c r="C2319" s="5" t="s">
        <v>7873</v>
      </c>
      <c r="D2319" s="21">
        <v>4</v>
      </c>
      <c r="E2319" s="21"/>
      <c r="F2319" s="21" t="s">
        <v>10438</v>
      </c>
      <c r="G2319" s="21"/>
      <c r="H2319" s="54">
        <v>28</v>
      </c>
      <c r="I2319" s="51"/>
      <c r="J2319" s="27"/>
      <c r="K2319" s="27"/>
      <c r="L2319" s="15">
        <v>2</v>
      </c>
      <c r="M2319" s="15"/>
      <c r="N2319" s="4" t="s">
        <v>4722</v>
      </c>
      <c r="O2319" s="4"/>
    </row>
    <row r="2320" spans="1:15" x14ac:dyDescent="0.2">
      <c r="A2320" s="2">
        <v>40005213</v>
      </c>
      <c r="B2320" s="2" t="s">
        <v>751</v>
      </c>
      <c r="C2320" s="5" t="s">
        <v>6464</v>
      </c>
      <c r="D2320" s="21">
        <v>4</v>
      </c>
      <c r="E2320" s="21"/>
      <c r="F2320" s="21" t="s">
        <v>10438</v>
      </c>
      <c r="G2320" s="21"/>
      <c r="H2320" s="54">
        <v>66</v>
      </c>
      <c r="I2320" s="51"/>
      <c r="J2320" s="27"/>
      <c r="K2320" s="27"/>
      <c r="L2320" s="15"/>
      <c r="M2320" s="15"/>
      <c r="N2320" s="4" t="s">
        <v>4011</v>
      </c>
      <c r="O2320" s="4"/>
    </row>
    <row r="2321" spans="1:15" x14ac:dyDescent="0.2">
      <c r="A2321" s="2">
        <v>40006615</v>
      </c>
      <c r="B2321" s="2" t="s">
        <v>1951</v>
      </c>
      <c r="C2321" s="5" t="s">
        <v>7660</v>
      </c>
      <c r="D2321" s="21">
        <v>2</v>
      </c>
      <c r="E2321" s="21"/>
      <c r="F2321" s="21" t="s">
        <v>10438</v>
      </c>
      <c r="G2321" s="21"/>
      <c r="H2321" s="54">
        <v>38</v>
      </c>
      <c r="I2321" s="51"/>
      <c r="J2321" s="27"/>
      <c r="K2321" s="27"/>
      <c r="L2321" s="15"/>
      <c r="M2321" s="15"/>
      <c r="N2321" s="4"/>
      <c r="O2321" s="4" t="s">
        <v>4400</v>
      </c>
    </row>
    <row r="2322" spans="1:15" x14ac:dyDescent="0.2">
      <c r="A2322" s="2">
        <v>40006610</v>
      </c>
      <c r="B2322" s="2" t="s">
        <v>1946</v>
      </c>
      <c r="C2322" s="5" t="s">
        <v>7655</v>
      </c>
      <c r="D2322" s="21">
        <v>2</v>
      </c>
      <c r="E2322" s="21"/>
      <c r="F2322" s="21" t="s">
        <v>10438</v>
      </c>
      <c r="G2322" s="21"/>
      <c r="H2322" s="54">
        <v>82</v>
      </c>
      <c r="I2322" s="51"/>
      <c r="J2322" s="27"/>
      <c r="K2322" s="27"/>
      <c r="L2322" s="15"/>
      <c r="M2322" s="15"/>
      <c r="N2322" s="4"/>
      <c r="O2322" s="4" t="s">
        <v>10349</v>
      </c>
    </row>
    <row r="2323" spans="1:15" x14ac:dyDescent="0.2">
      <c r="A2323" s="2">
        <v>40006562</v>
      </c>
      <c r="B2323" s="2" t="s">
        <v>1901</v>
      </c>
      <c r="C2323" s="5" t="s">
        <v>7609</v>
      </c>
      <c r="D2323" s="21">
        <v>2</v>
      </c>
      <c r="E2323" s="21"/>
      <c r="F2323" s="21" t="s">
        <v>10438</v>
      </c>
      <c r="G2323" s="21"/>
      <c r="H2323" s="54">
        <v>434</v>
      </c>
      <c r="I2323" s="51"/>
      <c r="J2323" s="27"/>
      <c r="K2323" s="27"/>
      <c r="L2323" s="15"/>
      <c r="M2323" s="15"/>
      <c r="N2323" s="4"/>
      <c r="O2323" s="4" t="s">
        <v>4189</v>
      </c>
    </row>
    <row r="2324" spans="1:15" x14ac:dyDescent="0.2">
      <c r="A2324" s="2">
        <v>40006726</v>
      </c>
      <c r="B2324" s="2" t="s">
        <v>2033</v>
      </c>
      <c r="C2324" s="5" t="s">
        <v>7743</v>
      </c>
      <c r="D2324" s="21">
        <v>2</v>
      </c>
      <c r="E2324" s="21"/>
      <c r="F2324" s="21" t="s">
        <v>10438</v>
      </c>
      <c r="G2324" s="21"/>
      <c r="H2324" s="54">
        <v>95</v>
      </c>
      <c r="I2324" s="51"/>
      <c r="J2324" s="27"/>
      <c r="K2324" s="27"/>
      <c r="L2324" s="15"/>
      <c r="M2324" s="15"/>
      <c r="N2324" s="4"/>
      <c r="O2324" s="4" t="s">
        <v>10128</v>
      </c>
    </row>
    <row r="2325" spans="1:15" x14ac:dyDescent="0.2">
      <c r="A2325" s="2">
        <v>40006614</v>
      </c>
      <c r="B2325" s="2" t="s">
        <v>1950</v>
      </c>
      <c r="C2325" s="5" t="s">
        <v>7659</v>
      </c>
      <c r="D2325" s="21">
        <v>2</v>
      </c>
      <c r="E2325" s="21"/>
      <c r="F2325" s="21" t="s">
        <v>10438</v>
      </c>
      <c r="G2325" s="21"/>
      <c r="H2325" s="54">
        <v>54</v>
      </c>
      <c r="I2325" s="51"/>
      <c r="J2325" s="27"/>
      <c r="K2325" s="27"/>
      <c r="L2325" s="15"/>
      <c r="M2325" s="15"/>
      <c r="N2325" s="4"/>
      <c r="O2325" s="4" t="s">
        <v>4949</v>
      </c>
    </row>
    <row r="2326" spans="1:15" x14ac:dyDescent="0.2">
      <c r="A2326" s="2">
        <v>10018560</v>
      </c>
      <c r="B2326" s="2" t="s">
        <v>218</v>
      </c>
      <c r="C2326" s="5" t="s">
        <v>5777</v>
      </c>
      <c r="D2326" s="21">
        <v>8</v>
      </c>
      <c r="E2326" s="21"/>
      <c r="F2326" s="21" t="s">
        <v>10438</v>
      </c>
      <c r="G2326" s="21"/>
      <c r="H2326" s="54">
        <v>4450</v>
      </c>
      <c r="I2326" s="51">
        <v>4005</v>
      </c>
      <c r="J2326" s="27">
        <v>4</v>
      </c>
      <c r="K2326" s="27"/>
      <c r="L2326" s="15"/>
      <c r="M2326" s="15"/>
      <c r="N2326" s="4" t="s">
        <v>3607</v>
      </c>
      <c r="O2326" s="4" t="s">
        <v>10449</v>
      </c>
    </row>
    <row r="2327" spans="1:15" x14ac:dyDescent="0.2">
      <c r="A2327" s="2">
        <v>10019397</v>
      </c>
      <c r="B2327" s="2" t="s">
        <v>3733</v>
      </c>
      <c r="C2327" s="5" t="s">
        <v>6128</v>
      </c>
      <c r="D2327" s="21">
        <v>14</v>
      </c>
      <c r="E2327" s="21"/>
      <c r="F2327" s="21" t="s">
        <v>10438</v>
      </c>
      <c r="G2327" s="21"/>
      <c r="H2327" s="54">
        <v>64</v>
      </c>
      <c r="I2327" s="51"/>
      <c r="J2327" s="27"/>
      <c r="K2327" s="27"/>
      <c r="L2327" s="15"/>
      <c r="M2327" s="15"/>
      <c r="N2327" s="4">
        <v>59</v>
      </c>
      <c r="O2327" s="4"/>
    </row>
    <row r="2328" spans="1:15" x14ac:dyDescent="0.2">
      <c r="A2328" s="2">
        <v>10018768</v>
      </c>
      <c r="B2328" s="2" t="s">
        <v>3888</v>
      </c>
      <c r="C2328" s="5" t="s">
        <v>5881</v>
      </c>
      <c r="D2328" s="21"/>
      <c r="E2328" s="21"/>
      <c r="F2328" s="21" t="s">
        <v>10438</v>
      </c>
      <c r="G2328" s="21"/>
      <c r="H2328" s="54">
        <v>82</v>
      </c>
      <c r="I2328" s="51"/>
      <c r="J2328" s="27"/>
      <c r="K2328" s="27"/>
      <c r="L2328" s="15"/>
      <c r="M2328" s="15"/>
      <c r="N2328" s="4">
        <v>58</v>
      </c>
      <c r="O2328" s="4"/>
    </row>
    <row r="2329" spans="1:15" x14ac:dyDescent="0.2">
      <c r="A2329" s="2">
        <v>10019650</v>
      </c>
      <c r="B2329" s="2" t="s">
        <v>3791</v>
      </c>
      <c r="C2329" s="5" t="s">
        <v>6191</v>
      </c>
      <c r="D2329" s="21"/>
      <c r="E2329" s="21"/>
      <c r="F2329" s="21" t="s">
        <v>10438</v>
      </c>
      <c r="G2329" s="21"/>
      <c r="H2329" s="54">
        <v>91</v>
      </c>
      <c r="I2329" s="51"/>
      <c r="J2329" s="27"/>
      <c r="K2329" s="27"/>
      <c r="L2329" s="15"/>
      <c r="M2329" s="15"/>
      <c r="N2329" s="4">
        <v>59</v>
      </c>
      <c r="O2329" s="4"/>
    </row>
    <row r="2330" spans="1:15" x14ac:dyDescent="0.2">
      <c r="A2330" s="2">
        <v>10018526</v>
      </c>
      <c r="B2330" s="2" t="s">
        <v>203</v>
      </c>
      <c r="C2330" s="5" t="s">
        <v>5758</v>
      </c>
      <c r="D2330" s="21">
        <v>35</v>
      </c>
      <c r="E2330" s="21"/>
      <c r="F2330" s="21" t="s">
        <v>10438</v>
      </c>
      <c r="G2330" s="21"/>
      <c r="H2330" s="54">
        <v>75</v>
      </c>
      <c r="I2330" s="51"/>
      <c r="J2330" s="27"/>
      <c r="K2330" s="27"/>
      <c r="L2330" s="15"/>
      <c r="M2330" s="15"/>
      <c r="N2330" s="4">
        <v>59</v>
      </c>
      <c r="O2330" s="4"/>
    </row>
    <row r="2331" spans="1:15" x14ac:dyDescent="0.2">
      <c r="A2331" s="2">
        <v>10018639</v>
      </c>
      <c r="B2331" s="2" t="s">
        <v>246</v>
      </c>
      <c r="C2331" s="5" t="s">
        <v>5813</v>
      </c>
      <c r="D2331" s="21">
        <v>14</v>
      </c>
      <c r="E2331" s="21"/>
      <c r="F2331" s="21" t="s">
        <v>10438</v>
      </c>
      <c r="G2331" s="21"/>
      <c r="H2331" s="54">
        <v>175</v>
      </c>
      <c r="I2331" s="51"/>
      <c r="J2331" s="27"/>
      <c r="K2331" s="27"/>
      <c r="L2331" s="15"/>
      <c r="M2331" s="15"/>
      <c r="N2331" s="4">
        <v>58</v>
      </c>
      <c r="O2331" s="4"/>
    </row>
    <row r="2332" spans="1:15" x14ac:dyDescent="0.2">
      <c r="A2332" s="2">
        <v>10018527</v>
      </c>
      <c r="B2332" s="2" t="s">
        <v>204</v>
      </c>
      <c r="C2332" s="5" t="s">
        <v>5759</v>
      </c>
      <c r="D2332" s="21">
        <v>54</v>
      </c>
      <c r="E2332" s="21"/>
      <c r="F2332" s="21" t="s">
        <v>10438</v>
      </c>
      <c r="G2332" s="21"/>
      <c r="H2332" s="54">
        <v>70</v>
      </c>
      <c r="I2332" s="51"/>
      <c r="J2332" s="27"/>
      <c r="K2332" s="27"/>
      <c r="L2332" s="15"/>
      <c r="M2332" s="15">
        <v>14</v>
      </c>
      <c r="N2332" s="4">
        <v>58</v>
      </c>
      <c r="O2332" s="4"/>
    </row>
    <row r="2333" spans="1:15" x14ac:dyDescent="0.2">
      <c r="A2333" s="2">
        <v>10019356</v>
      </c>
      <c r="B2333" s="2" t="s">
        <v>503</v>
      </c>
      <c r="C2333" s="5" t="s">
        <v>6121</v>
      </c>
      <c r="D2333" s="21">
        <v>11</v>
      </c>
      <c r="E2333" s="21">
        <v>11</v>
      </c>
      <c r="F2333" s="21" t="s">
        <v>10438</v>
      </c>
      <c r="G2333" s="21">
        <v>4</v>
      </c>
      <c r="H2333" s="54">
        <v>2860</v>
      </c>
      <c r="I2333" s="51">
        <v>2635</v>
      </c>
      <c r="J2333" s="27">
        <v>44</v>
      </c>
      <c r="K2333" s="27">
        <v>44</v>
      </c>
      <c r="L2333" s="15">
        <v>60</v>
      </c>
      <c r="M2333" s="15"/>
      <c r="N2333" s="4" t="s">
        <v>10713</v>
      </c>
      <c r="O2333" s="4" t="s">
        <v>10450</v>
      </c>
    </row>
    <row r="2334" spans="1:15" x14ac:dyDescent="0.2">
      <c r="A2334" s="2">
        <v>10013727</v>
      </c>
      <c r="B2334" s="2" t="s">
        <v>13</v>
      </c>
      <c r="C2334" s="5" t="s">
        <v>5533</v>
      </c>
      <c r="D2334" s="21">
        <v>9</v>
      </c>
      <c r="E2334" s="21"/>
      <c r="F2334" s="21" t="s">
        <v>10438</v>
      </c>
      <c r="G2334" s="21"/>
      <c r="H2334" s="54">
        <v>1400</v>
      </c>
      <c r="I2334" s="51">
        <v>1290</v>
      </c>
      <c r="J2334" s="27">
        <v>78</v>
      </c>
      <c r="K2334" s="27"/>
      <c r="L2334" s="15">
        <v>20</v>
      </c>
      <c r="M2334" s="15"/>
      <c r="N2334" s="4" t="s">
        <v>3934</v>
      </c>
      <c r="O2334" s="4" t="s">
        <v>10449</v>
      </c>
    </row>
    <row r="2335" spans="1:15" x14ac:dyDescent="0.2">
      <c r="A2335" s="2">
        <v>10019152</v>
      </c>
      <c r="B2335" s="2" t="s">
        <v>446</v>
      </c>
      <c r="C2335" s="5" t="s">
        <v>6052</v>
      </c>
      <c r="D2335" s="21">
        <v>12</v>
      </c>
      <c r="E2335" s="21"/>
      <c r="F2335" s="21" t="s">
        <v>10438</v>
      </c>
      <c r="G2335" s="21"/>
      <c r="H2335" s="54">
        <v>140</v>
      </c>
      <c r="I2335" s="51"/>
      <c r="J2335" s="27"/>
      <c r="K2335" s="27"/>
      <c r="L2335" s="15"/>
      <c r="M2335" s="15"/>
      <c r="N2335" s="4">
        <v>71</v>
      </c>
      <c r="O2335" s="4"/>
    </row>
    <row r="2336" spans="1:15" x14ac:dyDescent="0.2">
      <c r="A2336" s="2">
        <v>10019977</v>
      </c>
      <c r="B2336" s="2" t="s">
        <v>649</v>
      </c>
      <c r="C2336" s="5" t="s">
        <v>6294</v>
      </c>
      <c r="D2336" s="21">
        <v>41</v>
      </c>
      <c r="E2336" s="21"/>
      <c r="F2336" s="21" t="s">
        <v>10438</v>
      </c>
      <c r="G2336" s="21"/>
      <c r="H2336" s="54">
        <v>75</v>
      </c>
      <c r="I2336" s="51"/>
      <c r="J2336" s="27"/>
      <c r="K2336" s="27"/>
      <c r="L2336" s="15">
        <v>100</v>
      </c>
      <c r="M2336" s="15">
        <v>100</v>
      </c>
      <c r="N2336" s="4">
        <v>58</v>
      </c>
      <c r="O2336" s="4"/>
    </row>
    <row r="2337" spans="1:15" x14ac:dyDescent="0.2">
      <c r="A2337" s="2">
        <v>10019858</v>
      </c>
      <c r="B2337" s="2" t="s">
        <v>602</v>
      </c>
      <c r="C2337" s="5" t="s">
        <v>6238</v>
      </c>
      <c r="D2337" s="21">
        <v>34</v>
      </c>
      <c r="E2337" s="21"/>
      <c r="F2337" s="21" t="s">
        <v>10438</v>
      </c>
      <c r="G2337" s="21"/>
      <c r="H2337" s="54">
        <v>78</v>
      </c>
      <c r="I2337" s="51"/>
      <c r="J2337" s="27"/>
      <c r="K2337" s="27"/>
      <c r="L2337" s="15">
        <v>30</v>
      </c>
      <c r="M2337" s="15">
        <v>25</v>
      </c>
      <c r="N2337" s="4">
        <v>59</v>
      </c>
      <c r="O2337" s="4"/>
    </row>
    <row r="2338" spans="1:15" x14ac:dyDescent="0.2">
      <c r="A2338" s="2">
        <v>10020061</v>
      </c>
      <c r="B2338" s="2" t="s">
        <v>672</v>
      </c>
      <c r="C2338" s="5" t="s">
        <v>6322</v>
      </c>
      <c r="D2338" s="21">
        <v>24</v>
      </c>
      <c r="E2338" s="21"/>
      <c r="F2338" s="21" t="s">
        <v>10438</v>
      </c>
      <c r="G2338" s="21"/>
      <c r="H2338" s="54">
        <v>78</v>
      </c>
      <c r="I2338" s="51"/>
      <c r="J2338" s="27"/>
      <c r="K2338" s="27"/>
      <c r="L2338" s="15"/>
      <c r="M2338" s="15">
        <v>20</v>
      </c>
      <c r="N2338" s="4">
        <v>59</v>
      </c>
      <c r="O2338" s="4"/>
    </row>
    <row r="2339" spans="1:15" x14ac:dyDescent="0.2">
      <c r="A2339" s="2">
        <v>10019215</v>
      </c>
      <c r="B2339" s="2" t="s">
        <v>464</v>
      </c>
      <c r="C2339" s="5" t="s">
        <v>6074</v>
      </c>
      <c r="D2339" s="21">
        <v>10</v>
      </c>
      <c r="E2339" s="21"/>
      <c r="F2339" s="21" t="s">
        <v>10438</v>
      </c>
      <c r="G2339" s="21"/>
      <c r="H2339" s="54">
        <v>403</v>
      </c>
      <c r="I2339" s="51"/>
      <c r="J2339" s="27"/>
      <c r="K2339" s="27"/>
      <c r="L2339" s="15"/>
      <c r="M2339" s="15"/>
      <c r="N2339" s="4">
        <v>72</v>
      </c>
      <c r="O2339" s="4"/>
    </row>
    <row r="2340" spans="1:15" x14ac:dyDescent="0.2">
      <c r="A2340" s="2">
        <v>10019216</v>
      </c>
      <c r="B2340" s="2" t="s">
        <v>465</v>
      </c>
      <c r="C2340" s="5" t="s">
        <v>6075</v>
      </c>
      <c r="D2340" s="21">
        <v>6</v>
      </c>
      <c r="E2340" s="21"/>
      <c r="F2340" s="21" t="s">
        <v>10438</v>
      </c>
      <c r="G2340" s="21"/>
      <c r="H2340" s="54">
        <v>522</v>
      </c>
      <c r="I2340" s="51"/>
      <c r="J2340" s="27"/>
      <c r="K2340" s="27"/>
      <c r="L2340" s="15"/>
      <c r="M2340" s="15"/>
      <c r="N2340" s="4">
        <v>60</v>
      </c>
      <c r="O2340" s="4"/>
    </row>
    <row r="2341" spans="1:15" x14ac:dyDescent="0.2">
      <c r="A2341" s="2">
        <v>10019867</v>
      </c>
      <c r="B2341" s="2" t="s">
        <v>605</v>
      </c>
      <c r="C2341" s="5" t="s">
        <v>6242</v>
      </c>
      <c r="D2341" s="21">
        <v>23</v>
      </c>
      <c r="E2341" s="21"/>
      <c r="F2341" s="21" t="s">
        <v>10438</v>
      </c>
      <c r="G2341" s="21"/>
      <c r="H2341" s="54">
        <v>73</v>
      </c>
      <c r="I2341" s="51"/>
      <c r="J2341" s="27"/>
      <c r="K2341" s="27"/>
      <c r="L2341" s="15"/>
      <c r="M2341" s="15"/>
      <c r="N2341" s="4">
        <v>58</v>
      </c>
      <c r="O2341" s="4"/>
    </row>
    <row r="2342" spans="1:15" x14ac:dyDescent="0.2">
      <c r="A2342" s="2">
        <v>10020063</v>
      </c>
      <c r="B2342" s="2" t="s">
        <v>3637</v>
      </c>
      <c r="C2342" s="5" t="s">
        <v>6324</v>
      </c>
      <c r="D2342" s="21">
        <v>86</v>
      </c>
      <c r="E2342" s="21"/>
      <c r="F2342" s="21" t="s">
        <v>10438</v>
      </c>
      <c r="G2342" s="21"/>
      <c r="H2342" s="54">
        <v>75</v>
      </c>
      <c r="I2342" s="51"/>
      <c r="J2342" s="27"/>
      <c r="K2342" s="27"/>
      <c r="L2342" s="15"/>
      <c r="M2342" s="15">
        <v>6</v>
      </c>
      <c r="N2342" s="4">
        <v>58</v>
      </c>
      <c r="O2342" s="4"/>
    </row>
    <row r="2343" spans="1:15" x14ac:dyDescent="0.2">
      <c r="A2343" s="2">
        <v>10019730</v>
      </c>
      <c r="B2343" s="2" t="s">
        <v>572</v>
      </c>
      <c r="C2343" s="5" t="s">
        <v>6203</v>
      </c>
      <c r="D2343" s="21">
        <v>8</v>
      </c>
      <c r="E2343" s="21"/>
      <c r="F2343" s="21" t="s">
        <v>10438</v>
      </c>
      <c r="G2343" s="21"/>
      <c r="H2343" s="54">
        <v>68</v>
      </c>
      <c r="I2343" s="51"/>
      <c r="J2343" s="27"/>
      <c r="K2343" s="27"/>
      <c r="L2343" s="15"/>
      <c r="M2343" s="15"/>
      <c r="N2343" s="4">
        <v>58</v>
      </c>
      <c r="O2343" s="4"/>
    </row>
    <row r="2344" spans="1:15" x14ac:dyDescent="0.2">
      <c r="A2344" s="2">
        <v>10019976</v>
      </c>
      <c r="B2344" s="2" t="s">
        <v>3638</v>
      </c>
      <c r="C2344" s="5" t="s">
        <v>6293</v>
      </c>
      <c r="D2344" s="21">
        <v>31</v>
      </c>
      <c r="E2344" s="21"/>
      <c r="F2344" s="21" t="s">
        <v>10438</v>
      </c>
      <c r="G2344" s="21"/>
      <c r="H2344" s="54">
        <v>64</v>
      </c>
      <c r="I2344" s="51"/>
      <c r="J2344" s="27"/>
      <c r="K2344" s="27"/>
      <c r="L2344" s="15"/>
      <c r="M2344" s="15">
        <v>6</v>
      </c>
      <c r="N2344" s="4">
        <v>58</v>
      </c>
      <c r="O2344" s="4"/>
    </row>
    <row r="2345" spans="1:15" x14ac:dyDescent="0.2">
      <c r="A2345" s="2">
        <v>10020062</v>
      </c>
      <c r="B2345" s="2" t="s">
        <v>3639</v>
      </c>
      <c r="C2345" s="5" t="s">
        <v>6323</v>
      </c>
      <c r="D2345" s="21">
        <v>62</v>
      </c>
      <c r="E2345" s="21"/>
      <c r="F2345" s="21" t="s">
        <v>10438</v>
      </c>
      <c r="G2345" s="21"/>
      <c r="H2345" s="54">
        <v>75</v>
      </c>
      <c r="I2345" s="51"/>
      <c r="J2345" s="27"/>
      <c r="K2345" s="27"/>
      <c r="L2345" s="15">
        <v>10</v>
      </c>
      <c r="M2345" s="15">
        <v>30</v>
      </c>
      <c r="N2345" s="4">
        <v>58</v>
      </c>
      <c r="O2345" s="4"/>
    </row>
    <row r="2346" spans="1:15" x14ac:dyDescent="0.2">
      <c r="A2346" s="2">
        <v>10019945</v>
      </c>
      <c r="B2346" s="2" t="s">
        <v>637</v>
      </c>
      <c r="C2346" s="5" t="s">
        <v>6276</v>
      </c>
      <c r="D2346" s="21">
        <v>5</v>
      </c>
      <c r="E2346" s="21"/>
      <c r="F2346" s="21" t="s">
        <v>10438</v>
      </c>
      <c r="G2346" s="21"/>
      <c r="H2346" s="54">
        <v>68</v>
      </c>
      <c r="I2346" s="51"/>
      <c r="J2346" s="27"/>
      <c r="K2346" s="27"/>
      <c r="L2346" s="15"/>
      <c r="M2346" s="15">
        <v>20</v>
      </c>
      <c r="N2346" s="4">
        <v>58</v>
      </c>
      <c r="O2346" s="4"/>
    </row>
    <row r="2347" spans="1:15" x14ac:dyDescent="0.2">
      <c r="A2347" s="2">
        <v>10020065</v>
      </c>
      <c r="B2347" s="2" t="s">
        <v>3792</v>
      </c>
      <c r="C2347" s="10" t="s">
        <v>6325</v>
      </c>
      <c r="D2347" s="21">
        <v>24</v>
      </c>
      <c r="E2347" s="21"/>
      <c r="F2347" s="21" t="s">
        <v>10438</v>
      </c>
      <c r="G2347" s="21"/>
      <c r="H2347" s="54">
        <v>70</v>
      </c>
      <c r="I2347" s="51"/>
      <c r="J2347" s="27"/>
      <c r="K2347" s="27"/>
      <c r="L2347" s="15">
        <v>15</v>
      </c>
      <c r="M2347" s="15"/>
      <c r="N2347" s="4"/>
      <c r="O2347" s="4"/>
    </row>
    <row r="2348" spans="1:15" x14ac:dyDescent="0.2">
      <c r="A2348" s="2">
        <v>40005807</v>
      </c>
      <c r="B2348" s="2" t="s">
        <v>1229</v>
      </c>
      <c r="C2348" s="5" t="s">
        <v>6942</v>
      </c>
      <c r="D2348" s="21">
        <v>9</v>
      </c>
      <c r="E2348" s="21"/>
      <c r="F2348" s="21" t="s">
        <v>10438</v>
      </c>
      <c r="G2348" s="21"/>
      <c r="H2348" s="54">
        <v>35</v>
      </c>
      <c r="I2348" s="51"/>
      <c r="J2348" s="27"/>
      <c r="K2348" s="27"/>
      <c r="L2348" s="15"/>
      <c r="M2348" s="15"/>
      <c r="N2348" s="4" t="s">
        <v>4273</v>
      </c>
      <c r="O2348" s="4"/>
    </row>
    <row r="2349" spans="1:15" x14ac:dyDescent="0.2">
      <c r="A2349" s="2">
        <v>10019851</v>
      </c>
      <c r="B2349" s="2" t="s">
        <v>599</v>
      </c>
      <c r="C2349" s="5" t="s">
        <v>6235</v>
      </c>
      <c r="D2349" s="21">
        <v>33</v>
      </c>
      <c r="E2349" s="21"/>
      <c r="F2349" s="21" t="s">
        <v>10438</v>
      </c>
      <c r="G2349" s="21"/>
      <c r="H2349" s="54">
        <v>234</v>
      </c>
      <c r="I2349" s="51"/>
      <c r="J2349" s="27"/>
      <c r="K2349" s="27"/>
      <c r="L2349" s="15">
        <v>30</v>
      </c>
      <c r="M2349" s="15">
        <v>26</v>
      </c>
      <c r="N2349" s="4" t="s">
        <v>3941</v>
      </c>
      <c r="O2349" s="4"/>
    </row>
    <row r="2350" spans="1:15" x14ac:dyDescent="0.2">
      <c r="A2350" s="2">
        <v>40007077</v>
      </c>
      <c r="B2350" s="2" t="s">
        <v>2351</v>
      </c>
      <c r="C2350" s="5" t="s">
        <v>8058</v>
      </c>
      <c r="D2350" s="21">
        <v>9</v>
      </c>
      <c r="E2350" s="21"/>
      <c r="F2350" s="21" t="s">
        <v>10438</v>
      </c>
      <c r="G2350" s="21"/>
      <c r="H2350" s="54">
        <v>21</v>
      </c>
      <c r="I2350" s="51"/>
      <c r="J2350" s="27"/>
      <c r="K2350" s="27"/>
      <c r="L2350" s="15"/>
      <c r="M2350" s="15"/>
      <c r="N2350" s="4"/>
      <c r="O2350" s="4" t="s">
        <v>10204</v>
      </c>
    </row>
    <row r="2351" spans="1:15" x14ac:dyDescent="0.2">
      <c r="A2351" s="2">
        <v>40010262</v>
      </c>
      <c r="B2351" s="2" t="s">
        <v>3455</v>
      </c>
      <c r="C2351" s="5" t="s">
        <v>9149</v>
      </c>
      <c r="D2351" s="21">
        <v>5</v>
      </c>
      <c r="E2351" s="21"/>
      <c r="F2351" s="21" t="s">
        <v>10438</v>
      </c>
      <c r="G2351" s="21"/>
      <c r="H2351" s="54">
        <v>12</v>
      </c>
      <c r="I2351" s="51"/>
      <c r="J2351" s="27"/>
      <c r="K2351" s="27"/>
      <c r="L2351" s="15"/>
      <c r="M2351" s="15"/>
      <c r="N2351" s="4" t="s">
        <v>4007</v>
      </c>
      <c r="O2351" s="4"/>
    </row>
    <row r="2352" spans="1:15" x14ac:dyDescent="0.2">
      <c r="A2352" s="2">
        <v>40007322</v>
      </c>
      <c r="B2352" s="2" t="s">
        <v>2562</v>
      </c>
      <c r="C2352" s="5" t="s">
        <v>8256</v>
      </c>
      <c r="D2352" s="21">
        <v>6</v>
      </c>
      <c r="E2352" s="21"/>
      <c r="F2352" s="21" t="s">
        <v>10438</v>
      </c>
      <c r="G2352" s="21"/>
      <c r="H2352" s="54">
        <v>36</v>
      </c>
      <c r="I2352" s="51"/>
      <c r="J2352" s="27"/>
      <c r="K2352" s="27"/>
      <c r="L2352" s="15"/>
      <c r="M2352" s="15"/>
      <c r="N2352" s="4"/>
      <c r="O2352" s="4">
        <v>78</v>
      </c>
    </row>
    <row r="2353" spans="1:15" x14ac:dyDescent="0.2">
      <c r="A2353" s="2">
        <v>40005416</v>
      </c>
      <c r="B2353" s="2" t="s">
        <v>892</v>
      </c>
      <c r="C2353" s="5" t="s">
        <v>6615</v>
      </c>
      <c r="D2353" s="21">
        <v>2</v>
      </c>
      <c r="E2353" s="21"/>
      <c r="F2353" s="21" t="s">
        <v>10438</v>
      </c>
      <c r="G2353" s="21"/>
      <c r="H2353" s="54">
        <v>34</v>
      </c>
      <c r="I2353" s="51"/>
      <c r="J2353" s="27"/>
      <c r="K2353" s="27"/>
      <c r="L2353" s="15"/>
      <c r="M2353" s="15"/>
      <c r="N2353" s="4"/>
      <c r="O2353" s="4" t="s">
        <v>10115</v>
      </c>
    </row>
    <row r="2354" spans="1:15" x14ac:dyDescent="0.2">
      <c r="A2354" s="2">
        <v>40007543</v>
      </c>
      <c r="B2354" s="2" t="s">
        <v>2744</v>
      </c>
      <c r="C2354" s="5" t="s">
        <v>8445</v>
      </c>
      <c r="D2354" s="21">
        <v>11</v>
      </c>
      <c r="E2354" s="21"/>
      <c r="F2354" s="21" t="s">
        <v>10438</v>
      </c>
      <c r="G2354" s="21"/>
      <c r="H2354" s="54">
        <v>26</v>
      </c>
      <c r="I2354" s="51"/>
      <c r="J2354" s="27"/>
      <c r="K2354" s="27"/>
      <c r="L2354" s="15"/>
      <c r="M2354" s="15"/>
      <c r="N2354" s="4"/>
      <c r="O2354" s="4" t="s">
        <v>10176</v>
      </c>
    </row>
    <row r="2355" spans="1:15" x14ac:dyDescent="0.2">
      <c r="A2355" s="2">
        <v>40006020</v>
      </c>
      <c r="B2355" s="2" t="s">
        <v>1423</v>
      </c>
      <c r="C2355" s="5" t="s">
        <v>7125</v>
      </c>
      <c r="D2355" s="21">
        <v>5</v>
      </c>
      <c r="E2355" s="21"/>
      <c r="F2355" s="21" t="s">
        <v>10438</v>
      </c>
      <c r="G2355" s="21"/>
      <c r="H2355" s="54">
        <v>16</v>
      </c>
      <c r="I2355" s="51"/>
      <c r="J2355" s="27"/>
      <c r="K2355" s="27"/>
      <c r="L2355" s="15"/>
      <c r="M2355" s="15"/>
      <c r="N2355" s="4" t="s">
        <v>4154</v>
      </c>
      <c r="O2355" s="4"/>
    </row>
    <row r="2356" spans="1:15" x14ac:dyDescent="0.2">
      <c r="A2356" s="2">
        <v>40007717</v>
      </c>
      <c r="B2356" s="2" t="s">
        <v>2892</v>
      </c>
      <c r="C2356" s="5" t="s">
        <v>8589</v>
      </c>
      <c r="D2356" s="21">
        <v>9</v>
      </c>
      <c r="E2356" s="21"/>
      <c r="F2356" s="21" t="s">
        <v>10438</v>
      </c>
      <c r="G2356" s="21"/>
      <c r="H2356" s="54">
        <v>8</v>
      </c>
      <c r="I2356" s="51"/>
      <c r="J2356" s="27"/>
      <c r="K2356" s="27"/>
      <c r="L2356" s="15"/>
      <c r="M2356" s="15"/>
      <c r="N2356" s="4" t="s">
        <v>4885</v>
      </c>
      <c r="O2356" s="4"/>
    </row>
    <row r="2357" spans="1:15" x14ac:dyDescent="0.2">
      <c r="A2357" s="2">
        <v>40010965</v>
      </c>
      <c r="B2357" s="2" t="s">
        <v>3584</v>
      </c>
      <c r="C2357" s="5" t="s">
        <v>9304</v>
      </c>
      <c r="D2357" s="21">
        <v>5</v>
      </c>
      <c r="E2357" s="21"/>
      <c r="F2357" s="21" t="s">
        <v>10438</v>
      </c>
      <c r="G2357" s="21"/>
      <c r="H2357" s="54">
        <v>17</v>
      </c>
      <c r="I2357" s="51"/>
      <c r="J2357" s="27"/>
      <c r="K2357" s="27"/>
      <c r="L2357" s="15"/>
      <c r="M2357" s="15"/>
      <c r="N2357" s="4" t="s">
        <v>5281</v>
      </c>
      <c r="O2357" s="4"/>
    </row>
    <row r="2358" spans="1:15" x14ac:dyDescent="0.2">
      <c r="A2358" s="2">
        <v>40007946</v>
      </c>
      <c r="B2358" s="2" t="s">
        <v>3098</v>
      </c>
      <c r="C2358" s="5" t="s">
        <v>8791</v>
      </c>
      <c r="D2358" s="21">
        <v>9</v>
      </c>
      <c r="E2358" s="21"/>
      <c r="F2358" s="21" t="s">
        <v>10438</v>
      </c>
      <c r="G2358" s="21"/>
      <c r="H2358" s="54">
        <v>10</v>
      </c>
      <c r="I2358" s="51"/>
      <c r="J2358" s="27"/>
      <c r="K2358" s="27"/>
      <c r="L2358" s="15"/>
      <c r="M2358" s="15"/>
      <c r="N2358" s="4" t="s">
        <v>5143</v>
      </c>
      <c r="O2358" s="4"/>
    </row>
    <row r="2359" spans="1:15" x14ac:dyDescent="0.2">
      <c r="A2359" s="2">
        <v>40006970</v>
      </c>
      <c r="B2359" s="2" t="s">
        <v>2260</v>
      </c>
      <c r="C2359" s="5" t="s">
        <v>7966</v>
      </c>
      <c r="D2359" s="21">
        <v>11</v>
      </c>
      <c r="E2359" s="21"/>
      <c r="F2359" s="21" t="s">
        <v>10438</v>
      </c>
      <c r="G2359" s="21"/>
      <c r="H2359" s="54">
        <v>5</v>
      </c>
      <c r="I2359" s="51"/>
      <c r="J2359" s="27"/>
      <c r="K2359" s="27"/>
      <c r="L2359" s="15"/>
      <c r="M2359" s="15"/>
      <c r="N2359" s="4" t="s">
        <v>4769</v>
      </c>
      <c r="O2359" s="4"/>
    </row>
    <row r="2360" spans="1:15" x14ac:dyDescent="0.2">
      <c r="A2360" s="2">
        <v>40007932</v>
      </c>
      <c r="B2360" s="2" t="s">
        <v>3085</v>
      </c>
      <c r="C2360" s="5" t="s">
        <v>8778</v>
      </c>
      <c r="D2360" s="21">
        <v>10</v>
      </c>
      <c r="E2360" s="21"/>
      <c r="F2360" s="21" t="s">
        <v>10438</v>
      </c>
      <c r="G2360" s="21"/>
      <c r="H2360" s="54">
        <v>4</v>
      </c>
      <c r="I2360" s="51"/>
      <c r="J2360" s="27"/>
      <c r="K2360" s="27"/>
      <c r="L2360" s="15"/>
      <c r="M2360" s="15"/>
      <c r="N2360" s="4" t="s">
        <v>5135</v>
      </c>
      <c r="O2360" s="4"/>
    </row>
    <row r="2361" spans="1:15" x14ac:dyDescent="0.2">
      <c r="A2361" s="2">
        <v>40011335</v>
      </c>
      <c r="B2361" s="2" t="s">
        <v>3928</v>
      </c>
      <c r="C2361" s="5" t="s">
        <v>9379</v>
      </c>
      <c r="D2361" s="21">
        <v>5</v>
      </c>
      <c r="E2361" s="21"/>
      <c r="F2361" s="21" t="s">
        <v>10438</v>
      </c>
      <c r="G2361" s="21"/>
      <c r="H2361" s="54">
        <v>4</v>
      </c>
      <c r="I2361" s="51"/>
      <c r="J2361" s="27"/>
      <c r="K2361" s="27"/>
      <c r="L2361" s="15"/>
      <c r="M2361" s="15"/>
      <c r="N2361" s="4" t="s">
        <v>4380</v>
      </c>
      <c r="O2361" s="4"/>
    </row>
    <row r="2362" spans="1:15" x14ac:dyDescent="0.2">
      <c r="A2362" s="2">
        <v>10018773</v>
      </c>
      <c r="B2362" s="2" t="s">
        <v>304</v>
      </c>
      <c r="C2362" s="5" t="s">
        <v>5886</v>
      </c>
      <c r="D2362" s="21">
        <v>18</v>
      </c>
      <c r="E2362" s="21"/>
      <c r="F2362" s="21" t="s">
        <v>10438</v>
      </c>
      <c r="G2362" s="21"/>
      <c r="H2362" s="54">
        <v>389</v>
      </c>
      <c r="I2362" s="51"/>
      <c r="J2362" s="27"/>
      <c r="K2362" s="27"/>
      <c r="L2362" s="15"/>
      <c r="M2362" s="15"/>
      <c r="N2362" s="4" t="s">
        <v>3941</v>
      </c>
      <c r="O2362" s="4"/>
    </row>
    <row r="2363" spans="1:15" x14ac:dyDescent="0.2">
      <c r="A2363" s="2">
        <v>40006139</v>
      </c>
      <c r="B2363" s="2" t="s">
        <v>1530</v>
      </c>
      <c r="C2363" s="5" t="s">
        <v>7234</v>
      </c>
      <c r="D2363" s="21">
        <v>1</v>
      </c>
      <c r="E2363" s="21"/>
      <c r="F2363" s="21" t="s">
        <v>10438</v>
      </c>
      <c r="G2363" s="21"/>
      <c r="H2363" s="54">
        <v>166</v>
      </c>
      <c r="I2363" s="51"/>
      <c r="J2363" s="27"/>
      <c r="K2363" s="27"/>
      <c r="L2363" s="15"/>
      <c r="M2363" s="15"/>
      <c r="N2363" s="4" t="s">
        <v>3941</v>
      </c>
      <c r="O2363" s="4"/>
    </row>
    <row r="2364" spans="1:15" x14ac:dyDescent="0.2">
      <c r="A2364" s="2">
        <v>40007880</v>
      </c>
      <c r="B2364" s="2" t="s">
        <v>3035</v>
      </c>
      <c r="C2364" s="5" t="s">
        <v>8729</v>
      </c>
      <c r="D2364" s="21">
        <v>17</v>
      </c>
      <c r="E2364" s="21"/>
      <c r="F2364" s="21" t="s">
        <v>10438</v>
      </c>
      <c r="G2364" s="21"/>
      <c r="H2364" s="54">
        <v>169</v>
      </c>
      <c r="I2364" s="51"/>
      <c r="J2364" s="27"/>
      <c r="K2364" s="27"/>
      <c r="L2364" s="15"/>
      <c r="M2364" s="15"/>
      <c r="N2364" s="4" t="s">
        <v>3941</v>
      </c>
      <c r="O2364" s="4"/>
    </row>
    <row r="2365" spans="1:15" x14ac:dyDescent="0.2">
      <c r="A2365" s="2">
        <v>10019931</v>
      </c>
      <c r="B2365" s="2" t="s">
        <v>628</v>
      </c>
      <c r="C2365" s="5">
        <v>6413</v>
      </c>
      <c r="D2365" s="21">
        <v>9</v>
      </c>
      <c r="E2365" s="21"/>
      <c r="F2365" s="21" t="s">
        <v>10438</v>
      </c>
      <c r="G2365" s="21"/>
      <c r="H2365" s="54">
        <v>1265</v>
      </c>
      <c r="I2365" s="51">
        <v>1165</v>
      </c>
      <c r="J2365" s="27">
        <v>35</v>
      </c>
      <c r="K2365" s="27"/>
      <c r="L2365" s="15">
        <v>40</v>
      </c>
      <c r="M2365" s="15"/>
      <c r="N2365" s="4" t="s">
        <v>3934</v>
      </c>
      <c r="O2365" s="4" t="s">
        <v>10452</v>
      </c>
    </row>
    <row r="2366" spans="1:15" x14ac:dyDescent="0.2">
      <c r="A2366" s="2">
        <v>40006191</v>
      </c>
      <c r="B2366" s="2" t="s">
        <v>1574</v>
      </c>
      <c r="C2366" s="5" t="s">
        <v>7281</v>
      </c>
      <c r="D2366" s="21">
        <v>6</v>
      </c>
      <c r="E2366" s="21"/>
      <c r="F2366" s="21" t="s">
        <v>10438</v>
      </c>
      <c r="G2366" s="21"/>
      <c r="H2366" s="54">
        <v>107</v>
      </c>
      <c r="I2366" s="51"/>
      <c r="J2366" s="27"/>
      <c r="K2366" s="27"/>
      <c r="L2366" s="15"/>
      <c r="M2366" s="15">
        <v>5</v>
      </c>
      <c r="N2366" s="4" t="s">
        <v>3941</v>
      </c>
      <c r="O2366" s="4"/>
    </row>
    <row r="2367" spans="1:15" x14ac:dyDescent="0.2">
      <c r="A2367" s="2">
        <v>10018530</v>
      </c>
      <c r="B2367" s="2" t="s">
        <v>206</v>
      </c>
      <c r="C2367" s="5" t="s">
        <v>5762</v>
      </c>
      <c r="D2367" s="21">
        <v>17</v>
      </c>
      <c r="E2367" s="21"/>
      <c r="F2367" s="30">
        <v>2</v>
      </c>
      <c r="G2367" s="21"/>
      <c r="H2367" s="54">
        <v>105</v>
      </c>
      <c r="I2367" s="51"/>
      <c r="J2367" s="27"/>
      <c r="K2367" s="27"/>
      <c r="L2367" s="15"/>
      <c r="M2367" s="15"/>
      <c r="N2367" s="4" t="s">
        <v>3941</v>
      </c>
      <c r="O2367" s="4"/>
    </row>
    <row r="2368" spans="1:15" x14ac:dyDescent="0.2">
      <c r="A2368" s="2">
        <v>10018368</v>
      </c>
      <c r="B2368" s="2" t="s">
        <v>159</v>
      </c>
      <c r="C2368" s="5" t="s">
        <v>5699</v>
      </c>
      <c r="D2368" s="21">
        <v>34</v>
      </c>
      <c r="E2368" s="21"/>
      <c r="F2368" s="21" t="s">
        <v>10438</v>
      </c>
      <c r="G2368" s="21"/>
      <c r="H2368" s="54">
        <v>103</v>
      </c>
      <c r="I2368" s="51"/>
      <c r="J2368" s="27"/>
      <c r="K2368" s="27"/>
      <c r="L2368" s="15"/>
      <c r="M2368" s="15"/>
      <c r="N2368" s="4" t="s">
        <v>3941</v>
      </c>
      <c r="O2368" s="4"/>
    </row>
    <row r="2369" spans="1:15" x14ac:dyDescent="0.2">
      <c r="A2369" s="2">
        <v>40007354</v>
      </c>
      <c r="B2369" s="2" t="s">
        <v>2587</v>
      </c>
      <c r="C2369" s="5" t="s">
        <v>8285</v>
      </c>
      <c r="D2369" s="21">
        <v>14</v>
      </c>
      <c r="E2369" s="21"/>
      <c r="F2369" s="21" t="s">
        <v>10438</v>
      </c>
      <c r="G2369" s="21"/>
      <c r="H2369" s="54">
        <v>83</v>
      </c>
      <c r="I2369" s="51"/>
      <c r="J2369" s="27"/>
      <c r="K2369" s="27"/>
      <c r="L2369" s="15"/>
      <c r="M2369" s="15"/>
      <c r="N2369" s="4" t="s">
        <v>3941</v>
      </c>
      <c r="O2369" s="4"/>
    </row>
    <row r="2370" spans="1:15" x14ac:dyDescent="0.2">
      <c r="A2370" s="2">
        <v>40006680</v>
      </c>
      <c r="B2370" s="2" t="s">
        <v>2000</v>
      </c>
      <c r="C2370" s="5" t="s">
        <v>7709</v>
      </c>
      <c r="D2370" s="21">
        <v>6</v>
      </c>
      <c r="E2370" s="21"/>
      <c r="F2370" s="21" t="s">
        <v>10438</v>
      </c>
      <c r="G2370" s="21"/>
      <c r="H2370" s="54">
        <v>47</v>
      </c>
      <c r="I2370" s="51"/>
      <c r="J2370" s="27"/>
      <c r="K2370" s="27"/>
      <c r="L2370" s="15"/>
      <c r="M2370" s="15"/>
      <c r="N2370" s="4"/>
      <c r="O2370" s="4" t="s">
        <v>4626</v>
      </c>
    </row>
    <row r="2371" spans="1:15" x14ac:dyDescent="0.2">
      <c r="A2371" s="2">
        <v>40007899</v>
      </c>
      <c r="B2371" s="2" t="s">
        <v>3054</v>
      </c>
      <c r="C2371" s="5" t="s">
        <v>8745</v>
      </c>
      <c r="D2371" s="21">
        <v>9</v>
      </c>
      <c r="E2371" s="21"/>
      <c r="F2371" s="21" t="s">
        <v>10438</v>
      </c>
      <c r="G2371" s="21"/>
      <c r="H2371" s="54">
        <v>19</v>
      </c>
      <c r="I2371" s="51"/>
      <c r="J2371" s="27"/>
      <c r="K2371" s="27"/>
      <c r="L2371" s="15"/>
      <c r="M2371" s="15"/>
      <c r="N2371" s="4" t="s">
        <v>10474</v>
      </c>
      <c r="O2371" s="4"/>
    </row>
    <row r="2372" spans="1:15" x14ac:dyDescent="0.2">
      <c r="A2372" s="2">
        <v>40007985</v>
      </c>
      <c r="B2372" s="2" t="s">
        <v>3129</v>
      </c>
      <c r="C2372" s="5" t="s">
        <v>8826</v>
      </c>
      <c r="D2372" s="21">
        <v>20</v>
      </c>
      <c r="E2372" s="21"/>
      <c r="F2372" s="21" t="s">
        <v>10438</v>
      </c>
      <c r="G2372" s="21"/>
      <c r="H2372" s="54">
        <v>4</v>
      </c>
      <c r="I2372" s="51"/>
      <c r="J2372" s="27"/>
      <c r="K2372" s="27"/>
      <c r="L2372" s="15"/>
      <c r="M2372" s="15"/>
      <c r="N2372" s="4" t="s">
        <v>4727</v>
      </c>
      <c r="O2372" s="4" t="s">
        <v>4061</v>
      </c>
    </row>
    <row r="2373" spans="1:15" x14ac:dyDescent="0.2">
      <c r="A2373" s="2">
        <v>40007128</v>
      </c>
      <c r="B2373" s="2" t="s">
        <v>2396</v>
      </c>
      <c r="C2373" s="5" t="s">
        <v>8101</v>
      </c>
      <c r="D2373" s="21">
        <v>1</v>
      </c>
      <c r="E2373" s="21"/>
      <c r="F2373" s="21" t="s">
        <v>10438</v>
      </c>
      <c r="G2373" s="21"/>
      <c r="H2373" s="54">
        <v>135</v>
      </c>
      <c r="I2373" s="51"/>
      <c r="J2373" s="27"/>
      <c r="K2373" s="27"/>
      <c r="L2373" s="15"/>
      <c r="M2373" s="15"/>
      <c r="N2373" s="4"/>
      <c r="O2373" s="4" t="s">
        <v>10108</v>
      </c>
    </row>
    <row r="2374" spans="1:15" x14ac:dyDescent="0.2">
      <c r="A2374" s="2">
        <v>40007845</v>
      </c>
      <c r="B2374" s="2" t="s">
        <v>3003</v>
      </c>
      <c r="C2374" s="5" t="s">
        <v>8703</v>
      </c>
      <c r="D2374" s="21">
        <v>3</v>
      </c>
      <c r="E2374" s="21"/>
      <c r="F2374" s="21" t="s">
        <v>10438</v>
      </c>
      <c r="G2374" s="21"/>
      <c r="H2374" s="54">
        <v>110</v>
      </c>
      <c r="I2374" s="51"/>
      <c r="J2374" s="27"/>
      <c r="K2374" s="27"/>
      <c r="L2374" s="15"/>
      <c r="M2374" s="15"/>
      <c r="N2374" s="4" t="s">
        <v>5104</v>
      </c>
      <c r="O2374" s="4"/>
    </row>
    <row r="2375" spans="1:15" x14ac:dyDescent="0.2">
      <c r="A2375" s="2">
        <v>40007536</v>
      </c>
      <c r="B2375" s="2" t="s">
        <v>2737</v>
      </c>
      <c r="C2375" s="5" t="s">
        <v>8440</v>
      </c>
      <c r="D2375" s="21">
        <v>5</v>
      </c>
      <c r="E2375" s="21"/>
      <c r="F2375" s="21" t="s">
        <v>10438</v>
      </c>
      <c r="G2375" s="21"/>
      <c r="H2375" s="54">
        <v>15</v>
      </c>
      <c r="I2375" s="51"/>
      <c r="J2375" s="27"/>
      <c r="K2375" s="27"/>
      <c r="L2375" s="15"/>
      <c r="M2375" s="15"/>
      <c r="N2375" s="4" t="s">
        <v>4991</v>
      </c>
      <c r="O2375" s="4"/>
    </row>
    <row r="2376" spans="1:15" x14ac:dyDescent="0.2">
      <c r="A2376" s="2">
        <v>40007705</v>
      </c>
      <c r="B2376" s="2" t="s">
        <v>2881</v>
      </c>
      <c r="C2376" s="5" t="s">
        <v>8579</v>
      </c>
      <c r="D2376" s="21">
        <v>4</v>
      </c>
      <c r="E2376" s="21"/>
      <c r="F2376" s="21" t="s">
        <v>10438</v>
      </c>
      <c r="G2376" s="21"/>
      <c r="H2376" s="54">
        <v>35</v>
      </c>
      <c r="I2376" s="51"/>
      <c r="J2376" s="27"/>
      <c r="K2376" s="27"/>
      <c r="L2376" s="15"/>
      <c r="M2376" s="15"/>
      <c r="N2376" s="4" t="s">
        <v>5041</v>
      </c>
      <c r="O2376" s="4"/>
    </row>
    <row r="2377" spans="1:15" x14ac:dyDescent="0.2">
      <c r="A2377" s="2">
        <v>40007040</v>
      </c>
      <c r="B2377" s="2" t="s">
        <v>2319</v>
      </c>
      <c r="C2377" s="5" t="s">
        <v>8029</v>
      </c>
      <c r="D2377" s="21">
        <v>1</v>
      </c>
      <c r="E2377" s="21"/>
      <c r="F2377" s="21" t="s">
        <v>10438</v>
      </c>
      <c r="G2377" s="21"/>
      <c r="H2377" s="54">
        <v>38</v>
      </c>
      <c r="I2377" s="51"/>
      <c r="J2377" s="27"/>
      <c r="K2377" s="27"/>
      <c r="L2377" s="15"/>
      <c r="M2377" s="15"/>
      <c r="N2377" s="4" t="s">
        <v>4341</v>
      </c>
      <c r="O2377" s="4"/>
    </row>
    <row r="2378" spans="1:15" x14ac:dyDescent="0.2">
      <c r="A2378" s="2">
        <v>40008133</v>
      </c>
      <c r="B2378" s="2" t="s">
        <v>3256</v>
      </c>
      <c r="C2378" s="5" t="s">
        <v>8952</v>
      </c>
      <c r="D2378" s="21">
        <v>1</v>
      </c>
      <c r="E2378" s="21"/>
      <c r="F2378" s="21" t="s">
        <v>10438</v>
      </c>
      <c r="G2378" s="21"/>
      <c r="H2378" s="54">
        <v>14</v>
      </c>
      <c r="I2378" s="51"/>
      <c r="J2378" s="27"/>
      <c r="K2378" s="27"/>
      <c r="L2378" s="15"/>
      <c r="M2378" s="15"/>
      <c r="N2378" s="4" t="s">
        <v>4950</v>
      </c>
      <c r="O2378" s="4"/>
    </row>
    <row r="2379" spans="1:15" x14ac:dyDescent="0.2">
      <c r="A2379" s="2">
        <v>40005917</v>
      </c>
      <c r="B2379" s="2" t="s">
        <v>1328</v>
      </c>
      <c r="C2379" s="5" t="s">
        <v>7034</v>
      </c>
      <c r="D2379" s="21">
        <v>1</v>
      </c>
      <c r="E2379" s="21"/>
      <c r="F2379" s="21" t="s">
        <v>10438</v>
      </c>
      <c r="G2379" s="21"/>
      <c r="H2379" s="54">
        <v>22</v>
      </c>
      <c r="I2379" s="51"/>
      <c r="J2379" s="27"/>
      <c r="K2379" s="27"/>
      <c r="L2379" s="15"/>
      <c r="M2379" s="15"/>
      <c r="N2379" s="4" t="s">
        <v>4317</v>
      </c>
      <c r="O2379" s="4"/>
    </row>
    <row r="2380" spans="1:15" x14ac:dyDescent="0.2">
      <c r="A2380" s="2">
        <v>40006659</v>
      </c>
      <c r="B2380" s="2" t="s">
        <v>1985</v>
      </c>
      <c r="C2380" s="5" t="s">
        <v>7694</v>
      </c>
      <c r="D2380" s="21">
        <v>11</v>
      </c>
      <c r="E2380" s="21"/>
      <c r="F2380" s="21" t="s">
        <v>10438</v>
      </c>
      <c r="G2380" s="21"/>
      <c r="H2380" s="54">
        <v>71</v>
      </c>
      <c r="I2380" s="51"/>
      <c r="J2380" s="27"/>
      <c r="K2380" s="27"/>
      <c r="L2380" s="15"/>
      <c r="M2380" s="15"/>
      <c r="N2380" s="4" t="s">
        <v>4636</v>
      </c>
      <c r="O2380" s="4"/>
    </row>
    <row r="2381" spans="1:15" x14ac:dyDescent="0.2">
      <c r="A2381" s="2">
        <v>40007185</v>
      </c>
      <c r="B2381" s="2" t="s">
        <v>2451</v>
      </c>
      <c r="C2381" s="5" t="s">
        <v>8154</v>
      </c>
      <c r="D2381" s="21">
        <v>1</v>
      </c>
      <c r="E2381" s="21"/>
      <c r="F2381" s="21" t="s">
        <v>10438</v>
      </c>
      <c r="G2381" s="21"/>
      <c r="H2381" s="54">
        <v>67</v>
      </c>
      <c r="I2381" s="51"/>
      <c r="J2381" s="27"/>
      <c r="K2381" s="27"/>
      <c r="L2381" s="15"/>
      <c r="M2381" s="15"/>
      <c r="N2381" s="4" t="s">
        <v>4863</v>
      </c>
      <c r="O2381" s="4"/>
    </row>
    <row r="2382" spans="1:15" x14ac:dyDescent="0.2">
      <c r="A2382" s="2">
        <v>40007371</v>
      </c>
      <c r="B2382" s="2" t="s">
        <v>2600</v>
      </c>
      <c r="C2382" s="5" t="s">
        <v>8301</v>
      </c>
      <c r="D2382" s="21">
        <v>1</v>
      </c>
      <c r="E2382" s="21"/>
      <c r="F2382" s="21" t="s">
        <v>10438</v>
      </c>
      <c r="G2382" s="21"/>
      <c r="H2382" s="54">
        <v>7</v>
      </c>
      <c r="I2382" s="51"/>
      <c r="J2382" s="27"/>
      <c r="K2382" s="27"/>
      <c r="L2382" s="15"/>
      <c r="M2382" s="15"/>
      <c r="N2382" s="4" t="s">
        <v>4931</v>
      </c>
      <c r="O2382" s="4"/>
    </row>
    <row r="2383" spans="1:15" x14ac:dyDescent="0.2">
      <c r="A2383" s="2">
        <v>40006923</v>
      </c>
      <c r="B2383" s="2" t="s">
        <v>2218</v>
      </c>
      <c r="C2383" s="5" t="s">
        <v>7927</v>
      </c>
      <c r="D2383" s="21">
        <v>1</v>
      </c>
      <c r="E2383" s="21"/>
      <c r="F2383" s="21" t="s">
        <v>10438</v>
      </c>
      <c r="G2383" s="21"/>
      <c r="H2383" s="54">
        <v>162</v>
      </c>
      <c r="I2383" s="51"/>
      <c r="J2383" s="27"/>
      <c r="K2383" s="27"/>
      <c r="L2383" s="15"/>
      <c r="M2383" s="15"/>
      <c r="N2383" s="4" t="s">
        <v>3969</v>
      </c>
      <c r="O2383" s="4"/>
    </row>
    <row r="2384" spans="1:15" x14ac:dyDescent="0.2">
      <c r="A2384" s="2">
        <v>10041617</v>
      </c>
      <c r="B2384" s="2" t="s">
        <v>5438</v>
      </c>
      <c r="C2384" s="10" t="s">
        <v>9420</v>
      </c>
      <c r="D2384" s="21">
        <v>2</v>
      </c>
      <c r="E2384" s="21"/>
      <c r="F2384" s="21" t="s">
        <v>10438</v>
      </c>
      <c r="G2384" s="21"/>
      <c r="H2384" s="54">
        <v>1910</v>
      </c>
      <c r="I2384" s="51">
        <v>1760</v>
      </c>
      <c r="J2384" s="27"/>
      <c r="K2384" s="27"/>
      <c r="L2384" s="15"/>
      <c r="M2384" s="15"/>
      <c r="N2384" s="4"/>
      <c r="O2384" s="4" t="s">
        <v>10455</v>
      </c>
    </row>
    <row r="2385" spans="1:15" x14ac:dyDescent="0.2">
      <c r="A2385" s="2">
        <v>40005770</v>
      </c>
      <c r="B2385" s="2" t="s">
        <v>1195</v>
      </c>
      <c r="C2385" s="5" t="s">
        <v>6907</v>
      </c>
      <c r="D2385" s="21">
        <v>1</v>
      </c>
      <c r="E2385" s="21"/>
      <c r="F2385" s="21" t="s">
        <v>10438</v>
      </c>
      <c r="G2385" s="21"/>
      <c r="H2385" s="54">
        <v>20</v>
      </c>
      <c r="I2385" s="51"/>
      <c r="J2385" s="27"/>
      <c r="K2385" s="27"/>
      <c r="L2385" s="15"/>
      <c r="M2385" s="15"/>
      <c r="N2385" s="4"/>
      <c r="O2385" s="4" t="s">
        <v>10348</v>
      </c>
    </row>
    <row r="2386" spans="1:15" x14ac:dyDescent="0.2">
      <c r="A2386" s="2">
        <v>40005769</v>
      </c>
      <c r="B2386" s="2" t="s">
        <v>1194</v>
      </c>
      <c r="C2386" s="5" t="s">
        <v>6906</v>
      </c>
      <c r="D2386" s="21">
        <v>1</v>
      </c>
      <c r="E2386" s="21"/>
      <c r="F2386" s="21" t="s">
        <v>10438</v>
      </c>
      <c r="G2386" s="21"/>
      <c r="H2386" s="54">
        <v>20</v>
      </c>
      <c r="I2386" s="51"/>
      <c r="J2386" s="27"/>
      <c r="K2386" s="27"/>
      <c r="L2386" s="15"/>
      <c r="M2386" s="15"/>
      <c r="N2386" s="4"/>
      <c r="O2386" s="4" t="s">
        <v>4949</v>
      </c>
    </row>
    <row r="2387" spans="1:15" x14ac:dyDescent="0.2">
      <c r="A2387" s="2">
        <v>40008178</v>
      </c>
      <c r="B2387" s="2" t="s">
        <v>3301</v>
      </c>
      <c r="C2387" s="5" t="s">
        <v>8994</v>
      </c>
      <c r="D2387" s="21">
        <v>1</v>
      </c>
      <c r="E2387" s="21"/>
      <c r="F2387" s="21" t="s">
        <v>10438</v>
      </c>
      <c r="G2387" s="21"/>
      <c r="H2387" s="54">
        <v>250</v>
      </c>
      <c r="I2387" s="51"/>
      <c r="J2387" s="27"/>
      <c r="K2387" s="27"/>
      <c r="L2387" s="15"/>
      <c r="M2387" s="15"/>
      <c r="N2387" s="4" t="s">
        <v>4874</v>
      </c>
      <c r="O2387" s="4"/>
    </row>
    <row r="2388" spans="1:15" x14ac:dyDescent="0.2">
      <c r="A2388" s="2">
        <v>40006225</v>
      </c>
      <c r="B2388" s="2" t="s">
        <v>1605</v>
      </c>
      <c r="C2388" s="5" t="s">
        <v>7310</v>
      </c>
      <c r="D2388" s="21">
        <v>1</v>
      </c>
      <c r="E2388" s="21"/>
      <c r="F2388" s="21" t="s">
        <v>10438</v>
      </c>
      <c r="G2388" s="21"/>
      <c r="H2388" s="54">
        <v>8</v>
      </c>
      <c r="I2388" s="51"/>
      <c r="J2388" s="27"/>
      <c r="K2388" s="27"/>
      <c r="L2388" s="15"/>
      <c r="M2388" s="15"/>
      <c r="N2388" s="4" t="s">
        <v>4164</v>
      </c>
      <c r="O2388" s="4"/>
    </row>
    <row r="2389" spans="1:15" x14ac:dyDescent="0.2">
      <c r="A2389" s="2">
        <v>40010386</v>
      </c>
      <c r="B2389" s="2" t="s">
        <v>3908</v>
      </c>
      <c r="C2389" s="5" t="s">
        <v>9230</v>
      </c>
      <c r="D2389" s="21"/>
      <c r="E2389" s="21"/>
      <c r="F2389" s="21" t="s">
        <v>10438</v>
      </c>
      <c r="G2389" s="21"/>
      <c r="H2389" s="54">
        <v>6.11</v>
      </c>
      <c r="I2389" s="51"/>
      <c r="J2389" s="27"/>
      <c r="K2389" s="27"/>
      <c r="L2389" s="15"/>
      <c r="M2389" s="15"/>
      <c r="N2389" s="4" t="s">
        <v>4792</v>
      </c>
      <c r="O2389" s="4"/>
    </row>
    <row r="2390" spans="1:15" x14ac:dyDescent="0.2">
      <c r="A2390" s="2">
        <v>40007857</v>
      </c>
      <c r="B2390" s="2" t="s">
        <v>3014</v>
      </c>
      <c r="C2390" s="5" t="s">
        <v>8714</v>
      </c>
      <c r="D2390" s="21">
        <v>5</v>
      </c>
      <c r="E2390" s="21"/>
      <c r="F2390" s="30">
        <v>1</v>
      </c>
      <c r="G2390" s="21"/>
      <c r="H2390" s="54">
        <v>3</v>
      </c>
      <c r="I2390" s="51"/>
      <c r="J2390" s="27"/>
      <c r="K2390" s="27"/>
      <c r="L2390" s="15"/>
      <c r="M2390" s="15"/>
      <c r="N2390" s="4" t="s">
        <v>4787</v>
      </c>
      <c r="O2390" s="4"/>
    </row>
    <row r="2391" spans="1:15" x14ac:dyDescent="0.2">
      <c r="A2391" s="2">
        <v>40006621</v>
      </c>
      <c r="B2391" s="2" t="s">
        <v>1957</v>
      </c>
      <c r="C2391" s="5" t="s">
        <v>7666</v>
      </c>
      <c r="D2391" s="21">
        <v>1</v>
      </c>
      <c r="E2391" s="21"/>
      <c r="F2391" s="21" t="s">
        <v>10438</v>
      </c>
      <c r="G2391" s="21"/>
      <c r="H2391" s="54">
        <v>11</v>
      </c>
      <c r="I2391" s="51"/>
      <c r="J2391" s="27"/>
      <c r="K2391" s="27"/>
      <c r="L2391" s="15"/>
      <c r="M2391" s="15"/>
      <c r="N2391" s="4"/>
      <c r="O2391" s="4" t="s">
        <v>4400</v>
      </c>
    </row>
    <row r="2392" spans="1:15" x14ac:dyDescent="0.2">
      <c r="A2392" s="2">
        <v>40010387</v>
      </c>
      <c r="B2392" s="2" t="s">
        <v>3528</v>
      </c>
      <c r="C2392" s="5" t="s">
        <v>9231</v>
      </c>
      <c r="D2392" s="21"/>
      <c r="E2392" s="21"/>
      <c r="F2392" s="21" t="s">
        <v>10438</v>
      </c>
      <c r="G2392" s="21"/>
      <c r="H2392" s="54">
        <v>9</v>
      </c>
      <c r="I2392" s="51"/>
      <c r="J2392" s="27"/>
      <c r="K2392" s="27"/>
      <c r="L2392" s="15"/>
      <c r="M2392" s="15">
        <v>3</v>
      </c>
      <c r="N2392" s="4" t="s">
        <v>4042</v>
      </c>
      <c r="O2392" s="4"/>
    </row>
    <row r="2393" spans="1:15" x14ac:dyDescent="0.2">
      <c r="A2393" s="2">
        <v>40006625</v>
      </c>
      <c r="B2393" s="2" t="s">
        <v>1961</v>
      </c>
      <c r="C2393" s="5" t="s">
        <v>7670</v>
      </c>
      <c r="D2393" s="21">
        <v>3</v>
      </c>
      <c r="E2393" s="21"/>
      <c r="F2393" s="30">
        <v>2</v>
      </c>
      <c r="G2393" s="21"/>
      <c r="H2393" s="54">
        <v>4</v>
      </c>
      <c r="I2393" s="51"/>
      <c r="J2393" s="27"/>
      <c r="K2393" s="27"/>
      <c r="L2393" s="15"/>
      <c r="M2393" s="15"/>
      <c r="N2393" s="4" t="s">
        <v>4006</v>
      </c>
      <c r="O2393" s="4"/>
    </row>
    <row r="2394" spans="1:15" x14ac:dyDescent="0.2">
      <c r="A2394" s="2">
        <v>40008203</v>
      </c>
      <c r="B2394" s="2" t="s">
        <v>3323</v>
      </c>
      <c r="C2394" s="5" t="s">
        <v>9015</v>
      </c>
      <c r="D2394" s="21">
        <v>2</v>
      </c>
      <c r="E2394" s="21"/>
      <c r="F2394" s="21" t="s">
        <v>10438</v>
      </c>
      <c r="G2394" s="21"/>
      <c r="H2394" s="54">
        <v>10</v>
      </c>
      <c r="I2394" s="51"/>
      <c r="J2394" s="27"/>
      <c r="K2394" s="27"/>
      <c r="L2394" s="15"/>
      <c r="M2394" s="15"/>
      <c r="N2394" s="4" t="s">
        <v>4427</v>
      </c>
      <c r="O2394" s="4"/>
    </row>
    <row r="2395" spans="1:15" x14ac:dyDescent="0.2">
      <c r="A2395" s="2">
        <v>40010272</v>
      </c>
      <c r="B2395" s="2" t="s">
        <v>3463</v>
      </c>
      <c r="C2395" s="5" t="s">
        <v>9157</v>
      </c>
      <c r="D2395" s="21">
        <v>3</v>
      </c>
      <c r="E2395" s="21"/>
      <c r="F2395" s="21" t="s">
        <v>10438</v>
      </c>
      <c r="G2395" s="21"/>
      <c r="H2395" s="54">
        <v>2</v>
      </c>
      <c r="I2395" s="51"/>
      <c r="J2395" s="27"/>
      <c r="K2395" s="27"/>
      <c r="L2395" s="15"/>
      <c r="M2395" s="15"/>
      <c r="N2395" s="4" t="s">
        <v>5257</v>
      </c>
      <c r="O2395" s="4"/>
    </row>
    <row r="2396" spans="1:15" x14ac:dyDescent="0.2">
      <c r="A2396" s="2">
        <v>40006620</v>
      </c>
      <c r="B2396" s="2" t="s">
        <v>1956</v>
      </c>
      <c r="C2396" s="5" t="s">
        <v>7665</v>
      </c>
      <c r="D2396" s="21">
        <v>1</v>
      </c>
      <c r="E2396" s="21"/>
      <c r="F2396" s="21" t="s">
        <v>10438</v>
      </c>
      <c r="G2396" s="21"/>
      <c r="H2396" s="54">
        <v>8</v>
      </c>
      <c r="I2396" s="51"/>
      <c r="J2396" s="27"/>
      <c r="K2396" s="27"/>
      <c r="L2396" s="15"/>
      <c r="M2396" s="15"/>
      <c r="N2396" s="4" t="s">
        <v>4131</v>
      </c>
      <c r="O2396" s="4"/>
    </row>
    <row r="2397" spans="1:15" x14ac:dyDescent="0.2">
      <c r="A2397" s="2">
        <v>40006571</v>
      </c>
      <c r="B2397" s="2" t="s">
        <v>1908</v>
      </c>
      <c r="C2397" s="5" t="s">
        <v>7616</v>
      </c>
      <c r="D2397" s="21">
        <v>1</v>
      </c>
      <c r="E2397" s="21"/>
      <c r="F2397" s="21" t="s">
        <v>10438</v>
      </c>
      <c r="G2397" s="21"/>
      <c r="H2397" s="54">
        <v>14</v>
      </c>
      <c r="I2397" s="51"/>
      <c r="J2397" s="27"/>
      <c r="K2397" s="27"/>
      <c r="L2397" s="15"/>
      <c r="M2397" s="15"/>
      <c r="N2397" s="4"/>
      <c r="O2397" s="4" t="s">
        <v>10349</v>
      </c>
    </row>
    <row r="2398" spans="1:15" x14ac:dyDescent="0.2">
      <c r="A2398" s="2">
        <v>40005541</v>
      </c>
      <c r="B2398" s="2" t="s">
        <v>3914</v>
      </c>
      <c r="C2398" s="5" t="s">
        <v>6725</v>
      </c>
      <c r="D2398" s="21">
        <v>4</v>
      </c>
      <c r="E2398" s="21"/>
      <c r="F2398" s="21" t="s">
        <v>10438</v>
      </c>
      <c r="G2398" s="21"/>
      <c r="H2398" s="54">
        <v>117</v>
      </c>
      <c r="I2398" s="51"/>
      <c r="J2398" s="27"/>
      <c r="K2398" s="27"/>
      <c r="L2398" s="15"/>
      <c r="M2398" s="15"/>
      <c r="N2398" s="4" t="s">
        <v>5293</v>
      </c>
      <c r="O2398" s="4"/>
    </row>
    <row r="2399" spans="1:15" x14ac:dyDescent="0.2">
      <c r="A2399" s="2">
        <v>40005527</v>
      </c>
      <c r="B2399" s="2" t="s">
        <v>991</v>
      </c>
      <c r="C2399" s="5" t="s">
        <v>6713</v>
      </c>
      <c r="D2399" s="21">
        <v>3</v>
      </c>
      <c r="E2399" s="21"/>
      <c r="F2399" s="21" t="s">
        <v>10438</v>
      </c>
      <c r="G2399" s="21"/>
      <c r="H2399" s="54">
        <v>20</v>
      </c>
      <c r="I2399" s="51"/>
      <c r="J2399" s="27"/>
      <c r="K2399" s="27"/>
      <c r="L2399" s="15"/>
      <c r="M2399" s="15"/>
      <c r="N2399" s="4" t="s">
        <v>4138</v>
      </c>
      <c r="O2399" s="4"/>
    </row>
    <row r="2400" spans="1:15" x14ac:dyDescent="0.2">
      <c r="A2400" s="2">
        <v>40005552</v>
      </c>
      <c r="B2400" s="2" t="s">
        <v>1011</v>
      </c>
      <c r="C2400" s="5" t="s">
        <v>6735</v>
      </c>
      <c r="D2400" s="21">
        <v>2</v>
      </c>
      <c r="E2400" s="21"/>
      <c r="F2400" s="21" t="s">
        <v>10438</v>
      </c>
      <c r="G2400" s="21"/>
      <c r="H2400" s="54">
        <v>82</v>
      </c>
      <c r="I2400" s="51"/>
      <c r="J2400" s="27"/>
      <c r="K2400" s="27"/>
      <c r="L2400" s="15"/>
      <c r="M2400" s="15"/>
      <c r="N2400" s="4"/>
      <c r="O2400" s="4" t="s">
        <v>5033</v>
      </c>
    </row>
    <row r="2401" spans="1:15" x14ac:dyDescent="0.2">
      <c r="A2401" s="2">
        <v>40005556</v>
      </c>
      <c r="B2401" s="2" t="s">
        <v>1014</v>
      </c>
      <c r="C2401" s="5" t="s">
        <v>6739</v>
      </c>
      <c r="D2401" s="21">
        <v>1</v>
      </c>
      <c r="E2401" s="21"/>
      <c r="F2401" s="21" t="s">
        <v>10438</v>
      </c>
      <c r="G2401" s="21"/>
      <c r="H2401" s="54">
        <v>67</v>
      </c>
      <c r="I2401" s="51"/>
      <c r="J2401" s="27"/>
      <c r="K2401" s="27"/>
      <c r="L2401" s="15"/>
      <c r="M2401" s="15"/>
      <c r="N2401" s="4"/>
      <c r="O2401" s="4" t="s">
        <v>10349</v>
      </c>
    </row>
    <row r="2402" spans="1:15" x14ac:dyDescent="0.2">
      <c r="A2402" s="2">
        <v>40006100</v>
      </c>
      <c r="B2402" s="2" t="s">
        <v>1491</v>
      </c>
      <c r="C2402" s="5" t="s">
        <v>7197</v>
      </c>
      <c r="D2402" s="21">
        <v>2</v>
      </c>
      <c r="E2402" s="21"/>
      <c r="F2402" s="21" t="s">
        <v>10438</v>
      </c>
      <c r="G2402" s="21"/>
      <c r="H2402" s="54">
        <v>104</v>
      </c>
      <c r="I2402" s="51"/>
      <c r="J2402" s="27"/>
      <c r="K2402" s="27"/>
      <c r="L2402" s="15"/>
      <c r="M2402" s="15"/>
      <c r="N2402" s="4"/>
      <c r="O2402" s="4" t="s">
        <v>10128</v>
      </c>
    </row>
    <row r="2403" spans="1:15" x14ac:dyDescent="0.2">
      <c r="A2403" s="2">
        <v>40007976</v>
      </c>
      <c r="B2403" s="2" t="s">
        <v>3122</v>
      </c>
      <c r="C2403" s="5" t="s">
        <v>8818</v>
      </c>
      <c r="D2403" s="21">
        <v>4</v>
      </c>
      <c r="E2403" s="21"/>
      <c r="F2403" s="21" t="s">
        <v>10438</v>
      </c>
      <c r="G2403" s="21"/>
      <c r="H2403" s="54">
        <v>94</v>
      </c>
      <c r="I2403" s="51"/>
      <c r="J2403" s="27"/>
      <c r="K2403" s="27"/>
      <c r="L2403" s="15"/>
      <c r="M2403" s="15"/>
      <c r="N2403" s="4"/>
      <c r="O2403" s="4" t="s">
        <v>10202</v>
      </c>
    </row>
    <row r="2404" spans="1:15" x14ac:dyDescent="0.2">
      <c r="A2404" s="2">
        <v>40011213</v>
      </c>
      <c r="B2404" s="2" t="s">
        <v>3780</v>
      </c>
      <c r="C2404" s="5" t="s">
        <v>9357</v>
      </c>
      <c r="D2404" s="21">
        <v>2</v>
      </c>
      <c r="E2404" s="21"/>
      <c r="F2404" s="21" t="s">
        <v>10438</v>
      </c>
      <c r="G2404" s="21"/>
      <c r="H2404" s="54">
        <v>97</v>
      </c>
      <c r="I2404" s="51"/>
      <c r="J2404" s="27"/>
      <c r="K2404" s="27"/>
      <c r="L2404" s="15"/>
      <c r="M2404" s="15"/>
      <c r="N2404" s="4" t="s">
        <v>5161</v>
      </c>
      <c r="O2404" s="4"/>
    </row>
    <row r="2405" spans="1:15" x14ac:dyDescent="0.2">
      <c r="A2405" s="2">
        <v>40005546</v>
      </c>
      <c r="B2405" s="2" t="s">
        <v>1006</v>
      </c>
      <c r="C2405" s="5" t="s">
        <v>6730</v>
      </c>
      <c r="D2405" s="21">
        <v>1</v>
      </c>
      <c r="E2405" s="21"/>
      <c r="F2405" s="21" t="s">
        <v>10438</v>
      </c>
      <c r="G2405" s="21"/>
      <c r="H2405" s="54">
        <v>44</v>
      </c>
      <c r="I2405" s="51"/>
      <c r="J2405" s="27"/>
      <c r="K2405" s="27"/>
      <c r="L2405" s="15"/>
      <c r="M2405" s="15"/>
      <c r="N2405" s="4"/>
      <c r="O2405" s="4" t="s">
        <v>10128</v>
      </c>
    </row>
    <row r="2406" spans="1:15" x14ac:dyDescent="0.2">
      <c r="A2406" s="2">
        <v>40005523</v>
      </c>
      <c r="B2406" s="2" t="s">
        <v>987</v>
      </c>
      <c r="C2406" s="5" t="s">
        <v>6709</v>
      </c>
      <c r="D2406" s="21">
        <v>1</v>
      </c>
      <c r="E2406" s="21"/>
      <c r="F2406" s="21" t="s">
        <v>10438</v>
      </c>
      <c r="G2406" s="21"/>
      <c r="H2406" s="54">
        <v>11</v>
      </c>
      <c r="I2406" s="51"/>
      <c r="J2406" s="27"/>
      <c r="K2406" s="27"/>
      <c r="L2406" s="15"/>
      <c r="M2406" s="15"/>
      <c r="N2406" s="4" t="s">
        <v>4127</v>
      </c>
      <c r="O2406" s="4"/>
    </row>
    <row r="2407" spans="1:15" x14ac:dyDescent="0.2">
      <c r="A2407" s="2">
        <v>40007614</v>
      </c>
      <c r="B2407" s="2" t="s">
        <v>2802</v>
      </c>
      <c r="C2407" s="5" t="s">
        <v>8502</v>
      </c>
      <c r="D2407" s="21">
        <v>4</v>
      </c>
      <c r="E2407" s="21"/>
      <c r="F2407" s="21" t="s">
        <v>10438</v>
      </c>
      <c r="G2407" s="21"/>
      <c r="H2407" s="54">
        <v>11</v>
      </c>
      <c r="I2407" s="51"/>
      <c r="J2407" s="27"/>
      <c r="K2407" s="27"/>
      <c r="L2407" s="15"/>
      <c r="M2407" s="15"/>
      <c r="N2407" s="4" t="s">
        <v>4985</v>
      </c>
      <c r="O2407" s="4"/>
    </row>
    <row r="2408" spans="1:15" x14ac:dyDescent="0.2">
      <c r="A2408" s="2">
        <v>40005955</v>
      </c>
      <c r="B2408" s="2" t="s">
        <v>1362</v>
      </c>
      <c r="C2408" s="5" t="s">
        <v>7068</v>
      </c>
      <c r="D2408" s="21">
        <v>11</v>
      </c>
      <c r="E2408" s="21"/>
      <c r="F2408" s="21" t="s">
        <v>10438</v>
      </c>
      <c r="G2408" s="21"/>
      <c r="H2408" s="54">
        <v>29</v>
      </c>
      <c r="I2408" s="51"/>
      <c r="J2408" s="27"/>
      <c r="K2408" s="27"/>
      <c r="L2408" s="15"/>
      <c r="M2408" s="15"/>
      <c r="N2408" s="4"/>
      <c r="O2408" s="4" t="s">
        <v>10377</v>
      </c>
    </row>
    <row r="2409" spans="1:15" x14ac:dyDescent="0.2">
      <c r="A2409" s="2">
        <v>40007853</v>
      </c>
      <c r="B2409" s="2" t="s">
        <v>3010</v>
      </c>
      <c r="C2409" s="5" t="s">
        <v>8711</v>
      </c>
      <c r="D2409" s="21">
        <v>1</v>
      </c>
      <c r="E2409" s="21"/>
      <c r="F2409" s="21" t="s">
        <v>10438</v>
      </c>
      <c r="G2409" s="21"/>
      <c r="H2409" s="54">
        <v>28</v>
      </c>
      <c r="I2409" s="51"/>
      <c r="J2409" s="27"/>
      <c r="K2409" s="27"/>
      <c r="L2409" s="15"/>
      <c r="M2409" s="15"/>
      <c r="N2409" s="4" t="s">
        <v>4882</v>
      </c>
      <c r="O2409" s="4"/>
    </row>
    <row r="2410" spans="1:15" x14ac:dyDescent="0.2">
      <c r="A2410" s="2">
        <v>40006267</v>
      </c>
      <c r="B2410" s="2" t="s">
        <v>1643</v>
      </c>
      <c r="C2410" s="5" t="s">
        <v>7348</v>
      </c>
      <c r="D2410" s="21">
        <v>1</v>
      </c>
      <c r="E2410" s="21"/>
      <c r="F2410" s="21" t="s">
        <v>10438</v>
      </c>
      <c r="G2410" s="21"/>
      <c r="H2410" s="54">
        <v>3</v>
      </c>
      <c r="I2410" s="51"/>
      <c r="J2410" s="27"/>
      <c r="K2410" s="27"/>
      <c r="L2410" s="15"/>
      <c r="M2410" s="15"/>
      <c r="N2410" s="4" t="s">
        <v>4497</v>
      </c>
      <c r="O2410" s="4"/>
    </row>
    <row r="2411" spans="1:15" x14ac:dyDescent="0.2">
      <c r="A2411" s="2">
        <v>40006675</v>
      </c>
      <c r="B2411" s="2" t="s">
        <v>1996</v>
      </c>
      <c r="C2411" s="5" t="s">
        <v>7705</v>
      </c>
      <c r="D2411" s="21">
        <v>18</v>
      </c>
      <c r="E2411" s="21"/>
      <c r="F2411" s="21" t="s">
        <v>10438</v>
      </c>
      <c r="G2411" s="21"/>
      <c r="H2411" s="54">
        <v>20</v>
      </c>
      <c r="I2411" s="51"/>
      <c r="J2411" s="27"/>
      <c r="K2411" s="27"/>
      <c r="L2411" s="15"/>
      <c r="M2411" s="15"/>
      <c r="N2411" s="4" t="s">
        <v>4640</v>
      </c>
      <c r="O2411" s="4"/>
    </row>
    <row r="2412" spans="1:15" x14ac:dyDescent="0.2">
      <c r="A2412" s="2">
        <v>40008237</v>
      </c>
      <c r="B2412" s="2" t="s">
        <v>3354</v>
      </c>
      <c r="C2412" s="5" t="s">
        <v>9046</v>
      </c>
      <c r="D2412" s="21">
        <v>3</v>
      </c>
      <c r="E2412" s="21"/>
      <c r="F2412" s="21" t="s">
        <v>10438</v>
      </c>
      <c r="G2412" s="21"/>
      <c r="H2412" s="54">
        <v>33</v>
      </c>
      <c r="I2412" s="51"/>
      <c r="J2412" s="27"/>
      <c r="K2412" s="27"/>
      <c r="L2412" s="15"/>
      <c r="M2412" s="15"/>
      <c r="N2412" s="4" t="s">
        <v>5216</v>
      </c>
      <c r="O2412" s="4"/>
    </row>
    <row r="2413" spans="1:15" x14ac:dyDescent="0.2">
      <c r="A2413" s="2">
        <v>40005742</v>
      </c>
      <c r="B2413" s="2" t="s">
        <v>1169</v>
      </c>
      <c r="C2413" s="5" t="s">
        <v>6881</v>
      </c>
      <c r="D2413" s="21">
        <v>2</v>
      </c>
      <c r="E2413" s="21"/>
      <c r="F2413" s="21" t="s">
        <v>10438</v>
      </c>
      <c r="G2413" s="21"/>
      <c r="H2413" s="54">
        <v>4</v>
      </c>
      <c r="I2413" s="51"/>
      <c r="J2413" s="27"/>
      <c r="K2413" s="27"/>
      <c r="L2413" s="15"/>
      <c r="M2413" s="15"/>
      <c r="N2413" s="4" t="s">
        <v>4251</v>
      </c>
      <c r="O2413" s="4"/>
    </row>
    <row r="2414" spans="1:15" x14ac:dyDescent="0.2">
      <c r="A2414" s="2">
        <v>40006180</v>
      </c>
      <c r="B2414" s="2" t="s">
        <v>1565</v>
      </c>
      <c r="C2414" s="5" t="s">
        <v>7272</v>
      </c>
      <c r="D2414" s="21">
        <v>2</v>
      </c>
      <c r="E2414" s="21"/>
      <c r="F2414" s="21" t="s">
        <v>10438</v>
      </c>
      <c r="G2414" s="21"/>
      <c r="H2414" s="54">
        <v>15</v>
      </c>
      <c r="I2414" s="51"/>
      <c r="J2414" s="27"/>
      <c r="K2414" s="27"/>
      <c r="L2414" s="15"/>
      <c r="M2414" s="15"/>
      <c r="N2414" s="4" t="s">
        <v>4455</v>
      </c>
      <c r="O2414" s="4"/>
    </row>
    <row r="2415" spans="1:15" x14ac:dyDescent="0.2">
      <c r="A2415" s="2">
        <v>40007876</v>
      </c>
      <c r="B2415" s="2" t="s">
        <v>3032</v>
      </c>
      <c r="C2415" s="5" t="s">
        <v>8726</v>
      </c>
      <c r="D2415" s="21">
        <v>4</v>
      </c>
      <c r="E2415" s="21"/>
      <c r="F2415" s="21" t="s">
        <v>10438</v>
      </c>
      <c r="G2415" s="21"/>
      <c r="H2415" s="54">
        <v>16</v>
      </c>
      <c r="I2415" s="51"/>
      <c r="J2415" s="27"/>
      <c r="K2415" s="27"/>
      <c r="L2415" s="15"/>
      <c r="M2415" s="15"/>
      <c r="N2415" s="4" t="s">
        <v>5114</v>
      </c>
      <c r="O2415" s="4"/>
    </row>
    <row r="2416" spans="1:15" x14ac:dyDescent="0.2">
      <c r="A2416" s="2">
        <v>40006681</v>
      </c>
      <c r="B2416" s="2" t="s">
        <v>2001</v>
      </c>
      <c r="C2416" s="5" t="s">
        <v>7710</v>
      </c>
      <c r="D2416" s="21">
        <v>2</v>
      </c>
      <c r="E2416" s="21"/>
      <c r="F2416" s="21" t="s">
        <v>10438</v>
      </c>
      <c r="G2416" s="21"/>
      <c r="H2416" s="54">
        <v>23</v>
      </c>
      <c r="I2416" s="51"/>
      <c r="J2416" s="27"/>
      <c r="K2416" s="27"/>
      <c r="L2416" s="15"/>
      <c r="M2416" s="15"/>
      <c r="N2416" s="4" t="s">
        <v>4125</v>
      </c>
      <c r="O2416" s="4"/>
    </row>
    <row r="2417" spans="1:15" x14ac:dyDescent="0.2">
      <c r="A2417" s="2">
        <v>40006113</v>
      </c>
      <c r="B2417" s="2" t="s">
        <v>1504</v>
      </c>
      <c r="C2417" s="5" t="s">
        <v>7209</v>
      </c>
      <c r="D2417" s="21">
        <v>4</v>
      </c>
      <c r="E2417" s="21"/>
      <c r="F2417" s="21" t="s">
        <v>10438</v>
      </c>
      <c r="G2417" s="21"/>
      <c r="H2417" s="54">
        <v>8</v>
      </c>
      <c r="I2417" s="51"/>
      <c r="J2417" s="27"/>
      <c r="K2417" s="27"/>
      <c r="L2417" s="15"/>
      <c r="M2417" s="15"/>
      <c r="N2417" s="4" t="s">
        <v>4423</v>
      </c>
      <c r="O2417" s="4"/>
    </row>
    <row r="2418" spans="1:15" x14ac:dyDescent="0.2">
      <c r="A2418" s="2">
        <v>40006718</v>
      </c>
      <c r="B2418" s="2" t="s">
        <v>2027</v>
      </c>
      <c r="C2418" s="5" t="s">
        <v>7738</v>
      </c>
      <c r="D2418" s="21">
        <v>1</v>
      </c>
      <c r="E2418" s="21"/>
      <c r="F2418" s="21" t="s">
        <v>10438</v>
      </c>
      <c r="G2418" s="21"/>
      <c r="H2418" s="54">
        <v>4</v>
      </c>
      <c r="I2418" s="51"/>
      <c r="J2418" s="27"/>
      <c r="K2418" s="27"/>
      <c r="L2418" s="15"/>
      <c r="M2418" s="15"/>
      <c r="N2418" s="4" t="s">
        <v>4655</v>
      </c>
      <c r="O2418" s="4"/>
    </row>
    <row r="2419" spans="1:15" x14ac:dyDescent="0.2">
      <c r="A2419" s="2">
        <v>40006716</v>
      </c>
      <c r="B2419" s="2" t="s">
        <v>2025</v>
      </c>
      <c r="C2419" s="5" t="s">
        <v>7736</v>
      </c>
      <c r="D2419" s="21">
        <v>5</v>
      </c>
      <c r="E2419" s="21"/>
      <c r="F2419" s="21" t="s">
        <v>10438</v>
      </c>
      <c r="G2419" s="21"/>
      <c r="H2419" s="54">
        <v>4</v>
      </c>
      <c r="I2419" s="51"/>
      <c r="J2419" s="27"/>
      <c r="K2419" s="27"/>
      <c r="L2419" s="15"/>
      <c r="M2419" s="15"/>
      <c r="N2419" s="4" t="s">
        <v>4657</v>
      </c>
      <c r="O2419" s="4"/>
    </row>
    <row r="2420" spans="1:15" x14ac:dyDescent="0.2">
      <c r="A2420" s="2">
        <v>40005449</v>
      </c>
      <c r="B2420" s="2" t="s">
        <v>922</v>
      </c>
      <c r="C2420" s="5" t="s">
        <v>6644</v>
      </c>
      <c r="D2420" s="21">
        <v>7</v>
      </c>
      <c r="E2420" s="21"/>
      <c r="F2420" s="21" t="s">
        <v>10438</v>
      </c>
      <c r="G2420" s="21"/>
      <c r="H2420" s="54">
        <v>35</v>
      </c>
      <c r="I2420" s="51"/>
      <c r="J2420" s="27"/>
      <c r="K2420" s="27"/>
      <c r="L2420" s="15"/>
      <c r="M2420" s="15"/>
      <c r="N2420" s="4" t="s">
        <v>4119</v>
      </c>
      <c r="O2420" s="4"/>
    </row>
    <row r="2421" spans="1:15" x14ac:dyDescent="0.2">
      <c r="A2421" s="2">
        <v>40007667</v>
      </c>
      <c r="B2421" s="2" t="s">
        <v>2845</v>
      </c>
      <c r="C2421" s="5" t="s">
        <v>8544</v>
      </c>
      <c r="D2421" s="21">
        <v>3</v>
      </c>
      <c r="E2421" s="21"/>
      <c r="F2421" s="21" t="s">
        <v>10438</v>
      </c>
      <c r="G2421" s="21"/>
      <c r="H2421" s="54">
        <v>4</v>
      </c>
      <c r="I2421" s="51"/>
      <c r="J2421" s="27"/>
      <c r="K2421" s="27"/>
      <c r="L2421" s="15"/>
      <c r="M2421" s="15"/>
      <c r="N2421" s="4" t="s">
        <v>5029</v>
      </c>
      <c r="O2421" s="4"/>
    </row>
    <row r="2422" spans="1:15" x14ac:dyDescent="0.2">
      <c r="A2422" s="2">
        <v>40006843</v>
      </c>
      <c r="B2422" s="2" t="s">
        <v>2141</v>
      </c>
      <c r="C2422" s="5" t="s">
        <v>7850</v>
      </c>
      <c r="D2422" s="21">
        <v>8</v>
      </c>
      <c r="E2422" s="21"/>
      <c r="F2422" s="21" t="s">
        <v>10438</v>
      </c>
      <c r="G2422" s="21"/>
      <c r="H2422" s="54">
        <v>2</v>
      </c>
      <c r="I2422" s="51"/>
      <c r="J2422" s="27"/>
      <c r="K2422" s="27"/>
      <c r="L2422" s="15"/>
      <c r="M2422" s="15"/>
      <c r="N2422" s="4" t="s">
        <v>4707</v>
      </c>
      <c r="O2422" s="4"/>
    </row>
    <row r="2423" spans="1:15" x14ac:dyDescent="0.2">
      <c r="A2423" s="2">
        <v>40006851</v>
      </c>
      <c r="B2423" s="2" t="s">
        <v>2149</v>
      </c>
      <c r="C2423" s="5" t="s">
        <v>7858</v>
      </c>
      <c r="D2423" s="21">
        <v>8</v>
      </c>
      <c r="E2423" s="21"/>
      <c r="F2423" s="21" t="s">
        <v>10438</v>
      </c>
      <c r="G2423" s="21"/>
      <c r="H2423" s="54">
        <v>2</v>
      </c>
      <c r="I2423" s="51"/>
      <c r="J2423" s="27"/>
      <c r="K2423" s="27"/>
      <c r="L2423" s="15"/>
      <c r="M2423" s="15"/>
      <c r="N2423" s="4" t="s">
        <v>4711</v>
      </c>
      <c r="O2423" s="4"/>
    </row>
    <row r="2424" spans="1:15" x14ac:dyDescent="0.2">
      <c r="A2424" s="2">
        <v>40006551</v>
      </c>
      <c r="B2424" s="2" t="s">
        <v>1891</v>
      </c>
      <c r="C2424" s="5" t="s">
        <v>7599</v>
      </c>
      <c r="D2424" s="21">
        <v>1</v>
      </c>
      <c r="E2424" s="21"/>
      <c r="F2424" s="21" t="s">
        <v>10438</v>
      </c>
      <c r="G2424" s="21"/>
      <c r="H2424" s="54">
        <v>98</v>
      </c>
      <c r="I2424" s="51"/>
      <c r="J2424" s="27"/>
      <c r="K2424" s="27"/>
      <c r="L2424" s="15"/>
      <c r="M2424" s="15"/>
      <c r="N2424" s="4" t="s">
        <v>4119</v>
      </c>
      <c r="O2424" s="4"/>
    </row>
    <row r="2425" spans="1:15" x14ac:dyDescent="0.2">
      <c r="A2425" s="2">
        <v>10019529</v>
      </c>
      <c r="B2425" s="2" t="s">
        <v>537</v>
      </c>
      <c r="C2425" s="5" t="s">
        <v>6160</v>
      </c>
      <c r="D2425" s="21">
        <v>9</v>
      </c>
      <c r="E2425" s="21"/>
      <c r="F2425" s="30">
        <v>4</v>
      </c>
      <c r="G2425" s="21"/>
      <c r="H2425" s="54">
        <v>24</v>
      </c>
      <c r="I2425" s="51"/>
      <c r="J2425" s="27"/>
      <c r="K2425" s="27"/>
      <c r="L2425" s="15"/>
      <c r="M2425" s="15">
        <v>10</v>
      </c>
      <c r="N2425" s="4" t="s">
        <v>3959</v>
      </c>
      <c r="O2425" s="4"/>
    </row>
    <row r="2426" spans="1:15" x14ac:dyDescent="0.2">
      <c r="A2426" s="2">
        <v>40007708</v>
      </c>
      <c r="B2426" s="2" t="s">
        <v>2884</v>
      </c>
      <c r="C2426" s="5" t="s">
        <v>8582</v>
      </c>
      <c r="D2426" s="21">
        <v>1</v>
      </c>
      <c r="E2426" s="21"/>
      <c r="F2426" s="21" t="s">
        <v>10438</v>
      </c>
      <c r="G2426" s="21"/>
      <c r="H2426" s="54">
        <v>30</v>
      </c>
      <c r="I2426" s="51"/>
      <c r="J2426" s="27"/>
      <c r="K2426" s="27"/>
      <c r="L2426" s="15"/>
      <c r="M2426" s="15">
        <v>5</v>
      </c>
      <c r="N2426" s="4" t="s">
        <v>5043</v>
      </c>
      <c r="O2426" s="4"/>
    </row>
    <row r="2427" spans="1:15" x14ac:dyDescent="0.2">
      <c r="A2427" s="2">
        <v>40005198</v>
      </c>
      <c r="B2427" s="2" t="s">
        <v>739</v>
      </c>
      <c r="C2427" s="5" t="s">
        <v>6452</v>
      </c>
      <c r="D2427" s="21"/>
      <c r="E2427" s="21"/>
      <c r="F2427" s="30">
        <v>1</v>
      </c>
      <c r="G2427" s="21"/>
      <c r="H2427" s="54">
        <v>40</v>
      </c>
      <c r="I2427" s="51"/>
      <c r="J2427" s="27"/>
      <c r="K2427" s="27"/>
      <c r="L2427" s="15"/>
      <c r="M2427" s="15">
        <v>3</v>
      </c>
      <c r="N2427" s="4" t="s">
        <v>4004</v>
      </c>
      <c r="O2427" s="4"/>
    </row>
    <row r="2428" spans="1:15" x14ac:dyDescent="0.2">
      <c r="A2428" s="2">
        <v>40005616</v>
      </c>
      <c r="B2428" s="2" t="s">
        <v>1059</v>
      </c>
      <c r="C2428" s="5" t="s">
        <v>6787</v>
      </c>
      <c r="D2428" s="21">
        <v>10</v>
      </c>
      <c r="E2428" s="21"/>
      <c r="F2428" s="21" t="s">
        <v>10438</v>
      </c>
      <c r="G2428" s="21"/>
      <c r="H2428" s="54">
        <v>8</v>
      </c>
      <c r="I2428" s="51"/>
      <c r="J2428" s="27"/>
      <c r="K2428" s="27"/>
      <c r="L2428" s="15"/>
      <c r="M2428" s="15"/>
      <c r="N2428" s="4"/>
      <c r="O2428" s="4" t="s">
        <v>4045</v>
      </c>
    </row>
    <row r="2429" spans="1:15" x14ac:dyDescent="0.2">
      <c r="A2429" s="2">
        <v>40005902</v>
      </c>
      <c r="B2429" s="2" t="s">
        <v>1315</v>
      </c>
      <c r="C2429" s="5">
        <v>671010730</v>
      </c>
      <c r="D2429" s="21">
        <v>1</v>
      </c>
      <c r="E2429" s="21"/>
      <c r="F2429" s="21" t="s">
        <v>10438</v>
      </c>
      <c r="G2429" s="21"/>
      <c r="H2429" s="54">
        <v>10</v>
      </c>
      <c r="I2429" s="51"/>
      <c r="J2429" s="27"/>
      <c r="K2429" s="27"/>
      <c r="L2429" s="15"/>
      <c r="M2429" s="15"/>
      <c r="N2429" s="4" t="s">
        <v>4049</v>
      </c>
      <c r="O2429" s="4"/>
    </row>
    <row r="2430" spans="1:15" x14ac:dyDescent="0.2">
      <c r="A2430" s="2">
        <v>40006121</v>
      </c>
      <c r="B2430" s="2" t="s">
        <v>1512</v>
      </c>
      <c r="C2430" s="5" t="s">
        <v>7217</v>
      </c>
      <c r="D2430" s="21">
        <v>4</v>
      </c>
      <c r="E2430" s="21"/>
      <c r="F2430" s="21" t="s">
        <v>10438</v>
      </c>
      <c r="G2430" s="21"/>
      <c r="H2430" s="54">
        <v>128</v>
      </c>
      <c r="I2430" s="51"/>
      <c r="J2430" s="27"/>
      <c r="K2430" s="27"/>
      <c r="L2430" s="15"/>
      <c r="M2430" s="15"/>
      <c r="N2430" s="4" t="s">
        <v>4428</v>
      </c>
      <c r="O2430" s="4"/>
    </row>
    <row r="2431" spans="1:15" x14ac:dyDescent="0.2">
      <c r="A2431" s="2">
        <v>40008304</v>
      </c>
      <c r="B2431" s="2" t="s">
        <v>3412</v>
      </c>
      <c r="C2431" s="5" t="s">
        <v>9105</v>
      </c>
      <c r="D2431" s="21">
        <v>2</v>
      </c>
      <c r="E2431" s="21"/>
      <c r="F2431" s="21" t="s">
        <v>10438</v>
      </c>
      <c r="G2431" s="21"/>
      <c r="H2431" s="54">
        <v>136</v>
      </c>
      <c r="I2431" s="51"/>
      <c r="J2431" s="27"/>
      <c r="K2431" s="27"/>
      <c r="L2431" s="15"/>
      <c r="M2431" s="15"/>
      <c r="N2431" s="4" t="s">
        <v>4992</v>
      </c>
      <c r="O2431" s="4"/>
    </row>
    <row r="2432" spans="1:15" x14ac:dyDescent="0.2">
      <c r="A2432" s="2">
        <v>40005939</v>
      </c>
      <c r="B2432" s="2" t="s">
        <v>1347</v>
      </c>
      <c r="C2432" s="5" t="s">
        <v>7053</v>
      </c>
      <c r="D2432" s="21">
        <v>2</v>
      </c>
      <c r="E2432" s="21"/>
      <c r="F2432" s="21" t="s">
        <v>10438</v>
      </c>
      <c r="G2432" s="21"/>
      <c r="H2432" s="54">
        <v>51</v>
      </c>
      <c r="I2432" s="51"/>
      <c r="J2432" s="27"/>
      <c r="K2432" s="27"/>
      <c r="L2432" s="15"/>
      <c r="M2432" s="15"/>
      <c r="N2432" s="4" t="s">
        <v>4327</v>
      </c>
      <c r="O2432" s="4"/>
    </row>
    <row r="2433" spans="1:15" x14ac:dyDescent="0.2">
      <c r="A2433" s="2">
        <v>40006057</v>
      </c>
      <c r="B2433" s="2" t="s">
        <v>3922</v>
      </c>
      <c r="C2433" s="5" t="s">
        <v>7158</v>
      </c>
      <c r="D2433" s="21">
        <v>5</v>
      </c>
      <c r="E2433" s="21"/>
      <c r="F2433" s="21" t="s">
        <v>10438</v>
      </c>
      <c r="G2433" s="21"/>
      <c r="H2433" s="54">
        <v>15</v>
      </c>
      <c r="I2433" s="51"/>
      <c r="J2433" s="27"/>
      <c r="K2433" s="27"/>
      <c r="L2433" s="15"/>
      <c r="M2433" s="15"/>
      <c r="N2433" s="4" t="s">
        <v>4584</v>
      </c>
      <c r="O2433" s="4"/>
    </row>
    <row r="2434" spans="1:15" x14ac:dyDescent="0.2">
      <c r="A2434" s="2">
        <v>40007190</v>
      </c>
      <c r="B2434" s="2" t="s">
        <v>2456</v>
      </c>
      <c r="C2434" s="5" t="s">
        <v>8159</v>
      </c>
      <c r="D2434" s="21">
        <v>5</v>
      </c>
      <c r="E2434" s="21"/>
      <c r="F2434" s="21" t="s">
        <v>10438</v>
      </c>
      <c r="G2434" s="21"/>
      <c r="H2434" s="54">
        <v>36</v>
      </c>
      <c r="I2434" s="51"/>
      <c r="J2434" s="27"/>
      <c r="K2434" s="27"/>
      <c r="L2434" s="15"/>
      <c r="M2434" s="15"/>
      <c r="N2434" s="4" t="s">
        <v>4355</v>
      </c>
      <c r="O2434" s="4"/>
    </row>
    <row r="2435" spans="1:15" x14ac:dyDescent="0.2">
      <c r="A2435" s="2">
        <v>40006420</v>
      </c>
      <c r="B2435" s="2" t="s">
        <v>1779</v>
      </c>
      <c r="C2435" s="5" t="s">
        <v>7489</v>
      </c>
      <c r="D2435" s="21">
        <v>2</v>
      </c>
      <c r="E2435" s="21"/>
      <c r="F2435" s="21" t="s">
        <v>10438</v>
      </c>
      <c r="G2435" s="21"/>
      <c r="H2435" s="54">
        <v>42</v>
      </c>
      <c r="I2435" s="51"/>
      <c r="J2435" s="27"/>
      <c r="K2435" s="27"/>
      <c r="L2435" s="15"/>
      <c r="M2435" s="15"/>
      <c r="N2435" s="4" t="s">
        <v>4568</v>
      </c>
      <c r="O2435" s="4"/>
    </row>
    <row r="2436" spans="1:15" x14ac:dyDescent="0.2">
      <c r="A2436" s="2">
        <v>40006195</v>
      </c>
      <c r="B2436" s="2" t="s">
        <v>1578</v>
      </c>
      <c r="C2436" s="5" t="s">
        <v>7285</v>
      </c>
      <c r="D2436" s="21">
        <v>1</v>
      </c>
      <c r="E2436" s="21"/>
      <c r="F2436" s="21" t="s">
        <v>10438</v>
      </c>
      <c r="G2436" s="21"/>
      <c r="H2436" s="54">
        <v>6</v>
      </c>
      <c r="I2436" s="51"/>
      <c r="J2436" s="27"/>
      <c r="K2436" s="27"/>
      <c r="L2436" s="15"/>
      <c r="M2436" s="15"/>
      <c r="N2436" s="4" t="s">
        <v>4466</v>
      </c>
      <c r="O2436" s="4"/>
    </row>
    <row r="2437" spans="1:15" x14ac:dyDescent="0.2">
      <c r="A2437" s="2">
        <v>40006488</v>
      </c>
      <c r="B2437" s="2" t="s">
        <v>1840</v>
      </c>
      <c r="C2437" s="5" t="s">
        <v>7548</v>
      </c>
      <c r="D2437" s="21">
        <v>5</v>
      </c>
      <c r="E2437" s="21"/>
      <c r="F2437" s="21" t="s">
        <v>10438</v>
      </c>
      <c r="G2437" s="21"/>
      <c r="H2437" s="54">
        <v>16</v>
      </c>
      <c r="I2437" s="51"/>
      <c r="J2437" s="27"/>
      <c r="K2437" s="27"/>
      <c r="L2437" s="15"/>
      <c r="M2437" s="15"/>
      <c r="N2437" s="4" t="s">
        <v>4617</v>
      </c>
      <c r="O2437" s="4"/>
    </row>
    <row r="2438" spans="1:15" x14ac:dyDescent="0.2">
      <c r="A2438" s="2">
        <v>40005518</v>
      </c>
      <c r="B2438" s="2" t="s">
        <v>982</v>
      </c>
      <c r="C2438" s="5" t="s">
        <v>6704</v>
      </c>
      <c r="D2438" s="21">
        <v>1</v>
      </c>
      <c r="E2438" s="21"/>
      <c r="F2438" s="21" t="s">
        <v>10438</v>
      </c>
      <c r="G2438" s="21"/>
      <c r="H2438" s="54">
        <v>26</v>
      </c>
      <c r="I2438" s="51"/>
      <c r="J2438" s="27"/>
      <c r="K2438" s="27"/>
      <c r="L2438" s="15"/>
      <c r="M2438" s="15"/>
      <c r="N2438" s="4" t="s">
        <v>4127</v>
      </c>
      <c r="O2438" s="4"/>
    </row>
    <row r="2439" spans="1:15" x14ac:dyDescent="0.2">
      <c r="A2439" s="2">
        <v>40007558</v>
      </c>
      <c r="B2439" s="2" t="s">
        <v>2757</v>
      </c>
      <c r="C2439" s="5" t="s">
        <v>8458</v>
      </c>
      <c r="D2439" s="21">
        <v>8</v>
      </c>
      <c r="E2439" s="21"/>
      <c r="F2439" s="21" t="s">
        <v>10438</v>
      </c>
      <c r="G2439" s="21"/>
      <c r="H2439" s="54">
        <v>26</v>
      </c>
      <c r="I2439" s="51"/>
      <c r="J2439" s="27"/>
      <c r="K2439" s="27"/>
      <c r="L2439" s="15"/>
      <c r="M2439" s="15"/>
      <c r="N2439" s="4"/>
      <c r="O2439" s="4">
        <v>43</v>
      </c>
    </row>
    <row r="2440" spans="1:15" x14ac:dyDescent="0.2">
      <c r="A2440" s="2">
        <v>40007627</v>
      </c>
      <c r="B2440" s="2" t="s">
        <v>2814</v>
      </c>
      <c r="C2440" s="5" t="s">
        <v>8514</v>
      </c>
      <c r="D2440" s="21">
        <v>1</v>
      </c>
      <c r="E2440" s="21"/>
      <c r="F2440" s="21" t="s">
        <v>10438</v>
      </c>
      <c r="G2440" s="21"/>
      <c r="H2440" s="54">
        <v>145</v>
      </c>
      <c r="I2440" s="51"/>
      <c r="J2440" s="27"/>
      <c r="K2440" s="27"/>
      <c r="L2440" s="15"/>
      <c r="M2440" s="15"/>
      <c r="N2440" s="4" t="s">
        <v>4364</v>
      </c>
      <c r="O2440" s="4"/>
    </row>
    <row r="2441" spans="1:15" x14ac:dyDescent="0.2">
      <c r="A2441" s="2">
        <v>40006414</v>
      </c>
      <c r="B2441" s="2" t="s">
        <v>1773</v>
      </c>
      <c r="C2441" s="5" t="s">
        <v>7483</v>
      </c>
      <c r="D2441" s="21">
        <v>2</v>
      </c>
      <c r="E2441" s="21"/>
      <c r="F2441" s="21" t="s">
        <v>10438</v>
      </c>
      <c r="G2441" s="21"/>
      <c r="H2441" s="54">
        <v>16</v>
      </c>
      <c r="I2441" s="51"/>
      <c r="J2441" s="27"/>
      <c r="K2441" s="27"/>
      <c r="L2441" s="15"/>
      <c r="M2441" s="15"/>
      <c r="N2441" s="4" t="s">
        <v>4580</v>
      </c>
      <c r="O2441" s="4"/>
    </row>
    <row r="2442" spans="1:15" x14ac:dyDescent="0.2">
      <c r="A2442" s="2">
        <v>40005604</v>
      </c>
      <c r="B2442" s="2" t="s">
        <v>1048</v>
      </c>
      <c r="C2442" s="5" t="s">
        <v>6776</v>
      </c>
      <c r="D2442" s="21">
        <v>3</v>
      </c>
      <c r="E2442" s="21"/>
      <c r="F2442" s="21" t="s">
        <v>10438</v>
      </c>
      <c r="G2442" s="21"/>
      <c r="H2442" s="54">
        <v>13</v>
      </c>
      <c r="I2442" s="51"/>
      <c r="J2442" s="27"/>
      <c r="K2442" s="27"/>
      <c r="L2442" s="15"/>
      <c r="M2442" s="15"/>
      <c r="N2442" s="4" t="s">
        <v>4169</v>
      </c>
      <c r="O2442" s="4"/>
    </row>
    <row r="2443" spans="1:15" x14ac:dyDescent="0.2">
      <c r="A2443" s="2">
        <v>40008064</v>
      </c>
      <c r="B2443" s="2" t="s">
        <v>3196</v>
      </c>
      <c r="C2443" s="5" t="s">
        <v>8891</v>
      </c>
      <c r="D2443" s="21">
        <v>3</v>
      </c>
      <c r="E2443" s="21"/>
      <c r="F2443" s="21" t="s">
        <v>10438</v>
      </c>
      <c r="G2443" s="21"/>
      <c r="H2443" s="54">
        <v>168</v>
      </c>
      <c r="I2443" s="51"/>
      <c r="J2443" s="27"/>
      <c r="K2443" s="27"/>
      <c r="L2443" s="15"/>
      <c r="M2443" s="15"/>
      <c r="N2443" s="4" t="s">
        <v>4043</v>
      </c>
      <c r="O2443" s="4"/>
    </row>
    <row r="2444" spans="1:15" x14ac:dyDescent="0.2">
      <c r="A2444" s="2">
        <v>40005195</v>
      </c>
      <c r="B2444" s="2" t="s">
        <v>736</v>
      </c>
      <c r="C2444" s="5" t="s">
        <v>6449</v>
      </c>
      <c r="D2444" s="21">
        <v>2</v>
      </c>
      <c r="E2444" s="21"/>
      <c r="F2444" s="21" t="s">
        <v>10438</v>
      </c>
      <c r="G2444" s="21"/>
      <c r="H2444" s="54">
        <v>70</v>
      </c>
      <c r="I2444" s="51"/>
      <c r="J2444" s="27"/>
      <c r="K2444" s="27"/>
      <c r="L2444" s="15"/>
      <c r="M2444" s="15"/>
      <c r="N2444" s="4" t="s">
        <v>4002</v>
      </c>
      <c r="O2444" s="4"/>
    </row>
    <row r="2445" spans="1:15" x14ac:dyDescent="0.2">
      <c r="A2445" s="2">
        <v>40006425</v>
      </c>
      <c r="B2445" s="2" t="s">
        <v>1784</v>
      </c>
      <c r="C2445" s="5" t="s">
        <v>7493</v>
      </c>
      <c r="D2445" s="21">
        <v>1</v>
      </c>
      <c r="E2445" s="21"/>
      <c r="F2445" s="21" t="s">
        <v>10438</v>
      </c>
      <c r="G2445" s="21"/>
      <c r="H2445" s="54">
        <v>67</v>
      </c>
      <c r="I2445" s="51"/>
      <c r="J2445" s="27"/>
      <c r="K2445" s="27"/>
      <c r="L2445" s="15"/>
      <c r="M2445" s="15"/>
      <c r="N2445" s="4" t="s">
        <v>4144</v>
      </c>
      <c r="O2445" s="4"/>
    </row>
    <row r="2446" spans="1:15" x14ac:dyDescent="0.2">
      <c r="A2446" s="2">
        <v>40006396</v>
      </c>
      <c r="B2446" s="2" t="s">
        <v>1756</v>
      </c>
      <c r="C2446" s="5" t="s">
        <v>7467</v>
      </c>
      <c r="D2446" s="21">
        <v>5</v>
      </c>
      <c r="E2446" s="21"/>
      <c r="F2446" s="21" t="s">
        <v>10438</v>
      </c>
      <c r="G2446" s="21"/>
      <c r="H2446" s="54">
        <v>26</v>
      </c>
      <c r="I2446" s="51"/>
      <c r="J2446" s="27"/>
      <c r="K2446" s="27"/>
      <c r="L2446" s="15"/>
      <c r="M2446" s="15"/>
      <c r="N2446" s="4"/>
      <c r="O2446" s="4" t="s">
        <v>10187</v>
      </c>
    </row>
    <row r="2447" spans="1:15" x14ac:dyDescent="0.2">
      <c r="A2447" s="2">
        <v>40006328</v>
      </c>
      <c r="B2447" s="2" t="s">
        <v>1695</v>
      </c>
      <c r="C2447" s="5" t="s">
        <v>7405</v>
      </c>
      <c r="D2447" s="21">
        <v>1</v>
      </c>
      <c r="E2447" s="21"/>
      <c r="F2447" s="21" t="s">
        <v>10438</v>
      </c>
      <c r="G2447" s="21"/>
      <c r="H2447" s="54">
        <v>14</v>
      </c>
      <c r="I2447" s="51"/>
      <c r="J2447" s="27"/>
      <c r="K2447" s="27"/>
      <c r="L2447" s="15"/>
      <c r="M2447" s="15"/>
      <c r="N2447" s="4" t="s">
        <v>4131</v>
      </c>
      <c r="O2447" s="4"/>
    </row>
    <row r="2448" spans="1:15" x14ac:dyDescent="0.2">
      <c r="A2448" s="2">
        <v>40006186</v>
      </c>
      <c r="B2448" s="2" t="s">
        <v>5394</v>
      </c>
      <c r="C2448" s="5" t="s">
        <v>7278</v>
      </c>
      <c r="D2448" s="21">
        <v>1</v>
      </c>
      <c r="E2448" s="21"/>
      <c r="F2448" s="21" t="s">
        <v>10438</v>
      </c>
      <c r="G2448" s="21"/>
      <c r="H2448" s="54">
        <v>9</v>
      </c>
      <c r="I2448" s="51"/>
      <c r="J2448" s="27"/>
      <c r="K2448" s="27"/>
      <c r="L2448" s="15"/>
      <c r="M2448" s="15"/>
      <c r="N2448" s="4" t="s">
        <v>4144</v>
      </c>
      <c r="O2448" s="4"/>
    </row>
    <row r="2449" spans="1:15" x14ac:dyDescent="0.2">
      <c r="A2449" s="2">
        <v>40006941</v>
      </c>
      <c r="B2449" s="2" t="s">
        <v>2232</v>
      </c>
      <c r="C2449" s="5" t="s">
        <v>7939</v>
      </c>
      <c r="D2449" s="21">
        <v>1</v>
      </c>
      <c r="E2449" s="21"/>
      <c r="F2449" s="21" t="s">
        <v>10438</v>
      </c>
      <c r="G2449" s="21"/>
      <c r="H2449" s="54">
        <v>52</v>
      </c>
      <c r="I2449" s="51"/>
      <c r="J2449" s="27"/>
      <c r="K2449" s="27"/>
      <c r="L2449" s="15"/>
      <c r="M2449" s="15"/>
      <c r="N2449" s="4" t="s">
        <v>4346</v>
      </c>
      <c r="O2449" s="4"/>
    </row>
    <row r="2450" spans="1:15" x14ac:dyDescent="0.2">
      <c r="A2450" s="2">
        <v>40006006</v>
      </c>
      <c r="B2450" s="2" t="s">
        <v>1411</v>
      </c>
      <c r="C2450" s="5" t="s">
        <v>7117</v>
      </c>
      <c r="D2450" s="21">
        <v>1</v>
      </c>
      <c r="E2450" s="21"/>
      <c r="F2450" s="21" t="s">
        <v>10438</v>
      </c>
      <c r="G2450" s="21"/>
      <c r="H2450" s="54">
        <v>17</v>
      </c>
      <c r="I2450" s="51"/>
      <c r="J2450" s="27"/>
      <c r="K2450" s="27"/>
      <c r="L2450" s="15">
        <v>2</v>
      </c>
      <c r="M2450" s="15"/>
      <c r="N2450" s="4" t="s">
        <v>4365</v>
      </c>
      <c r="O2450" s="4"/>
    </row>
    <row r="2451" spans="1:15" x14ac:dyDescent="0.2">
      <c r="A2451" s="2">
        <v>40007330</v>
      </c>
      <c r="B2451" s="2" t="s">
        <v>2570</v>
      </c>
      <c r="C2451" s="5" t="s">
        <v>8264</v>
      </c>
      <c r="D2451" s="21">
        <v>30</v>
      </c>
      <c r="E2451" s="21"/>
      <c r="F2451" s="21" t="s">
        <v>10438</v>
      </c>
      <c r="G2451" s="21"/>
      <c r="H2451" s="54">
        <v>7</v>
      </c>
      <c r="I2451" s="51"/>
      <c r="J2451" s="27"/>
      <c r="K2451" s="27"/>
      <c r="L2451" s="15"/>
      <c r="M2451" s="15"/>
      <c r="N2451" s="4" t="s">
        <v>4513</v>
      </c>
      <c r="O2451" s="4"/>
    </row>
    <row r="2452" spans="1:15" x14ac:dyDescent="0.2">
      <c r="A2452" s="2">
        <v>40007293</v>
      </c>
      <c r="B2452" s="2" t="s">
        <v>2538</v>
      </c>
      <c r="C2452" s="5" t="s">
        <v>8237</v>
      </c>
      <c r="D2452" s="21">
        <v>1</v>
      </c>
      <c r="E2452" s="21"/>
      <c r="F2452" s="21" t="s">
        <v>10438</v>
      </c>
      <c r="G2452" s="21"/>
      <c r="H2452" s="54">
        <v>8</v>
      </c>
      <c r="I2452" s="51"/>
      <c r="J2452" s="27"/>
      <c r="K2452" s="27"/>
      <c r="L2452" s="15"/>
      <c r="M2452" s="15"/>
      <c r="N2452" s="4"/>
      <c r="O2452" s="4" t="s">
        <v>5172</v>
      </c>
    </row>
    <row r="2453" spans="1:15" x14ac:dyDescent="0.2">
      <c r="A2453" s="2">
        <v>40006919</v>
      </c>
      <c r="B2453" s="2" t="s">
        <v>2214</v>
      </c>
      <c r="C2453" s="5" t="s">
        <v>7923</v>
      </c>
      <c r="D2453" s="21">
        <v>1</v>
      </c>
      <c r="E2453" s="21"/>
      <c r="F2453" s="21" t="s">
        <v>10438</v>
      </c>
      <c r="G2453" s="21"/>
      <c r="H2453" s="54">
        <v>17</v>
      </c>
      <c r="I2453" s="51"/>
      <c r="J2453" s="27"/>
      <c r="K2453" s="27"/>
      <c r="L2453" s="15"/>
      <c r="M2453" s="15">
        <v>3</v>
      </c>
      <c r="N2453" s="4" t="s">
        <v>4743</v>
      </c>
      <c r="O2453" s="4"/>
    </row>
    <row r="2454" spans="1:15" x14ac:dyDescent="0.2">
      <c r="A2454" s="2">
        <v>40005186</v>
      </c>
      <c r="B2454" s="2" t="s">
        <v>730</v>
      </c>
      <c r="C2454" s="5" t="s">
        <v>6443</v>
      </c>
      <c r="D2454" s="21">
        <v>6</v>
      </c>
      <c r="E2454" s="21"/>
      <c r="F2454" s="21" t="s">
        <v>10438</v>
      </c>
      <c r="G2454" s="21"/>
      <c r="H2454" s="54">
        <v>23</v>
      </c>
      <c r="I2454" s="51"/>
      <c r="J2454" s="27"/>
      <c r="K2454" s="27"/>
      <c r="L2454" s="15"/>
      <c r="M2454" s="15"/>
      <c r="N2454" s="4" t="s">
        <v>3997</v>
      </c>
      <c r="O2454" s="4"/>
    </row>
    <row r="2455" spans="1:15" x14ac:dyDescent="0.2">
      <c r="A2455" s="2">
        <v>40005529</v>
      </c>
      <c r="B2455" s="2" t="s">
        <v>993</v>
      </c>
      <c r="C2455" s="5" t="s">
        <v>6715</v>
      </c>
      <c r="D2455" s="21">
        <v>1</v>
      </c>
      <c r="E2455" s="21"/>
      <c r="F2455" s="21" t="s">
        <v>10438</v>
      </c>
      <c r="G2455" s="21"/>
      <c r="H2455" s="54">
        <v>32</v>
      </c>
      <c r="I2455" s="51"/>
      <c r="J2455" s="27"/>
      <c r="K2455" s="27"/>
      <c r="L2455" s="15"/>
      <c r="M2455" s="15"/>
      <c r="N2455" s="4" t="s">
        <v>4113</v>
      </c>
      <c r="O2455" s="4"/>
    </row>
    <row r="2456" spans="1:15" x14ac:dyDescent="0.2">
      <c r="A2456" s="2">
        <v>40007254</v>
      </c>
      <c r="B2456" s="2" t="s">
        <v>2505</v>
      </c>
      <c r="C2456" s="5" t="s">
        <v>8201</v>
      </c>
      <c r="D2456" s="21">
        <v>21</v>
      </c>
      <c r="E2456" s="21"/>
      <c r="F2456" s="21" t="s">
        <v>10438</v>
      </c>
      <c r="G2456" s="21"/>
      <c r="H2456" s="54">
        <v>46</v>
      </c>
      <c r="I2456" s="51"/>
      <c r="J2456" s="27"/>
      <c r="K2456" s="27"/>
      <c r="L2456" s="15"/>
      <c r="M2456" s="15"/>
      <c r="N2456" s="4"/>
      <c r="O2456" s="4" t="s">
        <v>4187</v>
      </c>
    </row>
    <row r="2457" spans="1:15" x14ac:dyDescent="0.2">
      <c r="A2457" s="2">
        <v>10019892</v>
      </c>
      <c r="B2457" s="2" t="s">
        <v>617</v>
      </c>
      <c r="C2457" s="5" t="s">
        <v>6254</v>
      </c>
      <c r="D2457" s="21">
        <v>6</v>
      </c>
      <c r="E2457" s="21"/>
      <c r="F2457" s="21" t="s">
        <v>10438</v>
      </c>
      <c r="G2457" s="21"/>
      <c r="H2457" s="54">
        <v>22</v>
      </c>
      <c r="I2457" s="51"/>
      <c r="J2457" s="27"/>
      <c r="K2457" s="27"/>
      <c r="L2457" s="15"/>
      <c r="M2457" s="15"/>
      <c r="N2457" s="4" t="s">
        <v>3937</v>
      </c>
      <c r="O2457" s="4" t="s">
        <v>10233</v>
      </c>
    </row>
    <row r="2458" spans="1:15" x14ac:dyDescent="0.2">
      <c r="A2458" s="2">
        <v>40006015</v>
      </c>
      <c r="B2458" s="2" t="s">
        <v>1420</v>
      </c>
      <c r="C2458" s="5" t="s">
        <v>5324</v>
      </c>
      <c r="D2458" s="21">
        <v>2</v>
      </c>
      <c r="E2458" s="21"/>
      <c r="F2458" s="21" t="s">
        <v>10438</v>
      </c>
      <c r="G2458" s="21"/>
      <c r="H2458" s="54">
        <v>7</v>
      </c>
      <c r="I2458" s="51"/>
      <c r="J2458" s="27"/>
      <c r="K2458" s="27"/>
      <c r="L2458" s="15"/>
      <c r="M2458" s="15"/>
      <c r="N2458" s="4" t="s">
        <v>4370</v>
      </c>
      <c r="O2458" s="4"/>
    </row>
    <row r="2459" spans="1:15" x14ac:dyDescent="0.2">
      <c r="A2459" s="2">
        <v>40005182</v>
      </c>
      <c r="B2459" s="2" t="s">
        <v>726</v>
      </c>
      <c r="C2459" s="5" t="s">
        <v>6439</v>
      </c>
      <c r="D2459" s="21">
        <v>2</v>
      </c>
      <c r="E2459" s="21"/>
      <c r="F2459" s="21" t="s">
        <v>10438</v>
      </c>
      <c r="G2459" s="21"/>
      <c r="H2459" s="54">
        <v>75</v>
      </c>
      <c r="I2459" s="51"/>
      <c r="J2459" s="27"/>
      <c r="K2459" s="27"/>
      <c r="L2459" s="15"/>
      <c r="M2459" s="15"/>
      <c r="N2459" s="4" t="s">
        <v>3994</v>
      </c>
      <c r="O2459" s="4"/>
    </row>
    <row r="2460" spans="1:15" x14ac:dyDescent="0.2">
      <c r="A2460" s="2">
        <v>10019974</v>
      </c>
      <c r="B2460" s="2" t="s">
        <v>648</v>
      </c>
      <c r="C2460" s="5" t="s">
        <v>6291</v>
      </c>
      <c r="D2460" s="21">
        <v>12</v>
      </c>
      <c r="E2460" s="21"/>
      <c r="F2460" s="21" t="s">
        <v>10438</v>
      </c>
      <c r="G2460" s="21"/>
      <c r="H2460" s="54">
        <v>22</v>
      </c>
      <c r="I2460" s="51"/>
      <c r="J2460" s="27"/>
      <c r="K2460" s="27"/>
      <c r="L2460" s="15">
        <v>20</v>
      </c>
      <c r="M2460" s="15">
        <v>12</v>
      </c>
      <c r="N2460" s="4">
        <v>50</v>
      </c>
      <c r="O2460" s="4"/>
    </row>
    <row r="2461" spans="1:15" x14ac:dyDescent="0.2">
      <c r="A2461" s="2">
        <v>40005372</v>
      </c>
      <c r="B2461" s="2" t="s">
        <v>853</v>
      </c>
      <c r="C2461" s="5" t="s">
        <v>6573</v>
      </c>
      <c r="D2461" s="21"/>
      <c r="E2461" s="21"/>
      <c r="F2461" s="21" t="s">
        <v>10438</v>
      </c>
      <c r="G2461" s="21"/>
      <c r="H2461" s="54">
        <v>44</v>
      </c>
      <c r="I2461" s="51"/>
      <c r="J2461" s="27"/>
      <c r="K2461" s="27"/>
      <c r="L2461" s="15">
        <v>15</v>
      </c>
      <c r="M2461" s="15"/>
      <c r="N2461" s="4">
        <v>50</v>
      </c>
      <c r="O2461" s="4"/>
    </row>
    <row r="2462" spans="1:15" x14ac:dyDescent="0.2">
      <c r="A2462" s="2">
        <v>10019659</v>
      </c>
      <c r="B2462" s="2" t="s">
        <v>563</v>
      </c>
      <c r="C2462" s="5" t="s">
        <v>6192</v>
      </c>
      <c r="D2462" s="21"/>
      <c r="E2462" s="21"/>
      <c r="F2462" s="21" t="s">
        <v>10438</v>
      </c>
      <c r="G2462" s="21"/>
      <c r="H2462" s="54">
        <v>36</v>
      </c>
      <c r="I2462" s="51"/>
      <c r="J2462" s="27"/>
      <c r="K2462" s="27"/>
      <c r="L2462" s="15"/>
      <c r="M2462" s="15"/>
      <c r="N2462" s="4">
        <v>50</v>
      </c>
      <c r="O2462" s="4"/>
    </row>
    <row r="2463" spans="1:15" x14ac:dyDescent="0.2">
      <c r="A2463" s="2">
        <v>40005469</v>
      </c>
      <c r="B2463" s="2" t="s">
        <v>940</v>
      </c>
      <c r="C2463" s="5" t="s">
        <v>6662</v>
      </c>
      <c r="D2463" s="21">
        <v>1</v>
      </c>
      <c r="E2463" s="21"/>
      <c r="F2463" s="21" t="s">
        <v>10438</v>
      </c>
      <c r="G2463" s="21"/>
      <c r="H2463" s="54">
        <v>20</v>
      </c>
      <c r="I2463" s="51"/>
      <c r="J2463" s="27"/>
      <c r="K2463" s="27"/>
      <c r="L2463" s="15"/>
      <c r="M2463" s="15"/>
      <c r="N2463" s="4" t="s">
        <v>4127</v>
      </c>
      <c r="O2463" s="4"/>
    </row>
    <row r="2464" spans="1:15" x14ac:dyDescent="0.2">
      <c r="A2464" s="2">
        <v>40005484</v>
      </c>
      <c r="B2464" s="2" t="s">
        <v>954</v>
      </c>
      <c r="C2464" s="5" t="s">
        <v>6676</v>
      </c>
      <c r="D2464" s="21">
        <v>2</v>
      </c>
      <c r="E2464" s="21"/>
      <c r="F2464" s="21" t="s">
        <v>10438</v>
      </c>
      <c r="G2464" s="21"/>
      <c r="H2464" s="54">
        <v>14</v>
      </c>
      <c r="I2464" s="51"/>
      <c r="J2464" s="27"/>
      <c r="K2464" s="27"/>
      <c r="L2464" s="15"/>
      <c r="M2464" s="15"/>
      <c r="N2464" s="4" t="s">
        <v>4119</v>
      </c>
      <c r="O2464" s="4"/>
    </row>
    <row r="2465" spans="1:15" x14ac:dyDescent="0.2">
      <c r="A2465" s="2">
        <v>40005525</v>
      </c>
      <c r="B2465" s="2" t="s">
        <v>989</v>
      </c>
      <c r="C2465" s="5" t="s">
        <v>6711</v>
      </c>
      <c r="D2465" s="21">
        <v>1</v>
      </c>
      <c r="E2465" s="21"/>
      <c r="F2465" s="21" t="s">
        <v>10438</v>
      </c>
      <c r="G2465" s="21"/>
      <c r="H2465" s="54">
        <v>20</v>
      </c>
      <c r="I2465" s="51"/>
      <c r="J2465" s="27"/>
      <c r="K2465" s="27"/>
      <c r="L2465" s="15"/>
      <c r="M2465" s="15"/>
      <c r="N2465" s="4" t="s">
        <v>4131</v>
      </c>
      <c r="O2465" s="4"/>
    </row>
    <row r="2466" spans="1:15" x14ac:dyDescent="0.2">
      <c r="A2466" s="2">
        <v>40007600</v>
      </c>
      <c r="B2466" s="2" t="s">
        <v>2794</v>
      </c>
      <c r="C2466" s="5" t="s">
        <v>8493</v>
      </c>
      <c r="D2466" s="21">
        <v>7</v>
      </c>
      <c r="E2466" s="21"/>
      <c r="F2466" s="21" t="s">
        <v>10438</v>
      </c>
      <c r="G2466" s="21"/>
      <c r="H2466" s="54">
        <v>49</v>
      </c>
      <c r="I2466" s="51"/>
      <c r="J2466" s="27"/>
      <c r="K2466" s="27"/>
      <c r="L2466" s="15"/>
      <c r="M2466" s="15"/>
      <c r="N2466" s="4" t="s">
        <v>4463</v>
      </c>
      <c r="O2466" s="4"/>
    </row>
    <row r="2467" spans="1:15" x14ac:dyDescent="0.2">
      <c r="A2467" s="2">
        <v>40006117</v>
      </c>
      <c r="B2467" s="2" t="s">
        <v>1508</v>
      </c>
      <c r="C2467" s="5" t="s">
        <v>7213</v>
      </c>
      <c r="D2467" s="21">
        <v>10</v>
      </c>
      <c r="E2467" s="21"/>
      <c r="F2467" s="21" t="s">
        <v>10438</v>
      </c>
      <c r="G2467" s="21"/>
      <c r="H2467" s="54">
        <v>5</v>
      </c>
      <c r="I2467" s="51"/>
      <c r="J2467" s="27"/>
      <c r="K2467" s="27"/>
      <c r="L2467" s="15"/>
      <c r="M2467" s="15"/>
      <c r="N2467" s="4" t="s">
        <v>4424</v>
      </c>
      <c r="O2467" s="4"/>
    </row>
    <row r="2468" spans="1:15" x14ac:dyDescent="0.2">
      <c r="A2468" s="2">
        <v>40006237</v>
      </c>
      <c r="B2468" s="2" t="s">
        <v>1615</v>
      </c>
      <c r="C2468" s="5" t="s">
        <v>7319</v>
      </c>
      <c r="D2468" s="21">
        <v>9</v>
      </c>
      <c r="E2468" s="21"/>
      <c r="F2468" s="21" t="s">
        <v>10438</v>
      </c>
      <c r="G2468" s="21"/>
      <c r="H2468" s="54">
        <v>14</v>
      </c>
      <c r="I2468" s="51"/>
      <c r="J2468" s="27"/>
      <c r="K2468" s="27"/>
      <c r="L2468" s="15"/>
      <c r="M2468" s="15"/>
      <c r="N2468" s="4" t="s">
        <v>4432</v>
      </c>
      <c r="O2468" s="4"/>
    </row>
    <row r="2469" spans="1:15" x14ac:dyDescent="0.2">
      <c r="A2469" s="2">
        <v>40006730</v>
      </c>
      <c r="B2469" s="2" t="s">
        <v>2035</v>
      </c>
      <c r="C2469" s="5" t="s">
        <v>7745</v>
      </c>
      <c r="D2469" s="21">
        <v>1</v>
      </c>
      <c r="E2469" s="21"/>
      <c r="F2469" s="21" t="s">
        <v>10438</v>
      </c>
      <c r="G2469" s="21"/>
      <c r="H2469" s="54">
        <v>20</v>
      </c>
      <c r="I2469" s="51"/>
      <c r="J2469" s="27"/>
      <c r="K2469" s="27"/>
      <c r="L2469" s="15"/>
      <c r="M2469" s="15"/>
      <c r="N2469" s="4" t="s">
        <v>4127</v>
      </c>
      <c r="O2469" s="4"/>
    </row>
    <row r="2470" spans="1:15" x14ac:dyDescent="0.2">
      <c r="A2470" s="2">
        <v>40005678</v>
      </c>
      <c r="B2470" s="2" t="s">
        <v>1113</v>
      </c>
      <c r="C2470" s="5" t="s">
        <v>6831</v>
      </c>
      <c r="D2470" s="21">
        <v>1</v>
      </c>
      <c r="E2470" s="21"/>
      <c r="F2470" s="21" t="s">
        <v>10438</v>
      </c>
      <c r="G2470" s="21"/>
      <c r="H2470" s="54">
        <v>5</v>
      </c>
      <c r="I2470" s="51"/>
      <c r="J2470" s="27"/>
      <c r="K2470" s="27"/>
      <c r="L2470" s="15"/>
      <c r="M2470" s="15"/>
      <c r="N2470" s="4" t="s">
        <v>4212</v>
      </c>
      <c r="O2470" s="4"/>
    </row>
    <row r="2471" spans="1:15" x14ac:dyDescent="0.2">
      <c r="A2471" s="2">
        <v>40005337</v>
      </c>
      <c r="B2471" s="2" t="s">
        <v>824</v>
      </c>
      <c r="C2471" s="5" t="s">
        <v>6541</v>
      </c>
      <c r="D2471" s="21">
        <v>3</v>
      </c>
      <c r="E2471" s="21"/>
      <c r="F2471" s="21" t="s">
        <v>10438</v>
      </c>
      <c r="G2471" s="21"/>
      <c r="H2471" s="54">
        <v>24</v>
      </c>
      <c r="I2471" s="51"/>
      <c r="J2471" s="27"/>
      <c r="K2471" s="27"/>
      <c r="L2471" s="15"/>
      <c r="M2471" s="15"/>
      <c r="N2471" s="4" t="s">
        <v>4059</v>
      </c>
      <c r="O2471" s="4"/>
    </row>
    <row r="2472" spans="1:15" x14ac:dyDescent="0.2">
      <c r="A2472" s="2">
        <v>40005300</v>
      </c>
      <c r="B2472" s="2" t="s">
        <v>797</v>
      </c>
      <c r="C2472" s="10" t="s">
        <v>6514</v>
      </c>
      <c r="D2472" s="21"/>
      <c r="E2472" s="21"/>
      <c r="F2472" s="21" t="s">
        <v>10438</v>
      </c>
      <c r="G2472" s="21"/>
      <c r="H2472" s="54">
        <v>19</v>
      </c>
      <c r="I2472" s="51"/>
      <c r="J2472" s="27"/>
      <c r="K2472" s="27"/>
      <c r="L2472" s="15"/>
      <c r="M2472" s="15"/>
      <c r="N2472" s="4" t="s">
        <v>4040</v>
      </c>
      <c r="O2472" s="4"/>
    </row>
    <row r="2473" spans="1:15" x14ac:dyDescent="0.2">
      <c r="A2473" s="2">
        <v>40011624</v>
      </c>
      <c r="B2473" s="2" t="s">
        <v>5496</v>
      </c>
      <c r="C2473" s="5" t="s">
        <v>9442</v>
      </c>
      <c r="D2473" s="21">
        <v>3</v>
      </c>
      <c r="E2473" s="21"/>
      <c r="F2473" s="21" t="s">
        <v>10438</v>
      </c>
      <c r="G2473" s="21"/>
      <c r="H2473" s="54">
        <v>17</v>
      </c>
      <c r="I2473" s="51"/>
      <c r="J2473" s="27"/>
      <c r="K2473" s="27"/>
      <c r="L2473" s="15"/>
      <c r="M2473" s="15"/>
      <c r="N2473" s="4" t="s">
        <v>9933</v>
      </c>
      <c r="O2473" s="4"/>
    </row>
    <row r="2474" spans="1:15" x14ac:dyDescent="0.2">
      <c r="A2474" s="2">
        <v>40006171</v>
      </c>
      <c r="B2474" s="2" t="s">
        <v>1557</v>
      </c>
      <c r="C2474" s="5" t="s">
        <v>7263</v>
      </c>
      <c r="D2474" s="21">
        <v>1</v>
      </c>
      <c r="E2474" s="21"/>
      <c r="F2474" s="21" t="s">
        <v>10438</v>
      </c>
      <c r="G2474" s="21"/>
      <c r="H2474" s="54">
        <v>3</v>
      </c>
      <c r="I2474" s="51"/>
      <c r="J2474" s="27"/>
      <c r="K2474" s="27"/>
      <c r="L2474" s="15"/>
      <c r="M2474" s="15"/>
      <c r="N2474" s="4" t="s">
        <v>4398</v>
      </c>
      <c r="O2474" s="4"/>
    </row>
    <row r="2475" spans="1:15" x14ac:dyDescent="0.2">
      <c r="A2475" s="2">
        <v>40006947</v>
      </c>
      <c r="B2475" s="2" t="s">
        <v>2238</v>
      </c>
      <c r="C2475" s="5" t="s">
        <v>7945</v>
      </c>
      <c r="D2475" s="21">
        <v>2</v>
      </c>
      <c r="E2475" s="21"/>
      <c r="F2475" s="21" t="s">
        <v>10438</v>
      </c>
      <c r="G2475" s="21"/>
      <c r="H2475" s="54">
        <v>25</v>
      </c>
      <c r="I2475" s="51"/>
      <c r="J2475" s="27"/>
      <c r="K2475" s="27"/>
      <c r="L2475" s="15"/>
      <c r="M2475" s="15"/>
      <c r="N2475" s="4" t="s">
        <v>4756</v>
      </c>
      <c r="O2475" s="4"/>
    </row>
    <row r="2476" spans="1:15" x14ac:dyDescent="0.2">
      <c r="A2476" s="2">
        <v>40006008</v>
      </c>
      <c r="B2476" s="2" t="s">
        <v>1413</v>
      </c>
      <c r="C2476" s="5" t="s">
        <v>7119</v>
      </c>
      <c r="D2476" s="21">
        <v>4</v>
      </c>
      <c r="E2476" s="21"/>
      <c r="F2476" s="21" t="s">
        <v>10438</v>
      </c>
      <c r="G2476" s="21"/>
      <c r="H2476" s="54">
        <v>16</v>
      </c>
      <c r="I2476" s="51"/>
      <c r="J2476" s="27"/>
      <c r="K2476" s="27"/>
      <c r="L2476" s="15"/>
      <c r="M2476" s="15"/>
      <c r="N2476" s="4" t="s">
        <v>4367</v>
      </c>
      <c r="O2476" s="4"/>
    </row>
    <row r="2477" spans="1:15" x14ac:dyDescent="0.2">
      <c r="A2477" s="2">
        <v>40006007</v>
      </c>
      <c r="B2477" s="2" t="s">
        <v>1412</v>
      </c>
      <c r="C2477" s="5" t="s">
        <v>7118</v>
      </c>
      <c r="D2477" s="21">
        <v>6</v>
      </c>
      <c r="E2477" s="21"/>
      <c r="F2477" s="21" t="s">
        <v>10438</v>
      </c>
      <c r="G2477" s="21"/>
      <c r="H2477" s="54">
        <v>24</v>
      </c>
      <c r="I2477" s="51"/>
      <c r="J2477" s="27"/>
      <c r="K2477" s="27"/>
      <c r="L2477" s="15"/>
      <c r="M2477" s="15"/>
      <c r="N2477" s="4" t="s">
        <v>4366</v>
      </c>
      <c r="O2477" s="4"/>
    </row>
    <row r="2478" spans="1:15" x14ac:dyDescent="0.2">
      <c r="A2478" s="2">
        <v>40006327</v>
      </c>
      <c r="B2478" s="2" t="s">
        <v>1694</v>
      </c>
      <c r="C2478" s="5" t="s">
        <v>7404</v>
      </c>
      <c r="D2478" s="21">
        <v>1</v>
      </c>
      <c r="E2478" s="21"/>
      <c r="F2478" s="21" t="s">
        <v>10438</v>
      </c>
      <c r="G2478" s="21"/>
      <c r="H2478" s="54">
        <v>166</v>
      </c>
      <c r="I2478" s="51"/>
      <c r="J2478" s="27"/>
      <c r="K2478" s="27"/>
      <c r="L2478" s="15"/>
      <c r="M2478" s="15"/>
      <c r="N2478" s="4"/>
      <c r="O2478" s="4" t="s">
        <v>10232</v>
      </c>
    </row>
    <row r="2479" spans="1:15" x14ac:dyDescent="0.2">
      <c r="A2479" s="2">
        <v>40006278</v>
      </c>
      <c r="B2479" s="2" t="s">
        <v>1652</v>
      </c>
      <c r="C2479" s="5" t="s">
        <v>7359</v>
      </c>
      <c r="D2479" s="21">
        <v>1</v>
      </c>
      <c r="E2479" s="21"/>
      <c r="F2479" s="21" t="s">
        <v>10438</v>
      </c>
      <c r="G2479" s="21"/>
      <c r="H2479" s="54">
        <v>6</v>
      </c>
      <c r="I2479" s="51"/>
      <c r="J2479" s="27"/>
      <c r="K2479" s="27"/>
      <c r="L2479" s="15"/>
      <c r="M2479" s="15"/>
      <c r="N2479" s="4" t="s">
        <v>4096</v>
      </c>
      <c r="O2479" s="4"/>
    </row>
    <row r="2480" spans="1:15" x14ac:dyDescent="0.2">
      <c r="A2480" s="2">
        <v>40006411</v>
      </c>
      <c r="B2480" s="2" t="s">
        <v>1770</v>
      </c>
      <c r="C2480" s="5" t="s">
        <v>7480</v>
      </c>
      <c r="D2480" s="21">
        <v>2</v>
      </c>
      <c r="E2480" s="21"/>
      <c r="F2480" s="21" t="s">
        <v>10438</v>
      </c>
      <c r="G2480" s="21"/>
      <c r="H2480" s="54">
        <v>24</v>
      </c>
      <c r="I2480" s="51"/>
      <c r="J2480" s="27"/>
      <c r="K2480" s="27"/>
      <c r="L2480" s="15"/>
      <c r="M2480" s="15"/>
      <c r="N2480" s="4" t="s">
        <v>4577</v>
      </c>
      <c r="O2480" s="4"/>
    </row>
    <row r="2481" spans="1:15" x14ac:dyDescent="0.2">
      <c r="A2481" s="2">
        <v>40006399</v>
      </c>
      <c r="B2481" s="2" t="s">
        <v>1759</v>
      </c>
      <c r="C2481" s="5" t="s">
        <v>7470</v>
      </c>
      <c r="D2481" s="21">
        <v>6</v>
      </c>
      <c r="E2481" s="21"/>
      <c r="F2481" s="21" t="s">
        <v>10438</v>
      </c>
      <c r="G2481" s="21"/>
      <c r="H2481" s="54">
        <v>21</v>
      </c>
      <c r="I2481" s="51"/>
      <c r="J2481" s="27"/>
      <c r="K2481" s="27"/>
      <c r="L2481" s="15"/>
      <c r="M2481" s="15"/>
      <c r="N2481" s="4" t="s">
        <v>4571</v>
      </c>
      <c r="O2481" s="4"/>
    </row>
    <row r="2482" spans="1:15" x14ac:dyDescent="0.2">
      <c r="A2482" s="2">
        <v>40005733</v>
      </c>
      <c r="B2482" s="2" t="s">
        <v>1161</v>
      </c>
      <c r="C2482" s="5" t="s">
        <v>6878</v>
      </c>
      <c r="D2482" s="21"/>
      <c r="E2482" s="21"/>
      <c r="F2482" s="21" t="s">
        <v>10438</v>
      </c>
      <c r="G2482" s="21"/>
      <c r="H2482" s="54">
        <v>20</v>
      </c>
      <c r="I2482" s="51"/>
      <c r="J2482" s="27"/>
      <c r="K2482" s="27"/>
      <c r="L2482" s="15"/>
      <c r="M2482" s="15"/>
      <c r="N2482" s="4" t="s">
        <v>4243</v>
      </c>
      <c r="O2482" s="4"/>
    </row>
    <row r="2483" spans="1:15" x14ac:dyDescent="0.2">
      <c r="A2483" s="2">
        <v>40005338</v>
      </c>
      <c r="B2483" s="2" t="s">
        <v>825</v>
      </c>
      <c r="C2483" s="5" t="s">
        <v>6542</v>
      </c>
      <c r="D2483" s="21">
        <v>2</v>
      </c>
      <c r="E2483" s="21"/>
      <c r="F2483" s="21" t="s">
        <v>10438</v>
      </c>
      <c r="G2483" s="21"/>
      <c r="H2483" s="54">
        <v>24</v>
      </c>
      <c r="I2483" s="51"/>
      <c r="J2483" s="27"/>
      <c r="K2483" s="27"/>
      <c r="L2483" s="15"/>
      <c r="M2483" s="15"/>
      <c r="N2483" s="4" t="s">
        <v>4056</v>
      </c>
      <c r="O2483" s="4"/>
    </row>
    <row r="2484" spans="1:15" x14ac:dyDescent="0.2">
      <c r="A2484" s="2">
        <v>40006960</v>
      </c>
      <c r="B2484" s="2" t="s">
        <v>2251</v>
      </c>
      <c r="C2484" s="5" t="s">
        <v>7957</v>
      </c>
      <c r="D2484" s="21">
        <v>20</v>
      </c>
      <c r="E2484" s="21"/>
      <c r="F2484" s="21" t="s">
        <v>10438</v>
      </c>
      <c r="G2484" s="21"/>
      <c r="H2484" s="54">
        <v>2</v>
      </c>
      <c r="I2484" s="51"/>
      <c r="J2484" s="27"/>
      <c r="K2484" s="27"/>
      <c r="L2484" s="15"/>
      <c r="M2484" s="15"/>
      <c r="N2484" s="4" t="s">
        <v>4728</v>
      </c>
      <c r="O2484" s="4"/>
    </row>
    <row r="2485" spans="1:15" x14ac:dyDescent="0.2">
      <c r="A2485" s="2">
        <v>40007661</v>
      </c>
      <c r="B2485" s="2" t="s">
        <v>2840</v>
      </c>
      <c r="C2485" s="5" t="s">
        <v>8541</v>
      </c>
      <c r="D2485" s="21">
        <v>20</v>
      </c>
      <c r="E2485" s="21"/>
      <c r="F2485" s="21" t="s">
        <v>10438</v>
      </c>
      <c r="G2485" s="21"/>
      <c r="H2485" s="54">
        <v>26</v>
      </c>
      <c r="I2485" s="51"/>
      <c r="J2485" s="27"/>
      <c r="K2485" s="27"/>
      <c r="L2485" s="15"/>
      <c r="M2485" s="15"/>
      <c r="N2485" s="4" t="s">
        <v>4886</v>
      </c>
      <c r="O2485" s="4"/>
    </row>
    <row r="2486" spans="1:15" x14ac:dyDescent="0.2">
      <c r="A2486" s="2">
        <v>40010339</v>
      </c>
      <c r="B2486" s="2" t="s">
        <v>3508</v>
      </c>
      <c r="C2486" s="5" t="s">
        <v>9207</v>
      </c>
      <c r="D2486" s="21">
        <v>16</v>
      </c>
      <c r="E2486" s="21"/>
      <c r="F2486" s="21" t="s">
        <v>10438</v>
      </c>
      <c r="G2486" s="21"/>
      <c r="H2486" s="54">
        <v>5</v>
      </c>
      <c r="I2486" s="51"/>
      <c r="J2486" s="27"/>
      <c r="K2486" s="27"/>
      <c r="L2486" s="15"/>
      <c r="M2486" s="15">
        <v>2</v>
      </c>
      <c r="N2486" s="4" t="s">
        <v>4445</v>
      </c>
      <c r="O2486" s="4"/>
    </row>
    <row r="2487" spans="1:15" x14ac:dyDescent="0.2">
      <c r="A2487" s="2">
        <v>10018637</v>
      </c>
      <c r="B2487" s="2" t="s">
        <v>245</v>
      </c>
      <c r="C2487" s="5" t="s">
        <v>5811</v>
      </c>
      <c r="D2487" s="21">
        <v>9</v>
      </c>
      <c r="E2487" s="21"/>
      <c r="F2487" s="21" t="s">
        <v>10438</v>
      </c>
      <c r="G2487" s="21"/>
      <c r="H2487" s="54">
        <v>40</v>
      </c>
      <c r="I2487" s="51"/>
      <c r="J2487" s="27"/>
      <c r="K2487" s="27"/>
      <c r="L2487" s="15"/>
      <c r="M2487" s="15"/>
      <c r="N2487" s="4">
        <v>107</v>
      </c>
      <c r="O2487" s="4"/>
    </row>
    <row r="2488" spans="1:15" x14ac:dyDescent="0.2">
      <c r="A2488" s="2">
        <v>40008125</v>
      </c>
      <c r="B2488" s="2" t="s">
        <v>3249</v>
      </c>
      <c r="C2488" s="5" t="s">
        <v>8944</v>
      </c>
      <c r="D2488" s="21">
        <v>10</v>
      </c>
      <c r="E2488" s="21"/>
      <c r="F2488" s="21" t="s">
        <v>10438</v>
      </c>
      <c r="G2488" s="21"/>
      <c r="H2488" s="54">
        <v>13</v>
      </c>
      <c r="I2488" s="51"/>
      <c r="J2488" s="27"/>
      <c r="K2488" s="27"/>
      <c r="L2488" s="15">
        <v>12</v>
      </c>
      <c r="M2488" s="15"/>
      <c r="N2488" s="4" t="s">
        <v>5123</v>
      </c>
      <c r="O2488" s="4"/>
    </row>
    <row r="2489" spans="1:15" x14ac:dyDescent="0.2">
      <c r="A2489" s="2">
        <v>40006168</v>
      </c>
      <c r="B2489" s="2" t="s">
        <v>1554</v>
      </c>
      <c r="C2489" s="5" t="s">
        <v>7260</v>
      </c>
      <c r="D2489" s="21">
        <v>4</v>
      </c>
      <c r="E2489" s="21"/>
      <c r="F2489" s="21" t="s">
        <v>10438</v>
      </c>
      <c r="G2489" s="21"/>
      <c r="H2489" s="54">
        <v>225</v>
      </c>
      <c r="I2489" s="51"/>
      <c r="J2489" s="27"/>
      <c r="K2489" s="27"/>
      <c r="L2489" s="15"/>
      <c r="M2489" s="15"/>
      <c r="N2489" s="4"/>
      <c r="O2489" s="4">
        <v>21</v>
      </c>
    </row>
    <row r="2490" spans="1:15" x14ac:dyDescent="0.2">
      <c r="A2490" s="2">
        <v>10019572</v>
      </c>
      <c r="B2490" s="7" t="s">
        <v>549</v>
      </c>
      <c r="C2490" s="5" t="s">
        <v>6174</v>
      </c>
      <c r="D2490" s="21">
        <v>15</v>
      </c>
      <c r="E2490" s="21"/>
      <c r="F2490" s="21" t="s">
        <v>10438</v>
      </c>
      <c r="G2490" s="21"/>
      <c r="H2490" s="54">
        <v>19</v>
      </c>
      <c r="I2490" s="51"/>
      <c r="J2490" s="27"/>
      <c r="K2490" s="27"/>
      <c r="L2490" s="15"/>
      <c r="M2490" s="15"/>
      <c r="N2490" s="4">
        <v>104</v>
      </c>
      <c r="O2490" s="4"/>
    </row>
    <row r="2491" spans="1:15" x14ac:dyDescent="0.2">
      <c r="A2491" s="2">
        <v>10019573</v>
      </c>
      <c r="B2491" s="7" t="s">
        <v>3658</v>
      </c>
      <c r="C2491" s="5" t="s">
        <v>6175</v>
      </c>
      <c r="D2491" s="21"/>
      <c r="E2491" s="21"/>
      <c r="F2491" s="21" t="s">
        <v>10438</v>
      </c>
      <c r="G2491" s="21"/>
      <c r="H2491" s="54">
        <v>28</v>
      </c>
      <c r="I2491" s="51"/>
      <c r="J2491" s="27"/>
      <c r="K2491" s="27"/>
      <c r="L2491" s="15"/>
      <c r="M2491" s="15"/>
      <c r="N2491" s="4">
        <v>104</v>
      </c>
      <c r="O2491" s="4"/>
    </row>
    <row r="2492" spans="1:15" x14ac:dyDescent="0.2">
      <c r="A2492" s="2">
        <v>10019574</v>
      </c>
      <c r="B2492" s="7" t="s">
        <v>550</v>
      </c>
      <c r="C2492" s="5" t="s">
        <v>6176</v>
      </c>
      <c r="D2492" s="21">
        <v>2</v>
      </c>
      <c r="E2492" s="21"/>
      <c r="F2492" s="21" t="s">
        <v>10438</v>
      </c>
      <c r="G2492" s="21"/>
      <c r="H2492" s="54">
        <v>41</v>
      </c>
      <c r="I2492" s="51"/>
      <c r="J2492" s="27"/>
      <c r="K2492" s="27"/>
      <c r="L2492" s="15">
        <v>2</v>
      </c>
      <c r="M2492" s="15">
        <v>2</v>
      </c>
      <c r="N2492" s="4">
        <v>104</v>
      </c>
      <c r="O2492" s="4"/>
    </row>
    <row r="2493" spans="1:15" x14ac:dyDescent="0.2">
      <c r="A2493" s="2">
        <v>10019575</v>
      </c>
      <c r="B2493" s="2" t="s">
        <v>551</v>
      </c>
      <c r="C2493" s="5" t="s">
        <v>6177</v>
      </c>
      <c r="D2493" s="21">
        <v>2</v>
      </c>
      <c r="E2493" s="21"/>
      <c r="F2493" s="21" t="s">
        <v>10438</v>
      </c>
      <c r="G2493" s="21"/>
      <c r="H2493" s="54">
        <v>66</v>
      </c>
      <c r="I2493" s="51"/>
      <c r="J2493" s="27"/>
      <c r="K2493" s="27"/>
      <c r="L2493" s="15">
        <v>3</v>
      </c>
      <c r="M2493" s="15"/>
      <c r="N2493" s="4">
        <v>104</v>
      </c>
      <c r="O2493" s="4"/>
    </row>
    <row r="2494" spans="1:15" x14ac:dyDescent="0.2">
      <c r="A2494" s="2">
        <v>10018833</v>
      </c>
      <c r="B2494" s="2" t="s">
        <v>3659</v>
      </c>
      <c r="C2494" s="5" t="s">
        <v>5921</v>
      </c>
      <c r="D2494" s="21">
        <v>2</v>
      </c>
      <c r="E2494" s="21"/>
      <c r="F2494" s="21" t="s">
        <v>10438</v>
      </c>
      <c r="G2494" s="21"/>
      <c r="H2494" s="54">
        <v>26</v>
      </c>
      <c r="I2494" s="51"/>
      <c r="J2494" s="27"/>
      <c r="K2494" s="27"/>
      <c r="L2494" s="15">
        <v>10</v>
      </c>
      <c r="M2494" s="15"/>
      <c r="N2494" s="4">
        <v>104</v>
      </c>
      <c r="O2494" s="4"/>
    </row>
    <row r="2495" spans="1:15" x14ac:dyDescent="0.2">
      <c r="A2495" s="2">
        <v>10018462</v>
      </c>
      <c r="B2495" s="2" t="s">
        <v>3902</v>
      </c>
      <c r="C2495" s="5" t="s">
        <v>5736</v>
      </c>
      <c r="D2495" s="21">
        <v>4</v>
      </c>
      <c r="E2495" s="21"/>
      <c r="F2495" s="21" t="s">
        <v>10438</v>
      </c>
      <c r="G2495" s="21"/>
      <c r="H2495" s="54">
        <v>1409</v>
      </c>
      <c r="I2495" s="51"/>
      <c r="J2495" s="27"/>
      <c r="K2495" s="27"/>
      <c r="L2495" s="15">
        <v>3</v>
      </c>
      <c r="M2495" s="15">
        <v>5</v>
      </c>
      <c r="N2495" s="4">
        <v>49</v>
      </c>
      <c r="O2495" s="4"/>
    </row>
    <row r="2496" spans="1:15" x14ac:dyDescent="0.2">
      <c r="A2496" s="2">
        <v>10019251</v>
      </c>
      <c r="B2496" s="2" t="s">
        <v>3661</v>
      </c>
      <c r="C2496" s="5" t="s">
        <v>6086</v>
      </c>
      <c r="D2496" s="21"/>
      <c r="E2496" s="21"/>
      <c r="F2496" s="21" t="s">
        <v>10438</v>
      </c>
      <c r="G2496" s="21"/>
      <c r="H2496" s="54">
        <v>20</v>
      </c>
      <c r="I2496" s="51"/>
      <c r="J2496" s="27"/>
      <c r="K2496" s="27"/>
      <c r="L2496" s="15"/>
      <c r="M2496" s="15"/>
      <c r="N2496" s="4">
        <v>65</v>
      </c>
      <c r="O2496" s="4"/>
    </row>
    <row r="2497" spans="1:15" x14ac:dyDescent="0.2">
      <c r="A2497" s="2">
        <v>10019560</v>
      </c>
      <c r="B2497" s="2" t="s">
        <v>3745</v>
      </c>
      <c r="C2497" s="5" t="s">
        <v>6166</v>
      </c>
      <c r="D2497" s="21">
        <v>11</v>
      </c>
      <c r="E2497" s="21"/>
      <c r="F2497" s="21" t="s">
        <v>10438</v>
      </c>
      <c r="G2497" s="21"/>
      <c r="H2497" s="54">
        <v>25</v>
      </c>
      <c r="I2497" s="51"/>
      <c r="J2497" s="27"/>
      <c r="K2497" s="27"/>
      <c r="L2497" s="15"/>
      <c r="M2497" s="15"/>
      <c r="N2497" s="4">
        <v>65</v>
      </c>
      <c r="O2497" s="4"/>
    </row>
    <row r="2498" spans="1:15" x14ac:dyDescent="0.2">
      <c r="A2498" s="2">
        <v>10019561</v>
      </c>
      <c r="B2498" s="2" t="s">
        <v>3803</v>
      </c>
      <c r="C2498" s="5" t="s">
        <v>6167</v>
      </c>
      <c r="D2498" s="21">
        <v>20</v>
      </c>
      <c r="E2498" s="21"/>
      <c r="F2498" s="21" t="s">
        <v>10438</v>
      </c>
      <c r="G2498" s="21"/>
      <c r="H2498" s="54">
        <v>30</v>
      </c>
      <c r="I2498" s="51"/>
      <c r="J2498" s="27"/>
      <c r="K2498" s="27"/>
      <c r="L2498" s="15"/>
      <c r="M2498" s="15"/>
      <c r="N2498" s="4">
        <v>65</v>
      </c>
      <c r="O2498" s="4"/>
    </row>
    <row r="2499" spans="1:15" x14ac:dyDescent="0.2">
      <c r="A2499" s="2">
        <v>10019563</v>
      </c>
      <c r="B2499" s="2" t="s">
        <v>543</v>
      </c>
      <c r="C2499" s="5" t="s">
        <v>6168</v>
      </c>
      <c r="D2499" s="21">
        <v>4</v>
      </c>
      <c r="E2499" s="21"/>
      <c r="F2499" s="21" t="s">
        <v>10438</v>
      </c>
      <c r="G2499" s="21"/>
      <c r="H2499" s="54">
        <v>161</v>
      </c>
      <c r="I2499" s="51"/>
      <c r="J2499" s="27"/>
      <c r="K2499" s="27"/>
      <c r="L2499" s="15"/>
      <c r="M2499" s="15"/>
      <c r="N2499" s="4">
        <v>65</v>
      </c>
      <c r="O2499" s="4"/>
    </row>
    <row r="2500" spans="1:15" x14ac:dyDescent="0.2">
      <c r="A2500" s="2">
        <v>10036250</v>
      </c>
      <c r="B2500" s="2" t="s">
        <v>3713</v>
      </c>
      <c r="C2500" s="5" t="s">
        <v>6365</v>
      </c>
      <c r="D2500" s="21">
        <v>8</v>
      </c>
      <c r="E2500" s="21"/>
      <c r="F2500" s="21" t="s">
        <v>10438</v>
      </c>
      <c r="G2500" s="21"/>
      <c r="H2500" s="54">
        <v>59</v>
      </c>
      <c r="I2500" s="51"/>
      <c r="J2500" s="27"/>
      <c r="K2500" s="27"/>
      <c r="L2500" s="15"/>
      <c r="M2500" s="15"/>
      <c r="N2500" s="4">
        <v>65</v>
      </c>
      <c r="O2500" s="4"/>
    </row>
    <row r="2501" spans="1:15" x14ac:dyDescent="0.2">
      <c r="A2501" s="2">
        <v>10019444</v>
      </c>
      <c r="B2501" s="2" t="s">
        <v>517</v>
      </c>
      <c r="C2501" s="5" t="s">
        <v>6137</v>
      </c>
      <c r="D2501" s="21"/>
      <c r="E2501" s="21"/>
      <c r="F2501" s="21" t="s">
        <v>10438</v>
      </c>
      <c r="G2501" s="21"/>
      <c r="H2501" s="54">
        <v>152</v>
      </c>
      <c r="I2501" s="51"/>
      <c r="J2501" s="27"/>
      <c r="K2501" s="27"/>
      <c r="L2501" s="15"/>
      <c r="M2501" s="15"/>
      <c r="N2501" s="4">
        <v>75</v>
      </c>
      <c r="O2501" s="4"/>
    </row>
    <row r="2502" spans="1:15" x14ac:dyDescent="0.2">
      <c r="A2502" s="2">
        <v>40006101</v>
      </c>
      <c r="B2502" s="2" t="s">
        <v>1492</v>
      </c>
      <c r="C2502" s="5" t="s">
        <v>7198</v>
      </c>
      <c r="D2502" s="21">
        <v>2</v>
      </c>
      <c r="E2502" s="21"/>
      <c r="F2502" s="21" t="s">
        <v>10438</v>
      </c>
      <c r="G2502" s="21"/>
      <c r="H2502" s="54">
        <v>250</v>
      </c>
      <c r="I2502" s="51"/>
      <c r="J2502" s="27"/>
      <c r="K2502" s="27"/>
      <c r="L2502" s="15"/>
      <c r="M2502" s="15"/>
      <c r="N2502" s="4">
        <v>82</v>
      </c>
      <c r="O2502" s="4"/>
    </row>
    <row r="2503" spans="1:15" x14ac:dyDescent="0.2">
      <c r="A2503" s="2">
        <v>10019074</v>
      </c>
      <c r="B2503" s="2" t="s">
        <v>420</v>
      </c>
      <c r="C2503" s="5" t="s">
        <v>6023</v>
      </c>
      <c r="D2503" s="21">
        <v>4</v>
      </c>
      <c r="E2503" s="21"/>
      <c r="F2503" s="21" t="s">
        <v>10438</v>
      </c>
      <c r="G2503" s="21"/>
      <c r="H2503" s="54">
        <v>103</v>
      </c>
      <c r="I2503" s="51"/>
      <c r="J2503" s="27"/>
      <c r="K2503" s="27"/>
      <c r="L2503" s="15">
        <v>15</v>
      </c>
      <c r="M2503" s="15">
        <v>8</v>
      </c>
      <c r="N2503" s="4">
        <v>60</v>
      </c>
      <c r="O2503" s="4"/>
    </row>
    <row r="2504" spans="1:15" x14ac:dyDescent="0.2">
      <c r="A2504" s="2">
        <v>10019371</v>
      </c>
      <c r="B2504" s="2" t="s">
        <v>3714</v>
      </c>
      <c r="C2504" s="5" t="s">
        <v>6123</v>
      </c>
      <c r="D2504" s="21">
        <v>4</v>
      </c>
      <c r="E2504" s="21"/>
      <c r="F2504" s="21" t="s">
        <v>10438</v>
      </c>
      <c r="G2504" s="21"/>
      <c r="H2504" s="54">
        <v>163</v>
      </c>
      <c r="I2504" s="51"/>
      <c r="J2504" s="27"/>
      <c r="K2504" s="27"/>
      <c r="L2504" s="15">
        <v>10</v>
      </c>
      <c r="M2504" s="15">
        <v>15</v>
      </c>
      <c r="N2504" s="4">
        <v>60</v>
      </c>
      <c r="O2504" s="4"/>
    </row>
    <row r="2505" spans="1:15" x14ac:dyDescent="0.2">
      <c r="A2505" s="2">
        <v>40010520</v>
      </c>
      <c r="B2505" s="2" t="s">
        <v>3548</v>
      </c>
      <c r="C2505" s="5" t="s">
        <v>9253</v>
      </c>
      <c r="D2505" s="21">
        <v>5</v>
      </c>
      <c r="E2505" s="21"/>
      <c r="F2505" s="21" t="s">
        <v>10438</v>
      </c>
      <c r="G2505" s="21"/>
      <c r="H2505" s="54">
        <v>260</v>
      </c>
      <c r="I2505" s="51"/>
      <c r="J2505" s="27"/>
      <c r="K2505" s="27"/>
      <c r="L2505" s="15"/>
      <c r="M2505" s="15"/>
      <c r="N2505" s="4">
        <v>82</v>
      </c>
      <c r="O2505" s="4"/>
    </row>
    <row r="2506" spans="1:15" x14ac:dyDescent="0.2">
      <c r="A2506" s="2">
        <v>40006886</v>
      </c>
      <c r="B2506" s="2" t="s">
        <v>2181</v>
      </c>
      <c r="C2506" s="5" t="s">
        <v>7890</v>
      </c>
      <c r="D2506" s="21"/>
      <c r="E2506" s="21"/>
      <c r="F2506" s="21" t="s">
        <v>10438</v>
      </c>
      <c r="G2506" s="21"/>
      <c r="H2506" s="54">
        <v>51</v>
      </c>
      <c r="I2506" s="51"/>
      <c r="J2506" s="27"/>
      <c r="K2506" s="27"/>
      <c r="L2506" s="15"/>
      <c r="M2506" s="15"/>
      <c r="N2506" s="4" t="s">
        <v>4552</v>
      </c>
      <c r="O2506" s="4"/>
    </row>
    <row r="2507" spans="1:15" x14ac:dyDescent="0.2">
      <c r="A2507" s="2">
        <v>10019276</v>
      </c>
      <c r="B2507" s="2" t="s">
        <v>483</v>
      </c>
      <c r="C2507" s="5" t="s">
        <v>6097</v>
      </c>
      <c r="D2507" s="21"/>
      <c r="E2507" s="21"/>
      <c r="F2507" s="21" t="s">
        <v>10438</v>
      </c>
      <c r="G2507" s="21"/>
      <c r="H2507" s="54">
        <v>35</v>
      </c>
      <c r="I2507" s="51"/>
      <c r="J2507" s="27"/>
      <c r="K2507" s="27"/>
      <c r="L2507" s="15"/>
      <c r="M2507" s="15"/>
      <c r="N2507" s="4">
        <v>65</v>
      </c>
      <c r="O2507" s="4"/>
    </row>
    <row r="2508" spans="1:15" x14ac:dyDescent="0.2">
      <c r="A2508" s="2">
        <v>40007490</v>
      </c>
      <c r="B2508" s="2" t="s">
        <v>2700</v>
      </c>
      <c r="C2508" s="5" t="s">
        <v>8402</v>
      </c>
      <c r="D2508" s="21">
        <v>2</v>
      </c>
      <c r="E2508" s="21"/>
      <c r="F2508" s="21" t="s">
        <v>10438</v>
      </c>
      <c r="G2508" s="21"/>
      <c r="H2508" s="54">
        <v>9827</v>
      </c>
      <c r="I2508" s="51"/>
      <c r="J2508" s="27"/>
      <c r="K2508" s="27"/>
      <c r="L2508" s="15"/>
      <c r="M2508" s="15"/>
      <c r="N2508" s="4"/>
      <c r="O2508" s="4">
        <v>88</v>
      </c>
    </row>
    <row r="2509" spans="1:15" x14ac:dyDescent="0.2">
      <c r="A2509" s="2">
        <v>40007147</v>
      </c>
      <c r="B2509" s="2" t="s">
        <v>2415</v>
      </c>
      <c r="C2509" s="5" t="s">
        <v>8117</v>
      </c>
      <c r="D2509" s="21">
        <v>12</v>
      </c>
      <c r="E2509" s="21"/>
      <c r="F2509" s="21" t="s">
        <v>10438</v>
      </c>
      <c r="G2509" s="21"/>
      <c r="H2509" s="54">
        <v>166</v>
      </c>
      <c r="I2509" s="51"/>
      <c r="J2509" s="27"/>
      <c r="K2509" s="27"/>
      <c r="L2509" s="15"/>
      <c r="M2509" s="15"/>
      <c r="N2509" s="4" t="s">
        <v>3986</v>
      </c>
      <c r="O2509" s="4">
        <v>85</v>
      </c>
    </row>
    <row r="2510" spans="1:15" x14ac:dyDescent="0.2">
      <c r="A2510" s="2">
        <v>40008055</v>
      </c>
      <c r="B2510" s="2" t="s">
        <v>3188</v>
      </c>
      <c r="C2510" s="5" t="s">
        <v>8883</v>
      </c>
      <c r="D2510" s="21">
        <v>3</v>
      </c>
      <c r="E2510" s="21"/>
      <c r="F2510" s="21" t="s">
        <v>10438</v>
      </c>
      <c r="G2510" s="21"/>
      <c r="H2510" s="54">
        <v>64</v>
      </c>
      <c r="I2510" s="51"/>
      <c r="J2510" s="27"/>
      <c r="K2510" s="27"/>
      <c r="L2510" s="15"/>
      <c r="M2510" s="15"/>
      <c r="N2510" s="4" t="s">
        <v>5179</v>
      </c>
      <c r="O2510" s="4">
        <v>84</v>
      </c>
    </row>
    <row r="2511" spans="1:15" x14ac:dyDescent="0.2">
      <c r="A2511" s="2">
        <v>40007064</v>
      </c>
      <c r="B2511" s="2" t="s">
        <v>2339</v>
      </c>
      <c r="C2511" s="5" t="s">
        <v>8048</v>
      </c>
      <c r="D2511" s="21">
        <v>7</v>
      </c>
      <c r="E2511" s="21"/>
      <c r="F2511" s="21" t="s">
        <v>10438</v>
      </c>
      <c r="G2511" s="21"/>
      <c r="H2511" s="54">
        <v>502</v>
      </c>
      <c r="I2511" s="51"/>
      <c r="J2511" s="27"/>
      <c r="K2511" s="27"/>
      <c r="L2511" s="15"/>
      <c r="M2511" s="15"/>
      <c r="N2511" s="4">
        <v>28</v>
      </c>
      <c r="O2511" s="4">
        <v>80</v>
      </c>
    </row>
    <row r="2512" spans="1:15" x14ac:dyDescent="0.2">
      <c r="A2512" s="2">
        <v>40007430</v>
      </c>
      <c r="B2512" s="2" t="s">
        <v>3682</v>
      </c>
      <c r="C2512" s="5" t="s">
        <v>8349</v>
      </c>
      <c r="D2512" s="21">
        <v>4</v>
      </c>
      <c r="E2512" s="21"/>
      <c r="F2512" s="21" t="s">
        <v>10438</v>
      </c>
      <c r="G2512" s="21"/>
      <c r="H2512" s="54">
        <v>885</v>
      </c>
      <c r="I2512" s="51"/>
      <c r="J2512" s="27"/>
      <c r="K2512" s="27"/>
      <c r="L2512" s="15">
        <v>5</v>
      </c>
      <c r="M2512" s="15"/>
      <c r="N2512" s="4"/>
      <c r="O2512" s="4">
        <v>80</v>
      </c>
    </row>
    <row r="2513" spans="1:15" x14ac:dyDescent="0.2">
      <c r="A2513" s="2">
        <v>40007236</v>
      </c>
      <c r="B2513" s="2" t="s">
        <v>2492</v>
      </c>
      <c r="C2513" s="5" t="s">
        <v>8192</v>
      </c>
      <c r="D2513" s="21">
        <v>2</v>
      </c>
      <c r="E2513" s="21"/>
      <c r="F2513" s="21" t="s">
        <v>10438</v>
      </c>
      <c r="G2513" s="21"/>
      <c r="H2513" s="54">
        <v>503</v>
      </c>
      <c r="I2513" s="51"/>
      <c r="J2513" s="27"/>
      <c r="K2513" s="27"/>
      <c r="L2513" s="15"/>
      <c r="M2513" s="15"/>
      <c r="N2513" s="4"/>
      <c r="O2513" s="4">
        <v>80</v>
      </c>
    </row>
    <row r="2514" spans="1:15" x14ac:dyDescent="0.2">
      <c r="A2514" s="2">
        <v>40007214</v>
      </c>
      <c r="B2514" s="2" t="s">
        <v>2473</v>
      </c>
      <c r="C2514" s="5" t="s">
        <v>8174</v>
      </c>
      <c r="D2514" s="21">
        <v>1</v>
      </c>
      <c r="E2514" s="21"/>
      <c r="F2514" s="21" t="s">
        <v>10438</v>
      </c>
      <c r="G2514" s="21"/>
      <c r="H2514" s="54">
        <v>185</v>
      </c>
      <c r="I2514" s="51"/>
      <c r="J2514" s="27"/>
      <c r="K2514" s="27"/>
      <c r="L2514" s="15"/>
      <c r="M2514" s="15"/>
      <c r="N2514" s="4"/>
      <c r="O2514" s="4">
        <v>87</v>
      </c>
    </row>
    <row r="2515" spans="1:15" x14ac:dyDescent="0.2">
      <c r="A2515" s="2">
        <v>40007310</v>
      </c>
      <c r="B2515" s="2" t="s">
        <v>2552</v>
      </c>
      <c r="C2515" s="5" t="s">
        <v>8249</v>
      </c>
      <c r="D2515" s="21">
        <v>19</v>
      </c>
      <c r="E2515" s="21"/>
      <c r="F2515" s="21" t="s">
        <v>10438</v>
      </c>
      <c r="G2515" s="21"/>
      <c r="H2515" s="54">
        <v>49</v>
      </c>
      <c r="I2515" s="51"/>
      <c r="J2515" s="27"/>
      <c r="K2515" s="27"/>
      <c r="L2515" s="15"/>
      <c r="M2515" s="15"/>
      <c r="N2515" s="4" t="s">
        <v>4282</v>
      </c>
      <c r="O2515" s="4">
        <v>86</v>
      </c>
    </row>
    <row r="2516" spans="1:15" x14ac:dyDescent="0.2">
      <c r="A2516" s="2">
        <v>40007032</v>
      </c>
      <c r="B2516" s="2" t="s">
        <v>2311</v>
      </c>
      <c r="C2516" s="5" t="s">
        <v>8021</v>
      </c>
      <c r="D2516" s="21">
        <v>4</v>
      </c>
      <c r="E2516" s="21"/>
      <c r="F2516" s="21" t="s">
        <v>10438</v>
      </c>
      <c r="G2516" s="21"/>
      <c r="H2516" s="54">
        <v>688</v>
      </c>
      <c r="I2516" s="51"/>
      <c r="J2516" s="27"/>
      <c r="K2516" s="27"/>
      <c r="L2516" s="15"/>
      <c r="M2516" s="15"/>
      <c r="N2516" s="4" t="s">
        <v>4028</v>
      </c>
      <c r="O2516" s="4" t="s">
        <v>10350</v>
      </c>
    </row>
    <row r="2517" spans="1:15" x14ac:dyDescent="0.2">
      <c r="A2517" s="2">
        <v>40008315</v>
      </c>
      <c r="B2517" s="2" t="s">
        <v>3422</v>
      </c>
      <c r="C2517" s="5" t="s">
        <v>9115</v>
      </c>
      <c r="D2517" s="21">
        <v>9</v>
      </c>
      <c r="E2517" s="21"/>
      <c r="F2517" s="21" t="s">
        <v>10438</v>
      </c>
      <c r="G2517" s="21"/>
      <c r="H2517" s="54">
        <v>377</v>
      </c>
      <c r="I2517" s="51"/>
      <c r="J2517" s="27"/>
      <c r="K2517" s="27"/>
      <c r="L2517" s="15"/>
      <c r="M2517" s="15"/>
      <c r="N2517" s="4"/>
      <c r="O2517" s="4">
        <v>91</v>
      </c>
    </row>
    <row r="2518" spans="1:15" x14ac:dyDescent="0.2">
      <c r="A2518" s="2">
        <v>40007662</v>
      </c>
      <c r="B2518" s="2" t="s">
        <v>2841</v>
      </c>
      <c r="C2518" s="5">
        <v>119.578</v>
      </c>
      <c r="D2518" s="21">
        <v>3</v>
      </c>
      <c r="E2518" s="21"/>
      <c r="F2518" s="21" t="s">
        <v>10438</v>
      </c>
      <c r="G2518" s="21"/>
      <c r="H2518" s="54">
        <v>825</v>
      </c>
      <c r="I2518" s="51"/>
      <c r="J2518" s="27"/>
      <c r="K2518" s="27"/>
      <c r="L2518" s="15"/>
      <c r="M2518" s="15"/>
      <c r="N2518" s="4" t="s">
        <v>5027</v>
      </c>
      <c r="O2518" s="4"/>
    </row>
    <row r="2519" spans="1:15" x14ac:dyDescent="0.2">
      <c r="A2519" s="2">
        <v>40006459</v>
      </c>
      <c r="B2519" s="2" t="s">
        <v>1814</v>
      </c>
      <c r="C2519" s="5" t="s">
        <v>7522</v>
      </c>
      <c r="D2519" s="21">
        <v>2</v>
      </c>
      <c r="E2519" s="21"/>
      <c r="F2519" s="21" t="s">
        <v>10438</v>
      </c>
      <c r="G2519" s="21"/>
      <c r="H2519" s="54">
        <v>522</v>
      </c>
      <c r="I2519" s="51"/>
      <c r="J2519" s="27"/>
      <c r="K2519" s="27"/>
      <c r="L2519" s="15"/>
      <c r="M2519" s="15"/>
      <c r="N2519" s="4" t="s">
        <v>4607</v>
      </c>
      <c r="O2519" s="4"/>
    </row>
    <row r="2520" spans="1:15" x14ac:dyDescent="0.2">
      <c r="A2520" s="2">
        <v>40006457</v>
      </c>
      <c r="B2520" s="2" t="s">
        <v>1812</v>
      </c>
      <c r="C2520" s="5" t="s">
        <v>7520</v>
      </c>
      <c r="D2520" s="21">
        <v>5</v>
      </c>
      <c r="E2520" s="21"/>
      <c r="F2520" s="21" t="s">
        <v>10438</v>
      </c>
      <c r="G2520" s="21"/>
      <c r="H2520" s="54">
        <v>125</v>
      </c>
      <c r="I2520" s="51"/>
      <c r="J2520" s="27"/>
      <c r="K2520" s="27"/>
      <c r="L2520" s="15"/>
      <c r="M2520" s="15"/>
      <c r="N2520" s="4"/>
      <c r="O2520" s="4">
        <v>87</v>
      </c>
    </row>
    <row r="2521" spans="1:15" x14ac:dyDescent="0.2">
      <c r="A2521" s="2">
        <v>40008035</v>
      </c>
      <c r="B2521" s="2" t="s">
        <v>3174</v>
      </c>
      <c r="C2521" s="5">
        <v>225222010</v>
      </c>
      <c r="D2521" s="21">
        <v>1</v>
      </c>
      <c r="E2521" s="21"/>
      <c r="F2521" s="21" t="s">
        <v>10438</v>
      </c>
      <c r="G2521" s="21"/>
      <c r="H2521" s="54">
        <v>29</v>
      </c>
      <c r="I2521" s="51"/>
      <c r="J2521" s="27"/>
      <c r="K2521" s="27"/>
      <c r="L2521" s="15"/>
      <c r="M2521" s="15"/>
      <c r="N2521" s="4"/>
      <c r="O2521" s="4" t="s">
        <v>10142</v>
      </c>
    </row>
    <row r="2522" spans="1:15" x14ac:dyDescent="0.2">
      <c r="A2522" s="2">
        <v>40006456</v>
      </c>
      <c r="B2522" s="2" t="s">
        <v>1811</v>
      </c>
      <c r="C2522" s="5" t="s">
        <v>7519</v>
      </c>
      <c r="D2522" s="21">
        <v>1</v>
      </c>
      <c r="E2522" s="21"/>
      <c r="F2522" s="30">
        <v>2</v>
      </c>
      <c r="G2522" s="21"/>
      <c r="H2522" s="54">
        <v>101</v>
      </c>
      <c r="I2522" s="51"/>
      <c r="J2522" s="27"/>
      <c r="K2522" s="27"/>
      <c r="L2522" s="15"/>
      <c r="M2522" s="15">
        <v>2</v>
      </c>
      <c r="N2522" s="4" t="s">
        <v>4275</v>
      </c>
      <c r="O2522" s="4" t="s">
        <v>4813</v>
      </c>
    </row>
    <row r="2523" spans="1:15" x14ac:dyDescent="0.2">
      <c r="A2523" s="2">
        <v>10018459</v>
      </c>
      <c r="B2523" s="2" t="s">
        <v>184</v>
      </c>
      <c r="C2523" s="5" t="s">
        <v>5734</v>
      </c>
      <c r="D2523" s="21">
        <v>5</v>
      </c>
      <c r="E2523" s="21"/>
      <c r="F2523" s="21" t="s">
        <v>10438</v>
      </c>
      <c r="G2523" s="21"/>
      <c r="H2523" s="54">
        <v>1395</v>
      </c>
      <c r="I2523" s="51">
        <v>1190</v>
      </c>
      <c r="J2523" s="27"/>
      <c r="K2523" s="27"/>
      <c r="L2523" s="15"/>
      <c r="M2523" s="15"/>
      <c r="N2523" s="4"/>
      <c r="O2523" s="4" t="s">
        <v>10446</v>
      </c>
    </row>
    <row r="2524" spans="1:15" x14ac:dyDescent="0.2">
      <c r="A2524" s="2">
        <v>10019805</v>
      </c>
      <c r="B2524" s="2" t="s">
        <v>585</v>
      </c>
      <c r="C2524" s="5" t="s">
        <v>6218</v>
      </c>
      <c r="D2524" s="21"/>
      <c r="E2524" s="21"/>
      <c r="F2524" s="21" t="s">
        <v>10438</v>
      </c>
      <c r="G2524" s="21"/>
      <c r="H2524" s="54">
        <v>38</v>
      </c>
      <c r="I2524" s="51"/>
      <c r="J2524" s="27"/>
      <c r="K2524" s="27"/>
      <c r="L2524" s="15"/>
      <c r="M2524" s="15"/>
      <c r="N2524" s="4">
        <v>65</v>
      </c>
      <c r="O2524" s="4"/>
    </row>
    <row r="2525" spans="1:15" x14ac:dyDescent="0.2">
      <c r="A2525" s="2">
        <v>10019198</v>
      </c>
      <c r="B2525" s="2" t="s">
        <v>456</v>
      </c>
      <c r="C2525" s="5" t="s">
        <v>6064</v>
      </c>
      <c r="D2525" s="21">
        <v>16</v>
      </c>
      <c r="E2525" s="21"/>
      <c r="F2525" s="21" t="s">
        <v>10438</v>
      </c>
      <c r="G2525" s="21"/>
      <c r="H2525" s="54">
        <v>27</v>
      </c>
      <c r="I2525" s="51"/>
      <c r="J2525" s="27"/>
      <c r="K2525" s="27"/>
      <c r="L2525" s="15"/>
      <c r="M2525" s="15"/>
      <c r="N2525" s="4">
        <v>68</v>
      </c>
      <c r="O2525" s="4"/>
    </row>
    <row r="2526" spans="1:15" x14ac:dyDescent="0.2">
      <c r="A2526" s="2">
        <v>10019987</v>
      </c>
      <c r="B2526" s="2" t="s">
        <v>3900</v>
      </c>
      <c r="C2526" s="5" t="s">
        <v>6296</v>
      </c>
      <c r="D2526" s="21">
        <v>2</v>
      </c>
      <c r="E2526" s="21"/>
      <c r="F2526" s="21" t="s">
        <v>10438</v>
      </c>
      <c r="G2526" s="21"/>
      <c r="H2526" s="54">
        <v>30</v>
      </c>
      <c r="I2526" s="51"/>
      <c r="J2526" s="27"/>
      <c r="K2526" s="27"/>
      <c r="L2526" s="15"/>
      <c r="M2526" s="15"/>
      <c r="N2526" s="4">
        <v>65</v>
      </c>
      <c r="O2526" s="4"/>
    </row>
    <row r="2527" spans="1:15" x14ac:dyDescent="0.2">
      <c r="A2527" s="2">
        <v>10019133</v>
      </c>
      <c r="B2527" s="2" t="s">
        <v>3648</v>
      </c>
      <c r="C2527" s="5" t="s">
        <v>6041</v>
      </c>
      <c r="D2527" s="21">
        <v>29</v>
      </c>
      <c r="E2527" s="21"/>
      <c r="F2527" s="21" t="s">
        <v>10438</v>
      </c>
      <c r="G2527" s="21"/>
      <c r="H2527" s="54">
        <v>17</v>
      </c>
      <c r="I2527" s="51"/>
      <c r="J2527" s="27"/>
      <c r="K2527" s="27"/>
      <c r="L2527" s="15">
        <v>20</v>
      </c>
      <c r="M2527" s="15"/>
      <c r="N2527" s="4">
        <v>68</v>
      </c>
      <c r="O2527" s="4"/>
    </row>
    <row r="2528" spans="1:15" x14ac:dyDescent="0.2">
      <c r="A2528" s="2">
        <v>10019262</v>
      </c>
      <c r="B2528" s="2" t="s">
        <v>478</v>
      </c>
      <c r="C2528" s="5" t="s">
        <v>6091</v>
      </c>
      <c r="D2528" s="21">
        <v>77</v>
      </c>
      <c r="E2528" s="21"/>
      <c r="F2528" s="21" t="s">
        <v>10438</v>
      </c>
      <c r="G2528" s="21"/>
      <c r="H2528" s="54">
        <v>17</v>
      </c>
      <c r="I2528" s="51"/>
      <c r="J2528" s="27"/>
      <c r="K2528" s="27"/>
      <c r="L2528" s="15"/>
      <c r="M2528" s="15"/>
      <c r="N2528" s="4">
        <v>68</v>
      </c>
      <c r="O2528" s="4"/>
    </row>
    <row r="2529" spans="1:15" x14ac:dyDescent="0.2">
      <c r="A2529" s="2">
        <v>10019134</v>
      </c>
      <c r="B2529" s="2" t="s">
        <v>438</v>
      </c>
      <c r="C2529" s="5" t="s">
        <v>6042</v>
      </c>
      <c r="D2529" s="21">
        <v>51</v>
      </c>
      <c r="E2529" s="21"/>
      <c r="F2529" s="21" t="s">
        <v>10438</v>
      </c>
      <c r="G2529" s="21"/>
      <c r="H2529" s="54">
        <v>19</v>
      </c>
      <c r="I2529" s="51"/>
      <c r="J2529" s="27"/>
      <c r="K2529" s="27"/>
      <c r="L2529" s="15">
        <v>10</v>
      </c>
      <c r="M2529" s="15"/>
      <c r="N2529" s="4">
        <v>68</v>
      </c>
      <c r="O2529" s="4"/>
    </row>
    <row r="2530" spans="1:15" x14ac:dyDescent="0.2">
      <c r="A2530" s="2">
        <v>10019260</v>
      </c>
      <c r="B2530" s="2" t="s">
        <v>477</v>
      </c>
      <c r="C2530" s="5" t="s">
        <v>6090</v>
      </c>
      <c r="D2530" s="21">
        <v>39</v>
      </c>
      <c r="E2530" s="21"/>
      <c r="F2530" s="21" t="s">
        <v>10438</v>
      </c>
      <c r="G2530" s="21"/>
      <c r="H2530" s="54">
        <v>15</v>
      </c>
      <c r="I2530" s="51"/>
      <c r="J2530" s="27"/>
      <c r="K2530" s="27"/>
      <c r="L2530" s="15"/>
      <c r="M2530" s="15"/>
      <c r="N2530" s="4">
        <v>68</v>
      </c>
      <c r="O2530" s="4"/>
    </row>
    <row r="2531" spans="1:15" x14ac:dyDescent="0.2">
      <c r="A2531" s="2">
        <v>10019135</v>
      </c>
      <c r="B2531" s="2" t="s">
        <v>439</v>
      </c>
      <c r="C2531" s="5" t="s">
        <v>6043</v>
      </c>
      <c r="D2531" s="21">
        <v>82</v>
      </c>
      <c r="E2531" s="21"/>
      <c r="F2531" s="21" t="s">
        <v>10438</v>
      </c>
      <c r="G2531" s="21"/>
      <c r="H2531" s="54">
        <v>20</v>
      </c>
      <c r="I2531" s="51"/>
      <c r="J2531" s="27"/>
      <c r="K2531" s="27"/>
      <c r="L2531" s="15"/>
      <c r="M2531" s="15"/>
      <c r="N2531" s="4">
        <v>68</v>
      </c>
      <c r="O2531" s="4"/>
    </row>
    <row r="2532" spans="1:15" x14ac:dyDescent="0.2">
      <c r="A2532" s="2">
        <v>10018774</v>
      </c>
      <c r="B2532" s="2" t="s">
        <v>305</v>
      </c>
      <c r="C2532" s="5" t="s">
        <v>5887</v>
      </c>
      <c r="D2532" s="21">
        <v>67</v>
      </c>
      <c r="E2532" s="21"/>
      <c r="F2532" s="21" t="s">
        <v>10438</v>
      </c>
      <c r="G2532" s="21"/>
      <c r="H2532" s="54">
        <v>56</v>
      </c>
      <c r="I2532" s="51"/>
      <c r="J2532" s="27"/>
      <c r="K2532" s="27"/>
      <c r="L2532" s="15"/>
      <c r="M2532" s="15"/>
      <c r="N2532" s="4">
        <v>80</v>
      </c>
      <c r="O2532" s="4">
        <v>107</v>
      </c>
    </row>
    <row r="2533" spans="1:15" x14ac:dyDescent="0.2">
      <c r="A2533" s="2">
        <v>10018736</v>
      </c>
      <c r="B2533" s="2" t="s">
        <v>293</v>
      </c>
      <c r="C2533" s="5" t="s">
        <v>5868</v>
      </c>
      <c r="D2533" s="21">
        <v>9</v>
      </c>
      <c r="E2533" s="21"/>
      <c r="F2533" s="21" t="s">
        <v>10438</v>
      </c>
      <c r="G2533" s="21"/>
      <c r="H2533" s="54">
        <v>25</v>
      </c>
      <c r="I2533" s="51"/>
      <c r="J2533" s="27"/>
      <c r="K2533" s="27"/>
      <c r="L2533" s="15"/>
      <c r="M2533" s="15"/>
      <c r="N2533" s="4">
        <v>68</v>
      </c>
      <c r="O2533" s="4"/>
    </row>
    <row r="2534" spans="1:15" x14ac:dyDescent="0.2">
      <c r="A2534" s="2">
        <v>10019723</v>
      </c>
      <c r="B2534" s="2" t="s">
        <v>570</v>
      </c>
      <c r="C2534" s="5" t="s">
        <v>6201</v>
      </c>
      <c r="D2534" s="21"/>
      <c r="E2534" s="21"/>
      <c r="F2534" s="21" t="s">
        <v>10438</v>
      </c>
      <c r="G2534" s="21"/>
      <c r="H2534" s="54">
        <v>32</v>
      </c>
      <c r="I2534" s="51"/>
      <c r="J2534" s="27"/>
      <c r="K2534" s="27"/>
      <c r="L2534" s="15"/>
      <c r="M2534" s="15"/>
      <c r="N2534" s="4">
        <v>65</v>
      </c>
      <c r="O2534" s="4"/>
    </row>
    <row r="2535" spans="1:15" x14ac:dyDescent="0.2">
      <c r="A2535" s="2">
        <v>40007670</v>
      </c>
      <c r="B2535" s="2" t="s">
        <v>2848</v>
      </c>
      <c r="C2535" s="5" t="s">
        <v>8547</v>
      </c>
      <c r="D2535" s="21">
        <v>4</v>
      </c>
      <c r="E2535" s="21"/>
      <c r="F2535" s="21" t="s">
        <v>10438</v>
      </c>
      <c r="G2535" s="21"/>
      <c r="H2535" s="54">
        <v>14</v>
      </c>
      <c r="I2535" s="51"/>
      <c r="J2535" s="27"/>
      <c r="K2535" s="27"/>
      <c r="L2535" s="15"/>
      <c r="M2535" s="15"/>
      <c r="N2535" s="4" t="s">
        <v>4566</v>
      </c>
      <c r="O2535" s="4"/>
    </row>
    <row r="2536" spans="1:15" x14ac:dyDescent="0.2">
      <c r="A2536" s="2">
        <v>10019843</v>
      </c>
      <c r="B2536" s="2" t="s">
        <v>5374</v>
      </c>
      <c r="C2536" s="5" t="s">
        <v>6232</v>
      </c>
      <c r="D2536" s="21">
        <v>3</v>
      </c>
      <c r="E2536" s="21"/>
      <c r="F2536" s="21" t="s">
        <v>10438</v>
      </c>
      <c r="G2536" s="21"/>
      <c r="H2536" s="54">
        <v>10373</v>
      </c>
      <c r="I2536" s="51">
        <v>8820</v>
      </c>
      <c r="J2536" s="27"/>
      <c r="K2536" s="27"/>
      <c r="L2536" s="15"/>
      <c r="M2536" s="15">
        <v>2</v>
      </c>
      <c r="N2536" s="4"/>
      <c r="O2536" s="4" t="s">
        <v>10455</v>
      </c>
    </row>
    <row r="2537" spans="1:15" x14ac:dyDescent="0.2">
      <c r="A2537" s="2">
        <v>10018680</v>
      </c>
      <c r="B2537" s="2" t="s">
        <v>267</v>
      </c>
      <c r="C2537" s="5" t="s">
        <v>5836</v>
      </c>
      <c r="D2537" s="21">
        <v>5</v>
      </c>
      <c r="E2537" s="21"/>
      <c r="F2537" s="21" t="s">
        <v>10438</v>
      </c>
      <c r="G2537" s="21"/>
      <c r="H2537" s="54">
        <v>796</v>
      </c>
      <c r="I2537" s="51"/>
      <c r="J2537" s="27"/>
      <c r="K2537" s="27"/>
      <c r="L2537" s="15">
        <v>10</v>
      </c>
      <c r="M2537" s="15"/>
      <c r="N2537" s="4">
        <v>49</v>
      </c>
      <c r="O2537" s="4"/>
    </row>
    <row r="2538" spans="1:15" x14ac:dyDescent="0.2">
      <c r="A2538" s="2">
        <v>40006009</v>
      </c>
      <c r="B2538" s="2" t="s">
        <v>1414</v>
      </c>
      <c r="C2538" s="5" t="s">
        <v>7120</v>
      </c>
      <c r="D2538" s="21"/>
      <c r="E2538" s="21"/>
      <c r="F2538" s="21" t="s">
        <v>10438</v>
      </c>
      <c r="G2538" s="21"/>
      <c r="H2538" s="54">
        <v>36</v>
      </c>
      <c r="I2538" s="51"/>
      <c r="J2538" s="27"/>
      <c r="K2538" s="27"/>
      <c r="L2538" s="15"/>
      <c r="M2538" s="15"/>
      <c r="N2538" s="4"/>
      <c r="O2538" s="4" t="s">
        <v>10156</v>
      </c>
    </row>
    <row r="2539" spans="1:15" x14ac:dyDescent="0.2">
      <c r="A2539" s="2">
        <v>40008048</v>
      </c>
      <c r="B2539" s="2" t="s">
        <v>3183</v>
      </c>
      <c r="C2539" s="5" t="s">
        <v>8878</v>
      </c>
      <c r="D2539" s="21">
        <v>11</v>
      </c>
      <c r="E2539" s="21"/>
      <c r="F2539" s="21" t="s">
        <v>10438</v>
      </c>
      <c r="G2539" s="21"/>
      <c r="H2539" s="54">
        <v>107</v>
      </c>
      <c r="I2539" s="51"/>
      <c r="J2539" s="27"/>
      <c r="K2539" s="27"/>
      <c r="L2539" s="15"/>
      <c r="M2539" s="15"/>
      <c r="N2539" s="4"/>
      <c r="O2539" s="4">
        <v>87</v>
      </c>
    </row>
    <row r="2540" spans="1:15" x14ac:dyDescent="0.2">
      <c r="A2540" s="2">
        <v>10038199</v>
      </c>
      <c r="B2540" s="2" t="s">
        <v>3751</v>
      </c>
      <c r="C2540" s="5" t="s">
        <v>9431</v>
      </c>
      <c r="D2540" s="21">
        <v>1</v>
      </c>
      <c r="E2540" s="21"/>
      <c r="F2540" s="21" t="s">
        <v>10438</v>
      </c>
      <c r="G2540" s="21"/>
      <c r="H2540" s="54">
        <v>486</v>
      </c>
      <c r="I2540" s="51"/>
      <c r="J2540" s="27"/>
      <c r="K2540" s="27"/>
      <c r="L2540" s="15"/>
      <c r="M2540" s="15"/>
      <c r="N2540" s="4"/>
      <c r="O2540" s="4">
        <v>81</v>
      </c>
    </row>
    <row r="2541" spans="1:15" x14ac:dyDescent="0.2">
      <c r="A2541" s="2">
        <v>40006483</v>
      </c>
      <c r="B2541" s="2" t="s">
        <v>1836</v>
      </c>
      <c r="C2541" s="5" t="s">
        <v>7544</v>
      </c>
      <c r="D2541" s="21">
        <v>5</v>
      </c>
      <c r="E2541" s="21"/>
      <c r="F2541" s="21" t="s">
        <v>10438</v>
      </c>
      <c r="G2541" s="21"/>
      <c r="H2541" s="54">
        <v>53</v>
      </c>
      <c r="I2541" s="51"/>
      <c r="J2541" s="27"/>
      <c r="K2541" s="27"/>
      <c r="L2541" s="15"/>
      <c r="M2541" s="15"/>
      <c r="N2541" s="4" t="s">
        <v>4259</v>
      </c>
      <c r="O2541" s="4"/>
    </row>
    <row r="2542" spans="1:15" x14ac:dyDescent="0.2">
      <c r="A2542" s="2">
        <v>40006056</v>
      </c>
      <c r="B2542" s="2" t="s">
        <v>3921</v>
      </c>
      <c r="C2542" s="5" t="s">
        <v>7157</v>
      </c>
      <c r="D2542" s="21"/>
      <c r="E2542" s="21"/>
      <c r="F2542" s="21" t="s">
        <v>10438</v>
      </c>
      <c r="G2542" s="21"/>
      <c r="H2542" s="54">
        <v>15</v>
      </c>
      <c r="I2542" s="51"/>
      <c r="J2542" s="27"/>
      <c r="K2542" s="27"/>
      <c r="L2542" s="15"/>
      <c r="M2542" s="15"/>
      <c r="N2542" s="4" t="s">
        <v>4195</v>
      </c>
      <c r="O2542" s="4"/>
    </row>
    <row r="2543" spans="1:15" x14ac:dyDescent="0.2">
      <c r="A2543" s="2">
        <v>10018669</v>
      </c>
      <c r="B2543" s="2" t="s">
        <v>262</v>
      </c>
      <c r="C2543" s="5" t="s">
        <v>5830</v>
      </c>
      <c r="D2543" s="21">
        <v>4</v>
      </c>
      <c r="E2543" s="21"/>
      <c r="F2543" s="21" t="s">
        <v>10438</v>
      </c>
      <c r="G2543" s="21"/>
      <c r="H2543" s="54">
        <v>1570</v>
      </c>
      <c r="I2543" s="51"/>
      <c r="J2543" s="27"/>
      <c r="K2543" s="27"/>
      <c r="L2543" s="15"/>
      <c r="M2543" s="15"/>
      <c r="N2543" s="4">
        <v>107</v>
      </c>
      <c r="O2543" s="4"/>
    </row>
    <row r="2544" spans="1:15" x14ac:dyDescent="0.2">
      <c r="A2544" s="2">
        <v>10039976</v>
      </c>
      <c r="B2544" s="2" t="s">
        <v>3931</v>
      </c>
      <c r="C2544" s="5" t="s">
        <v>6385</v>
      </c>
      <c r="D2544" s="21">
        <v>12</v>
      </c>
      <c r="E2544" s="21"/>
      <c r="F2544" s="21" t="s">
        <v>10438</v>
      </c>
      <c r="G2544" s="21"/>
      <c r="H2544" s="54">
        <v>8826</v>
      </c>
      <c r="I2544" s="51">
        <v>7944</v>
      </c>
      <c r="J2544" s="27"/>
      <c r="K2544" s="27"/>
      <c r="L2544" s="15"/>
      <c r="M2544" s="15"/>
      <c r="N2544" s="4"/>
      <c r="O2544" s="4" t="s">
        <v>10457</v>
      </c>
    </row>
    <row r="2545" spans="1:15" x14ac:dyDescent="0.2">
      <c r="A2545" s="2">
        <v>10019081</v>
      </c>
      <c r="B2545" s="2" t="s">
        <v>423</v>
      </c>
      <c r="C2545" s="5" t="s">
        <v>6025</v>
      </c>
      <c r="D2545" s="21">
        <v>9</v>
      </c>
      <c r="E2545" s="21"/>
      <c r="F2545" s="21" t="s">
        <v>10438</v>
      </c>
      <c r="G2545" s="21"/>
      <c r="H2545" s="54">
        <v>3028</v>
      </c>
      <c r="I2545" s="51">
        <v>2726</v>
      </c>
      <c r="J2545" s="27">
        <v>10</v>
      </c>
      <c r="K2545" s="27"/>
      <c r="L2545" s="15"/>
      <c r="M2545" s="15"/>
      <c r="N2545" s="4" t="s">
        <v>10713</v>
      </c>
      <c r="O2545" s="4" t="s">
        <v>10457</v>
      </c>
    </row>
    <row r="2546" spans="1:15" x14ac:dyDescent="0.2">
      <c r="A2546" s="2">
        <v>10041629</v>
      </c>
      <c r="B2546" s="2" t="s">
        <v>5488</v>
      </c>
      <c r="C2546" s="5" t="s">
        <v>9423</v>
      </c>
      <c r="D2546" s="21">
        <v>7</v>
      </c>
      <c r="E2546" s="21">
        <v>7</v>
      </c>
      <c r="F2546" s="21" t="s">
        <v>10438</v>
      </c>
      <c r="G2546" s="21">
        <v>2</v>
      </c>
      <c r="H2546" s="54">
        <v>6040</v>
      </c>
      <c r="I2546" s="51">
        <v>5436</v>
      </c>
      <c r="J2546" s="27">
        <v>12</v>
      </c>
      <c r="K2546" s="27">
        <v>12</v>
      </c>
      <c r="L2546" s="15"/>
      <c r="M2546" s="15"/>
      <c r="N2546" s="4"/>
      <c r="O2546" s="4" t="s">
        <v>10448</v>
      </c>
    </row>
    <row r="2547" spans="1:15" x14ac:dyDescent="0.2">
      <c r="A2547" s="2">
        <v>10018895</v>
      </c>
      <c r="B2547" s="2" t="s">
        <v>351</v>
      </c>
      <c r="C2547" s="5" t="s">
        <v>5944</v>
      </c>
      <c r="D2547" s="21">
        <v>2</v>
      </c>
      <c r="E2547" s="21"/>
      <c r="F2547" s="21" t="s">
        <v>10438</v>
      </c>
      <c r="G2547" s="21"/>
      <c r="H2547" s="54">
        <v>11177</v>
      </c>
      <c r="I2547" s="51">
        <v>10060</v>
      </c>
      <c r="J2547" s="27"/>
      <c r="K2547" s="27"/>
      <c r="L2547" s="15"/>
      <c r="M2547" s="15">
        <v>5</v>
      </c>
      <c r="N2547" s="4"/>
      <c r="O2547" s="4" t="s">
        <v>10457</v>
      </c>
    </row>
    <row r="2548" spans="1:15" x14ac:dyDescent="0.2">
      <c r="A2548" s="2">
        <v>10019319</v>
      </c>
      <c r="B2548" s="2" t="s">
        <v>497</v>
      </c>
      <c r="C2548" s="5" t="s">
        <v>9411</v>
      </c>
      <c r="D2548" s="21">
        <v>9</v>
      </c>
      <c r="E2548" s="21"/>
      <c r="F2548" s="21" t="s">
        <v>10438</v>
      </c>
      <c r="G2548" s="21"/>
      <c r="H2548" s="54">
        <v>6210</v>
      </c>
      <c r="I2548" s="51">
        <v>5589</v>
      </c>
      <c r="J2548" s="27"/>
      <c r="K2548" s="27"/>
      <c r="L2548" s="15"/>
      <c r="M2548" s="15"/>
      <c r="N2548" s="4"/>
      <c r="O2548" s="4" t="s">
        <v>10457</v>
      </c>
    </row>
    <row r="2549" spans="1:15" x14ac:dyDescent="0.2">
      <c r="A2549" s="2">
        <v>40005764</v>
      </c>
      <c r="B2549" s="2" t="s">
        <v>1189</v>
      </c>
      <c r="C2549" s="5" t="s">
        <v>6901</v>
      </c>
      <c r="D2549" s="21">
        <v>1</v>
      </c>
      <c r="E2549" s="21"/>
      <c r="F2549" s="21" t="s">
        <v>10438</v>
      </c>
      <c r="G2549" s="21"/>
      <c r="H2549" s="54">
        <v>1085</v>
      </c>
      <c r="I2549" s="51"/>
      <c r="J2549" s="27"/>
      <c r="K2549" s="27"/>
      <c r="L2549" s="15"/>
      <c r="M2549" s="15"/>
      <c r="N2549" s="4" t="s">
        <v>4257</v>
      </c>
      <c r="O2549" s="4"/>
    </row>
    <row r="2550" spans="1:15" x14ac:dyDescent="0.2">
      <c r="A2550" s="2">
        <v>40005763</v>
      </c>
      <c r="B2550" s="2" t="s">
        <v>1188</v>
      </c>
      <c r="C2550" s="5" t="s">
        <v>6900</v>
      </c>
      <c r="D2550" s="21">
        <v>1</v>
      </c>
      <c r="E2550" s="21"/>
      <c r="F2550" s="21" t="s">
        <v>10438</v>
      </c>
      <c r="G2550" s="21"/>
      <c r="H2550" s="54">
        <v>985</v>
      </c>
      <c r="I2550" s="51"/>
      <c r="J2550" s="27"/>
      <c r="K2550" s="27"/>
      <c r="L2550" s="15"/>
      <c r="M2550" s="15"/>
      <c r="N2550" s="4" t="s">
        <v>4256</v>
      </c>
      <c r="O2550" s="4"/>
    </row>
    <row r="2551" spans="1:15" x14ac:dyDescent="0.2">
      <c r="A2551" s="2">
        <v>40005846</v>
      </c>
      <c r="B2551" s="2" t="s">
        <v>1263</v>
      </c>
      <c r="C2551" s="5" t="s">
        <v>6976</v>
      </c>
      <c r="D2551" s="21">
        <v>4</v>
      </c>
      <c r="E2551" s="21"/>
      <c r="F2551" s="21" t="s">
        <v>10438</v>
      </c>
      <c r="G2551" s="21"/>
      <c r="H2551" s="54">
        <v>204</v>
      </c>
      <c r="I2551" s="51"/>
      <c r="J2551" s="27"/>
      <c r="K2551" s="27"/>
      <c r="L2551" s="15"/>
      <c r="M2551" s="15"/>
      <c r="N2551" s="4" t="s">
        <v>4178</v>
      </c>
      <c r="O2551" s="4"/>
    </row>
    <row r="2552" spans="1:15" x14ac:dyDescent="0.2">
      <c r="A2552" s="2">
        <v>40005897</v>
      </c>
      <c r="B2552" s="2" t="s">
        <v>1311</v>
      </c>
      <c r="C2552" s="5" t="s">
        <v>7021</v>
      </c>
      <c r="D2552" s="21">
        <v>9</v>
      </c>
      <c r="E2552" s="21"/>
      <c r="F2552" s="21" t="s">
        <v>10438</v>
      </c>
      <c r="G2552" s="21"/>
      <c r="H2552" s="54">
        <v>170</v>
      </c>
      <c r="I2552" s="51"/>
      <c r="J2552" s="27"/>
      <c r="K2552" s="27"/>
      <c r="L2552" s="15"/>
      <c r="M2552" s="15"/>
      <c r="N2552" s="4" t="s">
        <v>4256</v>
      </c>
      <c r="O2552" s="4">
        <v>49</v>
      </c>
    </row>
    <row r="2553" spans="1:15" x14ac:dyDescent="0.2">
      <c r="A2553" s="2">
        <v>40005341</v>
      </c>
      <c r="B2553" s="2" t="s">
        <v>827</v>
      </c>
      <c r="C2553" s="5" t="s">
        <v>6545</v>
      </c>
      <c r="D2553" s="21">
        <v>1</v>
      </c>
      <c r="E2553" s="21"/>
      <c r="F2553" s="30">
        <v>1</v>
      </c>
      <c r="G2553" s="21"/>
      <c r="H2553" s="54">
        <v>325</v>
      </c>
      <c r="I2553" s="51"/>
      <c r="J2553" s="27"/>
      <c r="K2553" s="27"/>
      <c r="L2553" s="15"/>
      <c r="M2553" s="15"/>
      <c r="N2553" s="4" t="s">
        <v>4060</v>
      </c>
      <c r="O2553" s="4"/>
    </row>
    <row r="2554" spans="1:15" x14ac:dyDescent="0.2">
      <c r="A2554" s="2">
        <v>40005849</v>
      </c>
      <c r="B2554" s="2" t="s">
        <v>1265</v>
      </c>
      <c r="C2554" s="5" t="s">
        <v>6978</v>
      </c>
      <c r="D2554" s="21">
        <v>3</v>
      </c>
      <c r="E2554" s="21"/>
      <c r="F2554" s="21" t="s">
        <v>10438</v>
      </c>
      <c r="G2554" s="21"/>
      <c r="H2554" s="54">
        <v>3443</v>
      </c>
      <c r="I2554" s="51"/>
      <c r="J2554" s="27"/>
      <c r="K2554" s="27"/>
      <c r="L2554" s="15"/>
      <c r="M2554" s="15"/>
      <c r="N2554" s="4"/>
      <c r="O2554" s="4">
        <v>85</v>
      </c>
    </row>
    <row r="2555" spans="1:15" x14ac:dyDescent="0.2">
      <c r="A2555" s="2">
        <v>40007863</v>
      </c>
      <c r="B2555" s="2" t="s">
        <v>3020</v>
      </c>
      <c r="C2555" s="5" t="s">
        <v>8719</v>
      </c>
      <c r="D2555" s="21">
        <v>8</v>
      </c>
      <c r="E2555" s="21"/>
      <c r="F2555" s="21" t="s">
        <v>10438</v>
      </c>
      <c r="G2555" s="21"/>
      <c r="H2555" s="54">
        <v>239</v>
      </c>
      <c r="I2555" s="51"/>
      <c r="J2555" s="27"/>
      <c r="K2555" s="27"/>
      <c r="L2555" s="15"/>
      <c r="M2555" s="15"/>
      <c r="N2555" s="4"/>
      <c r="O2555" s="4">
        <v>91</v>
      </c>
    </row>
    <row r="2556" spans="1:15" x14ac:dyDescent="0.2">
      <c r="A2556" s="2">
        <v>40007159</v>
      </c>
      <c r="B2556" s="2" t="s">
        <v>2427</v>
      </c>
      <c r="C2556" s="5" t="s">
        <v>8129</v>
      </c>
      <c r="D2556" s="21">
        <v>1</v>
      </c>
      <c r="E2556" s="21"/>
      <c r="F2556" s="21" t="s">
        <v>10438</v>
      </c>
      <c r="G2556" s="21"/>
      <c r="H2556" s="54">
        <v>462</v>
      </c>
      <c r="I2556" s="51"/>
      <c r="J2556" s="27"/>
      <c r="K2556" s="27"/>
      <c r="L2556" s="15"/>
      <c r="M2556" s="15"/>
      <c r="N2556" s="4" t="s">
        <v>4851</v>
      </c>
      <c r="O2556" s="4"/>
    </row>
    <row r="2557" spans="1:15" x14ac:dyDescent="0.2">
      <c r="A2557" s="2">
        <v>40006535</v>
      </c>
      <c r="B2557" s="2" t="s">
        <v>1876</v>
      </c>
      <c r="C2557" s="5" t="s">
        <v>7584</v>
      </c>
      <c r="D2557" s="21">
        <v>4</v>
      </c>
      <c r="E2557" s="21"/>
      <c r="F2557" s="21" t="s">
        <v>10438</v>
      </c>
      <c r="G2557" s="21"/>
      <c r="H2557" s="54">
        <v>1101</v>
      </c>
      <c r="I2557" s="51"/>
      <c r="J2557" s="27"/>
      <c r="K2557" s="27"/>
      <c r="L2557" s="15"/>
      <c r="M2557" s="15"/>
      <c r="N2557" s="4"/>
      <c r="O2557" s="4" t="s">
        <v>10124</v>
      </c>
    </row>
    <row r="2558" spans="1:15" x14ac:dyDescent="0.2">
      <c r="A2558" s="2">
        <v>40005481</v>
      </c>
      <c r="B2558" s="2" t="s">
        <v>951</v>
      </c>
      <c r="C2558" s="5" t="s">
        <v>6673</v>
      </c>
      <c r="D2558" s="21">
        <v>1</v>
      </c>
      <c r="E2558" s="21"/>
      <c r="F2558" s="21" t="s">
        <v>10438</v>
      </c>
      <c r="G2558" s="21"/>
      <c r="H2558" s="54">
        <v>54</v>
      </c>
      <c r="I2558" s="51"/>
      <c r="J2558" s="27"/>
      <c r="K2558" s="27"/>
      <c r="L2558" s="15"/>
      <c r="M2558" s="15"/>
      <c r="N2558" s="4"/>
      <c r="O2558" s="4" t="s">
        <v>10148</v>
      </c>
    </row>
    <row r="2559" spans="1:15" x14ac:dyDescent="0.2">
      <c r="A2559" s="2">
        <v>40005496</v>
      </c>
      <c r="B2559" s="2" t="s">
        <v>965</v>
      </c>
      <c r="C2559" s="5" t="s">
        <v>6687</v>
      </c>
      <c r="D2559" s="21">
        <v>2</v>
      </c>
      <c r="E2559" s="21"/>
      <c r="F2559" s="21" t="s">
        <v>10438</v>
      </c>
      <c r="G2559" s="21"/>
      <c r="H2559" s="54">
        <v>4</v>
      </c>
      <c r="I2559" s="51"/>
      <c r="J2559" s="27"/>
      <c r="K2559" s="27"/>
      <c r="L2559" s="15"/>
      <c r="M2559" s="15"/>
      <c r="N2559" s="4" t="s">
        <v>4108</v>
      </c>
      <c r="O2559" s="4"/>
    </row>
    <row r="2560" spans="1:15" x14ac:dyDescent="0.2">
      <c r="A2560" s="2">
        <v>40005495</v>
      </c>
      <c r="B2560" s="2" t="s">
        <v>964</v>
      </c>
      <c r="C2560" s="5" t="s">
        <v>6686</v>
      </c>
      <c r="D2560" s="21">
        <v>1</v>
      </c>
      <c r="E2560" s="21"/>
      <c r="F2560" s="21" t="s">
        <v>10438</v>
      </c>
      <c r="G2560" s="21"/>
      <c r="H2560" s="54">
        <v>16</v>
      </c>
      <c r="I2560" s="51"/>
      <c r="J2560" s="27"/>
      <c r="K2560" s="27"/>
      <c r="L2560" s="15"/>
      <c r="M2560" s="15"/>
      <c r="N2560" s="4" t="s">
        <v>4133</v>
      </c>
      <c r="O2560" s="4"/>
    </row>
    <row r="2561" spans="1:15" x14ac:dyDescent="0.2">
      <c r="A2561" s="2">
        <v>40005497</v>
      </c>
      <c r="B2561" s="2" t="s">
        <v>966</v>
      </c>
      <c r="C2561" s="5" t="s">
        <v>6688</v>
      </c>
      <c r="D2561" s="21">
        <v>1</v>
      </c>
      <c r="E2561" s="21"/>
      <c r="F2561" s="21" t="s">
        <v>10438</v>
      </c>
      <c r="G2561" s="21"/>
      <c r="H2561" s="54">
        <v>16</v>
      </c>
      <c r="I2561" s="51"/>
      <c r="J2561" s="27"/>
      <c r="K2561" s="27"/>
      <c r="L2561" s="15"/>
      <c r="M2561" s="15"/>
      <c r="N2561" s="4"/>
      <c r="O2561" s="4" t="s">
        <v>10128</v>
      </c>
    </row>
    <row r="2562" spans="1:15" x14ac:dyDescent="0.2">
      <c r="A2562" s="2">
        <v>40007393</v>
      </c>
      <c r="B2562" s="2" t="s">
        <v>2620</v>
      </c>
      <c r="C2562" s="5" t="s">
        <v>8318</v>
      </c>
      <c r="D2562" s="21">
        <v>1</v>
      </c>
      <c r="E2562" s="21"/>
      <c r="F2562" s="30">
        <v>1</v>
      </c>
      <c r="G2562" s="21"/>
      <c r="H2562" s="54">
        <v>230</v>
      </c>
      <c r="I2562" s="51"/>
      <c r="J2562" s="27"/>
      <c r="K2562" s="27"/>
      <c r="L2562" s="15"/>
      <c r="M2562" s="15">
        <v>4</v>
      </c>
      <c r="N2562" s="4" t="s">
        <v>4940</v>
      </c>
      <c r="O2562" s="4" t="s">
        <v>10322</v>
      </c>
    </row>
    <row r="2563" spans="1:15" x14ac:dyDescent="0.2">
      <c r="A2563" s="2">
        <v>40008050</v>
      </c>
      <c r="B2563" s="2" t="s">
        <v>3185</v>
      </c>
      <c r="C2563" s="5" t="s">
        <v>8880</v>
      </c>
      <c r="D2563" s="21">
        <v>7</v>
      </c>
      <c r="E2563" s="21"/>
      <c r="F2563" s="21" t="s">
        <v>10438</v>
      </c>
      <c r="G2563" s="21"/>
      <c r="H2563" s="54">
        <v>140</v>
      </c>
      <c r="I2563" s="51"/>
      <c r="J2563" s="27"/>
      <c r="K2563" s="27"/>
      <c r="L2563" s="15"/>
      <c r="M2563" s="15"/>
      <c r="N2563" s="4" t="s">
        <v>5177</v>
      </c>
      <c r="O2563" s="4">
        <v>87</v>
      </c>
    </row>
    <row r="2564" spans="1:15" x14ac:dyDescent="0.2">
      <c r="A2564" s="2">
        <v>40008051</v>
      </c>
      <c r="B2564" s="2" t="s">
        <v>3186</v>
      </c>
      <c r="C2564" s="5" t="s">
        <v>8881</v>
      </c>
      <c r="D2564" s="21">
        <v>13</v>
      </c>
      <c r="E2564" s="21"/>
      <c r="F2564" s="21" t="s">
        <v>10438</v>
      </c>
      <c r="G2564" s="21"/>
      <c r="H2564" s="54">
        <v>63</v>
      </c>
      <c r="I2564" s="51"/>
      <c r="J2564" s="27"/>
      <c r="K2564" s="27"/>
      <c r="L2564" s="15"/>
      <c r="M2564" s="15"/>
      <c r="N2564" s="4" t="s">
        <v>4645</v>
      </c>
      <c r="O2564" s="4">
        <v>78</v>
      </c>
    </row>
    <row r="2565" spans="1:15" x14ac:dyDescent="0.2">
      <c r="A2565" s="2">
        <v>40006694</v>
      </c>
      <c r="B2565" s="2" t="s">
        <v>2012</v>
      </c>
      <c r="C2565" s="5" t="s">
        <v>7721</v>
      </c>
      <c r="D2565" s="21">
        <v>5</v>
      </c>
      <c r="E2565" s="21"/>
      <c r="F2565" s="21" t="s">
        <v>10438</v>
      </c>
      <c r="G2565" s="21"/>
      <c r="H2565" s="54">
        <v>86</v>
      </c>
      <c r="I2565" s="51"/>
      <c r="J2565" s="27"/>
      <c r="K2565" s="27"/>
      <c r="L2565" s="15"/>
      <c r="M2565" s="15"/>
      <c r="N2565" s="4"/>
      <c r="O2565" s="4">
        <v>89</v>
      </c>
    </row>
    <row r="2566" spans="1:15" x14ac:dyDescent="0.2">
      <c r="A2566" s="2">
        <v>40006301</v>
      </c>
      <c r="B2566" s="2" t="s">
        <v>3680</v>
      </c>
      <c r="C2566" s="5" t="s">
        <v>7381</v>
      </c>
      <c r="D2566" s="21">
        <v>1</v>
      </c>
      <c r="E2566" s="21"/>
      <c r="F2566" s="21" t="s">
        <v>10438</v>
      </c>
      <c r="G2566" s="21"/>
      <c r="H2566" s="54">
        <v>359</v>
      </c>
      <c r="I2566" s="51"/>
      <c r="J2566" s="27"/>
      <c r="K2566" s="27"/>
      <c r="L2566" s="15"/>
      <c r="M2566" s="15"/>
      <c r="N2566" s="4"/>
      <c r="O2566" s="4">
        <v>84</v>
      </c>
    </row>
    <row r="2567" spans="1:15" x14ac:dyDescent="0.2">
      <c r="A2567" s="2">
        <v>40008112</v>
      </c>
      <c r="B2567" s="2" t="s">
        <v>3237</v>
      </c>
      <c r="C2567" s="5" t="s">
        <v>8933</v>
      </c>
      <c r="D2567" s="21">
        <v>1</v>
      </c>
      <c r="E2567" s="21"/>
      <c r="F2567" s="21" t="s">
        <v>10438</v>
      </c>
      <c r="G2567" s="21"/>
      <c r="H2567" s="54">
        <v>600</v>
      </c>
      <c r="I2567" s="51"/>
      <c r="J2567" s="27"/>
      <c r="K2567" s="27"/>
      <c r="L2567" s="15"/>
      <c r="M2567" s="15"/>
      <c r="N2567" s="4"/>
      <c r="O2567" s="4">
        <v>84</v>
      </c>
    </row>
    <row r="2568" spans="1:15" x14ac:dyDescent="0.2">
      <c r="A2568" s="2">
        <v>40005586</v>
      </c>
      <c r="B2568" s="2" t="s">
        <v>1034</v>
      </c>
      <c r="C2568" s="5" t="s">
        <v>6760</v>
      </c>
      <c r="D2568" s="21">
        <v>2</v>
      </c>
      <c r="E2568" s="21"/>
      <c r="F2568" s="21" t="s">
        <v>10438</v>
      </c>
      <c r="G2568" s="21"/>
      <c r="H2568" s="54">
        <v>536</v>
      </c>
      <c r="I2568" s="51"/>
      <c r="J2568" s="27"/>
      <c r="K2568" s="27"/>
      <c r="L2568" s="15"/>
      <c r="M2568" s="15"/>
      <c r="N2568" s="4"/>
      <c r="O2568" s="4">
        <v>83</v>
      </c>
    </row>
    <row r="2569" spans="1:15" x14ac:dyDescent="0.2">
      <c r="A2569" s="2">
        <v>40006157</v>
      </c>
      <c r="B2569" s="2" t="s">
        <v>1544</v>
      </c>
      <c r="C2569" s="5" t="s">
        <v>7250</v>
      </c>
      <c r="D2569" s="21">
        <v>3</v>
      </c>
      <c r="E2569" s="21"/>
      <c r="F2569" s="21" t="s">
        <v>10438</v>
      </c>
      <c r="G2569" s="21"/>
      <c r="H2569" s="54">
        <v>742</v>
      </c>
      <c r="I2569" s="51"/>
      <c r="J2569" s="27"/>
      <c r="K2569" s="27"/>
      <c r="L2569" s="15"/>
      <c r="M2569" s="15"/>
      <c r="N2569" s="4"/>
      <c r="O2569" s="4" t="s">
        <v>10327</v>
      </c>
    </row>
    <row r="2570" spans="1:15" x14ac:dyDescent="0.2">
      <c r="A2570" s="2">
        <v>40008105</v>
      </c>
      <c r="B2570" s="2" t="s">
        <v>3232</v>
      </c>
      <c r="C2570" s="5" t="s">
        <v>8928</v>
      </c>
      <c r="D2570" s="21">
        <v>1</v>
      </c>
      <c r="E2570" s="21"/>
      <c r="F2570" s="21" t="s">
        <v>10438</v>
      </c>
      <c r="G2570" s="21"/>
      <c r="H2570" s="54">
        <v>444</v>
      </c>
      <c r="I2570" s="51"/>
      <c r="J2570" s="27"/>
      <c r="K2570" s="27"/>
      <c r="L2570" s="15"/>
      <c r="M2570" s="15"/>
      <c r="N2570" s="4"/>
      <c r="O2570" s="4" t="s">
        <v>10241</v>
      </c>
    </row>
    <row r="2571" spans="1:15" x14ac:dyDescent="0.2">
      <c r="A2571" s="2">
        <v>40005479</v>
      </c>
      <c r="B2571" s="2" t="s">
        <v>950</v>
      </c>
      <c r="C2571" s="5" t="s">
        <v>6672</v>
      </c>
      <c r="D2571" s="21">
        <v>1</v>
      </c>
      <c r="E2571" s="21"/>
      <c r="F2571" s="21" t="s">
        <v>10438</v>
      </c>
      <c r="G2571" s="21"/>
      <c r="H2571" s="54">
        <v>58</v>
      </c>
      <c r="I2571" s="51"/>
      <c r="J2571" s="27"/>
      <c r="K2571" s="27"/>
      <c r="L2571" s="15"/>
      <c r="M2571" s="15"/>
      <c r="N2571" s="4"/>
      <c r="O2571" s="4" t="s">
        <v>10351</v>
      </c>
    </row>
    <row r="2572" spans="1:15" x14ac:dyDescent="0.2">
      <c r="A2572" s="2">
        <v>40005388</v>
      </c>
      <c r="B2572" s="2" t="s">
        <v>865</v>
      </c>
      <c r="C2572" s="5" t="s">
        <v>6587</v>
      </c>
      <c r="D2572" s="21">
        <v>3</v>
      </c>
      <c r="E2572" s="21"/>
      <c r="F2572" s="21" t="s">
        <v>10438</v>
      </c>
      <c r="G2572" s="21"/>
      <c r="H2572" s="54">
        <v>95</v>
      </c>
      <c r="I2572" s="51"/>
      <c r="J2572" s="27"/>
      <c r="K2572" s="27"/>
      <c r="L2572" s="15"/>
      <c r="M2572" s="15"/>
      <c r="N2572" s="4"/>
      <c r="O2572" s="4" t="s">
        <v>10149</v>
      </c>
    </row>
    <row r="2573" spans="1:15" x14ac:dyDescent="0.2">
      <c r="A2573" s="2">
        <v>40007174</v>
      </c>
      <c r="B2573" s="2" t="s">
        <v>2441</v>
      </c>
      <c r="C2573" s="5" t="s">
        <v>8143</v>
      </c>
      <c r="D2573" s="21">
        <v>9</v>
      </c>
      <c r="E2573" s="21"/>
      <c r="F2573" s="21" t="s">
        <v>10438</v>
      </c>
      <c r="G2573" s="21"/>
      <c r="H2573" s="54">
        <v>59</v>
      </c>
      <c r="I2573" s="51"/>
      <c r="J2573" s="27"/>
      <c r="K2573" s="27"/>
      <c r="L2573" s="15"/>
      <c r="M2573" s="15"/>
      <c r="N2573" s="4">
        <v>108</v>
      </c>
      <c r="O2573" s="4">
        <v>92</v>
      </c>
    </row>
    <row r="2574" spans="1:15" x14ac:dyDescent="0.2">
      <c r="A2574" s="2">
        <v>40008052</v>
      </c>
      <c r="B2574" s="2" t="s">
        <v>3187</v>
      </c>
      <c r="C2574" s="5" t="s">
        <v>8882</v>
      </c>
      <c r="D2574" s="21">
        <v>3</v>
      </c>
      <c r="E2574" s="21"/>
      <c r="F2574" s="21" t="s">
        <v>10438</v>
      </c>
      <c r="G2574" s="21"/>
      <c r="H2574" s="54">
        <v>80</v>
      </c>
      <c r="I2574" s="51"/>
      <c r="J2574" s="27"/>
      <c r="K2574" s="27"/>
      <c r="L2574" s="15"/>
      <c r="M2574" s="15"/>
      <c r="N2574" s="4" t="s">
        <v>5178</v>
      </c>
      <c r="O2574" s="4"/>
    </row>
    <row r="2575" spans="1:15" x14ac:dyDescent="0.2">
      <c r="A2575" s="2">
        <v>40010979</v>
      </c>
      <c r="B2575" s="2" t="s">
        <v>3589</v>
      </c>
      <c r="C2575" s="5" t="s">
        <v>9309</v>
      </c>
      <c r="D2575" s="21">
        <v>6</v>
      </c>
      <c r="E2575" s="21"/>
      <c r="F2575" s="21" t="s">
        <v>10438</v>
      </c>
      <c r="G2575" s="21"/>
      <c r="H2575" s="54">
        <v>71</v>
      </c>
      <c r="I2575" s="51"/>
      <c r="J2575" s="27"/>
      <c r="K2575" s="27"/>
      <c r="L2575" s="15"/>
      <c r="M2575" s="15"/>
      <c r="N2575" s="4" t="s">
        <v>4083</v>
      </c>
      <c r="O2575" s="4"/>
    </row>
    <row r="2576" spans="1:15" x14ac:dyDescent="0.2">
      <c r="A2576" s="2">
        <v>40005958</v>
      </c>
      <c r="B2576" s="2" t="s">
        <v>1365</v>
      </c>
      <c r="C2576" s="5" t="s">
        <v>7071</v>
      </c>
      <c r="D2576" s="21">
        <v>1</v>
      </c>
      <c r="E2576" s="21"/>
      <c r="F2576" s="21" t="s">
        <v>10438</v>
      </c>
      <c r="G2576" s="21"/>
      <c r="H2576" s="54">
        <v>57</v>
      </c>
      <c r="I2576" s="51"/>
      <c r="J2576" s="27"/>
      <c r="K2576" s="27"/>
      <c r="L2576" s="15"/>
      <c r="M2576" s="15"/>
      <c r="N2576" s="4"/>
      <c r="O2576" s="4">
        <v>92</v>
      </c>
    </row>
    <row r="2577" spans="1:15" x14ac:dyDescent="0.2">
      <c r="A2577" s="2">
        <v>40006990</v>
      </c>
      <c r="B2577" s="2" t="s">
        <v>2277</v>
      </c>
      <c r="C2577" s="5" t="s">
        <v>7985</v>
      </c>
      <c r="D2577" s="21">
        <v>5</v>
      </c>
      <c r="E2577" s="21"/>
      <c r="F2577" s="21" t="s">
        <v>10438</v>
      </c>
      <c r="G2577" s="21"/>
      <c r="H2577" s="54">
        <v>117</v>
      </c>
      <c r="I2577" s="51"/>
      <c r="J2577" s="27"/>
      <c r="K2577" s="27"/>
      <c r="L2577" s="15"/>
      <c r="M2577" s="15"/>
      <c r="N2577" s="4" t="s">
        <v>4781</v>
      </c>
      <c r="O2577" s="4"/>
    </row>
    <row r="2578" spans="1:15" x14ac:dyDescent="0.2">
      <c r="A2578" s="2">
        <v>40011147</v>
      </c>
      <c r="B2578" s="2" t="s">
        <v>5406</v>
      </c>
      <c r="C2578" s="5" t="s">
        <v>9327</v>
      </c>
      <c r="D2578" s="21">
        <v>1</v>
      </c>
      <c r="E2578" s="21"/>
      <c r="F2578" s="21" t="s">
        <v>10438</v>
      </c>
      <c r="G2578" s="21"/>
      <c r="H2578" s="54">
        <v>199</v>
      </c>
      <c r="I2578" s="51"/>
      <c r="J2578" s="27"/>
      <c r="K2578" s="27"/>
      <c r="L2578" s="15"/>
      <c r="M2578" s="15"/>
      <c r="N2578" s="4" t="s">
        <v>4586</v>
      </c>
      <c r="O2578" s="4">
        <v>64</v>
      </c>
    </row>
    <row r="2579" spans="1:15" x14ac:dyDescent="0.2">
      <c r="A2579" s="2">
        <v>40006803</v>
      </c>
      <c r="B2579" s="2" t="s">
        <v>2102</v>
      </c>
      <c r="C2579" s="5" t="s">
        <v>7811</v>
      </c>
      <c r="D2579" s="21">
        <v>2</v>
      </c>
      <c r="E2579" s="21"/>
      <c r="F2579" s="21" t="s">
        <v>10438</v>
      </c>
      <c r="G2579" s="21"/>
      <c r="H2579" s="54">
        <v>845</v>
      </c>
      <c r="I2579" s="51"/>
      <c r="J2579" s="27"/>
      <c r="K2579" s="27"/>
      <c r="L2579" s="15"/>
      <c r="M2579" s="15"/>
      <c r="N2579" s="4" t="s">
        <v>4689</v>
      </c>
      <c r="O2579" s="4">
        <v>83</v>
      </c>
    </row>
    <row r="2580" spans="1:15" x14ac:dyDescent="0.2">
      <c r="A2580" s="2">
        <v>40007433</v>
      </c>
      <c r="B2580" s="2" t="s">
        <v>2653</v>
      </c>
      <c r="C2580" s="5" t="s">
        <v>8351</v>
      </c>
      <c r="D2580" s="21">
        <v>7</v>
      </c>
      <c r="E2580" s="21"/>
      <c r="F2580" s="30">
        <v>1</v>
      </c>
      <c r="G2580" s="21"/>
      <c r="H2580" s="54">
        <v>214</v>
      </c>
      <c r="I2580" s="51"/>
      <c r="J2580" s="27"/>
      <c r="K2580" s="27"/>
      <c r="L2580" s="15"/>
      <c r="M2580" s="15"/>
      <c r="N2580" s="4" t="s">
        <v>4940</v>
      </c>
      <c r="O2580" s="4">
        <v>79</v>
      </c>
    </row>
    <row r="2581" spans="1:15" x14ac:dyDescent="0.2">
      <c r="A2581" s="2">
        <v>40010978</v>
      </c>
      <c r="B2581" s="2" t="s">
        <v>3588</v>
      </c>
      <c r="C2581" s="5" t="s">
        <v>9308</v>
      </c>
      <c r="D2581" s="21">
        <v>2</v>
      </c>
      <c r="E2581" s="21"/>
      <c r="F2581" s="21" t="s">
        <v>10438</v>
      </c>
      <c r="G2581" s="21"/>
      <c r="H2581" s="54">
        <v>55</v>
      </c>
      <c r="I2581" s="51"/>
      <c r="J2581" s="27"/>
      <c r="K2581" s="27"/>
      <c r="L2581" s="15"/>
      <c r="M2581" s="15"/>
      <c r="N2581" s="4"/>
      <c r="O2581" s="4">
        <v>19</v>
      </c>
    </row>
    <row r="2582" spans="1:15" x14ac:dyDescent="0.2">
      <c r="A2582" s="2">
        <v>40005643</v>
      </c>
      <c r="B2582" s="2" t="s">
        <v>1083</v>
      </c>
      <c r="C2582" s="5" t="s">
        <v>6802</v>
      </c>
      <c r="D2582" s="21">
        <v>6</v>
      </c>
      <c r="E2582" s="21"/>
      <c r="F2582" s="21" t="s">
        <v>10438</v>
      </c>
      <c r="G2582" s="21"/>
      <c r="H2582" s="54">
        <v>193</v>
      </c>
      <c r="I2582" s="51"/>
      <c r="J2582" s="27"/>
      <c r="K2582" s="27"/>
      <c r="L2582" s="15"/>
      <c r="M2582" s="15"/>
      <c r="N2582" s="4"/>
      <c r="O2582" s="4">
        <v>89</v>
      </c>
    </row>
    <row r="2583" spans="1:15" x14ac:dyDescent="0.2">
      <c r="A2583" s="2">
        <v>40006549</v>
      </c>
      <c r="B2583" s="2" t="s">
        <v>1889</v>
      </c>
      <c r="C2583" s="5" t="s">
        <v>7597</v>
      </c>
      <c r="D2583" s="21">
        <v>1</v>
      </c>
      <c r="E2583" s="21"/>
      <c r="F2583" s="21" t="s">
        <v>10438</v>
      </c>
      <c r="G2583" s="21"/>
      <c r="H2583" s="54">
        <v>82</v>
      </c>
      <c r="I2583" s="51"/>
      <c r="J2583" s="27"/>
      <c r="K2583" s="27"/>
      <c r="L2583" s="15"/>
      <c r="M2583" s="15"/>
      <c r="N2583" s="4"/>
      <c r="O2583" s="4" t="s">
        <v>10351</v>
      </c>
    </row>
    <row r="2584" spans="1:15" x14ac:dyDescent="0.2">
      <c r="A2584" s="2">
        <v>40011195</v>
      </c>
      <c r="B2584" s="2" t="s">
        <v>3765</v>
      </c>
      <c r="C2584" s="5" t="s">
        <v>9340</v>
      </c>
      <c r="D2584" s="21">
        <v>8</v>
      </c>
      <c r="E2584" s="21"/>
      <c r="F2584" s="21" t="s">
        <v>10438</v>
      </c>
      <c r="G2584" s="21"/>
      <c r="H2584" s="54">
        <v>166</v>
      </c>
      <c r="I2584" s="51"/>
      <c r="J2584" s="27"/>
      <c r="K2584" s="27"/>
      <c r="L2584" s="15"/>
      <c r="M2584" s="15"/>
      <c r="N2584" s="4"/>
      <c r="O2584" s="4" t="s">
        <v>10378</v>
      </c>
    </row>
    <row r="2585" spans="1:15" x14ac:dyDescent="0.2">
      <c r="A2585" s="2">
        <v>40007525</v>
      </c>
      <c r="B2585" s="2" t="s">
        <v>2730</v>
      </c>
      <c r="C2585" s="5" t="s">
        <v>8433</v>
      </c>
      <c r="D2585" s="21"/>
      <c r="E2585" s="21"/>
      <c r="F2585" s="21" t="s">
        <v>10438</v>
      </c>
      <c r="G2585" s="21"/>
      <c r="H2585" s="54">
        <v>191</v>
      </c>
      <c r="I2585" s="51"/>
      <c r="J2585" s="27"/>
      <c r="K2585" s="27"/>
      <c r="L2585" s="15">
        <v>1</v>
      </c>
      <c r="M2585" s="15">
        <v>5</v>
      </c>
      <c r="N2585" s="4" t="s">
        <v>4986</v>
      </c>
      <c r="O2585" s="4" t="s">
        <v>10082</v>
      </c>
    </row>
    <row r="2586" spans="1:15" x14ac:dyDescent="0.2">
      <c r="A2586" s="2">
        <v>40007711</v>
      </c>
      <c r="B2586" s="2" t="s">
        <v>2887</v>
      </c>
      <c r="C2586" s="5" t="s">
        <v>8585</v>
      </c>
      <c r="D2586" s="21">
        <v>7</v>
      </c>
      <c r="E2586" s="21"/>
      <c r="F2586" s="21" t="s">
        <v>10438</v>
      </c>
      <c r="G2586" s="21"/>
      <c r="H2586" s="54">
        <v>221</v>
      </c>
      <c r="I2586" s="51"/>
      <c r="J2586" s="27"/>
      <c r="K2586" s="27"/>
      <c r="L2586" s="15"/>
      <c r="M2586" s="15"/>
      <c r="N2586" s="4" t="s">
        <v>4391</v>
      </c>
      <c r="O2586" s="4"/>
    </row>
    <row r="2587" spans="1:15" x14ac:dyDescent="0.2">
      <c r="A2587" s="2">
        <v>40011238</v>
      </c>
      <c r="B2587" s="2" t="s">
        <v>3866</v>
      </c>
      <c r="C2587" s="5" t="s">
        <v>9365</v>
      </c>
      <c r="D2587" s="21">
        <v>1</v>
      </c>
      <c r="E2587" s="21"/>
      <c r="F2587" s="21" t="s">
        <v>10438</v>
      </c>
      <c r="G2587" s="21"/>
      <c r="H2587" s="54">
        <v>145</v>
      </c>
      <c r="I2587" s="51"/>
      <c r="J2587" s="27"/>
      <c r="K2587" s="27"/>
      <c r="L2587" s="15"/>
      <c r="M2587" s="15"/>
      <c r="N2587" s="4"/>
      <c r="O2587" s="4" t="s">
        <v>10376</v>
      </c>
    </row>
    <row r="2588" spans="1:15" x14ac:dyDescent="0.2">
      <c r="A2588" s="2">
        <v>40006573</v>
      </c>
      <c r="B2588" s="2" t="s">
        <v>1910</v>
      </c>
      <c r="C2588" s="5" t="s">
        <v>7618</v>
      </c>
      <c r="D2588" s="21">
        <v>1</v>
      </c>
      <c r="E2588" s="21"/>
      <c r="F2588" s="21" t="s">
        <v>10438</v>
      </c>
      <c r="G2588" s="21"/>
      <c r="H2588" s="54">
        <v>64</v>
      </c>
      <c r="I2588" s="51"/>
      <c r="J2588" s="27"/>
      <c r="K2588" s="27"/>
      <c r="L2588" s="15"/>
      <c r="M2588" s="15"/>
      <c r="N2588" s="4"/>
      <c r="O2588" s="4" t="s">
        <v>10351</v>
      </c>
    </row>
    <row r="2589" spans="1:15" x14ac:dyDescent="0.2">
      <c r="A2589" s="2">
        <v>40011154</v>
      </c>
      <c r="B2589" s="2" t="s">
        <v>3598</v>
      </c>
      <c r="C2589" s="5" t="s">
        <v>9332</v>
      </c>
      <c r="D2589" s="21">
        <v>1</v>
      </c>
      <c r="E2589" s="21"/>
      <c r="F2589" s="21" t="s">
        <v>10438</v>
      </c>
      <c r="G2589" s="21"/>
      <c r="H2589" s="54">
        <v>124</v>
      </c>
      <c r="I2589" s="51"/>
      <c r="J2589" s="27"/>
      <c r="K2589" s="27"/>
      <c r="L2589" s="15"/>
      <c r="M2589" s="15"/>
      <c r="N2589" s="4"/>
      <c r="O2589" s="4">
        <v>64</v>
      </c>
    </row>
    <row r="2590" spans="1:15" x14ac:dyDescent="0.2">
      <c r="A2590" s="2">
        <v>40005465</v>
      </c>
      <c r="B2590" s="2" t="s">
        <v>937</v>
      </c>
      <c r="C2590" s="5" t="s">
        <v>6659</v>
      </c>
      <c r="D2590" s="21">
        <v>1</v>
      </c>
      <c r="E2590" s="21"/>
      <c r="F2590" s="21" t="s">
        <v>10438</v>
      </c>
      <c r="G2590" s="21"/>
      <c r="H2590" s="54">
        <v>51</v>
      </c>
      <c r="I2590" s="51"/>
      <c r="J2590" s="27"/>
      <c r="K2590" s="27"/>
      <c r="L2590" s="15"/>
      <c r="M2590" s="15"/>
      <c r="N2590" s="4"/>
      <c r="O2590" s="4" t="s">
        <v>10351</v>
      </c>
    </row>
    <row r="2591" spans="1:15" x14ac:dyDescent="0.2">
      <c r="A2591" s="2">
        <v>40005812</v>
      </c>
      <c r="B2591" s="2" t="s">
        <v>1233</v>
      </c>
      <c r="C2591" s="5" t="s">
        <v>6946</v>
      </c>
      <c r="D2591" s="21">
        <v>1</v>
      </c>
      <c r="E2591" s="21"/>
      <c r="F2591" s="21" t="s">
        <v>10438</v>
      </c>
      <c r="G2591" s="21"/>
      <c r="H2591" s="54">
        <v>135</v>
      </c>
      <c r="I2591" s="51"/>
      <c r="J2591" s="27"/>
      <c r="K2591" s="27"/>
      <c r="L2591" s="15"/>
      <c r="M2591" s="15"/>
      <c r="N2591" s="4" t="s">
        <v>4274</v>
      </c>
      <c r="O2591" s="4"/>
    </row>
    <row r="2592" spans="1:15" x14ac:dyDescent="0.2">
      <c r="A2592" s="2">
        <v>40005515</v>
      </c>
      <c r="B2592" s="2" t="s">
        <v>979</v>
      </c>
      <c r="C2592" s="5" t="s">
        <v>6701</v>
      </c>
      <c r="D2592" s="21">
        <v>1</v>
      </c>
      <c r="E2592" s="21"/>
      <c r="F2592" s="21" t="s">
        <v>10438</v>
      </c>
      <c r="G2592" s="21"/>
      <c r="H2592" s="54">
        <v>255</v>
      </c>
      <c r="I2592" s="51"/>
      <c r="J2592" s="27"/>
      <c r="K2592" s="27"/>
      <c r="L2592" s="15"/>
      <c r="M2592" s="15"/>
      <c r="N2592" s="4"/>
      <c r="O2592" s="4" t="s">
        <v>10351</v>
      </c>
    </row>
    <row r="2593" spans="1:15" x14ac:dyDescent="0.2">
      <c r="A2593" s="2">
        <v>40005876</v>
      </c>
      <c r="B2593" s="2" t="s">
        <v>1292</v>
      </c>
      <c r="C2593" s="5" t="s">
        <v>7002</v>
      </c>
      <c r="D2593" s="21">
        <v>1</v>
      </c>
      <c r="E2593" s="21"/>
      <c r="F2593" s="21" t="s">
        <v>10438</v>
      </c>
      <c r="G2593" s="21"/>
      <c r="H2593" s="54">
        <v>52</v>
      </c>
      <c r="I2593" s="51"/>
      <c r="J2593" s="27"/>
      <c r="K2593" s="27"/>
      <c r="L2593" s="15"/>
      <c r="M2593" s="15"/>
      <c r="N2593" s="4" t="s">
        <v>4301</v>
      </c>
      <c r="O2593" s="4"/>
    </row>
    <row r="2594" spans="1:15" x14ac:dyDescent="0.2">
      <c r="A2594" s="2">
        <v>40007710</v>
      </c>
      <c r="B2594" s="2" t="s">
        <v>2886</v>
      </c>
      <c r="C2594" s="5" t="s">
        <v>8584</v>
      </c>
      <c r="D2594" s="21">
        <v>1</v>
      </c>
      <c r="E2594" s="21"/>
      <c r="F2594" s="21" t="s">
        <v>10438</v>
      </c>
      <c r="G2594" s="21"/>
      <c r="H2594" s="54">
        <v>335</v>
      </c>
      <c r="I2594" s="51"/>
      <c r="J2594" s="27"/>
      <c r="K2594" s="27"/>
      <c r="L2594" s="15"/>
      <c r="M2594" s="15"/>
      <c r="N2594" s="4" t="s">
        <v>4740</v>
      </c>
      <c r="O2594" s="4"/>
    </row>
    <row r="2595" spans="1:15" x14ac:dyDescent="0.2">
      <c r="A2595" s="2">
        <v>40006585</v>
      </c>
      <c r="B2595" s="2" t="s">
        <v>1922</v>
      </c>
      <c r="C2595" s="5" t="s">
        <v>7630</v>
      </c>
      <c r="D2595" s="21">
        <v>12</v>
      </c>
      <c r="E2595" s="21"/>
      <c r="F2595" s="21" t="s">
        <v>10438</v>
      </c>
      <c r="G2595" s="21"/>
      <c r="H2595" s="54">
        <v>154</v>
      </c>
      <c r="I2595" s="51"/>
      <c r="J2595" s="27"/>
      <c r="K2595" s="27"/>
      <c r="L2595" s="15"/>
      <c r="M2595" s="15"/>
      <c r="N2595" s="4"/>
      <c r="O2595" s="4">
        <v>20</v>
      </c>
    </row>
    <row r="2596" spans="1:15" x14ac:dyDescent="0.2">
      <c r="A2596" s="2">
        <v>40006273</v>
      </c>
      <c r="B2596" s="2" t="s">
        <v>1647</v>
      </c>
      <c r="C2596" s="5" t="s">
        <v>7354</v>
      </c>
      <c r="D2596" s="21">
        <v>1</v>
      </c>
      <c r="E2596" s="21"/>
      <c r="F2596" s="21" t="s">
        <v>10438</v>
      </c>
      <c r="G2596" s="21"/>
      <c r="H2596" s="54">
        <v>44</v>
      </c>
      <c r="I2596" s="51"/>
      <c r="J2596" s="27"/>
      <c r="K2596" s="27"/>
      <c r="L2596" s="15"/>
      <c r="M2596" s="15"/>
      <c r="N2596" s="4"/>
      <c r="O2596" s="4">
        <v>78</v>
      </c>
    </row>
    <row r="2597" spans="1:15" x14ac:dyDescent="0.2">
      <c r="A2597" s="2">
        <v>40006593</v>
      </c>
      <c r="B2597" s="2" t="s">
        <v>1930</v>
      </c>
      <c r="C2597" s="5" t="s">
        <v>7638</v>
      </c>
      <c r="D2597" s="21">
        <v>2</v>
      </c>
      <c r="E2597" s="21"/>
      <c r="F2597" s="21" t="s">
        <v>10438</v>
      </c>
      <c r="G2597" s="21"/>
      <c r="H2597" s="54">
        <v>299</v>
      </c>
      <c r="I2597" s="51"/>
      <c r="J2597" s="27"/>
      <c r="K2597" s="27"/>
      <c r="L2597" s="15"/>
      <c r="M2597" s="15"/>
      <c r="N2597" s="4"/>
      <c r="O2597" s="4">
        <v>20</v>
      </c>
    </row>
    <row r="2598" spans="1:15" x14ac:dyDescent="0.2">
      <c r="A2598" s="2">
        <v>40006039</v>
      </c>
      <c r="B2598" s="2" t="s">
        <v>1440</v>
      </c>
      <c r="C2598" s="5" t="s">
        <v>7142</v>
      </c>
      <c r="D2598" s="21">
        <v>1</v>
      </c>
      <c r="E2598" s="21"/>
      <c r="F2598" s="30">
        <v>1</v>
      </c>
      <c r="G2598" s="21"/>
      <c r="H2598" s="54">
        <v>147</v>
      </c>
      <c r="I2598" s="51"/>
      <c r="J2598" s="27"/>
      <c r="K2598" s="27"/>
      <c r="L2598" s="15"/>
      <c r="M2598" s="15"/>
      <c r="N2598" s="4"/>
      <c r="O2598" s="4">
        <v>87</v>
      </c>
    </row>
    <row r="2599" spans="1:15" x14ac:dyDescent="0.2">
      <c r="A2599" s="2">
        <v>40011401</v>
      </c>
      <c r="B2599" s="2" t="s">
        <v>5484</v>
      </c>
      <c r="C2599" s="5" t="s">
        <v>9383</v>
      </c>
      <c r="D2599" s="21">
        <v>1</v>
      </c>
      <c r="E2599" s="21"/>
      <c r="F2599" s="21" t="s">
        <v>10438</v>
      </c>
      <c r="G2599" s="21"/>
      <c r="H2599" s="54">
        <v>2530</v>
      </c>
      <c r="I2599" s="51"/>
      <c r="J2599" s="27"/>
      <c r="K2599" s="27"/>
      <c r="L2599" s="15"/>
      <c r="M2599" s="15"/>
      <c r="N2599" s="4"/>
      <c r="O2599" s="4">
        <v>100</v>
      </c>
    </row>
    <row r="2600" spans="1:15" x14ac:dyDescent="0.2">
      <c r="A2600" s="2">
        <v>40005396</v>
      </c>
      <c r="B2600" s="2" t="s">
        <v>873</v>
      </c>
      <c r="C2600" s="5" t="s">
        <v>6595</v>
      </c>
      <c r="D2600" s="21">
        <v>1</v>
      </c>
      <c r="E2600" s="21"/>
      <c r="F2600" s="21" t="s">
        <v>10438</v>
      </c>
      <c r="G2600" s="21"/>
      <c r="H2600" s="54">
        <v>149</v>
      </c>
      <c r="I2600" s="51"/>
      <c r="J2600" s="27"/>
      <c r="K2600" s="27"/>
      <c r="L2600" s="15"/>
      <c r="M2600" s="15"/>
      <c r="N2600" s="4" t="s">
        <v>4098</v>
      </c>
      <c r="O2600" s="4"/>
    </row>
    <row r="2601" spans="1:15" x14ac:dyDescent="0.2">
      <c r="A2601" s="2">
        <v>40011625</v>
      </c>
      <c r="B2601" s="2" t="s">
        <v>5497</v>
      </c>
      <c r="C2601" s="5" t="s">
        <v>9443</v>
      </c>
      <c r="D2601" s="21">
        <v>2</v>
      </c>
      <c r="E2601" s="21"/>
      <c r="F2601" s="21" t="s">
        <v>10438</v>
      </c>
      <c r="G2601" s="21"/>
      <c r="H2601" s="54">
        <v>1283</v>
      </c>
      <c r="I2601" s="51"/>
      <c r="J2601" s="27"/>
      <c r="K2601" s="27"/>
      <c r="L2601" s="15"/>
      <c r="M2601" s="15"/>
      <c r="N2601" s="4"/>
      <c r="O2601" s="4">
        <v>76</v>
      </c>
    </row>
    <row r="2602" spans="1:15" x14ac:dyDescent="0.2">
      <c r="A2602" s="2">
        <v>40005321</v>
      </c>
      <c r="B2602" s="2" t="s">
        <v>811</v>
      </c>
      <c r="C2602" s="5" t="s">
        <v>6528</v>
      </c>
      <c r="D2602" s="21">
        <v>1</v>
      </c>
      <c r="E2602" s="21"/>
      <c r="F2602" s="21" t="s">
        <v>10438</v>
      </c>
      <c r="G2602" s="21"/>
      <c r="H2602" s="54">
        <v>48</v>
      </c>
      <c r="I2602" s="51"/>
      <c r="J2602" s="27"/>
      <c r="K2602" s="27"/>
      <c r="L2602" s="15"/>
      <c r="M2602" s="15"/>
      <c r="N2602" s="4"/>
      <c r="O2602" s="4" t="s">
        <v>10231</v>
      </c>
    </row>
    <row r="2603" spans="1:15" x14ac:dyDescent="0.2">
      <c r="A2603" s="2">
        <v>40005947</v>
      </c>
      <c r="B2603" s="2" t="s">
        <v>1354</v>
      </c>
      <c r="C2603" s="5" t="s">
        <v>7060</v>
      </c>
      <c r="D2603" s="21">
        <v>10</v>
      </c>
      <c r="E2603" s="21"/>
      <c r="F2603" s="21" t="s">
        <v>10438</v>
      </c>
      <c r="G2603" s="21"/>
      <c r="H2603" s="54">
        <v>524</v>
      </c>
      <c r="I2603" s="51"/>
      <c r="J2603" s="27"/>
      <c r="K2603" s="27"/>
      <c r="L2603" s="15"/>
      <c r="M2603" s="15"/>
      <c r="N2603" s="4"/>
      <c r="O2603" s="4">
        <v>88</v>
      </c>
    </row>
    <row r="2604" spans="1:15" x14ac:dyDescent="0.2">
      <c r="A2604" s="2">
        <v>40006297</v>
      </c>
      <c r="B2604" s="2" t="s">
        <v>1670</v>
      </c>
      <c r="C2604" s="5" t="s">
        <v>7378</v>
      </c>
      <c r="D2604" s="21">
        <v>10</v>
      </c>
      <c r="E2604" s="21"/>
      <c r="F2604" s="21" t="s">
        <v>10438</v>
      </c>
      <c r="G2604" s="21"/>
      <c r="H2604" s="54">
        <v>15</v>
      </c>
      <c r="I2604" s="51"/>
      <c r="J2604" s="27"/>
      <c r="K2604" s="27"/>
      <c r="L2604" s="15"/>
      <c r="M2604" s="15"/>
      <c r="N2604" s="4" t="s">
        <v>4466</v>
      </c>
      <c r="O2604" s="4"/>
    </row>
    <row r="2605" spans="1:15" x14ac:dyDescent="0.2">
      <c r="A2605" s="2">
        <v>40005868</v>
      </c>
      <c r="B2605" s="2" t="s">
        <v>1284</v>
      </c>
      <c r="C2605" s="5" t="s">
        <v>6995</v>
      </c>
      <c r="D2605" s="21">
        <v>5</v>
      </c>
      <c r="E2605" s="21"/>
      <c r="F2605" s="21" t="s">
        <v>10438</v>
      </c>
      <c r="G2605" s="21"/>
      <c r="H2605" s="54">
        <v>900</v>
      </c>
      <c r="I2605" s="51"/>
      <c r="J2605" s="27"/>
      <c r="K2605" s="27"/>
      <c r="L2605" s="15"/>
      <c r="M2605" s="15"/>
      <c r="N2605" s="4"/>
      <c r="O2605" s="4">
        <v>69</v>
      </c>
    </row>
    <row r="2606" spans="1:15" x14ac:dyDescent="0.2">
      <c r="A2606" s="2">
        <v>40011242</v>
      </c>
      <c r="B2606" s="2" t="s">
        <v>3727</v>
      </c>
      <c r="C2606" s="5">
        <v>3640640</v>
      </c>
      <c r="D2606" s="21">
        <v>6</v>
      </c>
      <c r="E2606" s="21"/>
      <c r="F2606" s="21" t="s">
        <v>10438</v>
      </c>
      <c r="G2606" s="21"/>
      <c r="H2606" s="54">
        <v>58</v>
      </c>
      <c r="I2606" s="51"/>
      <c r="J2606" s="27"/>
      <c r="K2606" s="27"/>
      <c r="L2606" s="15"/>
      <c r="M2606" s="15"/>
      <c r="N2606" s="4">
        <v>108</v>
      </c>
      <c r="O2606" s="4"/>
    </row>
    <row r="2607" spans="1:15" x14ac:dyDescent="0.2">
      <c r="A2607" s="2">
        <v>10019395</v>
      </c>
      <c r="B2607" s="2" t="s">
        <v>507</v>
      </c>
      <c r="C2607" s="5" t="s">
        <v>6126</v>
      </c>
      <c r="D2607" s="21"/>
      <c r="E2607" s="21"/>
      <c r="F2607" s="21" t="s">
        <v>10438</v>
      </c>
      <c r="G2607" s="21"/>
      <c r="H2607" s="54">
        <v>1075</v>
      </c>
      <c r="I2607" s="51"/>
      <c r="J2607" s="27"/>
      <c r="K2607" s="27"/>
      <c r="L2607" s="15"/>
      <c r="M2607" s="15"/>
      <c r="N2607" s="4">
        <v>83</v>
      </c>
      <c r="O2607" s="4"/>
    </row>
    <row r="2608" spans="1:15" x14ac:dyDescent="0.2">
      <c r="A2608" s="2">
        <v>40007623</v>
      </c>
      <c r="B2608" s="2" t="s">
        <v>2810</v>
      </c>
      <c r="C2608" s="5" t="s">
        <v>8510</v>
      </c>
      <c r="D2608" s="21">
        <v>1</v>
      </c>
      <c r="E2608" s="21"/>
      <c r="F2608" s="21" t="s">
        <v>10438</v>
      </c>
      <c r="G2608" s="21"/>
      <c r="H2608" s="54">
        <v>56</v>
      </c>
      <c r="I2608" s="51"/>
      <c r="J2608" s="27"/>
      <c r="K2608" s="27"/>
      <c r="L2608" s="15"/>
      <c r="M2608" s="15"/>
      <c r="N2608" s="4" t="s">
        <v>4334</v>
      </c>
      <c r="O2608" s="4"/>
    </row>
    <row r="2609" spans="1:15" x14ac:dyDescent="0.2">
      <c r="A2609" s="2">
        <v>40010374</v>
      </c>
      <c r="B2609" s="2" t="s">
        <v>3517</v>
      </c>
      <c r="C2609" s="5" t="s">
        <v>9219</v>
      </c>
      <c r="D2609" s="21">
        <v>2</v>
      </c>
      <c r="E2609" s="21"/>
      <c r="F2609" s="21" t="s">
        <v>10438</v>
      </c>
      <c r="G2609" s="21"/>
      <c r="H2609" s="54">
        <v>275</v>
      </c>
      <c r="I2609" s="51"/>
      <c r="J2609" s="27"/>
      <c r="K2609" s="27"/>
      <c r="L2609" s="15"/>
      <c r="M2609" s="15"/>
      <c r="N2609" s="4" t="s">
        <v>5259</v>
      </c>
      <c r="O2609" s="4"/>
    </row>
    <row r="2610" spans="1:15" x14ac:dyDescent="0.2">
      <c r="A2610" s="2">
        <v>40007421</v>
      </c>
      <c r="B2610" s="2" t="s">
        <v>2644</v>
      </c>
      <c r="C2610" s="5" t="s">
        <v>8342</v>
      </c>
      <c r="D2610" s="21">
        <v>1</v>
      </c>
      <c r="E2610" s="21"/>
      <c r="F2610" s="21" t="s">
        <v>10438</v>
      </c>
      <c r="G2610" s="21"/>
      <c r="H2610" s="54">
        <v>98</v>
      </c>
      <c r="I2610" s="51"/>
      <c r="J2610" s="27"/>
      <c r="K2610" s="27"/>
      <c r="L2610" s="15"/>
      <c r="M2610" s="15"/>
      <c r="N2610" s="4" t="s">
        <v>4005</v>
      </c>
      <c r="O2610" s="4"/>
    </row>
    <row r="2611" spans="1:15" x14ac:dyDescent="0.2">
      <c r="A2611" s="2">
        <v>40006754</v>
      </c>
      <c r="B2611" s="2" t="s">
        <v>2057</v>
      </c>
      <c r="C2611" s="5" t="s">
        <v>7769</v>
      </c>
      <c r="D2611" s="21">
        <v>7</v>
      </c>
      <c r="E2611" s="21"/>
      <c r="F2611" s="21" t="s">
        <v>10438</v>
      </c>
      <c r="G2611" s="21"/>
      <c r="H2611" s="54">
        <v>52</v>
      </c>
      <c r="I2611" s="51"/>
      <c r="J2611" s="27"/>
      <c r="K2611" s="27"/>
      <c r="L2611" s="15"/>
      <c r="M2611" s="15"/>
      <c r="N2611" s="4" t="s">
        <v>4668</v>
      </c>
      <c r="O2611" s="4"/>
    </row>
    <row r="2612" spans="1:15" x14ac:dyDescent="0.2">
      <c r="A2612" s="2">
        <v>40007961</v>
      </c>
      <c r="B2612" s="2" t="s">
        <v>3110</v>
      </c>
      <c r="C2612" s="5" t="s">
        <v>8805</v>
      </c>
      <c r="D2612" s="21">
        <v>5</v>
      </c>
      <c r="E2612" s="21"/>
      <c r="F2612" s="21" t="s">
        <v>10438</v>
      </c>
      <c r="G2612" s="21"/>
      <c r="H2612" s="54">
        <v>27</v>
      </c>
      <c r="I2612" s="51"/>
      <c r="J2612" s="27"/>
      <c r="K2612" s="27"/>
      <c r="L2612" s="15"/>
      <c r="M2612" s="15"/>
      <c r="N2612" s="4" t="s">
        <v>4435</v>
      </c>
      <c r="O2612" s="4"/>
    </row>
    <row r="2613" spans="1:15" x14ac:dyDescent="0.2">
      <c r="A2613" s="2">
        <v>40006900</v>
      </c>
      <c r="B2613" s="2" t="s">
        <v>2195</v>
      </c>
      <c r="C2613" s="5" t="s">
        <v>7904</v>
      </c>
      <c r="D2613" s="21">
        <v>9</v>
      </c>
      <c r="E2613" s="21"/>
      <c r="F2613" s="21" t="s">
        <v>10438</v>
      </c>
      <c r="G2613" s="21"/>
      <c r="H2613" s="54">
        <v>98</v>
      </c>
      <c r="I2613" s="51"/>
      <c r="J2613" s="27"/>
      <c r="K2613" s="27"/>
      <c r="L2613" s="15"/>
      <c r="M2613" s="15"/>
      <c r="N2613" s="4" t="s">
        <v>4736</v>
      </c>
      <c r="O2613" s="4"/>
    </row>
    <row r="2614" spans="1:15" x14ac:dyDescent="0.2">
      <c r="A2614" s="2">
        <v>40006894</v>
      </c>
      <c r="B2614" s="2" t="s">
        <v>2189</v>
      </c>
      <c r="C2614" s="5" t="s">
        <v>7898</v>
      </c>
      <c r="D2614" s="21">
        <v>10</v>
      </c>
      <c r="E2614" s="21"/>
      <c r="F2614" s="21" t="s">
        <v>10438</v>
      </c>
      <c r="G2614" s="21"/>
      <c r="H2614" s="54">
        <v>57</v>
      </c>
      <c r="I2614" s="51"/>
      <c r="J2614" s="27"/>
      <c r="K2614" s="27"/>
      <c r="L2614" s="15"/>
      <c r="M2614" s="15"/>
      <c r="N2614" s="4" t="s">
        <v>4735</v>
      </c>
      <c r="O2614" s="4"/>
    </row>
    <row r="2615" spans="1:15" x14ac:dyDescent="0.2">
      <c r="A2615" s="2">
        <v>40003869</v>
      </c>
      <c r="B2615" s="2" t="s">
        <v>698</v>
      </c>
      <c r="C2615" s="5" t="s">
        <v>6412</v>
      </c>
      <c r="D2615" s="21">
        <v>10</v>
      </c>
      <c r="E2615" s="21"/>
      <c r="F2615" s="21" t="s">
        <v>10438</v>
      </c>
      <c r="G2615" s="21"/>
      <c r="H2615" s="54">
        <v>136</v>
      </c>
      <c r="I2615" s="51"/>
      <c r="J2615" s="27"/>
      <c r="K2615" s="27"/>
      <c r="L2615" s="15"/>
      <c r="M2615" s="15"/>
      <c r="N2615" s="4" t="s">
        <v>3974</v>
      </c>
      <c r="O2615" s="4"/>
    </row>
    <row r="2616" spans="1:15" x14ac:dyDescent="0.2">
      <c r="A2616" s="2">
        <v>40006973</v>
      </c>
      <c r="B2616" s="2" t="s">
        <v>2262</v>
      </c>
      <c r="C2616" s="5" t="s">
        <v>7968</v>
      </c>
      <c r="D2616" s="21">
        <v>7</v>
      </c>
      <c r="E2616" s="21"/>
      <c r="F2616" s="21" t="s">
        <v>10438</v>
      </c>
      <c r="G2616" s="21"/>
      <c r="H2616" s="54">
        <v>77</v>
      </c>
      <c r="I2616" s="51"/>
      <c r="J2616" s="27"/>
      <c r="K2616" s="27"/>
      <c r="L2616" s="15"/>
      <c r="M2616" s="15"/>
      <c r="N2616" s="4" t="s">
        <v>4380</v>
      </c>
      <c r="O2616" s="4"/>
    </row>
    <row r="2617" spans="1:15" x14ac:dyDescent="0.2">
      <c r="A2617" s="2">
        <v>40003871</v>
      </c>
      <c r="B2617" s="2" t="s">
        <v>700</v>
      </c>
      <c r="C2617" s="5" t="s">
        <v>6414</v>
      </c>
      <c r="D2617" s="21">
        <v>16</v>
      </c>
      <c r="E2617" s="21"/>
      <c r="F2617" s="21" t="s">
        <v>10438</v>
      </c>
      <c r="G2617" s="21"/>
      <c r="H2617" s="54">
        <v>53</v>
      </c>
      <c r="I2617" s="51"/>
      <c r="J2617" s="27"/>
      <c r="K2617" s="27"/>
      <c r="L2617" s="15"/>
      <c r="M2617" s="15"/>
      <c r="N2617" s="4" t="s">
        <v>3976</v>
      </c>
      <c r="O2617" s="4"/>
    </row>
    <row r="2618" spans="1:15" x14ac:dyDescent="0.2">
      <c r="A2618" s="2">
        <v>40008076</v>
      </c>
      <c r="B2618" s="2" t="s">
        <v>3206</v>
      </c>
      <c r="C2618" s="5" t="s">
        <v>8902</v>
      </c>
      <c r="D2618" s="21">
        <v>11</v>
      </c>
      <c r="E2618" s="21"/>
      <c r="F2618" s="21" t="s">
        <v>10438</v>
      </c>
      <c r="G2618" s="21"/>
      <c r="H2618" s="54">
        <v>46</v>
      </c>
      <c r="I2618" s="51"/>
      <c r="J2618" s="27"/>
      <c r="K2618" s="27"/>
      <c r="L2618" s="15"/>
      <c r="M2618" s="15"/>
      <c r="N2618" s="4" t="s">
        <v>5189</v>
      </c>
      <c r="O2618" s="4"/>
    </row>
    <row r="2619" spans="1:15" x14ac:dyDescent="0.2">
      <c r="A2619" s="2">
        <v>40006910</v>
      </c>
      <c r="B2619" s="2" t="s">
        <v>2205</v>
      </c>
      <c r="C2619" s="5" t="s">
        <v>7914</v>
      </c>
      <c r="D2619" s="21">
        <v>8</v>
      </c>
      <c r="E2619" s="21"/>
      <c r="F2619" s="21" t="s">
        <v>10438</v>
      </c>
      <c r="G2619" s="21"/>
      <c r="H2619" s="54">
        <v>69</v>
      </c>
      <c r="I2619" s="51"/>
      <c r="J2619" s="27"/>
      <c r="K2619" s="27"/>
      <c r="L2619" s="15"/>
      <c r="M2619" s="15"/>
      <c r="N2619" s="4" t="s">
        <v>4250</v>
      </c>
      <c r="O2619" s="4"/>
    </row>
    <row r="2620" spans="1:15" x14ac:dyDescent="0.2">
      <c r="A2620" s="2">
        <v>40007019</v>
      </c>
      <c r="B2620" s="2" t="s">
        <v>2300</v>
      </c>
      <c r="C2620" s="5" t="s">
        <v>8010</v>
      </c>
      <c r="D2620" s="21">
        <v>13</v>
      </c>
      <c r="E2620" s="21"/>
      <c r="F2620" s="30">
        <v>1</v>
      </c>
      <c r="G2620" s="21"/>
      <c r="H2620" s="54">
        <v>11</v>
      </c>
      <c r="I2620" s="51"/>
      <c r="J2620" s="27"/>
      <c r="K2620" s="27"/>
      <c r="L2620" s="15"/>
      <c r="M2620" s="15"/>
      <c r="N2620" s="4" t="s">
        <v>4792</v>
      </c>
      <c r="O2620" s="4"/>
    </row>
    <row r="2621" spans="1:15" x14ac:dyDescent="0.2">
      <c r="A2621" s="2">
        <v>40006918</v>
      </c>
      <c r="B2621" s="2" t="s">
        <v>2213</v>
      </c>
      <c r="C2621" s="5" t="s">
        <v>7922</v>
      </c>
      <c r="D2621" s="21">
        <v>10</v>
      </c>
      <c r="E2621" s="21"/>
      <c r="F2621" s="21" t="s">
        <v>10438</v>
      </c>
      <c r="G2621" s="21"/>
      <c r="H2621" s="54">
        <v>60</v>
      </c>
      <c r="I2621" s="51"/>
      <c r="J2621" s="27"/>
      <c r="K2621" s="27"/>
      <c r="L2621" s="15"/>
      <c r="M2621" s="15"/>
      <c r="N2621" s="4" t="s">
        <v>4742</v>
      </c>
      <c r="O2621" s="4"/>
    </row>
    <row r="2622" spans="1:15" x14ac:dyDescent="0.2">
      <c r="A2622" s="2">
        <v>40007248</v>
      </c>
      <c r="B2622" s="2" t="s">
        <v>2502</v>
      </c>
      <c r="C2622" s="5">
        <v>962210024</v>
      </c>
      <c r="D2622" s="21">
        <v>10</v>
      </c>
      <c r="E2622" s="21"/>
      <c r="F2622" s="21" t="s">
        <v>10438</v>
      </c>
      <c r="G2622" s="21"/>
      <c r="H2622" s="54">
        <v>113</v>
      </c>
      <c r="I2622" s="51"/>
      <c r="J2622" s="27"/>
      <c r="K2622" s="27"/>
      <c r="L2622" s="15"/>
      <c r="M2622" s="15"/>
      <c r="N2622" s="4" t="s">
        <v>4195</v>
      </c>
      <c r="O2622" s="4" t="s">
        <v>10352</v>
      </c>
    </row>
    <row r="2623" spans="1:15" x14ac:dyDescent="0.2">
      <c r="A2623" s="2">
        <v>40007570</v>
      </c>
      <c r="B2623" s="2" t="s">
        <v>2766</v>
      </c>
      <c r="C2623" s="5">
        <v>962210025</v>
      </c>
      <c r="D2623" s="21">
        <v>4</v>
      </c>
      <c r="E2623" s="21"/>
      <c r="F2623" s="21" t="s">
        <v>10438</v>
      </c>
      <c r="G2623" s="21"/>
      <c r="H2623" s="54">
        <v>110</v>
      </c>
      <c r="I2623" s="51"/>
      <c r="J2623" s="27"/>
      <c r="K2623" s="27"/>
      <c r="L2623" s="15"/>
      <c r="M2623" s="15"/>
      <c r="N2623" s="4" t="s">
        <v>4267</v>
      </c>
      <c r="O2623" s="4"/>
    </row>
    <row r="2624" spans="1:15" x14ac:dyDescent="0.2">
      <c r="A2624" s="2">
        <v>40006492</v>
      </c>
      <c r="B2624" s="2" t="s">
        <v>1843</v>
      </c>
      <c r="C2624" s="5">
        <v>962210092</v>
      </c>
      <c r="D2624" s="21">
        <v>4</v>
      </c>
      <c r="E2624" s="21"/>
      <c r="F2624" s="21" t="s">
        <v>10438</v>
      </c>
      <c r="G2624" s="21"/>
      <c r="H2624" s="54">
        <v>135</v>
      </c>
      <c r="I2624" s="51"/>
      <c r="J2624" s="27"/>
      <c r="K2624" s="27"/>
      <c r="L2624" s="15"/>
      <c r="M2624" s="15"/>
      <c r="N2624" s="4" t="s">
        <v>4620</v>
      </c>
      <c r="O2624" s="4"/>
    </row>
    <row r="2625" spans="1:15" x14ac:dyDescent="0.2">
      <c r="A2625" s="2">
        <v>40007713</v>
      </c>
      <c r="B2625" s="2" t="s">
        <v>2889</v>
      </c>
      <c r="C2625" s="5">
        <v>962210026</v>
      </c>
      <c r="D2625" s="21">
        <v>1</v>
      </c>
      <c r="E2625" s="21"/>
      <c r="F2625" s="21" t="s">
        <v>10438</v>
      </c>
      <c r="G2625" s="21"/>
      <c r="H2625" s="54">
        <v>151</v>
      </c>
      <c r="I2625" s="51"/>
      <c r="J2625" s="27"/>
      <c r="K2625" s="27"/>
      <c r="L2625" s="15"/>
      <c r="M2625" s="15"/>
      <c r="N2625" s="4" t="s">
        <v>4195</v>
      </c>
      <c r="O2625" s="4"/>
    </row>
    <row r="2626" spans="1:15" x14ac:dyDescent="0.2">
      <c r="A2626" s="2">
        <v>40005993</v>
      </c>
      <c r="B2626" s="2" t="s">
        <v>1398</v>
      </c>
      <c r="C2626" s="5" t="s">
        <v>7104</v>
      </c>
      <c r="D2626" s="21">
        <v>12</v>
      </c>
      <c r="E2626" s="21"/>
      <c r="F2626" s="21" t="s">
        <v>10438</v>
      </c>
      <c r="G2626" s="21"/>
      <c r="H2626" s="54">
        <v>143</v>
      </c>
      <c r="I2626" s="51"/>
      <c r="J2626" s="27"/>
      <c r="K2626" s="27"/>
      <c r="L2626" s="15"/>
      <c r="M2626" s="15"/>
      <c r="N2626" s="4" t="s">
        <v>4355</v>
      </c>
      <c r="O2626" s="4"/>
    </row>
    <row r="2627" spans="1:15" x14ac:dyDescent="0.2">
      <c r="A2627" s="2">
        <v>10018657</v>
      </c>
      <c r="B2627" s="2" t="s">
        <v>257</v>
      </c>
      <c r="C2627" s="5" t="s">
        <v>5825</v>
      </c>
      <c r="D2627" s="21">
        <v>7</v>
      </c>
      <c r="E2627" s="21"/>
      <c r="F2627" s="21" t="s">
        <v>10438</v>
      </c>
      <c r="G2627" s="21"/>
      <c r="H2627" s="54">
        <v>86</v>
      </c>
      <c r="I2627" s="51"/>
      <c r="J2627" s="27"/>
      <c r="K2627" s="27"/>
      <c r="L2627" s="15">
        <v>10</v>
      </c>
      <c r="M2627" s="15">
        <v>10</v>
      </c>
      <c r="N2627" s="4">
        <v>67</v>
      </c>
      <c r="O2627" s="4"/>
    </row>
    <row r="2628" spans="1:15" x14ac:dyDescent="0.2">
      <c r="A2628" s="2">
        <v>10018681</v>
      </c>
      <c r="B2628" s="2" t="s">
        <v>268</v>
      </c>
      <c r="C2628" s="5" t="s">
        <v>5837</v>
      </c>
      <c r="D2628" s="21">
        <v>10</v>
      </c>
      <c r="E2628" s="21"/>
      <c r="F2628" s="21" t="s">
        <v>10438</v>
      </c>
      <c r="G2628" s="21"/>
      <c r="H2628" s="54">
        <v>112</v>
      </c>
      <c r="I2628" s="51"/>
      <c r="J2628" s="27"/>
      <c r="K2628" s="27"/>
      <c r="L2628" s="15"/>
      <c r="M2628" s="15">
        <v>10</v>
      </c>
      <c r="N2628" s="4">
        <v>66</v>
      </c>
      <c r="O2628" s="4"/>
    </row>
    <row r="2629" spans="1:15" x14ac:dyDescent="0.2">
      <c r="A2629" s="2">
        <v>10018655</v>
      </c>
      <c r="B2629" s="2" t="s">
        <v>255</v>
      </c>
      <c r="C2629" s="5" t="s">
        <v>5823</v>
      </c>
      <c r="D2629" s="21"/>
      <c r="E2629" s="21"/>
      <c r="F2629" s="21" t="s">
        <v>10438</v>
      </c>
      <c r="G2629" s="21"/>
      <c r="H2629" s="54">
        <v>364</v>
      </c>
      <c r="I2629" s="51"/>
      <c r="J2629" s="27"/>
      <c r="K2629" s="27"/>
      <c r="L2629" s="15"/>
      <c r="M2629" s="15"/>
      <c r="N2629" s="4">
        <v>68</v>
      </c>
      <c r="O2629" s="4"/>
    </row>
    <row r="2630" spans="1:15" x14ac:dyDescent="0.2">
      <c r="A2630" s="2">
        <v>10018385</v>
      </c>
      <c r="B2630" s="2" t="s">
        <v>162</v>
      </c>
      <c r="C2630" s="5" t="s">
        <v>5702</v>
      </c>
      <c r="D2630" s="21">
        <v>3</v>
      </c>
      <c r="E2630" s="21"/>
      <c r="F2630" s="21" t="s">
        <v>10438</v>
      </c>
      <c r="G2630" s="21"/>
      <c r="H2630" s="54">
        <v>669</v>
      </c>
      <c r="I2630" s="51"/>
      <c r="J2630" s="27"/>
      <c r="K2630" s="27"/>
      <c r="L2630" s="15"/>
      <c r="M2630" s="15"/>
      <c r="N2630" s="4">
        <v>73</v>
      </c>
      <c r="O2630" s="4"/>
    </row>
    <row r="2631" spans="1:15" x14ac:dyDescent="0.2">
      <c r="A2631" s="2">
        <v>10018386</v>
      </c>
      <c r="B2631" s="2" t="s">
        <v>163</v>
      </c>
      <c r="C2631" s="5" t="s">
        <v>5703</v>
      </c>
      <c r="D2631" s="21">
        <v>2</v>
      </c>
      <c r="E2631" s="21"/>
      <c r="F2631" s="21" t="s">
        <v>10438</v>
      </c>
      <c r="G2631" s="21"/>
      <c r="H2631" s="54">
        <v>643</v>
      </c>
      <c r="I2631" s="51"/>
      <c r="J2631" s="27"/>
      <c r="K2631" s="27"/>
      <c r="L2631" s="15"/>
      <c r="M2631" s="15"/>
      <c r="N2631" s="4">
        <v>73</v>
      </c>
      <c r="O2631" s="4"/>
    </row>
    <row r="2632" spans="1:15" x14ac:dyDescent="0.2">
      <c r="A2632" s="2">
        <v>10018599</v>
      </c>
      <c r="B2632" s="2" t="s">
        <v>230</v>
      </c>
      <c r="C2632" s="5" t="s">
        <v>5791</v>
      </c>
      <c r="D2632" s="21">
        <v>20</v>
      </c>
      <c r="E2632" s="21"/>
      <c r="F2632" s="21" t="s">
        <v>10438</v>
      </c>
      <c r="G2632" s="21"/>
      <c r="H2632" s="54">
        <v>87</v>
      </c>
      <c r="I2632" s="51"/>
      <c r="J2632" s="27"/>
      <c r="K2632" s="27"/>
      <c r="L2632" s="15">
        <v>10</v>
      </c>
      <c r="M2632" s="15">
        <v>10</v>
      </c>
      <c r="N2632" s="4">
        <v>67</v>
      </c>
      <c r="O2632" s="4"/>
    </row>
    <row r="2633" spans="1:15" x14ac:dyDescent="0.2">
      <c r="A2633" s="2">
        <v>10018387</v>
      </c>
      <c r="B2633" s="2" t="s">
        <v>164</v>
      </c>
      <c r="C2633" s="5" t="s">
        <v>5704</v>
      </c>
      <c r="D2633" s="21">
        <v>3</v>
      </c>
      <c r="E2633" s="21"/>
      <c r="F2633" s="21" t="s">
        <v>10438</v>
      </c>
      <c r="G2633" s="21"/>
      <c r="H2633" s="54">
        <v>822</v>
      </c>
      <c r="I2633" s="51"/>
      <c r="J2633" s="27"/>
      <c r="K2633" s="27"/>
      <c r="L2633" s="15"/>
      <c r="M2633" s="15"/>
      <c r="N2633" s="4">
        <v>73</v>
      </c>
      <c r="O2633" s="4"/>
    </row>
    <row r="2634" spans="1:15" x14ac:dyDescent="0.2">
      <c r="A2634" s="2">
        <v>10018914</v>
      </c>
      <c r="B2634" s="2" t="s">
        <v>362</v>
      </c>
      <c r="C2634" s="5" t="s">
        <v>5959</v>
      </c>
      <c r="D2634" s="21">
        <v>2</v>
      </c>
      <c r="E2634" s="21"/>
      <c r="F2634" s="21" t="s">
        <v>10438</v>
      </c>
      <c r="G2634" s="21"/>
      <c r="H2634" s="54">
        <v>127</v>
      </c>
      <c r="I2634" s="51"/>
      <c r="J2634" s="27"/>
      <c r="K2634" s="27"/>
      <c r="L2634" s="15"/>
      <c r="M2634" s="15"/>
      <c r="N2634" s="4">
        <v>67</v>
      </c>
      <c r="O2634" s="4"/>
    </row>
    <row r="2635" spans="1:15" x14ac:dyDescent="0.2">
      <c r="A2635" s="2">
        <v>10018926</v>
      </c>
      <c r="B2635" s="2" t="s">
        <v>366</v>
      </c>
      <c r="C2635" s="5" t="s">
        <v>5963</v>
      </c>
      <c r="D2635" s="21">
        <v>20</v>
      </c>
      <c r="E2635" s="21"/>
      <c r="F2635" s="21" t="s">
        <v>10438</v>
      </c>
      <c r="G2635" s="21"/>
      <c r="H2635" s="54">
        <v>116</v>
      </c>
      <c r="I2635" s="51"/>
      <c r="J2635" s="27"/>
      <c r="K2635" s="27"/>
      <c r="L2635" s="15"/>
      <c r="M2635" s="15"/>
      <c r="N2635" s="4">
        <v>66</v>
      </c>
      <c r="O2635" s="4"/>
    </row>
    <row r="2636" spans="1:15" x14ac:dyDescent="0.2">
      <c r="A2636" s="2">
        <v>10018643</v>
      </c>
      <c r="B2636" s="2" t="s">
        <v>248</v>
      </c>
      <c r="C2636" s="5" t="s">
        <v>5815</v>
      </c>
      <c r="D2636" s="21">
        <v>11</v>
      </c>
      <c r="E2636" s="21"/>
      <c r="F2636" s="21" t="s">
        <v>10438</v>
      </c>
      <c r="G2636" s="21"/>
      <c r="H2636" s="54">
        <v>102</v>
      </c>
      <c r="I2636" s="51"/>
      <c r="J2636" s="27"/>
      <c r="K2636" s="27"/>
      <c r="L2636" s="15">
        <v>5</v>
      </c>
      <c r="M2636" s="15">
        <v>10</v>
      </c>
      <c r="N2636" s="4">
        <v>66</v>
      </c>
      <c r="O2636" s="4"/>
    </row>
    <row r="2637" spans="1:15" x14ac:dyDescent="0.2">
      <c r="A2637" s="2">
        <v>10018388</v>
      </c>
      <c r="B2637" s="2" t="s">
        <v>165</v>
      </c>
      <c r="C2637" s="5" t="s">
        <v>5705</v>
      </c>
      <c r="D2637" s="21">
        <v>4</v>
      </c>
      <c r="E2637" s="21"/>
      <c r="F2637" s="21" t="s">
        <v>10438</v>
      </c>
      <c r="G2637" s="21"/>
      <c r="H2637" s="54">
        <v>951</v>
      </c>
      <c r="I2637" s="51"/>
      <c r="J2637" s="27"/>
      <c r="K2637" s="27"/>
      <c r="L2637" s="15"/>
      <c r="M2637" s="15"/>
      <c r="N2637" s="4">
        <v>73</v>
      </c>
      <c r="O2637" s="4"/>
    </row>
    <row r="2638" spans="1:15" x14ac:dyDescent="0.2">
      <c r="A2638" s="2">
        <v>10018384</v>
      </c>
      <c r="B2638" s="2" t="s">
        <v>161</v>
      </c>
      <c r="C2638" s="5" t="s">
        <v>5701</v>
      </c>
      <c r="D2638" s="21">
        <v>6</v>
      </c>
      <c r="E2638" s="21"/>
      <c r="F2638" s="21" t="s">
        <v>10438</v>
      </c>
      <c r="G2638" s="21"/>
      <c r="H2638" s="54">
        <v>707</v>
      </c>
      <c r="I2638" s="51"/>
      <c r="J2638" s="27"/>
      <c r="K2638" s="27"/>
      <c r="L2638" s="15"/>
      <c r="M2638" s="15"/>
      <c r="N2638" s="4">
        <v>73</v>
      </c>
      <c r="O2638" s="4"/>
    </row>
    <row r="2639" spans="1:15" x14ac:dyDescent="0.2">
      <c r="A2639" s="2">
        <v>10018667</v>
      </c>
      <c r="B2639" s="2" t="s">
        <v>261</v>
      </c>
      <c r="C2639" s="5" t="s">
        <v>5829</v>
      </c>
      <c r="D2639" s="21"/>
      <c r="E2639" s="21"/>
      <c r="F2639" s="21" t="s">
        <v>10438</v>
      </c>
      <c r="G2639" s="21"/>
      <c r="H2639" s="54">
        <v>230</v>
      </c>
      <c r="I2639" s="51"/>
      <c r="J2639" s="27"/>
      <c r="K2639" s="27"/>
      <c r="L2639" s="15"/>
      <c r="M2639" s="15"/>
      <c r="N2639" s="4">
        <v>66</v>
      </c>
      <c r="O2639" s="4"/>
    </row>
    <row r="2640" spans="1:15" x14ac:dyDescent="0.2">
      <c r="A2640" s="2">
        <v>10018642</v>
      </c>
      <c r="B2640" s="2" t="s">
        <v>247</v>
      </c>
      <c r="C2640" s="5" t="s">
        <v>5814</v>
      </c>
      <c r="D2640" s="21"/>
      <c r="E2640" s="21"/>
      <c r="F2640" s="21" t="s">
        <v>10438</v>
      </c>
      <c r="G2640" s="21"/>
      <c r="H2640" s="54">
        <v>588</v>
      </c>
      <c r="I2640" s="51"/>
      <c r="J2640" s="27"/>
      <c r="K2640" s="27"/>
      <c r="L2640" s="15"/>
      <c r="M2640" s="15"/>
      <c r="N2640" s="4">
        <v>66</v>
      </c>
      <c r="O2640" s="4"/>
    </row>
    <row r="2641" spans="1:15" x14ac:dyDescent="0.2">
      <c r="A2641" s="2">
        <v>10032260</v>
      </c>
      <c r="B2641" s="2" t="s">
        <v>690</v>
      </c>
      <c r="C2641" s="5" t="s">
        <v>6356</v>
      </c>
      <c r="D2641" s="21">
        <v>8</v>
      </c>
      <c r="E2641" s="21"/>
      <c r="F2641" s="21" t="s">
        <v>10438</v>
      </c>
      <c r="G2641" s="21"/>
      <c r="H2641" s="54">
        <v>538</v>
      </c>
      <c r="I2641" s="51"/>
      <c r="J2641" s="27"/>
      <c r="K2641" s="27"/>
      <c r="L2641" s="15"/>
      <c r="M2641" s="15"/>
      <c r="N2641" s="4"/>
      <c r="O2641" s="4"/>
    </row>
    <row r="2642" spans="1:15" x14ac:dyDescent="0.2">
      <c r="A2642" s="2">
        <v>10018901</v>
      </c>
      <c r="B2642" s="2" t="s">
        <v>357</v>
      </c>
      <c r="C2642" s="5" t="s">
        <v>5950</v>
      </c>
      <c r="D2642" s="21">
        <v>10</v>
      </c>
      <c r="E2642" s="21"/>
      <c r="F2642" s="21" t="s">
        <v>10438</v>
      </c>
      <c r="G2642" s="21"/>
      <c r="H2642" s="54">
        <v>154</v>
      </c>
      <c r="I2642" s="51"/>
      <c r="J2642" s="27"/>
      <c r="K2642" s="27"/>
      <c r="L2642" s="15"/>
      <c r="M2642" s="15"/>
      <c r="N2642" s="4">
        <v>66</v>
      </c>
      <c r="O2642" s="4"/>
    </row>
    <row r="2643" spans="1:15" x14ac:dyDescent="0.2">
      <c r="A2643" s="2">
        <v>10018906</v>
      </c>
      <c r="B2643" s="2" t="s">
        <v>358</v>
      </c>
      <c r="C2643" s="5" t="s">
        <v>5952</v>
      </c>
      <c r="D2643" s="21">
        <v>1</v>
      </c>
      <c r="E2643" s="21"/>
      <c r="F2643" s="21" t="s">
        <v>10438</v>
      </c>
      <c r="G2643" s="21"/>
      <c r="H2643" s="54">
        <v>815</v>
      </c>
      <c r="I2643" s="51"/>
      <c r="J2643" s="27"/>
      <c r="K2643" s="27"/>
      <c r="L2643" s="15"/>
      <c r="M2643" s="15"/>
      <c r="N2643" s="4">
        <v>66</v>
      </c>
      <c r="O2643" s="4"/>
    </row>
    <row r="2644" spans="1:15" x14ac:dyDescent="0.2">
      <c r="A2644" s="2">
        <v>10032259</v>
      </c>
      <c r="B2644" s="2" t="s">
        <v>689</v>
      </c>
      <c r="C2644" s="5" t="s">
        <v>6355</v>
      </c>
      <c r="D2644" s="21">
        <v>7</v>
      </c>
      <c r="E2644" s="21"/>
      <c r="F2644" s="21" t="s">
        <v>10438</v>
      </c>
      <c r="G2644" s="21"/>
      <c r="H2644" s="54">
        <v>401</v>
      </c>
      <c r="I2644" s="51"/>
      <c r="J2644" s="27"/>
      <c r="K2644" s="27"/>
      <c r="L2644" s="15"/>
      <c r="M2644" s="15"/>
      <c r="N2644" s="4"/>
      <c r="O2644" s="4"/>
    </row>
    <row r="2645" spans="1:15" x14ac:dyDescent="0.2">
      <c r="A2645" s="2">
        <v>10017977</v>
      </c>
      <c r="B2645" s="2" t="s">
        <v>37</v>
      </c>
      <c r="C2645" s="5" t="s">
        <v>5569</v>
      </c>
      <c r="D2645" s="21">
        <v>3</v>
      </c>
      <c r="E2645" s="21"/>
      <c r="F2645" s="21" t="s">
        <v>10438</v>
      </c>
      <c r="G2645" s="21"/>
      <c r="H2645" s="54">
        <v>363</v>
      </c>
      <c r="I2645" s="51"/>
      <c r="J2645" s="27"/>
      <c r="K2645" s="27"/>
      <c r="L2645" s="15"/>
      <c r="M2645" s="15"/>
      <c r="N2645" s="4">
        <v>68</v>
      </c>
      <c r="O2645" s="4"/>
    </row>
    <row r="2646" spans="1:15" x14ac:dyDescent="0.2">
      <c r="A2646" s="2">
        <v>10017979</v>
      </c>
      <c r="B2646" s="2" t="s">
        <v>39</v>
      </c>
      <c r="C2646" s="5" t="s">
        <v>5570</v>
      </c>
      <c r="D2646" s="21">
        <v>17</v>
      </c>
      <c r="E2646" s="21"/>
      <c r="F2646" s="21" t="s">
        <v>10438</v>
      </c>
      <c r="G2646" s="21"/>
      <c r="H2646" s="54">
        <v>479</v>
      </c>
      <c r="I2646" s="51"/>
      <c r="J2646" s="27"/>
      <c r="K2646" s="27"/>
      <c r="L2646" s="15"/>
      <c r="M2646" s="15"/>
      <c r="N2646" s="4">
        <v>67</v>
      </c>
      <c r="O2646" s="4"/>
    </row>
    <row r="2647" spans="1:15" x14ac:dyDescent="0.2">
      <c r="A2647" s="2">
        <v>10017981</v>
      </c>
      <c r="B2647" s="2" t="s">
        <v>41</v>
      </c>
      <c r="C2647" s="5" t="s">
        <v>5572</v>
      </c>
      <c r="D2647" s="21">
        <v>5</v>
      </c>
      <c r="E2647" s="21"/>
      <c r="F2647" s="21" t="s">
        <v>10438</v>
      </c>
      <c r="G2647" s="21"/>
      <c r="H2647" s="54">
        <v>457</v>
      </c>
      <c r="I2647" s="51"/>
      <c r="J2647" s="27"/>
      <c r="K2647" s="27"/>
      <c r="L2647" s="15"/>
      <c r="M2647" s="15"/>
      <c r="N2647" s="4">
        <v>66</v>
      </c>
      <c r="O2647" s="4"/>
    </row>
    <row r="2648" spans="1:15" x14ac:dyDescent="0.2">
      <c r="A2648" s="2">
        <v>10018389</v>
      </c>
      <c r="B2648" s="2" t="s">
        <v>166</v>
      </c>
      <c r="C2648" s="5" t="s">
        <v>5706</v>
      </c>
      <c r="D2648" s="21">
        <v>2</v>
      </c>
      <c r="E2648" s="21"/>
      <c r="F2648" s="21" t="s">
        <v>10438</v>
      </c>
      <c r="G2648" s="21"/>
      <c r="H2648" s="54">
        <v>760</v>
      </c>
      <c r="I2648" s="51"/>
      <c r="J2648" s="27"/>
      <c r="K2648" s="27"/>
      <c r="L2648" s="15"/>
      <c r="M2648" s="15"/>
      <c r="N2648" s="4">
        <v>73</v>
      </c>
      <c r="O2648" s="4"/>
    </row>
    <row r="2649" spans="1:15" x14ac:dyDescent="0.2">
      <c r="A2649" s="2">
        <v>10018390</v>
      </c>
      <c r="B2649" s="2" t="s">
        <v>167</v>
      </c>
      <c r="C2649" s="5" t="s">
        <v>5707</v>
      </c>
      <c r="D2649" s="21">
        <v>2</v>
      </c>
      <c r="E2649" s="21"/>
      <c r="F2649" s="21" t="s">
        <v>10438</v>
      </c>
      <c r="G2649" s="21"/>
      <c r="H2649" s="54">
        <v>1015</v>
      </c>
      <c r="I2649" s="51"/>
      <c r="J2649" s="27"/>
      <c r="K2649" s="27"/>
      <c r="L2649" s="15"/>
      <c r="M2649" s="15"/>
      <c r="N2649" s="4">
        <v>73</v>
      </c>
      <c r="O2649" s="4"/>
    </row>
    <row r="2650" spans="1:15" x14ac:dyDescent="0.2">
      <c r="A2650" s="2">
        <v>10018391</v>
      </c>
      <c r="B2650" s="2" t="s">
        <v>5343</v>
      </c>
      <c r="C2650" s="5" t="s">
        <v>5708</v>
      </c>
      <c r="D2650" s="21">
        <v>9</v>
      </c>
      <c r="E2650" s="21"/>
      <c r="F2650" s="21" t="s">
        <v>10438</v>
      </c>
      <c r="G2650" s="21"/>
      <c r="H2650" s="54">
        <v>1405</v>
      </c>
      <c r="I2650" s="51"/>
      <c r="J2650" s="27"/>
      <c r="K2650" s="27"/>
      <c r="L2650" s="15"/>
      <c r="M2650" s="15"/>
      <c r="N2650" s="4">
        <v>73</v>
      </c>
      <c r="O2650" s="4"/>
    </row>
    <row r="2651" spans="1:15" x14ac:dyDescent="0.2">
      <c r="A2651" s="2">
        <v>10019991</v>
      </c>
      <c r="B2651" s="2" t="s">
        <v>651</v>
      </c>
      <c r="C2651" s="5" t="s">
        <v>6297</v>
      </c>
      <c r="D2651" s="21">
        <v>11</v>
      </c>
      <c r="E2651" s="21"/>
      <c r="F2651" s="21" t="s">
        <v>10438</v>
      </c>
      <c r="G2651" s="21"/>
      <c r="H2651" s="54">
        <v>6435</v>
      </c>
      <c r="I2651" s="51">
        <v>5795</v>
      </c>
      <c r="J2651" s="27"/>
      <c r="K2651" s="27"/>
      <c r="L2651" s="15">
        <v>5</v>
      </c>
      <c r="M2651" s="15">
        <v>5</v>
      </c>
      <c r="N2651" s="4" t="s">
        <v>10713</v>
      </c>
      <c r="O2651" s="4" t="s">
        <v>10452</v>
      </c>
    </row>
    <row r="2652" spans="1:15" x14ac:dyDescent="0.2">
      <c r="A2652" s="2">
        <v>40006933</v>
      </c>
      <c r="B2652" s="2" t="s">
        <v>2226</v>
      </c>
      <c r="C2652" s="5">
        <v>965451185</v>
      </c>
      <c r="D2652" s="21">
        <v>1</v>
      </c>
      <c r="E2652" s="21"/>
      <c r="F2652" s="21" t="s">
        <v>10438</v>
      </c>
      <c r="G2652" s="21"/>
      <c r="H2652" s="54">
        <v>36</v>
      </c>
      <c r="I2652" s="51"/>
      <c r="J2652" s="27"/>
      <c r="K2652" s="27"/>
      <c r="L2652" s="15"/>
      <c r="M2652" s="15"/>
      <c r="N2652" s="4" t="s">
        <v>3946</v>
      </c>
      <c r="O2652" s="4"/>
    </row>
    <row r="2653" spans="1:15" x14ac:dyDescent="0.2">
      <c r="A2653" s="2">
        <v>10018184</v>
      </c>
      <c r="B2653" s="2" t="s">
        <v>90</v>
      </c>
      <c r="C2653" s="5">
        <v>445060455</v>
      </c>
      <c r="D2653" s="21">
        <v>11</v>
      </c>
      <c r="E2653" s="21"/>
      <c r="F2653" s="21" t="s">
        <v>10438</v>
      </c>
      <c r="G2653" s="21"/>
      <c r="H2653" s="54">
        <v>1463</v>
      </c>
      <c r="I2653" s="51"/>
      <c r="J2653" s="27"/>
      <c r="K2653" s="27"/>
      <c r="L2653" s="15"/>
      <c r="M2653" s="15"/>
      <c r="N2653" s="4">
        <v>79</v>
      </c>
      <c r="O2653" s="4">
        <v>103</v>
      </c>
    </row>
    <row r="2654" spans="1:15" x14ac:dyDescent="0.2">
      <c r="A2654" s="2">
        <v>10018198</v>
      </c>
      <c r="B2654" s="2" t="s">
        <v>99</v>
      </c>
      <c r="C2654" s="5" t="s">
        <v>5636</v>
      </c>
      <c r="D2654" s="21">
        <v>1</v>
      </c>
      <c r="E2654" s="21"/>
      <c r="F2654" s="21" t="s">
        <v>10438</v>
      </c>
      <c r="G2654" s="21"/>
      <c r="H2654" s="54">
        <v>32</v>
      </c>
      <c r="I2654" s="51"/>
      <c r="J2654" s="27"/>
      <c r="K2654" s="27"/>
      <c r="L2654" s="15"/>
      <c r="M2654" s="15"/>
      <c r="N2654" s="4"/>
      <c r="O2654" s="4"/>
    </row>
    <row r="2655" spans="1:15" x14ac:dyDescent="0.2">
      <c r="A2655" s="2">
        <v>10018194</v>
      </c>
      <c r="B2655" s="2" t="s">
        <v>96</v>
      </c>
      <c r="C2655" s="5" t="s">
        <v>5633</v>
      </c>
      <c r="D2655" s="21">
        <v>1</v>
      </c>
      <c r="E2655" s="21"/>
      <c r="F2655" s="21" t="s">
        <v>10438</v>
      </c>
      <c r="G2655" s="21"/>
      <c r="H2655" s="54">
        <v>32</v>
      </c>
      <c r="I2655" s="51"/>
      <c r="J2655" s="27"/>
      <c r="K2655" s="27"/>
      <c r="L2655" s="15"/>
      <c r="M2655" s="15"/>
      <c r="N2655" s="4"/>
      <c r="O2655" s="4"/>
    </row>
    <row r="2656" spans="1:15" x14ac:dyDescent="0.2">
      <c r="A2656" s="2">
        <v>10018196</v>
      </c>
      <c r="B2656" s="2" t="s">
        <v>98</v>
      </c>
      <c r="C2656" s="5" t="s">
        <v>5635</v>
      </c>
      <c r="D2656" s="21">
        <v>1</v>
      </c>
      <c r="E2656" s="21"/>
      <c r="F2656" s="21" t="s">
        <v>10438</v>
      </c>
      <c r="G2656" s="21"/>
      <c r="H2656" s="54">
        <v>32</v>
      </c>
      <c r="I2656" s="51"/>
      <c r="J2656" s="27"/>
      <c r="K2656" s="27"/>
      <c r="L2656" s="15"/>
      <c r="M2656" s="15"/>
      <c r="N2656" s="4"/>
      <c r="O2656" s="4"/>
    </row>
    <row r="2657" spans="1:15" x14ac:dyDescent="0.2">
      <c r="A2657" s="2">
        <v>40007917</v>
      </c>
      <c r="B2657" s="2" t="s">
        <v>3072</v>
      </c>
      <c r="C2657" s="5" t="s">
        <v>8763</v>
      </c>
      <c r="D2657" s="21">
        <v>4</v>
      </c>
      <c r="E2657" s="21"/>
      <c r="F2657" s="21" t="s">
        <v>10438</v>
      </c>
      <c r="G2657" s="21"/>
      <c r="H2657" s="54">
        <v>8</v>
      </c>
      <c r="I2657" s="51"/>
      <c r="J2657" s="27"/>
      <c r="K2657" s="27"/>
      <c r="L2657" s="15"/>
      <c r="M2657" s="15"/>
      <c r="N2657" s="4" t="s">
        <v>5125</v>
      </c>
      <c r="O2657" s="4"/>
    </row>
    <row r="2658" spans="1:15" x14ac:dyDescent="0.2">
      <c r="A2658" s="2">
        <v>10018525</v>
      </c>
      <c r="B2658" s="2" t="s">
        <v>202</v>
      </c>
      <c r="C2658" s="5" t="s">
        <v>5757</v>
      </c>
      <c r="D2658" s="21">
        <v>6</v>
      </c>
      <c r="E2658" s="21"/>
      <c r="F2658" s="21" t="s">
        <v>10438</v>
      </c>
      <c r="G2658" s="21"/>
      <c r="H2658" s="54">
        <v>54</v>
      </c>
      <c r="I2658" s="51"/>
      <c r="J2658" s="27"/>
      <c r="K2658" s="27"/>
      <c r="L2658" s="15"/>
      <c r="M2658" s="15">
        <v>3</v>
      </c>
      <c r="N2658" s="4" t="s">
        <v>3943</v>
      </c>
      <c r="O2658" s="4"/>
    </row>
    <row r="2659" spans="1:15" x14ac:dyDescent="0.2">
      <c r="A2659" s="2">
        <v>10018189</v>
      </c>
      <c r="B2659" s="2" t="s">
        <v>92</v>
      </c>
      <c r="C2659" s="5" t="s">
        <v>5629</v>
      </c>
      <c r="D2659" s="21">
        <v>1</v>
      </c>
      <c r="E2659" s="21"/>
      <c r="F2659" s="21" t="s">
        <v>10438</v>
      </c>
      <c r="G2659" s="21"/>
      <c r="H2659" s="54">
        <v>198</v>
      </c>
      <c r="I2659" s="51"/>
      <c r="J2659" s="27"/>
      <c r="K2659" s="27"/>
      <c r="L2659" s="15"/>
      <c r="M2659" s="15"/>
      <c r="N2659" s="4"/>
      <c r="O2659" s="4" t="s">
        <v>10148</v>
      </c>
    </row>
    <row r="2660" spans="1:15" x14ac:dyDescent="0.2">
      <c r="A2660" s="2">
        <v>40007560</v>
      </c>
      <c r="B2660" s="2" t="s">
        <v>2759</v>
      </c>
      <c r="C2660" s="5" t="s">
        <v>8460</v>
      </c>
      <c r="D2660" s="21">
        <v>2</v>
      </c>
      <c r="E2660" s="21"/>
      <c r="F2660" s="21" t="s">
        <v>10438</v>
      </c>
      <c r="G2660" s="21"/>
      <c r="H2660" s="54">
        <v>72</v>
      </c>
      <c r="I2660" s="51"/>
      <c r="J2660" s="27"/>
      <c r="K2660" s="27"/>
      <c r="L2660" s="15">
        <v>5</v>
      </c>
      <c r="M2660" s="15">
        <v>10</v>
      </c>
      <c r="N2660" s="4" t="s">
        <v>3943</v>
      </c>
      <c r="O2660" s="4"/>
    </row>
    <row r="2661" spans="1:15" x14ac:dyDescent="0.2">
      <c r="A2661" s="2">
        <v>40007228</v>
      </c>
      <c r="B2661" s="2" t="s">
        <v>3690</v>
      </c>
      <c r="C2661" s="5" t="s">
        <v>8186</v>
      </c>
      <c r="D2661" s="21"/>
      <c r="E2661" s="21"/>
      <c r="F2661" s="21" t="s">
        <v>10438</v>
      </c>
      <c r="G2661" s="21"/>
      <c r="H2661" s="54">
        <v>8</v>
      </c>
      <c r="I2661" s="51"/>
      <c r="J2661" s="27"/>
      <c r="K2661" s="27"/>
      <c r="L2661" s="15"/>
      <c r="M2661" s="15">
        <v>5</v>
      </c>
      <c r="N2661" s="4" t="s">
        <v>4883</v>
      </c>
      <c r="O2661" s="4"/>
    </row>
    <row r="2662" spans="1:15" x14ac:dyDescent="0.2">
      <c r="A2662" s="2">
        <v>40005598</v>
      </c>
      <c r="B2662" s="2" t="s">
        <v>1042</v>
      </c>
      <c r="C2662" s="5" t="s">
        <v>6770</v>
      </c>
      <c r="D2662" s="21">
        <v>4</v>
      </c>
      <c r="E2662" s="21"/>
      <c r="F2662" s="21" t="s">
        <v>10438</v>
      </c>
      <c r="G2662" s="21"/>
      <c r="H2662" s="54">
        <v>72</v>
      </c>
      <c r="I2662" s="51"/>
      <c r="J2662" s="27"/>
      <c r="K2662" s="27"/>
      <c r="L2662" s="15"/>
      <c r="M2662" s="15"/>
      <c r="N2662" s="4"/>
      <c r="O2662" s="4" t="s">
        <v>10207</v>
      </c>
    </row>
    <row r="2663" spans="1:15" x14ac:dyDescent="0.2">
      <c r="A2663" s="2">
        <v>40007943</v>
      </c>
      <c r="B2663" s="2" t="s">
        <v>3096</v>
      </c>
      <c r="C2663" s="5" t="s">
        <v>8788</v>
      </c>
      <c r="D2663" s="21">
        <v>9</v>
      </c>
      <c r="E2663" s="21"/>
      <c r="F2663" s="21" t="s">
        <v>10438</v>
      </c>
      <c r="G2663" s="21"/>
      <c r="H2663" s="54">
        <v>1</v>
      </c>
      <c r="I2663" s="51"/>
      <c r="J2663" s="27"/>
      <c r="K2663" s="27"/>
      <c r="L2663" s="15"/>
      <c r="M2663" s="15"/>
      <c r="N2663" s="4" t="s">
        <v>5028</v>
      </c>
      <c r="O2663" s="4"/>
    </row>
    <row r="2664" spans="1:15" x14ac:dyDescent="0.2">
      <c r="A2664" s="2">
        <v>40007841</v>
      </c>
      <c r="B2664" s="2" t="s">
        <v>3000</v>
      </c>
      <c r="C2664" s="5" t="s">
        <v>8700</v>
      </c>
      <c r="D2664" s="21">
        <v>7</v>
      </c>
      <c r="E2664" s="21"/>
      <c r="F2664" s="21" t="s">
        <v>10438</v>
      </c>
      <c r="G2664" s="21"/>
      <c r="H2664" s="54">
        <v>14</v>
      </c>
      <c r="I2664" s="51"/>
      <c r="J2664" s="27"/>
      <c r="K2664" s="27"/>
      <c r="L2664" s="15"/>
      <c r="M2664" s="15"/>
      <c r="N2664" s="4" t="s">
        <v>4446</v>
      </c>
      <c r="O2664" s="4"/>
    </row>
    <row r="2665" spans="1:15" x14ac:dyDescent="0.2">
      <c r="A2665" s="2">
        <v>40007286</v>
      </c>
      <c r="B2665" s="2" t="s">
        <v>2531</v>
      </c>
      <c r="C2665" s="5" t="s">
        <v>8231</v>
      </c>
      <c r="D2665" s="21">
        <v>11</v>
      </c>
      <c r="E2665" s="21"/>
      <c r="F2665" s="21" t="s">
        <v>10438</v>
      </c>
      <c r="G2665" s="21"/>
      <c r="H2665" s="54">
        <v>10</v>
      </c>
      <c r="I2665" s="51"/>
      <c r="J2665" s="27"/>
      <c r="K2665" s="27"/>
      <c r="L2665" s="15"/>
      <c r="M2665" s="15"/>
      <c r="N2665" s="4" t="s">
        <v>4906</v>
      </c>
      <c r="O2665" s="4"/>
    </row>
    <row r="2666" spans="1:15" x14ac:dyDescent="0.2">
      <c r="A2666" s="2">
        <v>10019416</v>
      </c>
      <c r="B2666" s="2" t="s">
        <v>514</v>
      </c>
      <c r="C2666" s="5" t="s">
        <v>6134</v>
      </c>
      <c r="D2666" s="21">
        <v>15</v>
      </c>
      <c r="E2666" s="21"/>
      <c r="F2666" s="21" t="s">
        <v>10438</v>
      </c>
      <c r="G2666" s="21"/>
      <c r="H2666" s="54">
        <v>35</v>
      </c>
      <c r="I2666" s="51"/>
      <c r="J2666" s="27"/>
      <c r="K2666" s="27"/>
      <c r="L2666" s="15"/>
      <c r="M2666" s="15"/>
      <c r="N2666" s="4" t="s">
        <v>3958</v>
      </c>
      <c r="O2666" s="4"/>
    </row>
    <row r="2667" spans="1:15" x14ac:dyDescent="0.2">
      <c r="A2667" s="2">
        <v>40006322</v>
      </c>
      <c r="B2667" s="2" t="s">
        <v>1689</v>
      </c>
      <c r="C2667" s="5" t="s">
        <v>7399</v>
      </c>
      <c r="D2667" s="21"/>
      <c r="E2667" s="21"/>
      <c r="F2667" s="21" t="s">
        <v>10438</v>
      </c>
      <c r="G2667" s="21"/>
      <c r="H2667" s="54">
        <v>4</v>
      </c>
      <c r="I2667" s="51"/>
      <c r="J2667" s="27"/>
      <c r="K2667" s="27"/>
      <c r="L2667" s="15"/>
      <c r="M2667" s="15"/>
      <c r="N2667" s="4" t="s">
        <v>4526</v>
      </c>
      <c r="O2667" s="4"/>
    </row>
    <row r="2668" spans="1:15" x14ac:dyDescent="0.2">
      <c r="A2668" s="2">
        <v>40005207</v>
      </c>
      <c r="B2668" s="2" t="s">
        <v>745</v>
      </c>
      <c r="C2668" s="5" t="s">
        <v>6458</v>
      </c>
      <c r="D2668" s="21">
        <v>4</v>
      </c>
      <c r="E2668" s="21"/>
      <c r="F2668" s="21" t="s">
        <v>10438</v>
      </c>
      <c r="G2668" s="21"/>
      <c r="H2668" s="54">
        <v>10</v>
      </c>
      <c r="I2668" s="51"/>
      <c r="J2668" s="27"/>
      <c r="K2668" s="27"/>
      <c r="L2668" s="15"/>
      <c r="M2668" s="15"/>
      <c r="N2668" s="4" t="s">
        <v>4009</v>
      </c>
      <c r="O2668" s="4"/>
    </row>
    <row r="2669" spans="1:15" x14ac:dyDescent="0.2">
      <c r="A2669" s="2">
        <v>40006510</v>
      </c>
      <c r="B2669" s="2" t="s">
        <v>1859</v>
      </c>
      <c r="C2669" s="5" t="s">
        <v>7567</v>
      </c>
      <c r="D2669" s="21">
        <v>2</v>
      </c>
      <c r="E2669" s="21"/>
      <c r="F2669" s="21" t="s">
        <v>10438</v>
      </c>
      <c r="G2669" s="21"/>
      <c r="H2669" s="54">
        <v>9</v>
      </c>
      <c r="I2669" s="51"/>
      <c r="J2669" s="27"/>
      <c r="K2669" s="27"/>
      <c r="L2669" s="15"/>
      <c r="M2669" s="15"/>
      <c r="N2669" s="4" t="s">
        <v>4623</v>
      </c>
      <c r="O2669" s="4"/>
    </row>
    <row r="2670" spans="1:15" x14ac:dyDescent="0.2">
      <c r="A2670" s="2">
        <v>40006511</v>
      </c>
      <c r="B2670" s="2" t="s">
        <v>1860</v>
      </c>
      <c r="C2670" s="5" t="s">
        <v>7568</v>
      </c>
      <c r="D2670" s="21">
        <v>2</v>
      </c>
      <c r="E2670" s="21"/>
      <c r="F2670" s="21" t="s">
        <v>10438</v>
      </c>
      <c r="G2670" s="21"/>
      <c r="H2670" s="54">
        <v>9</v>
      </c>
      <c r="I2670" s="51"/>
      <c r="J2670" s="27"/>
      <c r="K2670" s="27"/>
      <c r="L2670" s="15"/>
      <c r="M2670" s="15"/>
      <c r="N2670" s="4" t="s">
        <v>4623</v>
      </c>
      <c r="O2670" s="4"/>
    </row>
    <row r="2671" spans="1:15" x14ac:dyDescent="0.2">
      <c r="A2671" s="2">
        <v>40006818</v>
      </c>
      <c r="B2671" s="2" t="s">
        <v>2117</v>
      </c>
      <c r="C2671" s="5" t="s">
        <v>7826</v>
      </c>
      <c r="D2671" s="21">
        <v>10</v>
      </c>
      <c r="E2671" s="21"/>
      <c r="F2671" s="21" t="s">
        <v>10438</v>
      </c>
      <c r="G2671" s="21"/>
      <c r="H2671" s="54">
        <v>7</v>
      </c>
      <c r="I2671" s="51"/>
      <c r="J2671" s="27"/>
      <c r="K2671" s="27"/>
      <c r="L2671" s="15"/>
      <c r="M2671" s="15"/>
      <c r="N2671" s="4" t="s">
        <v>4376</v>
      </c>
      <c r="O2671" s="4"/>
    </row>
    <row r="2672" spans="1:15" x14ac:dyDescent="0.2">
      <c r="A2672" s="2">
        <v>40006051</v>
      </c>
      <c r="B2672" s="2" t="s">
        <v>1450</v>
      </c>
      <c r="C2672" s="5" t="s">
        <v>7153</v>
      </c>
      <c r="D2672" s="21">
        <v>1</v>
      </c>
      <c r="E2672" s="21"/>
      <c r="F2672" s="21" t="s">
        <v>10438</v>
      </c>
      <c r="G2672" s="21"/>
      <c r="H2672" s="54">
        <v>7</v>
      </c>
      <c r="I2672" s="51"/>
      <c r="J2672" s="27"/>
      <c r="K2672" s="27"/>
      <c r="L2672" s="15"/>
      <c r="M2672" s="15"/>
      <c r="N2672" s="4" t="s">
        <v>4085</v>
      </c>
      <c r="O2672" s="4"/>
    </row>
    <row r="2673" spans="1:15" x14ac:dyDescent="0.2">
      <c r="A2673" s="2">
        <v>40006916</v>
      </c>
      <c r="B2673" s="2" t="s">
        <v>2211</v>
      </c>
      <c r="C2673" s="5" t="s">
        <v>7920</v>
      </c>
      <c r="D2673" s="21">
        <v>15</v>
      </c>
      <c r="E2673" s="21"/>
      <c r="F2673" s="21" t="s">
        <v>10438</v>
      </c>
      <c r="G2673" s="21"/>
      <c r="H2673" s="54">
        <v>6</v>
      </c>
      <c r="I2673" s="51"/>
      <c r="J2673" s="27"/>
      <c r="K2673" s="27"/>
      <c r="L2673" s="15"/>
      <c r="M2673" s="15"/>
      <c r="N2673" s="4" t="s">
        <v>4632</v>
      </c>
      <c r="O2673" s="4"/>
    </row>
    <row r="2674" spans="1:15" x14ac:dyDescent="0.2">
      <c r="A2674" s="2">
        <v>40006684</v>
      </c>
      <c r="B2674" s="2" t="s">
        <v>2003</v>
      </c>
      <c r="C2674" s="5" t="s">
        <v>7712</v>
      </c>
      <c r="D2674" s="21">
        <v>10</v>
      </c>
      <c r="E2674" s="21"/>
      <c r="F2674" s="21" t="s">
        <v>10438</v>
      </c>
      <c r="G2674" s="21"/>
      <c r="H2674" s="54">
        <v>1</v>
      </c>
      <c r="I2674" s="51"/>
      <c r="J2674" s="27"/>
      <c r="K2674" s="27"/>
      <c r="L2674" s="15"/>
      <c r="M2674" s="15"/>
      <c r="N2674" s="4" t="s">
        <v>4644</v>
      </c>
      <c r="O2674" s="4"/>
    </row>
    <row r="2675" spans="1:15" x14ac:dyDescent="0.2">
      <c r="A2675" s="2">
        <v>40010283</v>
      </c>
      <c r="B2675" s="2" t="s">
        <v>3474</v>
      </c>
      <c r="C2675" s="5" t="s">
        <v>9168</v>
      </c>
      <c r="D2675" s="21">
        <v>5</v>
      </c>
      <c r="E2675" s="21"/>
      <c r="F2675" s="21" t="s">
        <v>10438</v>
      </c>
      <c r="G2675" s="21"/>
      <c r="H2675" s="54">
        <v>5</v>
      </c>
      <c r="I2675" s="51"/>
      <c r="J2675" s="27"/>
      <c r="K2675" s="27"/>
      <c r="L2675" s="15"/>
      <c r="M2675" s="15"/>
      <c r="N2675" s="4" t="s">
        <v>5257</v>
      </c>
      <c r="O2675" s="4"/>
    </row>
    <row r="2676" spans="1:15" x14ac:dyDescent="0.2">
      <c r="A2676" s="2">
        <v>40007111</v>
      </c>
      <c r="B2676" s="2" t="s">
        <v>2381</v>
      </c>
      <c r="C2676" s="5" t="s">
        <v>8087</v>
      </c>
      <c r="D2676" s="21">
        <v>14</v>
      </c>
      <c r="E2676" s="21"/>
      <c r="F2676" s="30">
        <v>1</v>
      </c>
      <c r="G2676" s="21"/>
      <c r="H2676" s="54">
        <v>5</v>
      </c>
      <c r="I2676" s="51"/>
      <c r="J2676" s="27"/>
      <c r="K2676" s="27"/>
      <c r="L2676" s="15"/>
      <c r="M2676" s="15"/>
      <c r="N2676" s="4" t="s">
        <v>3992</v>
      </c>
      <c r="O2676" s="4"/>
    </row>
    <row r="2677" spans="1:15" x14ac:dyDescent="0.2">
      <c r="A2677" s="2">
        <v>40005862</v>
      </c>
      <c r="B2677" s="2" t="s">
        <v>1278</v>
      </c>
      <c r="C2677" s="5" t="s">
        <v>6989</v>
      </c>
      <c r="D2677" s="21">
        <v>7</v>
      </c>
      <c r="E2677" s="21"/>
      <c r="F2677" s="30">
        <v>3</v>
      </c>
      <c r="G2677" s="21"/>
      <c r="H2677" s="54">
        <v>7</v>
      </c>
      <c r="I2677" s="51"/>
      <c r="J2677" s="27"/>
      <c r="K2677" s="27"/>
      <c r="L2677" s="15"/>
      <c r="M2677" s="15">
        <v>10</v>
      </c>
      <c r="N2677" s="4" t="s">
        <v>4294</v>
      </c>
      <c r="O2677" s="4"/>
    </row>
    <row r="2678" spans="1:15" x14ac:dyDescent="0.2">
      <c r="A2678" s="2">
        <v>40006279</v>
      </c>
      <c r="B2678" s="2" t="s">
        <v>1653</v>
      </c>
      <c r="C2678" s="5" t="s">
        <v>7360</v>
      </c>
      <c r="D2678" s="21">
        <v>1</v>
      </c>
      <c r="E2678" s="21"/>
      <c r="F2678" s="21" t="s">
        <v>10438</v>
      </c>
      <c r="G2678" s="21"/>
      <c r="H2678" s="54">
        <v>2</v>
      </c>
      <c r="I2678" s="51"/>
      <c r="J2678" s="27"/>
      <c r="K2678" s="27"/>
      <c r="L2678" s="15"/>
      <c r="M2678" s="15"/>
      <c r="N2678" s="4" t="s">
        <v>4503</v>
      </c>
      <c r="O2678" s="4"/>
    </row>
    <row r="2679" spans="1:15" x14ac:dyDescent="0.2">
      <c r="A2679" s="2">
        <v>40007481</v>
      </c>
      <c r="B2679" s="2" t="s">
        <v>2692</v>
      </c>
      <c r="C2679" s="5" t="s">
        <v>8393</v>
      </c>
      <c r="D2679" s="21">
        <v>6</v>
      </c>
      <c r="E2679" s="21"/>
      <c r="F2679" s="21" t="s">
        <v>10438</v>
      </c>
      <c r="G2679" s="21"/>
      <c r="H2679" s="54">
        <v>7</v>
      </c>
      <c r="I2679" s="51"/>
      <c r="J2679" s="27"/>
      <c r="K2679" s="27"/>
      <c r="L2679" s="15"/>
      <c r="M2679" s="15"/>
      <c r="N2679" s="4" t="s">
        <v>4695</v>
      </c>
      <c r="O2679" s="4"/>
    </row>
    <row r="2680" spans="1:15" x14ac:dyDescent="0.2">
      <c r="A2680" s="2">
        <v>40006280</v>
      </c>
      <c r="B2680" s="2" t="s">
        <v>3817</v>
      </c>
      <c r="C2680" s="5" t="s">
        <v>7361</v>
      </c>
      <c r="D2680" s="21">
        <v>2</v>
      </c>
      <c r="E2680" s="21"/>
      <c r="F2680" s="21" t="s">
        <v>10438</v>
      </c>
      <c r="G2680" s="21"/>
      <c r="H2680" s="54">
        <v>4</v>
      </c>
      <c r="I2680" s="51"/>
      <c r="J2680" s="27"/>
      <c r="K2680" s="27"/>
      <c r="L2680" s="15"/>
      <c r="M2680" s="15"/>
      <c r="N2680" s="4" t="s">
        <v>4404</v>
      </c>
      <c r="O2680" s="4"/>
    </row>
    <row r="2681" spans="1:15" x14ac:dyDescent="0.2">
      <c r="A2681" s="2">
        <v>40006407</v>
      </c>
      <c r="B2681" s="2" t="s">
        <v>1767</v>
      </c>
      <c r="C2681" s="5" t="s">
        <v>7478</v>
      </c>
      <c r="D2681" s="21">
        <v>11</v>
      </c>
      <c r="E2681" s="21"/>
      <c r="F2681" s="21" t="s">
        <v>10438</v>
      </c>
      <c r="G2681" s="21"/>
      <c r="H2681" s="54">
        <v>4</v>
      </c>
      <c r="I2681" s="51"/>
      <c r="J2681" s="27"/>
      <c r="K2681" s="27"/>
      <c r="L2681" s="15"/>
      <c r="M2681" s="15"/>
      <c r="N2681" s="4" t="s">
        <v>4574</v>
      </c>
      <c r="O2681" s="4"/>
    </row>
    <row r="2682" spans="1:15" x14ac:dyDescent="0.2">
      <c r="A2682" s="2">
        <v>40007898</v>
      </c>
      <c r="B2682" s="2" t="s">
        <v>3053</v>
      </c>
      <c r="C2682" s="5" t="s">
        <v>8744</v>
      </c>
      <c r="D2682" s="21">
        <v>18</v>
      </c>
      <c r="E2682" s="21"/>
      <c r="F2682" s="21" t="s">
        <v>10438</v>
      </c>
      <c r="G2682" s="21"/>
      <c r="H2682" s="54">
        <v>2</v>
      </c>
      <c r="I2682" s="51"/>
      <c r="J2682" s="27"/>
      <c r="K2682" s="27"/>
      <c r="L2682" s="15"/>
      <c r="M2682" s="15"/>
      <c r="N2682" s="4" t="s">
        <v>4684</v>
      </c>
      <c r="O2682" s="4"/>
    </row>
    <row r="2683" spans="1:15" x14ac:dyDescent="0.2">
      <c r="A2683" s="2">
        <v>40005729</v>
      </c>
      <c r="B2683" s="2" t="s">
        <v>1157</v>
      </c>
      <c r="C2683" s="5" t="s">
        <v>6875</v>
      </c>
      <c r="D2683" s="21">
        <v>1</v>
      </c>
      <c r="E2683" s="21"/>
      <c r="F2683" s="21" t="s">
        <v>10438</v>
      </c>
      <c r="G2683" s="21"/>
      <c r="H2683" s="54">
        <v>11</v>
      </c>
      <c r="I2683" s="51"/>
      <c r="J2683" s="27"/>
      <c r="K2683" s="27"/>
      <c r="L2683" s="15"/>
      <c r="M2683" s="15"/>
      <c r="N2683" s="4" t="s">
        <v>4240</v>
      </c>
      <c r="O2683" s="4"/>
    </row>
    <row r="2684" spans="1:15" x14ac:dyDescent="0.2">
      <c r="A2684" s="2">
        <v>40006824</v>
      </c>
      <c r="B2684" s="2" t="s">
        <v>2123</v>
      </c>
      <c r="C2684" s="5" t="s">
        <v>7832</v>
      </c>
      <c r="D2684" s="21">
        <v>20</v>
      </c>
      <c r="E2684" s="21"/>
      <c r="F2684" s="21" t="s">
        <v>10438</v>
      </c>
      <c r="G2684" s="21"/>
      <c r="H2684" s="54">
        <v>7</v>
      </c>
      <c r="I2684" s="51"/>
      <c r="J2684" s="27"/>
      <c r="K2684" s="27"/>
      <c r="L2684" s="15"/>
      <c r="M2684" s="15"/>
      <c r="N2684" s="4" t="s">
        <v>4698</v>
      </c>
      <c r="O2684" s="4"/>
    </row>
    <row r="2685" spans="1:15" x14ac:dyDescent="0.2">
      <c r="A2685" s="2">
        <v>40006417</v>
      </c>
      <c r="B2685" s="2" t="s">
        <v>1776</v>
      </c>
      <c r="C2685" s="5" t="s">
        <v>7486</v>
      </c>
      <c r="D2685" s="21">
        <v>1</v>
      </c>
      <c r="E2685" s="21"/>
      <c r="F2685" s="21" t="s">
        <v>10438</v>
      </c>
      <c r="G2685" s="21"/>
      <c r="H2685" s="54">
        <v>60</v>
      </c>
      <c r="I2685" s="51"/>
      <c r="J2685" s="27"/>
      <c r="K2685" s="27"/>
      <c r="L2685" s="15"/>
      <c r="M2685" s="15"/>
      <c r="N2685" s="4" t="s">
        <v>4582</v>
      </c>
      <c r="O2685" s="4"/>
    </row>
    <row r="2686" spans="1:15" x14ac:dyDescent="0.2">
      <c r="A2686" s="2">
        <v>40005727</v>
      </c>
      <c r="B2686" s="2" t="s">
        <v>1155</v>
      </c>
      <c r="C2686" s="5" t="s">
        <v>6873</v>
      </c>
      <c r="D2686" s="21">
        <v>1</v>
      </c>
      <c r="E2686" s="21"/>
      <c r="F2686" s="21" t="s">
        <v>10438</v>
      </c>
      <c r="G2686" s="21"/>
      <c r="H2686" s="54">
        <v>18</v>
      </c>
      <c r="I2686" s="51"/>
      <c r="J2686" s="27"/>
      <c r="K2686" s="27"/>
      <c r="L2686" s="15"/>
      <c r="M2686" s="15"/>
      <c r="N2686" s="4" t="s">
        <v>4239</v>
      </c>
      <c r="O2686" s="4"/>
    </row>
    <row r="2687" spans="1:15" x14ac:dyDescent="0.2">
      <c r="A2687" s="2">
        <v>40006958</v>
      </c>
      <c r="B2687" s="2" t="s">
        <v>2249</v>
      </c>
      <c r="C2687" s="5" t="s">
        <v>7955</v>
      </c>
      <c r="D2687" s="21">
        <v>140</v>
      </c>
      <c r="E2687" s="21"/>
      <c r="F2687" s="30">
        <v>36</v>
      </c>
      <c r="G2687" s="21"/>
      <c r="H2687" s="54">
        <v>4</v>
      </c>
      <c r="I2687" s="51"/>
      <c r="J2687" s="27"/>
      <c r="K2687" s="27"/>
      <c r="L2687" s="15">
        <v>100</v>
      </c>
      <c r="M2687" s="15">
        <v>200</v>
      </c>
      <c r="N2687" s="4" t="s">
        <v>4763</v>
      </c>
      <c r="O2687" s="4"/>
    </row>
    <row r="2688" spans="1:15" x14ac:dyDescent="0.2">
      <c r="A2688" s="2">
        <v>40006281</v>
      </c>
      <c r="B2688" s="2" t="s">
        <v>1654</v>
      </c>
      <c r="C2688" s="5" t="s">
        <v>7362</v>
      </c>
      <c r="D2688" s="21">
        <v>3</v>
      </c>
      <c r="E2688" s="21"/>
      <c r="F2688" s="21" t="s">
        <v>10438</v>
      </c>
      <c r="G2688" s="21"/>
      <c r="H2688" s="54">
        <v>3</v>
      </c>
      <c r="I2688" s="51"/>
      <c r="J2688" s="27"/>
      <c r="K2688" s="27"/>
      <c r="L2688" s="15"/>
      <c r="M2688" s="15"/>
      <c r="N2688" s="4" t="s">
        <v>4504</v>
      </c>
      <c r="O2688" s="4"/>
    </row>
    <row r="2689" spans="1:15" x14ac:dyDescent="0.2">
      <c r="A2689" s="2">
        <v>40006945</v>
      </c>
      <c r="B2689" s="2" t="s">
        <v>2236</v>
      </c>
      <c r="C2689" s="5" t="s">
        <v>7943</v>
      </c>
      <c r="D2689" s="21">
        <v>6</v>
      </c>
      <c r="E2689" s="21"/>
      <c r="F2689" s="21" t="s">
        <v>10438</v>
      </c>
      <c r="G2689" s="21"/>
      <c r="H2689" s="54">
        <v>7</v>
      </c>
      <c r="I2689" s="51"/>
      <c r="J2689" s="27"/>
      <c r="K2689" s="27"/>
      <c r="L2689" s="15"/>
      <c r="M2689" s="15"/>
      <c r="N2689" s="4" t="s">
        <v>3984</v>
      </c>
      <c r="O2689" s="4"/>
    </row>
    <row r="2690" spans="1:15" x14ac:dyDescent="0.2">
      <c r="A2690" s="2">
        <v>40006860</v>
      </c>
      <c r="B2690" s="2" t="s">
        <v>2158</v>
      </c>
      <c r="C2690" s="5" t="s">
        <v>7867</v>
      </c>
      <c r="D2690" s="21">
        <v>16</v>
      </c>
      <c r="E2690" s="21"/>
      <c r="F2690" s="21" t="s">
        <v>10438</v>
      </c>
      <c r="G2690" s="21"/>
      <c r="H2690" s="54">
        <v>3</v>
      </c>
      <c r="I2690" s="51"/>
      <c r="J2690" s="27"/>
      <c r="K2690" s="27"/>
      <c r="L2690" s="15"/>
      <c r="M2690" s="15"/>
      <c r="N2690" s="4" t="s">
        <v>4156</v>
      </c>
      <c r="O2690" s="4"/>
    </row>
    <row r="2691" spans="1:15" x14ac:dyDescent="0.2">
      <c r="A2691" s="2">
        <v>40010274</v>
      </c>
      <c r="B2691" s="2" t="s">
        <v>3465</v>
      </c>
      <c r="C2691" s="5" t="s">
        <v>9159</v>
      </c>
      <c r="D2691" s="21">
        <v>18</v>
      </c>
      <c r="E2691" s="21"/>
      <c r="F2691" s="21" t="s">
        <v>10438</v>
      </c>
      <c r="G2691" s="21"/>
      <c r="H2691" s="54">
        <v>12</v>
      </c>
      <c r="I2691" s="51"/>
      <c r="J2691" s="27"/>
      <c r="K2691" s="27"/>
      <c r="L2691" s="15"/>
      <c r="M2691" s="15"/>
      <c r="N2691" s="4" t="s">
        <v>5259</v>
      </c>
      <c r="O2691" s="4"/>
    </row>
    <row r="2692" spans="1:15" x14ac:dyDescent="0.2">
      <c r="A2692" s="2">
        <v>40005318</v>
      </c>
      <c r="B2692" s="2" t="s">
        <v>809</v>
      </c>
      <c r="C2692" s="5" t="s">
        <v>6526</v>
      </c>
      <c r="D2692" s="21">
        <v>4</v>
      </c>
      <c r="E2692" s="21"/>
      <c r="F2692" s="21" t="s">
        <v>10438</v>
      </c>
      <c r="G2692" s="21"/>
      <c r="H2692" s="54">
        <v>7</v>
      </c>
      <c r="I2692" s="51"/>
      <c r="J2692" s="27"/>
      <c r="K2692" s="27"/>
      <c r="L2692" s="15"/>
      <c r="M2692" s="15"/>
      <c r="N2692" s="4" t="s">
        <v>4050</v>
      </c>
      <c r="O2692" s="4"/>
    </row>
    <row r="2693" spans="1:15" x14ac:dyDescent="0.2">
      <c r="A2693" s="2">
        <v>40010288</v>
      </c>
      <c r="B2693" s="2" t="s">
        <v>3479</v>
      </c>
      <c r="C2693" s="56" t="s">
        <v>9173</v>
      </c>
      <c r="D2693" s="21">
        <v>-2</v>
      </c>
      <c r="E2693" s="21"/>
      <c r="F2693" s="21" t="s">
        <v>10438</v>
      </c>
      <c r="G2693" s="21"/>
      <c r="H2693" s="54">
        <v>27</v>
      </c>
      <c r="I2693" s="51"/>
      <c r="J2693" s="27"/>
      <c r="K2693" s="27"/>
      <c r="L2693" s="15">
        <v>10</v>
      </c>
      <c r="M2693" s="15">
        <v>5</v>
      </c>
      <c r="N2693" s="4" t="s">
        <v>5257</v>
      </c>
      <c r="O2693" s="4"/>
    </row>
    <row r="2694" spans="1:15" x14ac:dyDescent="0.2">
      <c r="A2694" s="2">
        <v>40007385</v>
      </c>
      <c r="B2694" s="2" t="s">
        <v>2612</v>
      </c>
      <c r="C2694" s="5" t="s">
        <v>8310</v>
      </c>
      <c r="D2694" s="21">
        <v>7</v>
      </c>
      <c r="E2694" s="21"/>
      <c r="F2694" s="21" t="s">
        <v>10438</v>
      </c>
      <c r="G2694" s="21"/>
      <c r="H2694" s="54">
        <v>15</v>
      </c>
      <c r="I2694" s="51"/>
      <c r="J2694" s="27"/>
      <c r="K2694" s="27"/>
      <c r="L2694" s="15"/>
      <c r="M2694" s="15"/>
      <c r="N2694" s="4" t="s">
        <v>4378</v>
      </c>
      <c r="O2694" s="4"/>
    </row>
    <row r="2695" spans="1:15" x14ac:dyDescent="0.2">
      <c r="A2695" s="2">
        <v>40007272</v>
      </c>
      <c r="B2695" s="2" t="s">
        <v>2520</v>
      </c>
      <c r="C2695" s="5" t="s">
        <v>8217</v>
      </c>
      <c r="D2695" s="21">
        <v>1</v>
      </c>
      <c r="E2695" s="21"/>
      <c r="F2695" s="21" t="s">
        <v>10438</v>
      </c>
      <c r="G2695" s="21"/>
      <c r="H2695" s="54">
        <v>5</v>
      </c>
      <c r="I2695" s="51"/>
      <c r="J2695" s="27"/>
      <c r="K2695" s="27"/>
      <c r="L2695" s="15"/>
      <c r="M2695" s="15"/>
      <c r="N2695" s="4" t="s">
        <v>4900</v>
      </c>
      <c r="O2695" s="4"/>
    </row>
    <row r="2696" spans="1:15" x14ac:dyDescent="0.2">
      <c r="A2696" s="2">
        <v>40007507</v>
      </c>
      <c r="B2696" s="2" t="s">
        <v>2715</v>
      </c>
      <c r="C2696" s="5" t="s">
        <v>8418</v>
      </c>
      <c r="D2696" s="21">
        <v>6</v>
      </c>
      <c r="E2696" s="21"/>
      <c r="F2696" s="21" t="s">
        <v>10438</v>
      </c>
      <c r="G2696" s="21"/>
      <c r="H2696" s="54">
        <v>8</v>
      </c>
      <c r="I2696" s="51"/>
      <c r="J2696" s="27"/>
      <c r="K2696" s="27"/>
      <c r="L2696" s="15"/>
      <c r="M2696" s="15"/>
      <c r="N2696" s="4" t="s">
        <v>4798</v>
      </c>
      <c r="O2696" s="4"/>
    </row>
    <row r="2697" spans="1:15" x14ac:dyDescent="0.2">
      <c r="A2697" s="2">
        <v>40005166</v>
      </c>
      <c r="B2697" s="2" t="s">
        <v>713</v>
      </c>
      <c r="C2697" s="5" t="s">
        <v>6427</v>
      </c>
      <c r="D2697" s="21">
        <v>6</v>
      </c>
      <c r="E2697" s="21"/>
      <c r="F2697" s="21" t="s">
        <v>10438</v>
      </c>
      <c r="G2697" s="21"/>
      <c r="H2697" s="54">
        <v>5</v>
      </c>
      <c r="I2697" s="51"/>
      <c r="J2697" s="27"/>
      <c r="K2697" s="27"/>
      <c r="L2697" s="15"/>
      <c r="M2697" s="15"/>
      <c r="N2697" s="4" t="s">
        <v>3984</v>
      </c>
      <c r="O2697" s="4"/>
    </row>
    <row r="2698" spans="1:15" x14ac:dyDescent="0.2">
      <c r="A2698" s="2">
        <v>40007735</v>
      </c>
      <c r="B2698" s="2" t="s">
        <v>2910</v>
      </c>
      <c r="C2698" s="5" t="s">
        <v>8607</v>
      </c>
      <c r="D2698" s="21">
        <v>4</v>
      </c>
      <c r="E2698" s="21"/>
      <c r="F2698" s="21" t="s">
        <v>10438</v>
      </c>
      <c r="G2698" s="21"/>
      <c r="H2698" s="54">
        <v>5</v>
      </c>
      <c r="I2698" s="51"/>
      <c r="J2698" s="27"/>
      <c r="K2698" s="27"/>
      <c r="L2698" s="15"/>
      <c r="M2698" s="15"/>
      <c r="N2698" s="4" t="s">
        <v>4152</v>
      </c>
      <c r="O2698" s="4"/>
    </row>
    <row r="2699" spans="1:15" x14ac:dyDescent="0.2">
      <c r="A2699" s="2">
        <v>40006282</v>
      </c>
      <c r="B2699" s="2" t="s">
        <v>1655</v>
      </c>
      <c r="C2699" s="5" t="s">
        <v>7363</v>
      </c>
      <c r="D2699" s="21">
        <v>1</v>
      </c>
      <c r="E2699" s="21"/>
      <c r="F2699" s="21" t="s">
        <v>10438</v>
      </c>
      <c r="G2699" s="21"/>
      <c r="H2699" s="54">
        <v>2</v>
      </c>
      <c r="I2699" s="51"/>
      <c r="J2699" s="27"/>
      <c r="K2699" s="27"/>
      <c r="L2699" s="15"/>
      <c r="M2699" s="15"/>
      <c r="N2699" s="4" t="s">
        <v>4505</v>
      </c>
      <c r="O2699" s="4"/>
    </row>
    <row r="2700" spans="1:15" x14ac:dyDescent="0.2">
      <c r="A2700" s="2">
        <v>40006881</v>
      </c>
      <c r="B2700" s="2" t="s">
        <v>2176</v>
      </c>
      <c r="C2700" s="5" t="s">
        <v>7885</v>
      </c>
      <c r="D2700" s="21">
        <v>18</v>
      </c>
      <c r="E2700" s="21"/>
      <c r="F2700" s="21" t="s">
        <v>10438</v>
      </c>
      <c r="G2700" s="21"/>
      <c r="H2700" s="54">
        <v>4</v>
      </c>
      <c r="I2700" s="51"/>
      <c r="J2700" s="27"/>
      <c r="K2700" s="27"/>
      <c r="L2700" s="15"/>
      <c r="M2700" s="15"/>
      <c r="N2700" s="4" t="s">
        <v>4728</v>
      </c>
      <c r="O2700" s="4"/>
    </row>
    <row r="2701" spans="1:15" x14ac:dyDescent="0.2">
      <c r="A2701" s="2">
        <v>40010963</v>
      </c>
      <c r="B2701" s="2" t="s">
        <v>3582</v>
      </c>
      <c r="C2701" s="5" t="s">
        <v>9302</v>
      </c>
      <c r="D2701" s="21">
        <v>5</v>
      </c>
      <c r="E2701" s="21"/>
      <c r="F2701" s="21" t="s">
        <v>10438</v>
      </c>
      <c r="G2701" s="21"/>
      <c r="H2701" s="54">
        <v>21</v>
      </c>
      <c r="I2701" s="51"/>
      <c r="J2701" s="27"/>
      <c r="K2701" s="27"/>
      <c r="L2701" s="15"/>
      <c r="M2701" s="15"/>
      <c r="N2701" s="4" t="s">
        <v>3945</v>
      </c>
      <c r="O2701" s="4"/>
    </row>
    <row r="2702" spans="1:15" x14ac:dyDescent="0.2">
      <c r="A2702" s="2">
        <v>40005199</v>
      </c>
      <c r="B2702" s="2" t="s">
        <v>740</v>
      </c>
      <c r="C2702" s="5" t="s">
        <v>6453</v>
      </c>
      <c r="D2702" s="21">
        <v>1</v>
      </c>
      <c r="E2702" s="21"/>
      <c r="F2702" s="21" t="s">
        <v>10438</v>
      </c>
      <c r="G2702" s="21"/>
      <c r="H2702" s="54">
        <v>20</v>
      </c>
      <c r="I2702" s="51"/>
      <c r="J2702" s="27"/>
      <c r="K2702" s="27"/>
      <c r="L2702" s="15"/>
      <c r="M2702" s="15"/>
      <c r="N2702" s="4" t="s">
        <v>4005</v>
      </c>
      <c r="O2702" s="4"/>
    </row>
    <row r="2703" spans="1:15" x14ac:dyDescent="0.2">
      <c r="A2703" s="2">
        <v>40007736</v>
      </c>
      <c r="B2703" s="2" t="s">
        <v>2911</v>
      </c>
      <c r="C2703" s="5" t="s">
        <v>8608</v>
      </c>
      <c r="D2703" s="21">
        <v>7</v>
      </c>
      <c r="E2703" s="21"/>
      <c r="F2703" s="21" t="s">
        <v>10438</v>
      </c>
      <c r="G2703" s="21"/>
      <c r="H2703" s="54">
        <v>3</v>
      </c>
      <c r="I2703" s="51"/>
      <c r="J2703" s="27"/>
      <c r="K2703" s="27"/>
      <c r="L2703" s="15"/>
      <c r="M2703" s="15"/>
      <c r="N2703" s="4" t="s">
        <v>5052</v>
      </c>
      <c r="O2703" s="4"/>
    </row>
    <row r="2704" spans="1:15" x14ac:dyDescent="0.2">
      <c r="A2704" s="2">
        <v>40005347</v>
      </c>
      <c r="B2704" s="2" t="s">
        <v>832</v>
      </c>
      <c r="C2704" s="5" t="s">
        <v>6550</v>
      </c>
      <c r="D2704" s="21">
        <v>6</v>
      </c>
      <c r="E2704" s="21"/>
      <c r="F2704" s="21" t="s">
        <v>10438</v>
      </c>
      <c r="G2704" s="21"/>
      <c r="H2704" s="54">
        <v>8</v>
      </c>
      <c r="I2704" s="51"/>
      <c r="J2704" s="27"/>
      <c r="K2704" s="27"/>
      <c r="L2704" s="15"/>
      <c r="M2704" s="15"/>
      <c r="N2704" s="4" t="s">
        <v>4063</v>
      </c>
      <c r="O2704" s="4"/>
    </row>
    <row r="2705" spans="1:15" x14ac:dyDescent="0.2">
      <c r="A2705" s="2">
        <v>40008297</v>
      </c>
      <c r="B2705" s="2" t="s">
        <v>3407</v>
      </c>
      <c r="C2705" s="5" t="s">
        <v>9100</v>
      </c>
      <c r="D2705" s="21">
        <v>1</v>
      </c>
      <c r="E2705" s="21"/>
      <c r="F2705" s="21" t="s">
        <v>10438</v>
      </c>
      <c r="G2705" s="21"/>
      <c r="H2705" s="54">
        <v>10</v>
      </c>
      <c r="I2705" s="51"/>
      <c r="J2705" s="27"/>
      <c r="K2705" s="27"/>
      <c r="L2705" s="15"/>
      <c r="M2705" s="15"/>
      <c r="N2705" s="4" t="s">
        <v>4900</v>
      </c>
      <c r="O2705" s="4"/>
    </row>
    <row r="2706" spans="1:15" x14ac:dyDescent="0.2">
      <c r="A2706" s="2">
        <v>40007259</v>
      </c>
      <c r="B2706" s="2" t="s">
        <v>2510</v>
      </c>
      <c r="C2706" s="5" t="s">
        <v>8205</v>
      </c>
      <c r="D2706" s="21">
        <v>-1</v>
      </c>
      <c r="E2706" s="21"/>
      <c r="F2706" s="21" t="s">
        <v>10438</v>
      </c>
      <c r="G2706" s="21"/>
      <c r="H2706" s="54">
        <v>4</v>
      </c>
      <c r="I2706" s="51"/>
      <c r="J2706" s="27"/>
      <c r="K2706" s="27"/>
      <c r="L2706" s="15">
        <v>10</v>
      </c>
      <c r="M2706" s="15"/>
      <c r="N2706" s="4" t="s">
        <v>4162</v>
      </c>
      <c r="O2706" s="4"/>
    </row>
    <row r="2707" spans="1:15" x14ac:dyDescent="0.2">
      <c r="A2707" s="2">
        <v>40006934</v>
      </c>
      <c r="B2707" s="2" t="s">
        <v>2227</v>
      </c>
      <c r="C2707" s="5" t="s">
        <v>7935</v>
      </c>
      <c r="D2707" s="21">
        <v>114</v>
      </c>
      <c r="E2707" s="21"/>
      <c r="F2707" s="30">
        <v>1</v>
      </c>
      <c r="G2707" s="21"/>
      <c r="H2707" s="54">
        <v>11</v>
      </c>
      <c r="I2707" s="51"/>
      <c r="J2707" s="27"/>
      <c r="K2707" s="27"/>
      <c r="L2707" s="15"/>
      <c r="M2707" s="15"/>
      <c r="N2707" s="4" t="s">
        <v>4751</v>
      </c>
      <c r="O2707" s="4"/>
    </row>
    <row r="2708" spans="1:15" x14ac:dyDescent="0.2">
      <c r="A2708" s="2">
        <v>40006363</v>
      </c>
      <c r="B2708" s="2" t="s">
        <v>1726</v>
      </c>
      <c r="C2708" s="5" t="s">
        <v>7436</v>
      </c>
      <c r="D2708" s="21">
        <v>18</v>
      </c>
      <c r="E2708" s="21"/>
      <c r="F2708" s="21" t="s">
        <v>10438</v>
      </c>
      <c r="G2708" s="21"/>
      <c r="H2708" s="54">
        <v>1</v>
      </c>
      <c r="I2708" s="51"/>
      <c r="J2708" s="27"/>
      <c r="K2708" s="27"/>
      <c r="L2708" s="15"/>
      <c r="M2708" s="15"/>
      <c r="N2708" s="4" t="s">
        <v>4548</v>
      </c>
      <c r="O2708" s="4"/>
    </row>
    <row r="2709" spans="1:15" x14ac:dyDescent="0.2">
      <c r="A2709" s="2">
        <v>40007381</v>
      </c>
      <c r="B2709" s="2" t="s">
        <v>2609</v>
      </c>
      <c r="C2709" s="5" t="s">
        <v>8307</v>
      </c>
      <c r="D2709" s="21">
        <v>9</v>
      </c>
      <c r="E2709" s="21"/>
      <c r="F2709" s="21" t="s">
        <v>10438</v>
      </c>
      <c r="G2709" s="21"/>
      <c r="H2709" s="54">
        <v>4</v>
      </c>
      <c r="I2709" s="51"/>
      <c r="J2709" s="27"/>
      <c r="K2709" s="27"/>
      <c r="L2709" s="15"/>
      <c r="M2709" s="15"/>
      <c r="N2709" s="4" t="s">
        <v>4001</v>
      </c>
      <c r="O2709" s="4"/>
    </row>
    <row r="2710" spans="1:15" x14ac:dyDescent="0.2">
      <c r="A2710" s="2">
        <v>40007907</v>
      </c>
      <c r="B2710" s="2" t="s">
        <v>3062</v>
      </c>
      <c r="C2710" s="5" t="s">
        <v>8753</v>
      </c>
      <c r="D2710" s="21">
        <v>8</v>
      </c>
      <c r="E2710" s="21"/>
      <c r="F2710" s="21" t="s">
        <v>10438</v>
      </c>
      <c r="G2710" s="21"/>
      <c r="H2710" s="54">
        <v>5</v>
      </c>
      <c r="I2710" s="51"/>
      <c r="J2710" s="27"/>
      <c r="K2710" s="27"/>
      <c r="L2710" s="15"/>
      <c r="M2710" s="15"/>
      <c r="N2710" s="4" t="s">
        <v>4548</v>
      </c>
      <c r="O2710" s="4"/>
    </row>
    <row r="2711" spans="1:15" x14ac:dyDescent="0.2">
      <c r="A2711" s="2">
        <v>40006003</v>
      </c>
      <c r="B2711" s="2" t="s">
        <v>1408</v>
      </c>
      <c r="C2711" s="5" t="s">
        <v>7114</v>
      </c>
      <c r="D2711" s="21">
        <v>23</v>
      </c>
      <c r="E2711" s="21"/>
      <c r="F2711" s="21" t="s">
        <v>10438</v>
      </c>
      <c r="G2711" s="21"/>
      <c r="H2711" s="54">
        <v>33</v>
      </c>
      <c r="I2711" s="51"/>
      <c r="J2711" s="27"/>
      <c r="K2711" s="27"/>
      <c r="L2711" s="15"/>
      <c r="M2711" s="15"/>
      <c r="N2711" s="4" t="s">
        <v>4364</v>
      </c>
      <c r="O2711" s="4" t="s">
        <v>10098</v>
      </c>
    </row>
    <row r="2712" spans="1:15" x14ac:dyDescent="0.2">
      <c r="A2712" s="2">
        <v>40006165</v>
      </c>
      <c r="B2712" s="2" t="s">
        <v>1552</v>
      </c>
      <c r="C2712" s="5" t="s">
        <v>7258</v>
      </c>
      <c r="D2712" s="21">
        <v>7</v>
      </c>
      <c r="E2712" s="21"/>
      <c r="F2712" s="21" t="s">
        <v>10438</v>
      </c>
      <c r="G2712" s="21"/>
      <c r="H2712" s="54">
        <v>4</v>
      </c>
      <c r="I2712" s="51"/>
      <c r="J2712" s="27"/>
      <c r="K2712" s="27"/>
      <c r="L2712" s="15"/>
      <c r="M2712" s="15"/>
      <c r="N2712" s="4" t="s">
        <v>4446</v>
      </c>
      <c r="O2712" s="4"/>
    </row>
    <row r="2713" spans="1:15" x14ac:dyDescent="0.2">
      <c r="A2713" s="2">
        <v>40006965</v>
      </c>
      <c r="B2713" s="2" t="s">
        <v>2256</v>
      </c>
      <c r="C2713" s="5" t="s">
        <v>7962</v>
      </c>
      <c r="D2713" s="21">
        <v>26</v>
      </c>
      <c r="E2713" s="21"/>
      <c r="F2713" s="21" t="s">
        <v>10438</v>
      </c>
      <c r="G2713" s="21"/>
      <c r="H2713" s="54">
        <v>4</v>
      </c>
      <c r="I2713" s="51"/>
      <c r="J2713" s="27"/>
      <c r="K2713" s="27"/>
      <c r="L2713" s="15"/>
      <c r="M2713" s="15"/>
      <c r="N2713" s="4" t="s">
        <v>4234</v>
      </c>
      <c r="O2713" s="4"/>
    </row>
    <row r="2714" spans="1:15" x14ac:dyDescent="0.2">
      <c r="A2714" s="2">
        <v>40010961</v>
      </c>
      <c r="B2714" s="2" t="s">
        <v>3580</v>
      </c>
      <c r="C2714" s="5" t="s">
        <v>9300</v>
      </c>
      <c r="D2714" s="21">
        <v>5</v>
      </c>
      <c r="E2714" s="21"/>
      <c r="F2714" s="21" t="s">
        <v>10438</v>
      </c>
      <c r="G2714" s="21"/>
      <c r="H2714" s="54">
        <v>13</v>
      </c>
      <c r="I2714" s="51"/>
      <c r="J2714" s="27"/>
      <c r="K2714" s="27"/>
      <c r="L2714" s="15"/>
      <c r="M2714" s="15"/>
      <c r="N2714" s="4" t="s">
        <v>3945</v>
      </c>
      <c r="O2714" s="4"/>
    </row>
    <row r="2715" spans="1:15" x14ac:dyDescent="0.2">
      <c r="A2715" s="2">
        <v>40005723</v>
      </c>
      <c r="B2715" s="2" t="s">
        <v>1151</v>
      </c>
      <c r="C2715" s="5" t="s">
        <v>6869</v>
      </c>
      <c r="D2715" s="21">
        <v>2</v>
      </c>
      <c r="E2715" s="21"/>
      <c r="F2715" s="21" t="s">
        <v>10438</v>
      </c>
      <c r="G2715" s="21"/>
      <c r="H2715" s="54">
        <v>22</v>
      </c>
      <c r="I2715" s="51"/>
      <c r="J2715" s="27"/>
      <c r="K2715" s="27"/>
      <c r="L2715" s="15"/>
      <c r="M2715" s="15"/>
      <c r="N2715" s="4" t="s">
        <v>4235</v>
      </c>
      <c r="O2715" s="4"/>
    </row>
    <row r="2716" spans="1:15" x14ac:dyDescent="0.2">
      <c r="A2716" s="2">
        <v>40007258</v>
      </c>
      <c r="B2716" s="2" t="s">
        <v>2509</v>
      </c>
      <c r="C2716" s="5">
        <v>963206018</v>
      </c>
      <c r="D2716" s="21">
        <v>20</v>
      </c>
      <c r="E2716" s="21"/>
      <c r="F2716" s="21" t="s">
        <v>10438</v>
      </c>
      <c r="G2716" s="21"/>
      <c r="H2716" s="54">
        <v>8</v>
      </c>
      <c r="I2716" s="51"/>
      <c r="J2716" s="27"/>
      <c r="K2716" s="27"/>
      <c r="L2716" s="15"/>
      <c r="M2716" s="15"/>
      <c r="N2716" s="4" t="s">
        <v>4894</v>
      </c>
      <c r="O2716" s="4"/>
    </row>
    <row r="2717" spans="1:15" x14ac:dyDescent="0.2">
      <c r="A2717" s="2">
        <v>40007912</v>
      </c>
      <c r="B2717" s="2" t="s">
        <v>3067</v>
      </c>
      <c r="C2717" s="5" t="s">
        <v>8758</v>
      </c>
      <c r="D2717" s="21">
        <v>9</v>
      </c>
      <c r="E2717" s="21"/>
      <c r="F2717" s="21" t="s">
        <v>10438</v>
      </c>
      <c r="G2717" s="21"/>
      <c r="H2717" s="54">
        <v>2</v>
      </c>
      <c r="I2717" s="51"/>
      <c r="J2717" s="27"/>
      <c r="K2717" s="27"/>
      <c r="L2717" s="15"/>
      <c r="M2717" s="15"/>
      <c r="N2717" s="4" t="s">
        <v>4235</v>
      </c>
      <c r="O2717" s="4"/>
    </row>
    <row r="2718" spans="1:15" x14ac:dyDescent="0.2">
      <c r="A2718" s="2">
        <v>40007915</v>
      </c>
      <c r="B2718" s="2" t="s">
        <v>3070</v>
      </c>
      <c r="C2718" s="5" t="s">
        <v>8761</v>
      </c>
      <c r="D2718" s="21">
        <v>5</v>
      </c>
      <c r="E2718" s="21"/>
      <c r="F2718" s="21" t="s">
        <v>10438</v>
      </c>
      <c r="G2718" s="21"/>
      <c r="H2718" s="54">
        <v>8</v>
      </c>
      <c r="I2718" s="51"/>
      <c r="J2718" s="27"/>
      <c r="K2718" s="27"/>
      <c r="L2718" s="15"/>
      <c r="M2718" s="15"/>
      <c r="N2718" s="4" t="s">
        <v>4786</v>
      </c>
      <c r="O2718" s="4"/>
    </row>
    <row r="2719" spans="1:15" x14ac:dyDescent="0.2">
      <c r="A2719" s="2">
        <v>40006050</v>
      </c>
      <c r="B2719" s="2" t="s">
        <v>1449</v>
      </c>
      <c r="C2719" s="5" t="s">
        <v>7152</v>
      </c>
      <c r="D2719" s="21">
        <v>31</v>
      </c>
      <c r="E2719" s="21"/>
      <c r="F2719" s="21" t="s">
        <v>10438</v>
      </c>
      <c r="G2719" s="21"/>
      <c r="H2719" s="54">
        <v>32</v>
      </c>
      <c r="I2719" s="51"/>
      <c r="J2719" s="27"/>
      <c r="K2719" s="27"/>
      <c r="L2719" s="15"/>
      <c r="M2719" s="15"/>
      <c r="N2719" s="4" t="s">
        <v>4388</v>
      </c>
      <c r="O2719" s="4"/>
    </row>
    <row r="2720" spans="1:15" x14ac:dyDescent="0.2">
      <c r="A2720" s="2">
        <v>10018605</v>
      </c>
      <c r="B2720" s="2" t="s">
        <v>233</v>
      </c>
      <c r="C2720" s="5" t="s">
        <v>5795</v>
      </c>
      <c r="D2720" s="21">
        <v>4</v>
      </c>
      <c r="E2720" s="21"/>
      <c r="F2720" s="21" t="s">
        <v>10438</v>
      </c>
      <c r="G2720" s="21"/>
      <c r="H2720" s="54">
        <v>1252</v>
      </c>
      <c r="I2720" s="51"/>
      <c r="J2720" s="27"/>
      <c r="K2720" s="27"/>
      <c r="L2720" s="15"/>
      <c r="M2720" s="15"/>
      <c r="N2720" s="4"/>
      <c r="O2720" s="4" t="s">
        <v>5091</v>
      </c>
    </row>
    <row r="2721" spans="1:15" x14ac:dyDescent="0.2">
      <c r="A2721" s="2">
        <v>10018554</v>
      </c>
      <c r="B2721" s="2" t="s">
        <v>217</v>
      </c>
      <c r="C2721" s="5" t="s">
        <v>5776</v>
      </c>
      <c r="D2721" s="21">
        <v>2</v>
      </c>
      <c r="E2721" s="21"/>
      <c r="F2721" s="21" t="s">
        <v>10438</v>
      </c>
      <c r="G2721" s="21"/>
      <c r="H2721" s="54">
        <v>2035</v>
      </c>
      <c r="I2721" s="51"/>
      <c r="J2721" s="27"/>
      <c r="K2721" s="27"/>
      <c r="L2721" s="15"/>
      <c r="M2721" s="15"/>
      <c r="N2721" s="4">
        <v>107</v>
      </c>
      <c r="O2721" s="4"/>
    </row>
    <row r="2722" spans="1:15" x14ac:dyDescent="0.2">
      <c r="A2722" s="2">
        <v>40005398</v>
      </c>
      <c r="B2722" s="2" t="s">
        <v>875</v>
      </c>
      <c r="C2722" s="5" t="s">
        <v>6597</v>
      </c>
      <c r="D2722" s="21">
        <v>1</v>
      </c>
      <c r="E2722" s="21"/>
      <c r="F2722" s="21" t="s">
        <v>10438</v>
      </c>
      <c r="G2722" s="21"/>
      <c r="H2722" s="54">
        <v>44</v>
      </c>
      <c r="I2722" s="51"/>
      <c r="J2722" s="27"/>
      <c r="K2722" s="27"/>
      <c r="L2722" s="15"/>
      <c r="M2722" s="15"/>
      <c r="N2722" s="4" t="s">
        <v>4100</v>
      </c>
      <c r="O2722" s="4"/>
    </row>
    <row r="2723" spans="1:15" x14ac:dyDescent="0.2">
      <c r="A2723" s="2">
        <v>40005997</v>
      </c>
      <c r="B2723" s="2" t="s">
        <v>1402</v>
      </c>
      <c r="C2723" s="5" t="s">
        <v>7108</v>
      </c>
      <c r="D2723" s="21">
        <v>3</v>
      </c>
      <c r="E2723" s="21"/>
      <c r="F2723" s="21" t="s">
        <v>10438</v>
      </c>
      <c r="G2723" s="21"/>
      <c r="H2723" s="54">
        <v>100</v>
      </c>
      <c r="I2723" s="51"/>
      <c r="J2723" s="27"/>
      <c r="K2723" s="27"/>
      <c r="L2723" s="15"/>
      <c r="M2723" s="15"/>
      <c r="N2723" s="4" t="s">
        <v>4359</v>
      </c>
      <c r="O2723" s="4"/>
    </row>
    <row r="2724" spans="1:15" x14ac:dyDescent="0.2">
      <c r="A2724" s="2">
        <v>40007139</v>
      </c>
      <c r="B2724" s="2" t="s">
        <v>2407</v>
      </c>
      <c r="C2724" s="5" t="s">
        <v>8110</v>
      </c>
      <c r="D2724" s="21">
        <v>1</v>
      </c>
      <c r="E2724" s="21"/>
      <c r="F2724" s="21" t="s">
        <v>10438</v>
      </c>
      <c r="G2724" s="21"/>
      <c r="H2724" s="54">
        <v>194</v>
      </c>
      <c r="I2724" s="51"/>
      <c r="J2724" s="27"/>
      <c r="K2724" s="27"/>
      <c r="L2724" s="15"/>
      <c r="M2724" s="15"/>
      <c r="N2724" s="4" t="s">
        <v>4338</v>
      </c>
      <c r="O2724" s="4"/>
    </row>
    <row r="2725" spans="1:15" x14ac:dyDescent="0.2">
      <c r="A2725" s="2">
        <v>40006358</v>
      </c>
      <c r="B2725" s="2" t="s">
        <v>1721</v>
      </c>
      <c r="C2725" s="5" t="s">
        <v>7431</v>
      </c>
      <c r="D2725" s="21"/>
      <c r="E2725" s="21"/>
      <c r="F2725" s="21" t="s">
        <v>10438</v>
      </c>
      <c r="G2725" s="21"/>
      <c r="H2725" s="54">
        <v>186</v>
      </c>
      <c r="I2725" s="51"/>
      <c r="J2725" s="27"/>
      <c r="K2725" s="27"/>
      <c r="L2725" s="15">
        <v>4</v>
      </c>
      <c r="M2725" s="15"/>
      <c r="N2725" s="4" t="s">
        <v>4512</v>
      </c>
      <c r="O2725" s="4"/>
    </row>
    <row r="2726" spans="1:15" x14ac:dyDescent="0.2">
      <c r="A2726" s="2">
        <v>40006946</v>
      </c>
      <c r="B2726" s="2" t="s">
        <v>2237</v>
      </c>
      <c r="C2726" s="5" t="s">
        <v>7944</v>
      </c>
      <c r="D2726" s="21">
        <v>3</v>
      </c>
      <c r="E2726" s="21"/>
      <c r="F2726" s="21" t="s">
        <v>10438</v>
      </c>
      <c r="G2726" s="21"/>
      <c r="H2726" s="54">
        <v>556</v>
      </c>
      <c r="I2726" s="51"/>
      <c r="J2726" s="27"/>
      <c r="K2726" s="27"/>
      <c r="L2726" s="15"/>
      <c r="M2726" s="15"/>
      <c r="N2726" s="4" t="s">
        <v>4349</v>
      </c>
      <c r="O2726" s="4"/>
    </row>
    <row r="2727" spans="1:15" x14ac:dyDescent="0.2">
      <c r="A2727" s="2">
        <v>40006977</v>
      </c>
      <c r="B2727" s="2" t="s">
        <v>2266</v>
      </c>
      <c r="C2727" s="5" t="s">
        <v>7972</v>
      </c>
      <c r="D2727" s="21">
        <v>1</v>
      </c>
      <c r="E2727" s="21"/>
      <c r="F2727" s="21" t="s">
        <v>10438</v>
      </c>
      <c r="G2727" s="21"/>
      <c r="H2727" s="54">
        <v>120</v>
      </c>
      <c r="I2727" s="51"/>
      <c r="J2727" s="27"/>
      <c r="K2727" s="27"/>
      <c r="L2727" s="15"/>
      <c r="M2727" s="15"/>
      <c r="N2727" s="4" t="s">
        <v>4773</v>
      </c>
      <c r="O2727" s="4"/>
    </row>
    <row r="2728" spans="1:15" x14ac:dyDescent="0.2">
      <c r="A2728" s="2">
        <v>40007732</v>
      </c>
      <c r="B2728" s="2" t="s">
        <v>2907</v>
      </c>
      <c r="C2728" s="5" t="s">
        <v>8604</v>
      </c>
      <c r="D2728" s="21">
        <v>29</v>
      </c>
      <c r="E2728" s="21"/>
      <c r="F2728" s="21" t="s">
        <v>10438</v>
      </c>
      <c r="G2728" s="21"/>
      <c r="H2728" s="54">
        <v>377</v>
      </c>
      <c r="I2728" s="51"/>
      <c r="J2728" s="27"/>
      <c r="K2728" s="27"/>
      <c r="L2728" s="15"/>
      <c r="M2728" s="15"/>
      <c r="N2728" s="4" t="s">
        <v>3951</v>
      </c>
      <c r="O2728" s="4" t="s">
        <v>10147</v>
      </c>
    </row>
    <row r="2729" spans="1:15" x14ac:dyDescent="0.2">
      <c r="A2729" s="2">
        <v>40007938</v>
      </c>
      <c r="B2729" s="2" t="s">
        <v>3091</v>
      </c>
      <c r="C2729" s="5" t="s">
        <v>8784</v>
      </c>
      <c r="D2729" s="21">
        <v>94</v>
      </c>
      <c r="E2729" s="21"/>
      <c r="F2729" s="21" t="s">
        <v>10438</v>
      </c>
      <c r="G2729" s="21"/>
      <c r="H2729" s="54">
        <v>256</v>
      </c>
      <c r="I2729" s="51"/>
      <c r="J2729" s="27"/>
      <c r="K2729" s="27"/>
      <c r="L2729" s="15"/>
      <c r="M2729" s="15"/>
      <c r="N2729" s="4" t="s">
        <v>5139</v>
      </c>
      <c r="O2729" s="4" t="s">
        <v>10106</v>
      </c>
    </row>
    <row r="2730" spans="1:15" x14ac:dyDescent="0.2">
      <c r="A2730" s="2">
        <v>40008179</v>
      </c>
      <c r="B2730" s="2" t="s">
        <v>3302</v>
      </c>
      <c r="C2730" s="5" t="s">
        <v>8995</v>
      </c>
      <c r="D2730" s="21">
        <v>1</v>
      </c>
      <c r="E2730" s="21"/>
      <c r="F2730" s="21" t="s">
        <v>10438</v>
      </c>
      <c r="G2730" s="21"/>
      <c r="H2730" s="54">
        <v>32</v>
      </c>
      <c r="I2730" s="51"/>
      <c r="J2730" s="27"/>
      <c r="K2730" s="27"/>
      <c r="L2730" s="15"/>
      <c r="M2730" s="15"/>
      <c r="N2730" s="4" t="s">
        <v>4954</v>
      </c>
      <c r="O2730" s="4"/>
    </row>
    <row r="2731" spans="1:15" x14ac:dyDescent="0.2">
      <c r="A2731" s="2">
        <v>40005478</v>
      </c>
      <c r="B2731" s="2" t="s">
        <v>949</v>
      </c>
      <c r="C2731" s="5" t="s">
        <v>6671</v>
      </c>
      <c r="D2731" s="21">
        <v>2</v>
      </c>
      <c r="E2731" s="21"/>
      <c r="F2731" s="21" t="s">
        <v>10438</v>
      </c>
      <c r="G2731" s="21"/>
      <c r="H2731" s="54">
        <v>74</v>
      </c>
      <c r="I2731" s="51"/>
      <c r="J2731" s="27"/>
      <c r="K2731" s="27"/>
      <c r="L2731" s="15"/>
      <c r="M2731" s="15"/>
      <c r="N2731" s="4" t="s">
        <v>4130</v>
      </c>
      <c r="O2731" s="4"/>
    </row>
    <row r="2732" spans="1:15" x14ac:dyDescent="0.2">
      <c r="A2732" s="2">
        <v>40008273</v>
      </c>
      <c r="B2732" s="2" t="s">
        <v>3385</v>
      </c>
      <c r="C2732" s="5" t="s">
        <v>9078</v>
      </c>
      <c r="D2732" s="21">
        <v>27</v>
      </c>
      <c r="E2732" s="21"/>
      <c r="F2732" s="30">
        <v>4</v>
      </c>
      <c r="G2732" s="21"/>
      <c r="H2732" s="54">
        <v>59</v>
      </c>
      <c r="I2732" s="51"/>
      <c r="J2732" s="27"/>
      <c r="K2732" s="27"/>
      <c r="L2732" s="15">
        <v>40</v>
      </c>
      <c r="M2732" s="15"/>
      <c r="N2732" s="4">
        <v>73</v>
      </c>
      <c r="O2732" s="4"/>
    </row>
    <row r="2733" spans="1:15" x14ac:dyDescent="0.2">
      <c r="A2733" s="2">
        <v>40008272</v>
      </c>
      <c r="B2733" s="2" t="s">
        <v>3384</v>
      </c>
      <c r="C2733" s="5" t="s">
        <v>9077</v>
      </c>
      <c r="D2733" s="21">
        <v>3</v>
      </c>
      <c r="E2733" s="21"/>
      <c r="F2733" s="21" t="s">
        <v>10438</v>
      </c>
      <c r="G2733" s="21"/>
      <c r="H2733" s="54">
        <v>35</v>
      </c>
      <c r="I2733" s="51"/>
      <c r="J2733" s="27"/>
      <c r="K2733" s="27"/>
      <c r="L2733" s="15"/>
      <c r="M2733" s="15"/>
      <c r="N2733" s="4">
        <v>73</v>
      </c>
      <c r="O2733" s="4">
        <v>87</v>
      </c>
    </row>
    <row r="2734" spans="1:15" x14ac:dyDescent="0.2">
      <c r="A2734" s="2">
        <v>40007199</v>
      </c>
      <c r="B2734" s="2" t="s">
        <v>3911</v>
      </c>
      <c r="C2734" s="5" t="s">
        <v>8166</v>
      </c>
      <c r="D2734" s="21">
        <v>4</v>
      </c>
      <c r="E2734" s="21"/>
      <c r="F2734" s="21" t="s">
        <v>10438</v>
      </c>
      <c r="G2734" s="21"/>
      <c r="H2734" s="54">
        <v>60</v>
      </c>
      <c r="I2734" s="51"/>
      <c r="J2734" s="27"/>
      <c r="K2734" s="27"/>
      <c r="L2734" s="15"/>
      <c r="M2734" s="15"/>
      <c r="N2734" s="4" t="s">
        <v>4649</v>
      </c>
      <c r="O2734" s="4"/>
    </row>
    <row r="2735" spans="1:15" x14ac:dyDescent="0.2">
      <c r="A2735" s="2">
        <v>40005712</v>
      </c>
      <c r="B2735" s="2" t="s">
        <v>5299</v>
      </c>
      <c r="C2735" s="5" t="s">
        <v>6860</v>
      </c>
      <c r="D2735" s="21">
        <v>8</v>
      </c>
      <c r="E2735" s="21"/>
      <c r="F2735" s="21" t="s">
        <v>10438</v>
      </c>
      <c r="G2735" s="21"/>
      <c r="H2735" s="54">
        <v>19</v>
      </c>
      <c r="I2735" s="51"/>
      <c r="J2735" s="27"/>
      <c r="K2735" s="27"/>
      <c r="L2735" s="15"/>
      <c r="M2735" s="15"/>
      <c r="N2735" s="4" t="s">
        <v>4752</v>
      </c>
      <c r="O2735" s="4"/>
    </row>
    <row r="2736" spans="1:15" x14ac:dyDescent="0.2">
      <c r="A2736" s="2">
        <v>40007706</v>
      </c>
      <c r="B2736" s="2" t="s">
        <v>2882</v>
      </c>
      <c r="C2736" s="10" t="s">
        <v>8580</v>
      </c>
      <c r="D2736" s="21">
        <v>8</v>
      </c>
      <c r="E2736" s="21"/>
      <c r="F2736" s="21" t="s">
        <v>10438</v>
      </c>
      <c r="G2736" s="21"/>
      <c r="H2736" s="54">
        <v>20</v>
      </c>
      <c r="I2736" s="51"/>
      <c r="J2736" s="27"/>
      <c r="K2736" s="27"/>
      <c r="L2736" s="15"/>
      <c r="M2736" s="15"/>
      <c r="N2736" s="4" t="s">
        <v>5042</v>
      </c>
      <c r="O2736" s="4"/>
    </row>
    <row r="2737" spans="1:15" x14ac:dyDescent="0.2">
      <c r="A2737" s="2">
        <v>40005188</v>
      </c>
      <c r="B2737" s="2" t="s">
        <v>732</v>
      </c>
      <c r="C2737" s="5" t="s">
        <v>6445</v>
      </c>
      <c r="D2737" s="21">
        <v>4</v>
      </c>
      <c r="E2737" s="21"/>
      <c r="F2737" s="21" t="s">
        <v>10438</v>
      </c>
      <c r="G2737" s="21"/>
      <c r="H2737" s="54">
        <v>23</v>
      </c>
      <c r="I2737" s="51"/>
      <c r="J2737" s="27"/>
      <c r="K2737" s="27"/>
      <c r="L2737" s="15"/>
      <c r="M2737" s="15"/>
      <c r="N2737" s="4" t="s">
        <v>3999</v>
      </c>
      <c r="O2737" s="4"/>
    </row>
    <row r="2738" spans="1:15" x14ac:dyDescent="0.2">
      <c r="A2738" s="2">
        <v>10018956</v>
      </c>
      <c r="B2738" s="2" t="s">
        <v>383</v>
      </c>
      <c r="C2738" s="5" t="s">
        <v>5980</v>
      </c>
      <c r="D2738" s="21"/>
      <c r="E2738" s="21"/>
      <c r="F2738" s="21" t="s">
        <v>10438</v>
      </c>
      <c r="G2738" s="21"/>
      <c r="H2738" s="54">
        <v>30</v>
      </c>
      <c r="I2738" s="51"/>
      <c r="J2738" s="27"/>
      <c r="K2738" s="27"/>
      <c r="L2738" s="15">
        <v>5</v>
      </c>
      <c r="M2738" s="15">
        <v>1</v>
      </c>
      <c r="N2738" s="4" t="s">
        <v>3952</v>
      </c>
      <c r="O2738" s="4"/>
    </row>
    <row r="2739" spans="1:15" x14ac:dyDescent="0.2">
      <c r="A2739" s="2">
        <v>10029924</v>
      </c>
      <c r="B2739" s="2" t="s">
        <v>680</v>
      </c>
      <c r="C2739" s="5" t="s">
        <v>6342</v>
      </c>
      <c r="D2739" s="21">
        <v>5</v>
      </c>
      <c r="E2739" s="21"/>
      <c r="F2739" s="21" t="s">
        <v>10438</v>
      </c>
      <c r="G2739" s="21"/>
      <c r="H2739" s="54">
        <v>25</v>
      </c>
      <c r="I2739" s="51"/>
      <c r="J2739" s="27"/>
      <c r="K2739" s="27"/>
      <c r="L2739" s="15"/>
      <c r="M2739" s="15"/>
      <c r="N2739" s="4">
        <v>65</v>
      </c>
      <c r="O2739" s="4"/>
    </row>
    <row r="2740" spans="1:15" x14ac:dyDescent="0.2">
      <c r="A2740" s="2">
        <v>10019588</v>
      </c>
      <c r="B2740" s="2" t="s">
        <v>5371</v>
      </c>
      <c r="C2740" s="5" t="s">
        <v>6182</v>
      </c>
      <c r="D2740" s="21">
        <v>9</v>
      </c>
      <c r="E2740" s="21"/>
      <c r="F2740" s="21" t="s">
        <v>10438</v>
      </c>
      <c r="G2740" s="21"/>
      <c r="H2740" s="54">
        <v>2639</v>
      </c>
      <c r="I2740" s="51">
        <v>2430</v>
      </c>
      <c r="J2740" s="27">
        <v>33</v>
      </c>
      <c r="K2740" s="27"/>
      <c r="L2740" s="15">
        <v>20</v>
      </c>
      <c r="M2740" s="15">
        <v>18</v>
      </c>
      <c r="N2740" s="4" t="s">
        <v>3934</v>
      </c>
      <c r="O2740" s="4" t="s">
        <v>10452</v>
      </c>
    </row>
    <row r="2741" spans="1:15" x14ac:dyDescent="0.2">
      <c r="A2741" s="2">
        <v>10018646</v>
      </c>
      <c r="B2741" s="2" t="s">
        <v>249</v>
      </c>
      <c r="C2741" s="5" t="s">
        <v>5816</v>
      </c>
      <c r="D2741" s="21">
        <v>6</v>
      </c>
      <c r="E2741" s="21"/>
      <c r="F2741" s="21" t="s">
        <v>10438</v>
      </c>
      <c r="G2741" s="21"/>
      <c r="H2741" s="54">
        <v>2370</v>
      </c>
      <c r="I2741" s="51">
        <v>2185</v>
      </c>
      <c r="J2741" s="27"/>
      <c r="K2741" s="27"/>
      <c r="L2741" s="15"/>
      <c r="M2741" s="15"/>
      <c r="N2741" s="4" t="s">
        <v>10713</v>
      </c>
      <c r="O2741" s="4" t="s">
        <v>10452</v>
      </c>
    </row>
    <row r="2742" spans="1:15" x14ac:dyDescent="0.2">
      <c r="A2742" s="2">
        <v>40006072</v>
      </c>
      <c r="B2742" s="2" t="s">
        <v>1465</v>
      </c>
      <c r="C2742" s="5" t="s">
        <v>5512</v>
      </c>
      <c r="D2742" s="21">
        <v>87</v>
      </c>
      <c r="E2742" s="21"/>
      <c r="F2742" s="21" t="s">
        <v>10438</v>
      </c>
      <c r="G2742" s="21"/>
      <c r="H2742" s="54">
        <v>4</v>
      </c>
      <c r="I2742" s="51"/>
      <c r="J2742" s="27"/>
      <c r="K2742" s="27"/>
      <c r="L2742" s="15"/>
      <c r="M2742" s="15"/>
      <c r="N2742" s="4" t="s">
        <v>4395</v>
      </c>
      <c r="O2742" s="4"/>
    </row>
    <row r="2743" spans="1:15" x14ac:dyDescent="0.2">
      <c r="A2743" s="2">
        <v>40006035</v>
      </c>
      <c r="B2743" s="2" t="s">
        <v>1436</v>
      </c>
      <c r="C2743" s="5" t="s">
        <v>7138</v>
      </c>
      <c r="D2743" s="21">
        <v>9</v>
      </c>
      <c r="E2743" s="21"/>
      <c r="F2743" s="21" t="s">
        <v>10438</v>
      </c>
      <c r="G2743" s="21"/>
      <c r="H2743" s="54">
        <v>29</v>
      </c>
      <c r="I2743" s="51"/>
      <c r="J2743" s="27"/>
      <c r="K2743" s="27"/>
      <c r="L2743" s="15"/>
      <c r="M2743" s="15"/>
      <c r="N2743" s="4" t="s">
        <v>4378</v>
      </c>
      <c r="O2743" s="4"/>
    </row>
    <row r="2744" spans="1:15" x14ac:dyDescent="0.2">
      <c r="A2744" s="2">
        <v>40006145</v>
      </c>
      <c r="B2744" s="2" t="s">
        <v>1536</v>
      </c>
      <c r="C2744" s="5" t="s">
        <v>7240</v>
      </c>
      <c r="D2744" s="21">
        <v>10</v>
      </c>
      <c r="E2744" s="21"/>
      <c r="F2744" s="21" t="s">
        <v>10438</v>
      </c>
      <c r="G2744" s="21"/>
      <c r="H2744" s="54">
        <v>2</v>
      </c>
      <c r="I2744" s="51"/>
      <c r="J2744" s="27"/>
      <c r="K2744" s="27"/>
      <c r="L2744" s="15"/>
      <c r="M2744" s="15"/>
      <c r="N2744" s="4" t="s">
        <v>4440</v>
      </c>
      <c r="O2744" s="4"/>
    </row>
    <row r="2745" spans="1:15" x14ac:dyDescent="0.2">
      <c r="A2745" s="2">
        <v>40011207</v>
      </c>
      <c r="B2745" s="2" t="s">
        <v>3739</v>
      </c>
      <c r="C2745" s="5" t="s">
        <v>9352</v>
      </c>
      <c r="D2745" s="21">
        <v>4</v>
      </c>
      <c r="E2745" s="21"/>
      <c r="F2745" s="21" t="s">
        <v>10438</v>
      </c>
      <c r="G2745" s="21"/>
      <c r="H2745" s="54">
        <v>22</v>
      </c>
      <c r="I2745" s="51"/>
      <c r="J2745" s="27"/>
      <c r="K2745" s="27"/>
      <c r="L2745" s="15"/>
      <c r="M2745" s="15"/>
      <c r="N2745" s="4" t="s">
        <v>4774</v>
      </c>
      <c r="O2745" s="4"/>
    </row>
    <row r="2746" spans="1:15" x14ac:dyDescent="0.2">
      <c r="A2746" s="2">
        <v>40006983</v>
      </c>
      <c r="B2746" s="2" t="s">
        <v>2272</v>
      </c>
      <c r="C2746" s="5" t="s">
        <v>7978</v>
      </c>
      <c r="D2746" s="21">
        <v>71</v>
      </c>
      <c r="E2746" s="21"/>
      <c r="F2746" s="21" t="s">
        <v>10438</v>
      </c>
      <c r="G2746" s="21"/>
      <c r="H2746" s="54">
        <v>4</v>
      </c>
      <c r="I2746" s="51"/>
      <c r="J2746" s="27"/>
      <c r="K2746" s="27"/>
      <c r="L2746" s="15"/>
      <c r="M2746" s="15"/>
      <c r="N2746" s="4" t="s">
        <v>4777</v>
      </c>
      <c r="O2746" s="4"/>
    </row>
    <row r="2747" spans="1:15" x14ac:dyDescent="0.2">
      <c r="A2747" s="2">
        <v>40007211</v>
      </c>
      <c r="B2747" s="2" t="s">
        <v>2471</v>
      </c>
      <c r="C2747" s="5" t="s">
        <v>8172</v>
      </c>
      <c r="D2747" s="21">
        <v>9</v>
      </c>
      <c r="E2747" s="21"/>
      <c r="F2747" s="21" t="s">
        <v>10438</v>
      </c>
      <c r="G2747" s="21"/>
      <c r="H2747" s="54">
        <v>4</v>
      </c>
      <c r="I2747" s="51"/>
      <c r="J2747" s="27"/>
      <c r="K2747" s="27"/>
      <c r="L2747" s="15"/>
      <c r="M2747" s="15"/>
      <c r="N2747" s="4" t="s">
        <v>4574</v>
      </c>
      <c r="O2747" s="4"/>
    </row>
    <row r="2748" spans="1:15" x14ac:dyDescent="0.2">
      <c r="A2748" s="2">
        <v>40007959</v>
      </c>
      <c r="B2748" s="2" t="s">
        <v>3109</v>
      </c>
      <c r="C2748" s="5" t="s">
        <v>8804</v>
      </c>
      <c r="D2748" s="21">
        <v>5</v>
      </c>
      <c r="E2748" s="21"/>
      <c r="F2748" s="21" t="s">
        <v>10438</v>
      </c>
      <c r="G2748" s="21"/>
      <c r="H2748" s="54">
        <v>4</v>
      </c>
      <c r="I2748" s="51"/>
      <c r="J2748" s="27"/>
      <c r="K2748" s="27"/>
      <c r="L2748" s="15"/>
      <c r="M2748" s="15"/>
      <c r="N2748" s="4" t="s">
        <v>5149</v>
      </c>
      <c r="O2748" s="4"/>
    </row>
    <row r="2749" spans="1:15" x14ac:dyDescent="0.2">
      <c r="A2749" s="2">
        <v>40005569</v>
      </c>
      <c r="B2749" s="2" t="s">
        <v>1021</v>
      </c>
      <c r="C2749" s="5" t="s">
        <v>6746</v>
      </c>
      <c r="D2749" s="21">
        <v>9</v>
      </c>
      <c r="E2749" s="21"/>
      <c r="F2749" s="21" t="s">
        <v>10438</v>
      </c>
      <c r="G2749" s="21"/>
      <c r="H2749" s="54">
        <v>19</v>
      </c>
      <c r="I2749" s="51"/>
      <c r="J2749" s="27"/>
      <c r="K2749" s="27"/>
      <c r="L2749" s="15"/>
      <c r="M2749" s="15"/>
      <c r="N2749" s="4" t="s">
        <v>4148</v>
      </c>
      <c r="O2749" s="4"/>
    </row>
    <row r="2750" spans="1:15" x14ac:dyDescent="0.2">
      <c r="A2750" s="2">
        <v>40008062</v>
      </c>
      <c r="B2750" s="2" t="s">
        <v>3194</v>
      </c>
      <c r="C2750" s="5" t="s">
        <v>8889</v>
      </c>
      <c r="D2750" s="21">
        <v>20</v>
      </c>
      <c r="E2750" s="21"/>
      <c r="F2750" s="30">
        <v>1</v>
      </c>
      <c r="G2750" s="21"/>
      <c r="H2750" s="54">
        <v>11</v>
      </c>
      <c r="I2750" s="51"/>
      <c r="J2750" s="27"/>
      <c r="K2750" s="27"/>
      <c r="L2750" s="15">
        <v>15</v>
      </c>
      <c r="M2750" s="15"/>
      <c r="N2750" s="4" t="s">
        <v>3981</v>
      </c>
      <c r="O2750" s="4"/>
    </row>
    <row r="2751" spans="1:15" x14ac:dyDescent="0.2">
      <c r="A2751" s="2">
        <v>40010388</v>
      </c>
      <c r="B2751" s="2" t="s">
        <v>3529</v>
      </c>
      <c r="C2751" s="5" t="s">
        <v>9232</v>
      </c>
      <c r="D2751" s="21">
        <v>6</v>
      </c>
      <c r="E2751" s="21"/>
      <c r="F2751" s="21" t="s">
        <v>10438</v>
      </c>
      <c r="G2751" s="21"/>
      <c r="H2751" s="54">
        <v>4.07</v>
      </c>
      <c r="I2751" s="51"/>
      <c r="J2751" s="27"/>
      <c r="K2751" s="27"/>
      <c r="L2751" s="15"/>
      <c r="M2751" s="15"/>
      <c r="N2751" s="4" t="s">
        <v>5259</v>
      </c>
      <c r="O2751" s="4"/>
    </row>
    <row r="2752" spans="1:15" x14ac:dyDescent="0.2">
      <c r="A2752" s="2">
        <v>40010389</v>
      </c>
      <c r="B2752" s="2" t="s">
        <v>3530</v>
      </c>
      <c r="C2752" s="5" t="s">
        <v>9233</v>
      </c>
      <c r="D2752" s="21">
        <v>5</v>
      </c>
      <c r="E2752" s="21"/>
      <c r="F2752" s="21" t="s">
        <v>10438</v>
      </c>
      <c r="G2752" s="21"/>
      <c r="H2752" s="54">
        <v>67.239999999999995</v>
      </c>
      <c r="I2752" s="51"/>
      <c r="J2752" s="27"/>
      <c r="K2752" s="27"/>
      <c r="L2752" s="15"/>
      <c r="M2752" s="15"/>
      <c r="N2752" s="4" t="s">
        <v>5259</v>
      </c>
      <c r="O2752" s="4"/>
    </row>
    <row r="2753" spans="1:15" x14ac:dyDescent="0.2">
      <c r="A2753" s="2">
        <v>40010390</v>
      </c>
      <c r="B2753" s="2" t="s">
        <v>3531</v>
      </c>
      <c r="C2753" s="5" t="s">
        <v>9234</v>
      </c>
      <c r="D2753" s="21">
        <v>2</v>
      </c>
      <c r="E2753" s="21"/>
      <c r="F2753" s="21" t="s">
        <v>10438</v>
      </c>
      <c r="G2753" s="21"/>
      <c r="H2753" s="54">
        <v>6.11</v>
      </c>
      <c r="I2753" s="51"/>
      <c r="J2753" s="27"/>
      <c r="K2753" s="27"/>
      <c r="L2753" s="15"/>
      <c r="M2753" s="15"/>
      <c r="N2753" s="4" t="s">
        <v>5259</v>
      </c>
      <c r="O2753" s="4"/>
    </row>
    <row r="2754" spans="1:15" x14ac:dyDescent="0.2">
      <c r="A2754" s="2">
        <v>40005718</v>
      </c>
      <c r="B2754" s="2" t="s">
        <v>1146</v>
      </c>
      <c r="C2754" s="5" t="s">
        <v>6865</v>
      </c>
      <c r="D2754" s="21">
        <v>5</v>
      </c>
      <c r="E2754" s="21"/>
      <c r="F2754" s="21" t="s">
        <v>10438</v>
      </c>
      <c r="G2754" s="21"/>
      <c r="H2754" s="54">
        <v>4</v>
      </c>
      <c r="I2754" s="51"/>
      <c r="J2754" s="27"/>
      <c r="K2754" s="27"/>
      <c r="L2754" s="15"/>
      <c r="M2754" s="15"/>
      <c r="N2754" s="4" t="s">
        <v>4168</v>
      </c>
      <c r="O2754" s="4"/>
    </row>
    <row r="2755" spans="1:15" x14ac:dyDescent="0.2">
      <c r="A2755" s="2">
        <v>40006043</v>
      </c>
      <c r="B2755" s="2" t="s">
        <v>1443</v>
      </c>
      <c r="C2755" s="5" t="s">
        <v>7146</v>
      </c>
      <c r="D2755" s="21">
        <v>10</v>
      </c>
      <c r="E2755" s="21"/>
      <c r="F2755" s="21" t="s">
        <v>10438</v>
      </c>
      <c r="G2755" s="21"/>
      <c r="H2755" s="54">
        <v>7</v>
      </c>
      <c r="I2755" s="51"/>
      <c r="J2755" s="27"/>
      <c r="K2755" s="27"/>
      <c r="L2755" s="15"/>
      <c r="M2755" s="15"/>
      <c r="N2755" s="4" t="s">
        <v>4383</v>
      </c>
      <c r="O2755" s="4"/>
    </row>
    <row r="2756" spans="1:15" x14ac:dyDescent="0.2">
      <c r="A2756" s="2">
        <v>40005317</v>
      </c>
      <c r="B2756" s="2" t="s">
        <v>808</v>
      </c>
      <c r="C2756" s="5" t="s">
        <v>6525</v>
      </c>
      <c r="D2756" s="21">
        <v>5</v>
      </c>
      <c r="E2756" s="21"/>
      <c r="F2756" s="21" t="s">
        <v>10438</v>
      </c>
      <c r="G2756" s="21"/>
      <c r="H2756" s="54">
        <v>19</v>
      </c>
      <c r="I2756" s="51"/>
      <c r="J2756" s="27"/>
      <c r="K2756" s="27"/>
      <c r="L2756" s="15"/>
      <c r="M2756" s="15"/>
      <c r="N2756" s="4" t="s">
        <v>4049</v>
      </c>
      <c r="O2756" s="4"/>
    </row>
    <row r="2757" spans="1:15" x14ac:dyDescent="0.2">
      <c r="A2757" s="2">
        <v>40008014</v>
      </c>
      <c r="B2757" s="2" t="s">
        <v>3154</v>
      </c>
      <c r="C2757" s="5" t="s">
        <v>8849</v>
      </c>
      <c r="D2757" s="21">
        <v>325</v>
      </c>
      <c r="E2757" s="21"/>
      <c r="F2757" s="30">
        <v>2</v>
      </c>
      <c r="G2757" s="21"/>
      <c r="H2757" s="54">
        <v>4</v>
      </c>
      <c r="I2757" s="51"/>
      <c r="J2757" s="27"/>
      <c r="K2757" s="27"/>
      <c r="L2757" s="15"/>
      <c r="M2757" s="15"/>
      <c r="N2757" s="4" t="s">
        <v>5161</v>
      </c>
      <c r="O2757" s="4"/>
    </row>
    <row r="2758" spans="1:15" x14ac:dyDescent="0.2">
      <c r="A2758" s="2">
        <v>40007156</v>
      </c>
      <c r="B2758" s="2" t="s">
        <v>2424</v>
      </c>
      <c r="C2758" s="5" t="s">
        <v>8126</v>
      </c>
      <c r="D2758" s="21">
        <v>10</v>
      </c>
      <c r="E2758" s="21"/>
      <c r="F2758" s="21" t="s">
        <v>10438</v>
      </c>
      <c r="G2758" s="21"/>
      <c r="H2758" s="54">
        <v>1</v>
      </c>
      <c r="I2758" s="51"/>
      <c r="J2758" s="27"/>
      <c r="K2758" s="27"/>
      <c r="L2758" s="15"/>
      <c r="M2758" s="15"/>
      <c r="N2758" s="4" t="s">
        <v>3955</v>
      </c>
      <c r="O2758" s="4"/>
    </row>
    <row r="2759" spans="1:15" x14ac:dyDescent="0.2">
      <c r="A2759" s="2">
        <v>40008090</v>
      </c>
      <c r="B2759" s="2" t="s">
        <v>3218</v>
      </c>
      <c r="C2759" s="5" t="s">
        <v>8915</v>
      </c>
      <c r="D2759" s="21">
        <v>38</v>
      </c>
      <c r="E2759" s="21"/>
      <c r="F2759" s="30">
        <v>2</v>
      </c>
      <c r="G2759" s="21"/>
      <c r="H2759" s="54">
        <v>6</v>
      </c>
      <c r="I2759" s="51"/>
      <c r="J2759" s="27"/>
      <c r="K2759" s="27"/>
      <c r="L2759" s="15"/>
      <c r="M2759" s="15"/>
      <c r="N2759" s="4" t="s">
        <v>4938</v>
      </c>
      <c r="O2759" s="4"/>
    </row>
    <row r="2760" spans="1:15" x14ac:dyDescent="0.2">
      <c r="A2760" s="2">
        <v>40008089</v>
      </c>
      <c r="B2760" s="2" t="s">
        <v>3909</v>
      </c>
      <c r="C2760" s="5" t="s">
        <v>8914</v>
      </c>
      <c r="D2760" s="21">
        <v>4</v>
      </c>
      <c r="E2760" s="21"/>
      <c r="F2760" s="21" t="s">
        <v>10438</v>
      </c>
      <c r="G2760" s="21"/>
      <c r="H2760" s="54">
        <v>28</v>
      </c>
      <c r="I2760" s="51"/>
      <c r="J2760" s="27"/>
      <c r="K2760" s="27"/>
      <c r="L2760" s="15"/>
      <c r="M2760" s="15"/>
      <c r="N2760" s="4" t="s">
        <v>5240</v>
      </c>
      <c r="O2760" s="4"/>
    </row>
    <row r="2761" spans="1:15" x14ac:dyDescent="0.2">
      <c r="A2761" s="2">
        <v>40005356</v>
      </c>
      <c r="B2761" s="2" t="s">
        <v>840</v>
      </c>
      <c r="C2761" s="5" t="s">
        <v>6558</v>
      </c>
      <c r="D2761" s="21">
        <v>33</v>
      </c>
      <c r="E2761" s="21"/>
      <c r="F2761" s="30">
        <v>2</v>
      </c>
      <c r="G2761" s="21"/>
      <c r="H2761" s="54">
        <v>30</v>
      </c>
      <c r="I2761" s="51"/>
      <c r="J2761" s="27"/>
      <c r="K2761" s="27"/>
      <c r="L2761" s="15"/>
      <c r="M2761" s="15"/>
      <c r="N2761" s="4" t="s">
        <v>4069</v>
      </c>
      <c r="O2761" s="4"/>
    </row>
    <row r="2762" spans="1:15" x14ac:dyDescent="0.2">
      <c r="A2762" s="2">
        <v>40007572</v>
      </c>
      <c r="B2762" s="2" t="s">
        <v>2768</v>
      </c>
      <c r="C2762" s="5" t="s">
        <v>8468</v>
      </c>
      <c r="D2762" s="21"/>
      <c r="E2762" s="21"/>
      <c r="F2762" s="21" t="s">
        <v>10438</v>
      </c>
      <c r="G2762" s="21"/>
      <c r="H2762" s="54">
        <v>26</v>
      </c>
      <c r="I2762" s="51"/>
      <c r="J2762" s="27"/>
      <c r="K2762" s="27"/>
      <c r="L2762" s="15">
        <v>3</v>
      </c>
      <c r="M2762" s="15"/>
      <c r="N2762" s="4" t="s">
        <v>5002</v>
      </c>
      <c r="O2762" s="4"/>
    </row>
    <row r="2763" spans="1:15" x14ac:dyDescent="0.2">
      <c r="A2763" s="2">
        <v>40006339</v>
      </c>
      <c r="B2763" s="2" t="s">
        <v>1704</v>
      </c>
      <c r="C2763" s="5" t="s">
        <v>7413</v>
      </c>
      <c r="D2763" s="21">
        <v>1</v>
      </c>
      <c r="E2763" s="21"/>
      <c r="F2763" s="21" t="s">
        <v>10438</v>
      </c>
      <c r="G2763" s="21"/>
      <c r="H2763" s="54">
        <v>161</v>
      </c>
      <c r="I2763" s="51"/>
      <c r="J2763" s="27"/>
      <c r="K2763" s="27"/>
      <c r="L2763" s="15"/>
      <c r="M2763" s="15"/>
      <c r="N2763" s="4" t="s">
        <v>4259</v>
      </c>
      <c r="O2763" s="4"/>
    </row>
    <row r="2764" spans="1:15" x14ac:dyDescent="0.2">
      <c r="A2764" s="2">
        <v>40006880</v>
      </c>
      <c r="B2764" s="2" t="s">
        <v>2175</v>
      </c>
      <c r="C2764" s="5" t="s">
        <v>7884</v>
      </c>
      <c r="D2764" s="21">
        <v>23</v>
      </c>
      <c r="E2764" s="21"/>
      <c r="F2764" s="21" t="s">
        <v>10438</v>
      </c>
      <c r="G2764" s="21"/>
      <c r="H2764" s="54">
        <v>7</v>
      </c>
      <c r="I2764" s="51"/>
      <c r="J2764" s="27"/>
      <c r="K2764" s="27"/>
      <c r="L2764" s="15"/>
      <c r="M2764" s="15"/>
      <c r="N2764" s="4" t="s">
        <v>4172</v>
      </c>
      <c r="O2764" s="4"/>
    </row>
    <row r="2765" spans="1:15" x14ac:dyDescent="0.2">
      <c r="A2765" s="2">
        <v>40007234</v>
      </c>
      <c r="B2765" s="2" t="s">
        <v>2490</v>
      </c>
      <c r="C2765" s="5" t="s">
        <v>8190</v>
      </c>
      <c r="D2765" s="21">
        <v>6</v>
      </c>
      <c r="E2765" s="21"/>
      <c r="F2765" s="21" t="s">
        <v>10438</v>
      </c>
      <c r="G2765" s="21"/>
      <c r="H2765" s="54">
        <v>87</v>
      </c>
      <c r="I2765" s="51"/>
      <c r="J2765" s="27"/>
      <c r="K2765" s="27"/>
      <c r="L2765" s="15"/>
      <c r="M2765" s="15"/>
      <c r="N2765" s="4" t="s">
        <v>4751</v>
      </c>
      <c r="O2765" s="4"/>
    </row>
    <row r="2766" spans="1:15" x14ac:dyDescent="0.2">
      <c r="A2766" s="2">
        <v>40006799</v>
      </c>
      <c r="B2766" s="2" t="s">
        <v>2098</v>
      </c>
      <c r="C2766" s="5" t="s">
        <v>7807</v>
      </c>
      <c r="D2766" s="21">
        <v>1</v>
      </c>
      <c r="E2766" s="21"/>
      <c r="F2766" s="21" t="s">
        <v>10438</v>
      </c>
      <c r="G2766" s="21"/>
      <c r="H2766" s="54">
        <v>44</v>
      </c>
      <c r="I2766" s="51"/>
      <c r="J2766" s="27"/>
      <c r="K2766" s="27"/>
      <c r="L2766" s="15"/>
      <c r="M2766" s="15"/>
      <c r="N2766" s="4" t="s">
        <v>3937</v>
      </c>
      <c r="O2766" s="4"/>
    </row>
    <row r="2767" spans="1:15" x14ac:dyDescent="0.2">
      <c r="A2767" s="2">
        <v>40006586</v>
      </c>
      <c r="B2767" s="2" t="s">
        <v>1923</v>
      </c>
      <c r="C2767" s="5" t="s">
        <v>7631</v>
      </c>
      <c r="D2767" s="21">
        <v>2</v>
      </c>
      <c r="E2767" s="21"/>
      <c r="F2767" s="21" t="s">
        <v>10438</v>
      </c>
      <c r="G2767" s="21"/>
      <c r="H2767" s="54">
        <v>33</v>
      </c>
      <c r="I2767" s="51"/>
      <c r="J2767" s="27"/>
      <c r="K2767" s="27"/>
      <c r="L2767" s="15"/>
      <c r="M2767" s="15"/>
      <c r="N2767" s="4"/>
      <c r="O2767" s="4" t="s">
        <v>5164</v>
      </c>
    </row>
    <row r="2768" spans="1:15" x14ac:dyDescent="0.2">
      <c r="A2768" s="2">
        <v>40010391</v>
      </c>
      <c r="B2768" s="2" t="s">
        <v>3532</v>
      </c>
      <c r="C2768" s="5" t="s">
        <v>9235</v>
      </c>
      <c r="D2768" s="21"/>
      <c r="E2768" s="21"/>
      <c r="F2768" s="21" t="s">
        <v>10438</v>
      </c>
      <c r="G2768" s="21"/>
      <c r="H2768" s="54">
        <v>10</v>
      </c>
      <c r="I2768" s="51"/>
      <c r="J2768" s="27"/>
      <c r="K2768" s="27"/>
      <c r="L2768" s="15">
        <v>3</v>
      </c>
      <c r="M2768" s="15"/>
      <c r="N2768" s="4" t="s">
        <v>5142</v>
      </c>
      <c r="O2768" s="4"/>
    </row>
    <row r="2769" spans="1:15" x14ac:dyDescent="0.2">
      <c r="A2769" s="2">
        <v>40005937</v>
      </c>
      <c r="B2769" s="2" t="s">
        <v>1346</v>
      </c>
      <c r="C2769" s="5" t="s">
        <v>7052</v>
      </c>
      <c r="D2769" s="21">
        <v>4</v>
      </c>
      <c r="E2769" s="21"/>
      <c r="F2769" s="21" t="s">
        <v>10438</v>
      </c>
      <c r="G2769" s="21"/>
      <c r="H2769" s="54">
        <v>138</v>
      </c>
      <c r="I2769" s="51"/>
      <c r="J2769" s="27"/>
      <c r="K2769" s="27"/>
      <c r="L2769" s="15"/>
      <c r="M2769" s="15"/>
      <c r="N2769" s="4" t="s">
        <v>4326</v>
      </c>
      <c r="O2769" s="4"/>
    </row>
    <row r="2770" spans="1:15" x14ac:dyDescent="0.2">
      <c r="A2770" s="2">
        <v>40007349</v>
      </c>
      <c r="B2770" s="2" t="s">
        <v>2582</v>
      </c>
      <c r="C2770" s="5" t="s">
        <v>8280</v>
      </c>
      <c r="D2770" s="21">
        <v>11</v>
      </c>
      <c r="E2770" s="21"/>
      <c r="F2770" s="21" t="s">
        <v>10438</v>
      </c>
      <c r="G2770" s="21"/>
      <c r="H2770" s="54">
        <v>16</v>
      </c>
      <c r="I2770" s="51"/>
      <c r="J2770" s="27"/>
      <c r="K2770" s="27"/>
      <c r="L2770" s="15"/>
      <c r="M2770" s="15"/>
      <c r="N2770" s="4"/>
      <c r="O2770" s="4" t="s">
        <v>10353</v>
      </c>
    </row>
    <row r="2771" spans="1:15" x14ac:dyDescent="0.2">
      <c r="A2771" s="2">
        <v>10019879</v>
      </c>
      <c r="B2771" s="2" t="s">
        <v>610</v>
      </c>
      <c r="C2771" s="5" t="s">
        <v>6247</v>
      </c>
      <c r="D2771" s="21">
        <v>7</v>
      </c>
      <c r="E2771" s="21"/>
      <c r="F2771" s="21" t="s">
        <v>10438</v>
      </c>
      <c r="G2771" s="21"/>
      <c r="H2771" s="54">
        <v>14</v>
      </c>
      <c r="I2771" s="51"/>
      <c r="J2771" s="27"/>
      <c r="K2771" s="27"/>
      <c r="L2771" s="15"/>
      <c r="M2771" s="15"/>
      <c r="N2771" s="4" t="s">
        <v>3964</v>
      </c>
      <c r="O2771" s="4" t="s">
        <v>10354</v>
      </c>
    </row>
    <row r="2772" spans="1:15" x14ac:dyDescent="0.2">
      <c r="A2772" s="2">
        <v>40007418</v>
      </c>
      <c r="B2772" s="2" t="s">
        <v>2641</v>
      </c>
      <c r="C2772" s="5" t="s">
        <v>8339</v>
      </c>
      <c r="D2772" s="21">
        <v>7</v>
      </c>
      <c r="E2772" s="21"/>
      <c r="F2772" s="21" t="s">
        <v>10438</v>
      </c>
      <c r="G2772" s="21"/>
      <c r="H2772" s="54">
        <v>3.5</v>
      </c>
      <c r="I2772" s="51"/>
      <c r="J2772" s="27"/>
      <c r="K2772" s="27"/>
      <c r="L2772" s="15"/>
      <c r="M2772" s="15"/>
      <c r="N2772" s="4" t="s">
        <v>4952</v>
      </c>
      <c r="O2772" s="4"/>
    </row>
    <row r="2773" spans="1:15" x14ac:dyDescent="0.2">
      <c r="A2773" s="2">
        <v>10019878</v>
      </c>
      <c r="B2773" s="2" t="s">
        <v>609</v>
      </c>
      <c r="C2773" s="5" t="s">
        <v>6246</v>
      </c>
      <c r="D2773" s="21">
        <v>1</v>
      </c>
      <c r="E2773" s="21"/>
      <c r="F2773" s="21" t="s">
        <v>10438</v>
      </c>
      <c r="G2773" s="21"/>
      <c r="H2773" s="54">
        <v>85</v>
      </c>
      <c r="I2773" s="51"/>
      <c r="J2773" s="27"/>
      <c r="K2773" s="27"/>
      <c r="L2773" s="15"/>
      <c r="M2773" s="15"/>
      <c r="N2773" s="4" t="s">
        <v>3963</v>
      </c>
      <c r="O2773" s="4"/>
    </row>
    <row r="2774" spans="1:15" x14ac:dyDescent="0.2">
      <c r="A2774" s="2">
        <v>40005714</v>
      </c>
      <c r="B2774" s="2" t="s">
        <v>1143</v>
      </c>
      <c r="C2774" s="5" t="s">
        <v>6862</v>
      </c>
      <c r="D2774" s="21">
        <v>6</v>
      </c>
      <c r="E2774" s="21"/>
      <c r="F2774" s="21" t="s">
        <v>10438</v>
      </c>
      <c r="G2774" s="21"/>
      <c r="H2774" s="54">
        <v>403</v>
      </c>
      <c r="I2774" s="51"/>
      <c r="J2774" s="27"/>
      <c r="K2774" s="27"/>
      <c r="L2774" s="15"/>
      <c r="M2774" s="15"/>
      <c r="N2774" s="4"/>
      <c r="O2774" s="4">
        <v>86</v>
      </c>
    </row>
    <row r="2775" spans="1:15" x14ac:dyDescent="0.2">
      <c r="A2775" s="2">
        <v>40007942</v>
      </c>
      <c r="B2775" s="2" t="s">
        <v>3095</v>
      </c>
      <c r="C2775" s="5" t="s">
        <v>8787</v>
      </c>
      <c r="D2775" s="21">
        <v>9</v>
      </c>
      <c r="E2775" s="21"/>
      <c r="F2775" s="21" t="s">
        <v>10438</v>
      </c>
      <c r="G2775" s="21"/>
      <c r="H2775" s="54">
        <v>8</v>
      </c>
      <c r="I2775" s="51"/>
      <c r="J2775" s="27"/>
      <c r="K2775" s="27"/>
      <c r="L2775" s="15"/>
      <c r="M2775" s="15"/>
      <c r="N2775" s="4"/>
      <c r="O2775" s="4" t="s">
        <v>10193</v>
      </c>
    </row>
    <row r="2776" spans="1:15" x14ac:dyDescent="0.2">
      <c r="A2776" s="2">
        <v>40011152</v>
      </c>
      <c r="B2776" s="2" t="s">
        <v>3596</v>
      </c>
      <c r="C2776" s="5" t="s">
        <v>9330</v>
      </c>
      <c r="D2776" s="21">
        <v>2</v>
      </c>
      <c r="E2776" s="21"/>
      <c r="F2776" s="21" t="s">
        <v>10438</v>
      </c>
      <c r="G2776" s="21"/>
      <c r="H2776" s="54">
        <v>272</v>
      </c>
      <c r="I2776" s="51"/>
      <c r="J2776" s="27"/>
      <c r="K2776" s="27"/>
      <c r="L2776" s="15"/>
      <c r="M2776" s="15"/>
      <c r="N2776" s="4"/>
      <c r="O2776" s="4">
        <v>64</v>
      </c>
    </row>
    <row r="2777" spans="1:15" x14ac:dyDescent="0.2">
      <c r="A2777" s="2">
        <v>40011334</v>
      </c>
      <c r="B2777" s="2" t="s">
        <v>3927</v>
      </c>
      <c r="C2777" s="5" t="s">
        <v>9378</v>
      </c>
      <c r="D2777" s="21">
        <v>5</v>
      </c>
      <c r="E2777" s="21"/>
      <c r="F2777" s="21" t="s">
        <v>10438</v>
      </c>
      <c r="G2777" s="21"/>
      <c r="H2777" s="54">
        <v>65</v>
      </c>
      <c r="I2777" s="51"/>
      <c r="J2777" s="27"/>
      <c r="K2777" s="27"/>
      <c r="L2777" s="15"/>
      <c r="M2777" s="15"/>
      <c r="N2777" s="4" t="s">
        <v>4283</v>
      </c>
      <c r="O2777" s="4"/>
    </row>
    <row r="2778" spans="1:15" x14ac:dyDescent="0.2">
      <c r="A2778" s="2">
        <v>40006018</v>
      </c>
      <c r="B2778" s="2" t="s">
        <v>3923</v>
      </c>
      <c r="C2778" s="5" t="s">
        <v>7123</v>
      </c>
      <c r="D2778" s="21"/>
      <c r="E2778" s="21"/>
      <c r="F2778" s="21" t="s">
        <v>10438</v>
      </c>
      <c r="G2778" s="21"/>
      <c r="H2778" s="54">
        <v>100</v>
      </c>
      <c r="I2778" s="51"/>
      <c r="J2778" s="27"/>
      <c r="K2778" s="27"/>
      <c r="L2778" s="15"/>
      <c r="M2778" s="15"/>
      <c r="N2778" s="4" t="s">
        <v>5005</v>
      </c>
      <c r="O2778" s="4"/>
    </row>
    <row r="2779" spans="1:15" x14ac:dyDescent="0.2">
      <c r="A2779" s="2">
        <v>40005735</v>
      </c>
      <c r="B2779" s="2" t="s">
        <v>1162</v>
      </c>
      <c r="C2779" s="5" t="s">
        <v>6879</v>
      </c>
      <c r="D2779" s="21">
        <v>2</v>
      </c>
      <c r="E2779" s="21"/>
      <c r="F2779" s="21" t="s">
        <v>10438</v>
      </c>
      <c r="G2779" s="21"/>
      <c r="H2779" s="54">
        <v>26</v>
      </c>
      <c r="I2779" s="51"/>
      <c r="J2779" s="27"/>
      <c r="K2779" s="27"/>
      <c r="L2779" s="15"/>
      <c r="M2779" s="15"/>
      <c r="N2779" s="4" t="s">
        <v>4245</v>
      </c>
      <c r="O2779" s="4"/>
    </row>
    <row r="2780" spans="1:15" x14ac:dyDescent="0.2">
      <c r="A2780" s="2">
        <v>40005603</v>
      </c>
      <c r="B2780" s="2" t="s">
        <v>1047</v>
      </c>
      <c r="C2780" s="5" t="s">
        <v>6775</v>
      </c>
      <c r="D2780" s="21">
        <v>9</v>
      </c>
      <c r="E2780" s="21"/>
      <c r="F2780" s="21" t="s">
        <v>10438</v>
      </c>
      <c r="G2780" s="21"/>
      <c r="H2780" s="54">
        <v>4</v>
      </c>
      <c r="I2780" s="51"/>
      <c r="J2780" s="27"/>
      <c r="K2780" s="27"/>
      <c r="L2780" s="15"/>
      <c r="M2780" s="15"/>
      <c r="N2780" s="4" t="s">
        <v>4168</v>
      </c>
      <c r="O2780" s="4"/>
    </row>
    <row r="2781" spans="1:15" x14ac:dyDescent="0.2">
      <c r="A2781" s="2">
        <v>40005323</v>
      </c>
      <c r="B2781" s="2" t="s">
        <v>813</v>
      </c>
      <c r="C2781" s="5" t="s">
        <v>6530</v>
      </c>
      <c r="D2781" s="21">
        <v>2</v>
      </c>
      <c r="E2781" s="21"/>
      <c r="F2781" s="21" t="s">
        <v>10438</v>
      </c>
      <c r="G2781" s="21"/>
      <c r="H2781" s="54">
        <v>13</v>
      </c>
      <c r="I2781" s="51"/>
      <c r="J2781" s="27"/>
      <c r="K2781" s="27"/>
      <c r="L2781" s="15"/>
      <c r="M2781" s="15"/>
      <c r="N2781" s="4" t="s">
        <v>4052</v>
      </c>
      <c r="O2781" s="4"/>
    </row>
    <row r="2782" spans="1:15" x14ac:dyDescent="0.2">
      <c r="A2782" s="2">
        <v>40008238</v>
      </c>
      <c r="B2782" s="2" t="s">
        <v>3355</v>
      </c>
      <c r="C2782" s="5" t="s">
        <v>9047</v>
      </c>
      <c r="D2782" s="21">
        <v>176</v>
      </c>
      <c r="E2782" s="21"/>
      <c r="F2782" s="30">
        <v>2</v>
      </c>
      <c r="G2782" s="21"/>
      <c r="H2782" s="54">
        <v>272</v>
      </c>
      <c r="I2782" s="51"/>
      <c r="J2782" s="27"/>
      <c r="K2782" s="27"/>
      <c r="L2782" s="15">
        <v>30</v>
      </c>
      <c r="M2782" s="15">
        <v>100</v>
      </c>
      <c r="N2782" s="4">
        <v>116</v>
      </c>
      <c r="O2782" s="4"/>
    </row>
    <row r="2783" spans="1:15" x14ac:dyDescent="0.2">
      <c r="A2783" s="2">
        <v>10018550</v>
      </c>
      <c r="B2783" s="2" t="s">
        <v>215</v>
      </c>
      <c r="C2783" s="5" t="s">
        <v>5774</v>
      </c>
      <c r="D2783" s="21">
        <v>18</v>
      </c>
      <c r="E2783" s="21"/>
      <c r="F2783" s="21" t="s">
        <v>10438</v>
      </c>
      <c r="G2783" s="21"/>
      <c r="H2783" s="54">
        <v>510</v>
      </c>
      <c r="I2783" s="51"/>
      <c r="J2783" s="27"/>
      <c r="K2783" s="27"/>
      <c r="L2783" s="15"/>
      <c r="M2783" s="15"/>
      <c r="N2783" s="4">
        <v>107</v>
      </c>
      <c r="O2783" s="4"/>
    </row>
    <row r="2784" spans="1:15" x14ac:dyDescent="0.2">
      <c r="A2784" s="2">
        <v>40007307</v>
      </c>
      <c r="B2784" s="2" t="s">
        <v>2549</v>
      </c>
      <c r="C2784" s="5" t="s">
        <v>8246</v>
      </c>
      <c r="D2784" s="21">
        <v>12</v>
      </c>
      <c r="E2784" s="21"/>
      <c r="F2784" s="21" t="s">
        <v>10438</v>
      </c>
      <c r="G2784" s="21"/>
      <c r="H2784" s="54">
        <v>24</v>
      </c>
      <c r="I2784" s="51"/>
      <c r="J2784" s="27"/>
      <c r="K2784" s="27"/>
      <c r="L2784" s="15"/>
      <c r="M2784" s="15"/>
      <c r="N2784" s="4" t="s">
        <v>4912</v>
      </c>
      <c r="O2784" s="4"/>
    </row>
    <row r="2785" spans="1:15" x14ac:dyDescent="0.2">
      <c r="A2785" s="2">
        <v>40007213</v>
      </c>
      <c r="B2785" s="2" t="s">
        <v>2472</v>
      </c>
      <c r="C2785" s="5" t="s">
        <v>8173</v>
      </c>
      <c r="D2785" s="21"/>
      <c r="E2785" s="21"/>
      <c r="F2785" s="21" t="s">
        <v>10438</v>
      </c>
      <c r="G2785" s="21"/>
      <c r="H2785" s="54">
        <v>52</v>
      </c>
      <c r="I2785" s="51"/>
      <c r="J2785" s="27"/>
      <c r="K2785" s="27"/>
      <c r="L2785" s="15">
        <v>10</v>
      </c>
      <c r="M2785" s="15"/>
      <c r="N2785" s="4">
        <v>61</v>
      </c>
      <c r="O2785" s="4"/>
    </row>
    <row r="2786" spans="1:15" x14ac:dyDescent="0.2">
      <c r="A2786" s="2">
        <v>40008211</v>
      </c>
      <c r="B2786" s="2" t="s">
        <v>3331</v>
      </c>
      <c r="C2786" s="10" t="s">
        <v>9023</v>
      </c>
      <c r="D2786" s="21">
        <v>13</v>
      </c>
      <c r="E2786" s="21"/>
      <c r="F2786" s="21" t="s">
        <v>10438</v>
      </c>
      <c r="G2786" s="21"/>
      <c r="H2786" s="54">
        <v>39</v>
      </c>
      <c r="I2786" s="51"/>
      <c r="J2786" s="27"/>
      <c r="K2786" s="27"/>
      <c r="L2786" s="15">
        <v>15</v>
      </c>
      <c r="M2786" s="15"/>
      <c r="N2786" s="4">
        <v>82</v>
      </c>
      <c r="O2786" s="4"/>
    </row>
    <row r="2787" spans="1:15" x14ac:dyDescent="0.2">
      <c r="A2787" s="2">
        <v>40007400</v>
      </c>
      <c r="B2787" s="2" t="s">
        <v>2626</v>
      </c>
      <c r="C2787" s="5" t="s">
        <v>8324</v>
      </c>
      <c r="D2787" s="21">
        <v>7</v>
      </c>
      <c r="E2787" s="21"/>
      <c r="F2787" s="30">
        <v>1</v>
      </c>
      <c r="G2787" s="21"/>
      <c r="H2787" s="54">
        <v>7</v>
      </c>
      <c r="I2787" s="51"/>
      <c r="J2787" s="27"/>
      <c r="K2787" s="27"/>
      <c r="L2787" s="15"/>
      <c r="M2787" s="15"/>
      <c r="N2787" s="4" t="s">
        <v>4931</v>
      </c>
      <c r="O2787" s="4"/>
    </row>
    <row r="2788" spans="1:15" x14ac:dyDescent="0.2">
      <c r="A2788" s="2">
        <v>40006198</v>
      </c>
      <c r="B2788" s="2" t="s">
        <v>1581</v>
      </c>
      <c r="C2788" s="5" t="s">
        <v>7288</v>
      </c>
      <c r="D2788" s="21">
        <v>3</v>
      </c>
      <c r="E2788" s="21"/>
      <c r="F2788" s="21" t="s">
        <v>10438</v>
      </c>
      <c r="G2788" s="21"/>
      <c r="H2788" s="54">
        <v>5</v>
      </c>
      <c r="I2788" s="51"/>
      <c r="J2788" s="27"/>
      <c r="K2788" s="27"/>
      <c r="L2788" s="15"/>
      <c r="M2788" s="15"/>
      <c r="N2788" s="4" t="s">
        <v>4469</v>
      </c>
      <c r="O2788" s="4"/>
    </row>
    <row r="2789" spans="1:15" x14ac:dyDescent="0.2">
      <c r="A2789" s="2">
        <v>40007414</v>
      </c>
      <c r="B2789" s="7" t="s">
        <v>2639</v>
      </c>
      <c r="C2789" s="5" t="s">
        <v>8337</v>
      </c>
      <c r="D2789" s="21">
        <v>7</v>
      </c>
      <c r="E2789" s="21"/>
      <c r="F2789" s="30">
        <v>4</v>
      </c>
      <c r="G2789" s="21"/>
      <c r="H2789" s="54">
        <v>2</v>
      </c>
      <c r="I2789" s="51"/>
      <c r="J2789" s="27"/>
      <c r="K2789" s="27"/>
      <c r="L2789" s="15">
        <v>50</v>
      </c>
      <c r="M2789" s="15">
        <v>15</v>
      </c>
      <c r="N2789" s="4" t="s">
        <v>4637</v>
      </c>
      <c r="O2789" s="4"/>
    </row>
    <row r="2790" spans="1:15" x14ac:dyDescent="0.2">
      <c r="A2790" s="2">
        <v>40006062</v>
      </c>
      <c r="B2790" s="2" t="s">
        <v>3917</v>
      </c>
      <c r="C2790" s="5" t="s">
        <v>7163</v>
      </c>
      <c r="D2790" s="21">
        <v>11</v>
      </c>
      <c r="E2790" s="21"/>
      <c r="F2790" s="21" t="s">
        <v>10438</v>
      </c>
      <c r="G2790" s="21"/>
      <c r="H2790" s="54">
        <v>3</v>
      </c>
      <c r="I2790" s="51"/>
      <c r="J2790" s="27"/>
      <c r="K2790" s="27"/>
      <c r="L2790" s="15"/>
      <c r="M2790" s="15"/>
      <c r="N2790" s="4" t="s">
        <v>4211</v>
      </c>
      <c r="O2790" s="4"/>
    </row>
    <row r="2791" spans="1:15" x14ac:dyDescent="0.2">
      <c r="A2791" s="2">
        <v>40007950</v>
      </c>
      <c r="B2791" s="2" t="s">
        <v>3762</v>
      </c>
      <c r="C2791" s="5" t="s">
        <v>8795</v>
      </c>
      <c r="D2791" s="21">
        <v>20</v>
      </c>
      <c r="E2791" s="21"/>
      <c r="F2791" s="21" t="s">
        <v>10438</v>
      </c>
      <c r="G2791" s="21"/>
      <c r="H2791" s="54">
        <v>4</v>
      </c>
      <c r="I2791" s="51"/>
      <c r="J2791" s="27"/>
      <c r="K2791" s="27"/>
      <c r="L2791" s="15"/>
      <c r="M2791" s="15"/>
      <c r="N2791" s="4" t="s">
        <v>4268</v>
      </c>
      <c r="O2791" s="4"/>
    </row>
    <row r="2792" spans="1:15" x14ac:dyDescent="0.2">
      <c r="A2792" s="2">
        <v>40007625</v>
      </c>
      <c r="B2792" s="2" t="s">
        <v>2812</v>
      </c>
      <c r="C2792" s="5" t="s">
        <v>8512</v>
      </c>
      <c r="D2792" s="21">
        <v>9</v>
      </c>
      <c r="E2792" s="21"/>
      <c r="F2792" s="21" t="s">
        <v>10438</v>
      </c>
      <c r="G2792" s="21"/>
      <c r="H2792" s="54">
        <v>7</v>
      </c>
      <c r="I2792" s="51"/>
      <c r="J2792" s="27"/>
      <c r="K2792" s="27"/>
      <c r="L2792" s="15"/>
      <c r="M2792" s="15"/>
      <c r="N2792" s="4" t="s">
        <v>3965</v>
      </c>
      <c r="O2792" s="4"/>
    </row>
    <row r="2793" spans="1:15" x14ac:dyDescent="0.2">
      <c r="A2793" s="2">
        <v>40007843</v>
      </c>
      <c r="B2793" s="2" t="s">
        <v>3002</v>
      </c>
      <c r="C2793" s="5" t="s">
        <v>8702</v>
      </c>
      <c r="D2793" s="21">
        <v>26</v>
      </c>
      <c r="E2793" s="21"/>
      <c r="F2793" s="21" t="s">
        <v>10438</v>
      </c>
      <c r="G2793" s="21"/>
      <c r="H2793" s="54">
        <v>21</v>
      </c>
      <c r="I2793" s="51"/>
      <c r="J2793" s="27"/>
      <c r="K2793" s="27"/>
      <c r="L2793" s="15"/>
      <c r="M2793" s="15"/>
      <c r="N2793" s="4" t="s">
        <v>5103</v>
      </c>
      <c r="O2793" s="4"/>
    </row>
    <row r="2794" spans="1:15" x14ac:dyDescent="0.2">
      <c r="A2794" s="2">
        <v>40008271</v>
      </c>
      <c r="B2794" s="2" t="s">
        <v>3383</v>
      </c>
      <c r="C2794" s="5" t="s">
        <v>9076</v>
      </c>
      <c r="D2794" s="21">
        <v>-4</v>
      </c>
      <c r="E2794" s="21"/>
      <c r="F2794" s="21" t="s">
        <v>10438</v>
      </c>
      <c r="G2794" s="21"/>
      <c r="H2794" s="54">
        <v>2</v>
      </c>
      <c r="I2794" s="51"/>
      <c r="J2794" s="27"/>
      <c r="K2794" s="27"/>
      <c r="L2794" s="15">
        <v>80</v>
      </c>
      <c r="M2794" s="15">
        <v>50</v>
      </c>
      <c r="N2794" s="4" t="s">
        <v>5228</v>
      </c>
      <c r="O2794" s="4"/>
    </row>
    <row r="2795" spans="1:15" x14ac:dyDescent="0.2">
      <c r="A2795" s="2">
        <v>40006259</v>
      </c>
      <c r="B2795" s="2" t="s">
        <v>5478</v>
      </c>
      <c r="C2795" s="5" t="s">
        <v>7340</v>
      </c>
      <c r="D2795" s="21">
        <v>4</v>
      </c>
      <c r="E2795" s="21"/>
      <c r="F2795" s="21" t="s">
        <v>10438</v>
      </c>
      <c r="G2795" s="21"/>
      <c r="H2795" s="54">
        <v>2</v>
      </c>
      <c r="I2795" s="51"/>
      <c r="J2795" s="27"/>
      <c r="K2795" s="27"/>
      <c r="L2795" s="15"/>
      <c r="M2795" s="15"/>
      <c r="N2795" s="4" t="s">
        <v>4580</v>
      </c>
      <c r="O2795" s="4"/>
    </row>
    <row r="2796" spans="1:15" x14ac:dyDescent="0.2">
      <c r="A2796" s="2">
        <v>40006975</v>
      </c>
      <c r="B2796" s="2" t="s">
        <v>2264</v>
      </c>
      <c r="C2796" s="5" t="s">
        <v>7970</v>
      </c>
      <c r="D2796" s="21">
        <v>10</v>
      </c>
      <c r="E2796" s="21"/>
      <c r="F2796" s="21" t="s">
        <v>10438</v>
      </c>
      <c r="G2796" s="21"/>
      <c r="H2796" s="54">
        <v>2</v>
      </c>
      <c r="I2796" s="51"/>
      <c r="J2796" s="27"/>
      <c r="K2796" s="27"/>
      <c r="L2796" s="15"/>
      <c r="M2796" s="15"/>
      <c r="N2796" s="4" t="s">
        <v>4771</v>
      </c>
      <c r="O2796" s="4"/>
    </row>
    <row r="2797" spans="1:15" x14ac:dyDescent="0.2">
      <c r="A2797" s="2">
        <v>40005613</v>
      </c>
      <c r="B2797" s="2" t="s">
        <v>1056</v>
      </c>
      <c r="C2797" s="5" t="s">
        <v>6784</v>
      </c>
      <c r="D2797" s="21">
        <v>5</v>
      </c>
      <c r="E2797" s="21"/>
      <c r="F2797" s="21" t="s">
        <v>10438</v>
      </c>
      <c r="G2797" s="21"/>
      <c r="H2797" s="54">
        <v>1</v>
      </c>
      <c r="I2797" s="51"/>
      <c r="J2797" s="27"/>
      <c r="K2797" s="27"/>
      <c r="L2797" s="15"/>
      <c r="M2797" s="15"/>
      <c r="N2797" s="4" t="s">
        <v>4175</v>
      </c>
      <c r="O2797" s="4"/>
    </row>
    <row r="2798" spans="1:15" x14ac:dyDescent="0.2">
      <c r="A2798" s="2">
        <v>40007023</v>
      </c>
      <c r="B2798" s="2" t="s">
        <v>2304</v>
      </c>
      <c r="C2798" s="5" t="s">
        <v>8014</v>
      </c>
      <c r="D2798" s="21">
        <v>6</v>
      </c>
      <c r="E2798" s="21"/>
      <c r="F2798" s="21" t="s">
        <v>10438</v>
      </c>
      <c r="G2798" s="21"/>
      <c r="H2798" s="54">
        <v>7</v>
      </c>
      <c r="I2798" s="51"/>
      <c r="J2798" s="27"/>
      <c r="K2798" s="27"/>
      <c r="L2798" s="15"/>
      <c r="M2798" s="15"/>
      <c r="N2798" s="4" t="s">
        <v>4365</v>
      </c>
      <c r="O2798" s="4"/>
    </row>
    <row r="2799" spans="1:15" x14ac:dyDescent="0.2">
      <c r="A2799" s="2">
        <v>40006098</v>
      </c>
      <c r="B2799" s="2" t="s">
        <v>1489</v>
      </c>
      <c r="C2799" s="5" t="s">
        <v>7195</v>
      </c>
      <c r="D2799" s="21">
        <v>45</v>
      </c>
      <c r="E2799" s="21"/>
      <c r="F2799" s="21" t="s">
        <v>10438</v>
      </c>
      <c r="G2799" s="21"/>
      <c r="H2799" s="54">
        <v>1</v>
      </c>
      <c r="I2799" s="51"/>
      <c r="J2799" s="27"/>
      <c r="K2799" s="27"/>
      <c r="L2799" s="15"/>
      <c r="M2799" s="15"/>
      <c r="N2799" s="4" t="s">
        <v>4413</v>
      </c>
      <c r="O2799" s="4"/>
    </row>
    <row r="2800" spans="1:15" x14ac:dyDescent="0.2">
      <c r="A2800" s="2">
        <v>40006142</v>
      </c>
      <c r="B2800" s="2" t="s">
        <v>1533</v>
      </c>
      <c r="C2800" s="5" t="s">
        <v>7237</v>
      </c>
      <c r="D2800" s="21">
        <v>8</v>
      </c>
      <c r="E2800" s="21"/>
      <c r="F2800" s="21" t="s">
        <v>10438</v>
      </c>
      <c r="G2800" s="21"/>
      <c r="H2800" s="54">
        <v>3</v>
      </c>
      <c r="I2800" s="51"/>
      <c r="J2800" s="27"/>
      <c r="K2800" s="27"/>
      <c r="L2800" s="15"/>
      <c r="M2800" s="15"/>
      <c r="N2800" s="4" t="s">
        <v>4438</v>
      </c>
      <c r="O2800" s="4"/>
    </row>
    <row r="2801" spans="1:15" x14ac:dyDescent="0.2">
      <c r="A2801" s="2">
        <v>40008011</v>
      </c>
      <c r="B2801" s="2" t="s">
        <v>3151</v>
      </c>
      <c r="C2801" s="5" t="s">
        <v>8846</v>
      </c>
      <c r="D2801" s="21">
        <v>90</v>
      </c>
      <c r="E2801" s="21"/>
      <c r="F2801" s="21" t="s">
        <v>10438</v>
      </c>
      <c r="G2801" s="21"/>
      <c r="H2801" s="54">
        <v>2</v>
      </c>
      <c r="I2801" s="51"/>
      <c r="J2801" s="27"/>
      <c r="K2801" s="27"/>
      <c r="L2801" s="15"/>
      <c r="M2801" s="15">
        <v>5</v>
      </c>
      <c r="N2801" s="4" t="s">
        <v>4196</v>
      </c>
      <c r="O2801" s="4"/>
    </row>
    <row r="2802" spans="1:15" x14ac:dyDescent="0.2">
      <c r="A2802" s="2">
        <v>40006112</v>
      </c>
      <c r="B2802" s="2" t="s">
        <v>1503</v>
      </c>
      <c r="C2802" s="5" t="s">
        <v>7208</v>
      </c>
      <c r="D2802" s="21">
        <v>2</v>
      </c>
      <c r="E2802" s="21"/>
      <c r="F2802" s="21" t="s">
        <v>10438</v>
      </c>
      <c r="G2802" s="21"/>
      <c r="H2802" s="54">
        <v>1</v>
      </c>
      <c r="I2802" s="51"/>
      <c r="J2802" s="27"/>
      <c r="K2802" s="27"/>
      <c r="L2802" s="15"/>
      <c r="M2802" s="15"/>
      <c r="N2802" s="4" t="s">
        <v>4422</v>
      </c>
      <c r="O2802" s="4"/>
    </row>
    <row r="2803" spans="1:15" x14ac:dyDescent="0.2">
      <c r="A2803" s="2">
        <v>40007589</v>
      </c>
      <c r="B2803" s="2" t="s">
        <v>2784</v>
      </c>
      <c r="C2803" s="5" t="s">
        <v>8483</v>
      </c>
      <c r="D2803" s="21">
        <v>4</v>
      </c>
      <c r="E2803" s="21"/>
      <c r="F2803" s="21" t="s">
        <v>10438</v>
      </c>
      <c r="G2803" s="21"/>
      <c r="H2803" s="54">
        <v>4</v>
      </c>
      <c r="I2803" s="51"/>
      <c r="J2803" s="27"/>
      <c r="K2803" s="27"/>
      <c r="L2803" s="15"/>
      <c r="M2803" s="15"/>
      <c r="N2803" s="4" t="s">
        <v>4951</v>
      </c>
      <c r="O2803" s="4"/>
    </row>
    <row r="2804" spans="1:15" x14ac:dyDescent="0.2">
      <c r="A2804" s="2">
        <v>40006458</v>
      </c>
      <c r="B2804" s="2" t="s">
        <v>1813</v>
      </c>
      <c r="C2804" s="5" t="s">
        <v>7521</v>
      </c>
      <c r="D2804" s="21">
        <v>9</v>
      </c>
      <c r="E2804" s="21"/>
      <c r="F2804" s="21" t="s">
        <v>10438</v>
      </c>
      <c r="G2804" s="21"/>
      <c r="H2804" s="54">
        <v>5</v>
      </c>
      <c r="I2804" s="51"/>
      <c r="J2804" s="27"/>
      <c r="K2804" s="27"/>
      <c r="L2804" s="15"/>
      <c r="M2804" s="15"/>
      <c r="N2804" s="4" t="s">
        <v>4606</v>
      </c>
      <c r="O2804" s="4"/>
    </row>
    <row r="2805" spans="1:15" x14ac:dyDescent="0.2">
      <c r="A2805" s="2">
        <v>40008268</v>
      </c>
      <c r="B2805" s="2" t="s">
        <v>3380</v>
      </c>
      <c r="C2805" s="5" t="s">
        <v>9073</v>
      </c>
      <c r="D2805" s="21">
        <v>10</v>
      </c>
      <c r="E2805" s="21"/>
      <c r="F2805" s="21" t="s">
        <v>10438</v>
      </c>
      <c r="G2805" s="21"/>
      <c r="H2805" s="54">
        <v>4</v>
      </c>
      <c r="I2805" s="51"/>
      <c r="J2805" s="27"/>
      <c r="K2805" s="27"/>
      <c r="L2805" s="15"/>
      <c r="M2805" s="15"/>
      <c r="N2805" s="4" t="s">
        <v>4151</v>
      </c>
      <c r="O2805" s="4"/>
    </row>
    <row r="2806" spans="1:15" x14ac:dyDescent="0.2">
      <c r="A2806" s="2">
        <v>40005572</v>
      </c>
      <c r="B2806" s="2" t="s">
        <v>1024</v>
      </c>
      <c r="C2806" s="5" t="s">
        <v>6749</v>
      </c>
      <c r="D2806" s="21">
        <v>7</v>
      </c>
      <c r="E2806" s="21"/>
      <c r="F2806" s="21" t="s">
        <v>10438</v>
      </c>
      <c r="G2806" s="21"/>
      <c r="H2806" s="54">
        <v>4</v>
      </c>
      <c r="I2806" s="51"/>
      <c r="J2806" s="27"/>
      <c r="K2806" s="27"/>
      <c r="L2806" s="15"/>
      <c r="M2806" s="15"/>
      <c r="N2806" s="4" t="s">
        <v>3939</v>
      </c>
      <c r="O2806" s="4"/>
    </row>
    <row r="2807" spans="1:15" x14ac:dyDescent="0.2">
      <c r="A2807" s="2">
        <v>40006433</v>
      </c>
      <c r="B2807" s="2" t="s">
        <v>1791</v>
      </c>
      <c r="C2807" s="5" t="s">
        <v>7498</v>
      </c>
      <c r="D2807" s="21">
        <v>9</v>
      </c>
      <c r="E2807" s="21"/>
      <c r="F2807" s="21" t="s">
        <v>10438</v>
      </c>
      <c r="G2807" s="21"/>
      <c r="H2807" s="54">
        <v>4</v>
      </c>
      <c r="I2807" s="51"/>
      <c r="J2807" s="27"/>
      <c r="K2807" s="27"/>
      <c r="L2807" s="15"/>
      <c r="M2807" s="15"/>
      <c r="N2807" s="4" t="s">
        <v>3939</v>
      </c>
      <c r="O2807" s="4"/>
    </row>
    <row r="2808" spans="1:15" x14ac:dyDescent="0.2">
      <c r="A2808" s="2">
        <v>40006389</v>
      </c>
      <c r="B2808" s="2" t="s">
        <v>1749</v>
      </c>
      <c r="C2808" s="5" t="s">
        <v>7460</v>
      </c>
      <c r="D2808" s="21">
        <v>1</v>
      </c>
      <c r="E2808" s="21"/>
      <c r="F2808" s="21" t="s">
        <v>10438</v>
      </c>
      <c r="G2808" s="21"/>
      <c r="H2808" s="54">
        <v>5</v>
      </c>
      <c r="I2808" s="51"/>
      <c r="J2808" s="27"/>
      <c r="K2808" s="27"/>
      <c r="L2808" s="15"/>
      <c r="M2808" s="15"/>
      <c r="N2808" s="4" t="s">
        <v>4564</v>
      </c>
      <c r="O2808" s="4"/>
    </row>
    <row r="2809" spans="1:15" x14ac:dyDescent="0.2">
      <c r="A2809" s="2">
        <v>40007208</v>
      </c>
      <c r="B2809" s="2" t="s">
        <v>2470</v>
      </c>
      <c r="C2809" s="5" t="s">
        <v>8171</v>
      </c>
      <c r="D2809" s="21">
        <v>13</v>
      </c>
      <c r="E2809" s="21"/>
      <c r="F2809" s="21" t="s">
        <v>10438</v>
      </c>
      <c r="G2809" s="21"/>
      <c r="H2809" s="54">
        <v>9</v>
      </c>
      <c r="I2809" s="51"/>
      <c r="J2809" s="27"/>
      <c r="K2809" s="27"/>
      <c r="L2809" s="15"/>
      <c r="M2809" s="15"/>
      <c r="N2809" s="4" t="s">
        <v>4844</v>
      </c>
      <c r="O2809" s="4"/>
    </row>
    <row r="2810" spans="1:15" x14ac:dyDescent="0.2">
      <c r="A2810" s="2">
        <v>40007607</v>
      </c>
      <c r="B2810" s="2" t="s">
        <v>2797</v>
      </c>
      <c r="C2810" s="5" t="s">
        <v>8497</v>
      </c>
      <c r="D2810" s="21">
        <v>19</v>
      </c>
      <c r="E2810" s="21"/>
      <c r="F2810" s="21" t="s">
        <v>10438</v>
      </c>
      <c r="G2810" s="21"/>
      <c r="H2810" s="54">
        <v>8</v>
      </c>
      <c r="I2810" s="51"/>
      <c r="J2810" s="27"/>
      <c r="K2810" s="27"/>
      <c r="L2810" s="15"/>
      <c r="M2810" s="15"/>
      <c r="N2810" s="4"/>
      <c r="O2810" s="4" t="s">
        <v>10238</v>
      </c>
    </row>
    <row r="2811" spans="1:15" x14ac:dyDescent="0.2">
      <c r="A2811" s="2">
        <v>40006434</v>
      </c>
      <c r="B2811" s="2" t="s">
        <v>1792</v>
      </c>
      <c r="C2811" s="5" t="s">
        <v>7499</v>
      </c>
      <c r="D2811" s="21">
        <v>4</v>
      </c>
      <c r="E2811" s="21"/>
      <c r="F2811" s="21" t="s">
        <v>10438</v>
      </c>
      <c r="G2811" s="21"/>
      <c r="H2811" s="54">
        <v>18</v>
      </c>
      <c r="I2811" s="51"/>
      <c r="J2811" s="27"/>
      <c r="K2811" s="27"/>
      <c r="L2811" s="15"/>
      <c r="M2811" s="15"/>
      <c r="N2811" s="4" t="s">
        <v>4342</v>
      </c>
      <c r="O2811" s="4"/>
    </row>
    <row r="2812" spans="1:15" x14ac:dyDescent="0.2">
      <c r="A2812" s="2">
        <v>40007413</v>
      </c>
      <c r="B2812" s="2" t="s">
        <v>2638</v>
      </c>
      <c r="C2812" s="5" t="s">
        <v>8336</v>
      </c>
      <c r="D2812" s="21">
        <v>26</v>
      </c>
      <c r="E2812" s="21"/>
      <c r="F2812" s="21" t="s">
        <v>10438</v>
      </c>
      <c r="G2812" s="21"/>
      <c r="H2812" s="54">
        <v>4</v>
      </c>
      <c r="I2812" s="51"/>
      <c r="J2812" s="27"/>
      <c r="K2812" s="27"/>
      <c r="L2812" s="15"/>
      <c r="M2812" s="15"/>
      <c r="N2812" s="4" t="s">
        <v>4951</v>
      </c>
      <c r="O2812" s="4"/>
    </row>
    <row r="2813" spans="1:15" x14ac:dyDescent="0.2">
      <c r="A2813" s="2">
        <v>10018682</v>
      </c>
      <c r="B2813" s="2" t="s">
        <v>269</v>
      </c>
      <c r="C2813" s="5" t="s">
        <v>5838</v>
      </c>
      <c r="D2813" s="21">
        <v>7</v>
      </c>
      <c r="E2813" s="21"/>
      <c r="F2813" s="21" t="s">
        <v>10438</v>
      </c>
      <c r="G2813" s="21"/>
      <c r="H2813" s="54">
        <v>5</v>
      </c>
      <c r="I2813" s="51"/>
      <c r="J2813" s="27"/>
      <c r="K2813" s="27"/>
      <c r="L2813" s="15"/>
      <c r="M2813" s="15"/>
      <c r="N2813" s="4" t="s">
        <v>3945</v>
      </c>
      <c r="O2813" s="4"/>
    </row>
    <row r="2814" spans="1:15" x14ac:dyDescent="0.2">
      <c r="A2814" s="2">
        <v>40006504</v>
      </c>
      <c r="B2814" s="2" t="s">
        <v>5430</v>
      </c>
      <c r="C2814" s="5" t="s">
        <v>7562</v>
      </c>
      <c r="D2814" s="21">
        <v>3</v>
      </c>
      <c r="E2814" s="21"/>
      <c r="F2814" s="21" t="s">
        <v>10438</v>
      </c>
      <c r="G2814" s="21"/>
      <c r="H2814" s="54">
        <v>6</v>
      </c>
      <c r="I2814" s="51"/>
      <c r="J2814" s="27"/>
      <c r="K2814" s="27"/>
      <c r="L2814" s="15"/>
      <c r="M2814" s="15"/>
      <c r="N2814" s="4" t="s">
        <v>3939</v>
      </c>
      <c r="O2814" s="4"/>
    </row>
    <row r="2815" spans="1:15" x14ac:dyDescent="0.2">
      <c r="A2815" s="2">
        <v>40005171</v>
      </c>
      <c r="B2815" s="2" t="s">
        <v>718</v>
      </c>
      <c r="C2815" s="5" t="s">
        <v>6432</v>
      </c>
      <c r="D2815" s="21">
        <v>4</v>
      </c>
      <c r="E2815" s="21"/>
      <c r="F2815" s="21" t="s">
        <v>10438</v>
      </c>
      <c r="G2815" s="21"/>
      <c r="H2815" s="54">
        <v>6</v>
      </c>
      <c r="I2815" s="51"/>
      <c r="J2815" s="27"/>
      <c r="K2815" s="27"/>
      <c r="L2815" s="15"/>
      <c r="M2815" s="15"/>
      <c r="N2815" s="4" t="s">
        <v>3988</v>
      </c>
      <c r="O2815" s="4"/>
    </row>
    <row r="2816" spans="1:15" x14ac:dyDescent="0.2">
      <c r="A2816" s="2">
        <v>40008270</v>
      </c>
      <c r="B2816" s="2" t="s">
        <v>3382</v>
      </c>
      <c r="C2816" s="5" t="s">
        <v>9075</v>
      </c>
      <c r="D2816" s="21">
        <v>5</v>
      </c>
      <c r="E2816" s="21"/>
      <c r="F2816" s="21" t="s">
        <v>10438</v>
      </c>
      <c r="G2816" s="21"/>
      <c r="H2816" s="54">
        <v>6</v>
      </c>
      <c r="I2816" s="51"/>
      <c r="J2816" s="27"/>
      <c r="K2816" s="27"/>
      <c r="L2816" s="15"/>
      <c r="M2816" s="15"/>
      <c r="N2816" s="4" t="s">
        <v>5227</v>
      </c>
      <c r="O2816" s="4"/>
    </row>
    <row r="2817" spans="1:15" x14ac:dyDescent="0.2">
      <c r="A2817" s="2">
        <v>40006525</v>
      </c>
      <c r="B2817" s="2" t="s">
        <v>1868</v>
      </c>
      <c r="C2817" s="5" t="s">
        <v>7576</v>
      </c>
      <c r="D2817" s="21"/>
      <c r="E2817" s="21"/>
      <c r="F2817" s="21" t="s">
        <v>10438</v>
      </c>
      <c r="G2817" s="21"/>
      <c r="H2817" s="54">
        <v>7</v>
      </c>
      <c r="I2817" s="51"/>
      <c r="J2817" s="27"/>
      <c r="K2817" s="27"/>
      <c r="L2817" s="15"/>
      <c r="M2817" s="15"/>
      <c r="N2817" s="4" t="s">
        <v>3939</v>
      </c>
      <c r="O2817" s="4"/>
    </row>
    <row r="2818" spans="1:15" x14ac:dyDescent="0.2">
      <c r="A2818" s="2">
        <v>40006940</v>
      </c>
      <c r="B2818" s="2" t="s">
        <v>2231</v>
      </c>
      <c r="C2818" s="5" t="s">
        <v>7938</v>
      </c>
      <c r="D2818" s="21">
        <v>137</v>
      </c>
      <c r="E2818" s="21"/>
      <c r="F2818" s="21" t="s">
        <v>10438</v>
      </c>
      <c r="G2818" s="21"/>
      <c r="H2818" s="54">
        <v>4</v>
      </c>
      <c r="I2818" s="51"/>
      <c r="J2818" s="27"/>
      <c r="K2818" s="27"/>
      <c r="L2818" s="15"/>
      <c r="M2818" s="15"/>
      <c r="N2818" s="4" t="s">
        <v>4753</v>
      </c>
      <c r="O2818" s="4"/>
    </row>
    <row r="2819" spans="1:15" x14ac:dyDescent="0.2">
      <c r="A2819" s="2">
        <v>40010577</v>
      </c>
      <c r="B2819" s="2" t="s">
        <v>3556</v>
      </c>
      <c r="C2819" s="5" t="s">
        <v>9273</v>
      </c>
      <c r="D2819" s="21">
        <v>9</v>
      </c>
      <c r="E2819" s="21"/>
      <c r="F2819" s="21" t="s">
        <v>10438</v>
      </c>
      <c r="G2819" s="21"/>
      <c r="H2819" s="54">
        <v>2</v>
      </c>
      <c r="I2819" s="51"/>
      <c r="J2819" s="27"/>
      <c r="K2819" s="27"/>
      <c r="L2819" s="15"/>
      <c r="M2819" s="15"/>
      <c r="N2819" s="4" t="s">
        <v>4035</v>
      </c>
      <c r="O2819" s="4"/>
    </row>
    <row r="2820" spans="1:15" x14ac:dyDescent="0.2">
      <c r="A2820" s="2">
        <v>40011197</v>
      </c>
      <c r="B2820" s="2" t="s">
        <v>3767</v>
      </c>
      <c r="C2820" s="5" t="s">
        <v>9342</v>
      </c>
      <c r="D2820" s="21">
        <v>3</v>
      </c>
      <c r="E2820" s="21"/>
      <c r="F2820" s="21" t="s">
        <v>10438</v>
      </c>
      <c r="G2820" s="21"/>
      <c r="H2820" s="54">
        <v>7</v>
      </c>
      <c r="I2820" s="51"/>
      <c r="J2820" s="27"/>
      <c r="K2820" s="27"/>
      <c r="L2820" s="15"/>
      <c r="M2820" s="15"/>
      <c r="N2820" s="4" t="s">
        <v>5266</v>
      </c>
      <c r="O2820" s="4"/>
    </row>
    <row r="2821" spans="1:15" x14ac:dyDescent="0.2">
      <c r="A2821" s="2">
        <v>40007105</v>
      </c>
      <c r="B2821" s="2" t="s">
        <v>2376</v>
      </c>
      <c r="C2821" s="5" t="s">
        <v>8081</v>
      </c>
      <c r="D2821" s="21">
        <v>5</v>
      </c>
      <c r="E2821" s="21"/>
      <c r="F2821" s="21" t="s">
        <v>10438</v>
      </c>
      <c r="G2821" s="21"/>
      <c r="H2821" s="54">
        <v>13</v>
      </c>
      <c r="I2821" s="51"/>
      <c r="J2821" s="27"/>
      <c r="K2821" s="27"/>
      <c r="L2821" s="15"/>
      <c r="M2821" s="15"/>
      <c r="N2821" s="4" t="s">
        <v>4003</v>
      </c>
      <c r="O2821" s="4"/>
    </row>
    <row r="2822" spans="1:15" x14ac:dyDescent="0.2">
      <c r="A2822" s="2">
        <v>40008208</v>
      </c>
      <c r="B2822" s="2" t="s">
        <v>3328</v>
      </c>
      <c r="C2822" s="5" t="s">
        <v>9020</v>
      </c>
      <c r="D2822" s="21">
        <v>11</v>
      </c>
      <c r="E2822" s="21"/>
      <c r="F2822" s="21" t="s">
        <v>10438</v>
      </c>
      <c r="G2822" s="21"/>
      <c r="H2822" s="54">
        <v>7</v>
      </c>
      <c r="I2822" s="51"/>
      <c r="J2822" s="27"/>
      <c r="K2822" s="27"/>
      <c r="L2822" s="15"/>
      <c r="M2822" s="15"/>
      <c r="N2822" s="4" t="s">
        <v>4764</v>
      </c>
      <c r="O2822" s="4"/>
    </row>
    <row r="2823" spans="1:15" x14ac:dyDescent="0.2">
      <c r="A2823" s="2">
        <v>40008274</v>
      </c>
      <c r="B2823" s="2" t="s">
        <v>3386</v>
      </c>
      <c r="C2823" s="5" t="s">
        <v>9079</v>
      </c>
      <c r="D2823" s="21"/>
      <c r="E2823" s="21"/>
      <c r="F2823" s="21" t="s">
        <v>10438</v>
      </c>
      <c r="G2823" s="21"/>
      <c r="H2823" s="54">
        <v>4</v>
      </c>
      <c r="I2823" s="51"/>
      <c r="J2823" s="27"/>
      <c r="K2823" s="27"/>
      <c r="L2823" s="15"/>
      <c r="M2823" s="15"/>
      <c r="N2823" s="4" t="s">
        <v>4491</v>
      </c>
      <c r="O2823" s="4"/>
    </row>
    <row r="2824" spans="1:15" x14ac:dyDescent="0.2">
      <c r="A2824" s="2">
        <v>40006078</v>
      </c>
      <c r="B2824" s="2" t="s">
        <v>1471</v>
      </c>
      <c r="C2824" s="5" t="s">
        <v>7176</v>
      </c>
      <c r="D2824" s="21">
        <v>11</v>
      </c>
      <c r="E2824" s="21"/>
      <c r="F2824" s="21" t="s">
        <v>10438</v>
      </c>
      <c r="G2824" s="21"/>
      <c r="H2824" s="54">
        <v>3</v>
      </c>
      <c r="I2824" s="51"/>
      <c r="J2824" s="27"/>
      <c r="K2824" s="27"/>
      <c r="L2824" s="15"/>
      <c r="M2824" s="15"/>
      <c r="N2824" s="4" t="s">
        <v>4138</v>
      </c>
      <c r="O2824" s="4"/>
    </row>
    <row r="2825" spans="1:15" x14ac:dyDescent="0.2">
      <c r="A2825" s="2">
        <v>40006313</v>
      </c>
      <c r="B2825" s="2" t="s">
        <v>1680</v>
      </c>
      <c r="C2825" s="5" t="s">
        <v>7390</v>
      </c>
      <c r="D2825" s="21">
        <v>24</v>
      </c>
      <c r="E2825" s="21"/>
      <c r="F2825" s="21" t="s">
        <v>10438</v>
      </c>
      <c r="G2825" s="21"/>
      <c r="H2825" s="54">
        <v>1</v>
      </c>
      <c r="I2825" s="51"/>
      <c r="J2825" s="27"/>
      <c r="K2825" s="27"/>
      <c r="L2825" s="15"/>
      <c r="M2825" s="15"/>
      <c r="N2825" s="4"/>
      <c r="O2825" s="4" t="s">
        <v>10208</v>
      </c>
    </row>
    <row r="2826" spans="1:15" x14ac:dyDescent="0.2">
      <c r="A2826" s="2">
        <v>40008168</v>
      </c>
      <c r="B2826" s="2" t="s">
        <v>3291</v>
      </c>
      <c r="C2826" s="5" t="s">
        <v>8984</v>
      </c>
      <c r="D2826" s="21">
        <v>9</v>
      </c>
      <c r="E2826" s="21"/>
      <c r="F2826" s="21" t="s">
        <v>10438</v>
      </c>
      <c r="G2826" s="21"/>
      <c r="H2826" s="54">
        <v>3</v>
      </c>
      <c r="I2826" s="51"/>
      <c r="J2826" s="27"/>
      <c r="K2826" s="27"/>
      <c r="L2826" s="15"/>
      <c r="M2826" s="15"/>
      <c r="N2826" s="4" t="s">
        <v>4871</v>
      </c>
      <c r="O2826" s="4"/>
    </row>
    <row r="2827" spans="1:15" x14ac:dyDescent="0.2">
      <c r="A2827" s="2">
        <v>40011198</v>
      </c>
      <c r="B2827" s="2" t="s">
        <v>3768</v>
      </c>
      <c r="C2827" s="5" t="s">
        <v>9343</v>
      </c>
      <c r="D2827" s="21">
        <v>5</v>
      </c>
      <c r="E2827" s="21"/>
      <c r="F2827" s="21" t="s">
        <v>10438</v>
      </c>
      <c r="G2827" s="21"/>
      <c r="H2827" s="54">
        <v>4</v>
      </c>
      <c r="I2827" s="51"/>
      <c r="J2827" s="27"/>
      <c r="K2827" s="27"/>
      <c r="L2827" s="15">
        <v>10</v>
      </c>
      <c r="M2827" s="15"/>
      <c r="N2827" s="4" t="s">
        <v>4383</v>
      </c>
      <c r="O2827" s="4"/>
    </row>
    <row r="2828" spans="1:15" x14ac:dyDescent="0.2">
      <c r="A2828" s="2">
        <v>40008177</v>
      </c>
      <c r="B2828" s="2" t="s">
        <v>3300</v>
      </c>
      <c r="C2828" s="5" t="s">
        <v>8993</v>
      </c>
      <c r="D2828" s="21">
        <v>2</v>
      </c>
      <c r="E2828" s="21"/>
      <c r="F2828" s="21" t="s">
        <v>10438</v>
      </c>
      <c r="G2828" s="21"/>
      <c r="H2828" s="54">
        <v>1</v>
      </c>
      <c r="I2828" s="51"/>
      <c r="J2828" s="27"/>
      <c r="K2828" s="27"/>
      <c r="L2828" s="15"/>
      <c r="M2828" s="15"/>
      <c r="N2828" s="4" t="s">
        <v>3949</v>
      </c>
      <c r="O2828" s="4"/>
    </row>
    <row r="2829" spans="1:15" x14ac:dyDescent="0.2">
      <c r="A2829" s="2">
        <v>40007093</v>
      </c>
      <c r="B2829" s="2" t="s">
        <v>2365</v>
      </c>
      <c r="C2829" s="5" t="s">
        <v>8071</v>
      </c>
      <c r="D2829" s="21">
        <v>21</v>
      </c>
      <c r="E2829" s="21"/>
      <c r="F2829" s="21" t="s">
        <v>10438</v>
      </c>
      <c r="G2829" s="21"/>
      <c r="H2829" s="54">
        <v>4</v>
      </c>
      <c r="I2829" s="51"/>
      <c r="J2829" s="27"/>
      <c r="K2829" s="27"/>
      <c r="L2829" s="15"/>
      <c r="M2829" s="15"/>
      <c r="N2829" s="4" t="s">
        <v>4824</v>
      </c>
      <c r="O2829" s="4"/>
    </row>
    <row r="2830" spans="1:15" x14ac:dyDescent="0.2">
      <c r="A2830" s="2">
        <v>40006060</v>
      </c>
      <c r="B2830" s="2" t="s">
        <v>5392</v>
      </c>
      <c r="C2830" s="5" t="s">
        <v>7161</v>
      </c>
      <c r="D2830" s="21">
        <v>6</v>
      </c>
      <c r="E2830" s="21"/>
      <c r="F2830" s="21" t="s">
        <v>10438</v>
      </c>
      <c r="G2830" s="21"/>
      <c r="H2830" s="54">
        <v>5</v>
      </c>
      <c r="I2830" s="51"/>
      <c r="J2830" s="27"/>
      <c r="K2830" s="27"/>
      <c r="L2830" s="15"/>
      <c r="M2830" s="15"/>
      <c r="N2830" s="4" t="s">
        <v>4058</v>
      </c>
      <c r="O2830" s="4"/>
    </row>
    <row r="2831" spans="1:15" x14ac:dyDescent="0.2">
      <c r="A2831" s="2">
        <v>40006314</v>
      </c>
      <c r="B2831" s="2" t="s">
        <v>1681</v>
      </c>
      <c r="C2831" s="5" t="s">
        <v>7391</v>
      </c>
      <c r="D2831" s="21">
        <v>4</v>
      </c>
      <c r="E2831" s="21"/>
      <c r="F2831" s="21" t="s">
        <v>10438</v>
      </c>
      <c r="G2831" s="21"/>
      <c r="H2831" s="54">
        <v>1</v>
      </c>
      <c r="I2831" s="51"/>
      <c r="J2831" s="27"/>
      <c r="K2831" s="27"/>
      <c r="L2831" s="15"/>
      <c r="M2831" s="15"/>
      <c r="N2831" s="4" t="s">
        <v>4520</v>
      </c>
      <c r="O2831" s="4"/>
    </row>
    <row r="2832" spans="1:15" x14ac:dyDescent="0.2">
      <c r="A2832" s="2">
        <v>40006330</v>
      </c>
      <c r="B2832" s="2" t="s">
        <v>1697</v>
      </c>
      <c r="C2832" s="5" t="s">
        <v>7407</v>
      </c>
      <c r="D2832" s="21">
        <v>20</v>
      </c>
      <c r="E2832" s="21"/>
      <c r="F2832" s="21" t="s">
        <v>10438</v>
      </c>
      <c r="G2832" s="21"/>
      <c r="H2832" s="54">
        <v>6</v>
      </c>
      <c r="I2832" s="51"/>
      <c r="J2832" s="27"/>
      <c r="K2832" s="27"/>
      <c r="L2832" s="15"/>
      <c r="M2832" s="15"/>
      <c r="N2832" s="4" t="s">
        <v>3990</v>
      </c>
      <c r="O2832" s="4"/>
    </row>
    <row r="2833" spans="1:15" x14ac:dyDescent="0.2">
      <c r="A2833" s="2">
        <v>10019973</v>
      </c>
      <c r="B2833" s="2" t="s">
        <v>647</v>
      </c>
      <c r="C2833" s="5" t="s">
        <v>6290</v>
      </c>
      <c r="D2833" s="21">
        <v>4</v>
      </c>
      <c r="E2833" s="21"/>
      <c r="F2833" s="21" t="s">
        <v>10438</v>
      </c>
      <c r="G2833" s="21"/>
      <c r="H2833" s="54">
        <v>3</v>
      </c>
      <c r="I2833" s="51"/>
      <c r="J2833" s="27"/>
      <c r="K2833" s="27"/>
      <c r="L2833" s="15"/>
      <c r="M2833" s="15"/>
      <c r="N2833" s="4" t="s">
        <v>3968</v>
      </c>
      <c r="O2833" s="4"/>
    </row>
    <row r="2834" spans="1:15" x14ac:dyDescent="0.2">
      <c r="A2834" s="2">
        <v>40007929</v>
      </c>
      <c r="B2834" s="2" t="s">
        <v>3083</v>
      </c>
      <c r="C2834" s="5" t="s">
        <v>8775</v>
      </c>
      <c r="D2834" s="21">
        <v>16</v>
      </c>
      <c r="E2834" s="21"/>
      <c r="F2834" s="21" t="s">
        <v>10438</v>
      </c>
      <c r="G2834" s="21"/>
      <c r="H2834" s="54">
        <v>16</v>
      </c>
      <c r="I2834" s="51"/>
      <c r="J2834" s="27"/>
      <c r="K2834" s="27"/>
      <c r="L2834" s="15"/>
      <c r="M2834" s="15"/>
      <c r="N2834" s="4" t="s">
        <v>5134</v>
      </c>
      <c r="O2834" s="4"/>
    </row>
    <row r="2835" spans="1:15" x14ac:dyDescent="0.2">
      <c r="A2835" s="2">
        <v>40008015</v>
      </c>
      <c r="B2835" s="2" t="s">
        <v>3155</v>
      </c>
      <c r="C2835" s="5" t="s">
        <v>8850</v>
      </c>
      <c r="D2835" s="21">
        <v>4</v>
      </c>
      <c r="E2835" s="21"/>
      <c r="F2835" s="30">
        <v>4</v>
      </c>
      <c r="G2835" s="21"/>
      <c r="H2835" s="54">
        <v>11</v>
      </c>
      <c r="I2835" s="51"/>
      <c r="J2835" s="27"/>
      <c r="K2835" s="27"/>
      <c r="L2835" s="15"/>
      <c r="M2835" s="15"/>
      <c r="N2835" s="4" t="s">
        <v>4208</v>
      </c>
      <c r="O2835" s="4"/>
    </row>
    <row r="2836" spans="1:15" x14ac:dyDescent="0.2">
      <c r="A2836" s="2">
        <v>40005340</v>
      </c>
      <c r="B2836" s="2" t="s">
        <v>3839</v>
      </c>
      <c r="C2836" s="5" t="s">
        <v>6544</v>
      </c>
      <c r="D2836" s="21">
        <v>1</v>
      </c>
      <c r="E2836" s="21"/>
      <c r="F2836" s="21" t="s">
        <v>10438</v>
      </c>
      <c r="G2836" s="21"/>
      <c r="H2836" s="54">
        <v>567</v>
      </c>
      <c r="I2836" s="51"/>
      <c r="J2836" s="27"/>
      <c r="K2836" s="27"/>
      <c r="L2836" s="15"/>
      <c r="M2836" s="15"/>
      <c r="N2836" s="4" t="s">
        <v>4060</v>
      </c>
      <c r="O2836" s="4"/>
    </row>
    <row r="2837" spans="1:15" x14ac:dyDescent="0.2">
      <c r="A2837" s="2">
        <v>40006429</v>
      </c>
      <c r="B2837" s="2" t="s">
        <v>1787</v>
      </c>
      <c r="C2837" s="5">
        <v>671001137</v>
      </c>
      <c r="D2837" s="21">
        <v>1</v>
      </c>
      <c r="E2837" s="21"/>
      <c r="F2837" s="21" t="s">
        <v>10438</v>
      </c>
      <c r="G2837" s="21"/>
      <c r="H2837" s="54">
        <v>576</v>
      </c>
      <c r="I2837" s="51"/>
      <c r="J2837" s="27"/>
      <c r="K2837" s="27"/>
      <c r="L2837" s="15"/>
      <c r="M2837" s="15"/>
      <c r="N2837" s="4"/>
      <c r="O2837" s="4">
        <v>41</v>
      </c>
    </row>
    <row r="2838" spans="1:15" x14ac:dyDescent="0.2">
      <c r="A2838" s="2">
        <v>40007017</v>
      </c>
      <c r="B2838" s="2" t="s">
        <v>2299</v>
      </c>
      <c r="C2838" s="5" t="s">
        <v>8008</v>
      </c>
      <c r="D2838" s="21">
        <v>100</v>
      </c>
      <c r="E2838" s="21"/>
      <c r="F2838" s="21" t="s">
        <v>10438</v>
      </c>
      <c r="G2838" s="21"/>
      <c r="H2838" s="54">
        <v>9</v>
      </c>
      <c r="I2838" s="51"/>
      <c r="J2838" s="27"/>
      <c r="K2838" s="27"/>
      <c r="L2838" s="15"/>
      <c r="M2838" s="15"/>
      <c r="N2838" s="4" t="s">
        <v>4334</v>
      </c>
      <c r="O2838" s="4" t="s">
        <v>10355</v>
      </c>
    </row>
    <row r="2839" spans="1:15" x14ac:dyDescent="0.2">
      <c r="A2839" s="2">
        <v>10019077</v>
      </c>
      <c r="B2839" s="2" t="s">
        <v>422</v>
      </c>
      <c r="C2839" s="5" t="s">
        <v>5317</v>
      </c>
      <c r="D2839" s="21"/>
      <c r="E2839" s="21"/>
      <c r="F2839" s="21" t="s">
        <v>10438</v>
      </c>
      <c r="G2839" s="21"/>
      <c r="H2839" s="54">
        <v>138</v>
      </c>
      <c r="I2839" s="51"/>
      <c r="J2839" s="27"/>
      <c r="K2839" s="27"/>
      <c r="L2839" s="15"/>
      <c r="M2839" s="15"/>
      <c r="N2839" s="4">
        <v>75</v>
      </c>
      <c r="O2839" s="4"/>
    </row>
    <row r="2840" spans="1:15" x14ac:dyDescent="0.2">
      <c r="A2840" s="2">
        <v>10019764</v>
      </c>
      <c r="B2840" s="2" t="s">
        <v>582</v>
      </c>
      <c r="C2840" s="5" t="s">
        <v>6215</v>
      </c>
      <c r="D2840" s="21"/>
      <c r="E2840" s="21"/>
      <c r="F2840" s="21" t="s">
        <v>10438</v>
      </c>
      <c r="G2840" s="21"/>
      <c r="H2840" s="54">
        <v>229</v>
      </c>
      <c r="I2840" s="51"/>
      <c r="J2840" s="27"/>
      <c r="K2840" s="27"/>
      <c r="L2840" s="15"/>
      <c r="M2840" s="15"/>
      <c r="N2840" s="4">
        <v>75</v>
      </c>
      <c r="O2840" s="4"/>
    </row>
    <row r="2841" spans="1:15" x14ac:dyDescent="0.2">
      <c r="A2841" s="2">
        <v>10019865</v>
      </c>
      <c r="B2841" s="2" t="s">
        <v>604</v>
      </c>
      <c r="C2841" s="5" t="s">
        <v>6241</v>
      </c>
      <c r="D2841" s="21">
        <v>7</v>
      </c>
      <c r="E2841" s="21"/>
      <c r="F2841" s="21" t="s">
        <v>10438</v>
      </c>
      <c r="G2841" s="21"/>
      <c r="H2841" s="54">
        <v>92</v>
      </c>
      <c r="I2841" s="51"/>
      <c r="J2841" s="27"/>
      <c r="K2841" s="27"/>
      <c r="L2841" s="15"/>
      <c r="M2841" s="15"/>
      <c r="N2841" s="4">
        <v>65</v>
      </c>
      <c r="O2841" s="4"/>
    </row>
    <row r="2842" spans="1:15" x14ac:dyDescent="0.2">
      <c r="A2842" s="2">
        <v>10018619</v>
      </c>
      <c r="B2842" s="2" t="s">
        <v>239</v>
      </c>
      <c r="C2842" s="5" t="s">
        <v>5802</v>
      </c>
      <c r="D2842" s="21">
        <v>11</v>
      </c>
      <c r="E2842" s="21"/>
      <c r="F2842" s="21" t="s">
        <v>10438</v>
      </c>
      <c r="G2842" s="21"/>
      <c r="H2842" s="54">
        <v>40</v>
      </c>
      <c r="I2842" s="51"/>
      <c r="J2842" s="27"/>
      <c r="K2842" s="27"/>
      <c r="L2842" s="15"/>
      <c r="M2842" s="15"/>
      <c r="N2842" s="4">
        <v>76</v>
      </c>
      <c r="O2842" s="4"/>
    </row>
    <row r="2843" spans="1:15" x14ac:dyDescent="0.2">
      <c r="A2843" s="2">
        <v>40007905</v>
      </c>
      <c r="B2843" s="2" t="s">
        <v>3060</v>
      </c>
      <c r="C2843" s="5" t="s">
        <v>8751</v>
      </c>
      <c r="D2843" s="21">
        <v>9</v>
      </c>
      <c r="E2843" s="21"/>
      <c r="F2843" s="21" t="s">
        <v>10438</v>
      </c>
      <c r="G2843" s="21"/>
      <c r="H2843" s="54">
        <v>11</v>
      </c>
      <c r="I2843" s="51"/>
      <c r="J2843" s="27"/>
      <c r="K2843" s="27"/>
      <c r="L2843" s="15"/>
      <c r="M2843" s="15"/>
      <c r="N2843" s="4" t="s">
        <v>5122</v>
      </c>
      <c r="O2843" s="4"/>
    </row>
    <row r="2844" spans="1:15" x14ac:dyDescent="0.2">
      <c r="A2844" s="2">
        <v>40006164</v>
      </c>
      <c r="B2844" s="2" t="s">
        <v>1551</v>
      </c>
      <c r="C2844" s="5" t="s">
        <v>7257</v>
      </c>
      <c r="D2844" s="21">
        <v>9</v>
      </c>
      <c r="E2844" s="21"/>
      <c r="F2844" s="21" t="s">
        <v>10438</v>
      </c>
      <c r="G2844" s="21"/>
      <c r="H2844" s="54">
        <v>35</v>
      </c>
      <c r="I2844" s="51"/>
      <c r="J2844" s="27"/>
      <c r="K2844" s="27"/>
      <c r="L2844" s="15"/>
      <c r="M2844" s="15"/>
      <c r="N2844" s="4" t="s">
        <v>4207</v>
      </c>
      <c r="O2844" s="4"/>
    </row>
    <row r="2845" spans="1:15" x14ac:dyDescent="0.2">
      <c r="A2845" s="2">
        <v>40006392</v>
      </c>
      <c r="B2845" s="2" t="s">
        <v>1752</v>
      </c>
      <c r="C2845" s="5" t="s">
        <v>7463</v>
      </c>
      <c r="D2845" s="21">
        <v>6</v>
      </c>
      <c r="E2845" s="21"/>
      <c r="F2845" s="21" t="s">
        <v>10438</v>
      </c>
      <c r="G2845" s="21"/>
      <c r="H2845" s="54">
        <v>15</v>
      </c>
      <c r="I2845" s="51"/>
      <c r="J2845" s="27"/>
      <c r="K2845" s="27"/>
      <c r="L2845" s="15"/>
      <c r="M2845" s="15"/>
      <c r="N2845" s="4" t="s">
        <v>4566</v>
      </c>
      <c r="O2845" s="4"/>
    </row>
    <row r="2846" spans="1:15" x14ac:dyDescent="0.2">
      <c r="A2846" s="2">
        <v>40006118</v>
      </c>
      <c r="B2846" s="2" t="s">
        <v>1509</v>
      </c>
      <c r="C2846" s="5" t="s">
        <v>7214</v>
      </c>
      <c r="D2846" s="21">
        <v>4</v>
      </c>
      <c r="E2846" s="21"/>
      <c r="F2846" s="21" t="s">
        <v>10438</v>
      </c>
      <c r="G2846" s="21"/>
      <c r="H2846" s="54">
        <v>7</v>
      </c>
      <c r="I2846" s="51"/>
      <c r="J2846" s="27"/>
      <c r="K2846" s="27"/>
      <c r="L2846" s="15"/>
      <c r="M2846" s="15"/>
      <c r="N2846" s="4" t="s">
        <v>4425</v>
      </c>
      <c r="O2846" s="4"/>
    </row>
    <row r="2847" spans="1:15" x14ac:dyDescent="0.2">
      <c r="A2847" s="2">
        <v>40006867</v>
      </c>
      <c r="B2847" s="2" t="s">
        <v>2163</v>
      </c>
      <c r="C2847" s="5" t="s">
        <v>7872</v>
      </c>
      <c r="D2847" s="21">
        <v>16</v>
      </c>
      <c r="E2847" s="21"/>
      <c r="F2847" s="21" t="s">
        <v>10438</v>
      </c>
      <c r="G2847" s="21"/>
      <c r="H2847" s="54">
        <v>8</v>
      </c>
      <c r="I2847" s="51"/>
      <c r="J2847" s="27"/>
      <c r="K2847" s="27"/>
      <c r="L2847" s="15"/>
      <c r="M2847" s="15"/>
      <c r="N2847" s="4" t="s">
        <v>4721</v>
      </c>
      <c r="O2847" s="4"/>
    </row>
    <row r="2848" spans="1:15" x14ac:dyDescent="0.2">
      <c r="A2848" s="2">
        <v>40007722</v>
      </c>
      <c r="B2848" s="2" t="s">
        <v>2897</v>
      </c>
      <c r="C2848" s="5" t="s">
        <v>8594</v>
      </c>
      <c r="D2848" s="21">
        <v>5</v>
      </c>
      <c r="E2848" s="21"/>
      <c r="F2848" s="21" t="s">
        <v>10438</v>
      </c>
      <c r="G2848" s="21"/>
      <c r="H2848" s="54">
        <v>109</v>
      </c>
      <c r="I2848" s="51"/>
      <c r="J2848" s="27"/>
      <c r="K2848" s="27"/>
      <c r="L2848" s="15"/>
      <c r="M2848" s="15"/>
      <c r="N2848" s="4" t="s">
        <v>4594</v>
      </c>
      <c r="O2848" s="4"/>
    </row>
    <row r="2849" spans="1:15" x14ac:dyDescent="0.2">
      <c r="A2849" s="2">
        <v>40007191</v>
      </c>
      <c r="B2849" s="2" t="s">
        <v>2457</v>
      </c>
      <c r="C2849" s="5" t="s">
        <v>8160</v>
      </c>
      <c r="D2849" s="21">
        <v>6</v>
      </c>
      <c r="E2849" s="21"/>
      <c r="F2849" s="21" t="s">
        <v>10438</v>
      </c>
      <c r="G2849" s="21"/>
      <c r="H2849" s="54">
        <v>8</v>
      </c>
      <c r="I2849" s="51"/>
      <c r="J2849" s="27"/>
      <c r="K2849" s="27"/>
      <c r="L2849" s="15"/>
      <c r="M2849" s="15"/>
      <c r="N2849" s="4" t="s">
        <v>4712</v>
      </c>
      <c r="O2849" s="4"/>
    </row>
    <row r="2850" spans="1:15" x14ac:dyDescent="0.2">
      <c r="A2850" s="2">
        <v>40006283</v>
      </c>
      <c r="B2850" s="2" t="s">
        <v>1656</v>
      </c>
      <c r="C2850" s="5" t="s">
        <v>7364</v>
      </c>
      <c r="D2850" s="21">
        <v>1</v>
      </c>
      <c r="E2850" s="21"/>
      <c r="F2850" s="21" t="s">
        <v>10438</v>
      </c>
      <c r="G2850" s="21"/>
      <c r="H2850" s="54">
        <v>4</v>
      </c>
      <c r="I2850" s="51"/>
      <c r="J2850" s="27"/>
      <c r="K2850" s="27"/>
      <c r="L2850" s="15"/>
      <c r="M2850" s="15"/>
      <c r="N2850" s="4" t="s">
        <v>4506</v>
      </c>
      <c r="O2850" s="4"/>
    </row>
    <row r="2851" spans="1:15" x14ac:dyDescent="0.2">
      <c r="A2851" s="2">
        <v>40007993</v>
      </c>
      <c r="B2851" s="2" t="s">
        <v>5403</v>
      </c>
      <c r="C2851" s="5" t="s">
        <v>8832</v>
      </c>
      <c r="D2851" s="21"/>
      <c r="E2851" s="21"/>
      <c r="F2851" s="21" t="s">
        <v>10438</v>
      </c>
      <c r="G2851" s="21"/>
      <c r="H2851" s="54">
        <v>4</v>
      </c>
      <c r="I2851" s="51"/>
      <c r="J2851" s="27"/>
      <c r="K2851" s="27"/>
      <c r="L2851" s="15"/>
      <c r="M2851" s="15"/>
      <c r="N2851" s="4" t="s">
        <v>4449</v>
      </c>
      <c r="O2851" s="4"/>
    </row>
    <row r="2852" spans="1:15" x14ac:dyDescent="0.2">
      <c r="A2852" s="2">
        <v>40007728</v>
      </c>
      <c r="B2852" s="2" t="s">
        <v>2903</v>
      </c>
      <c r="C2852" s="5" t="s">
        <v>8600</v>
      </c>
      <c r="D2852" s="21">
        <v>1</v>
      </c>
      <c r="E2852" s="21"/>
      <c r="F2852" s="21" t="s">
        <v>10438</v>
      </c>
      <c r="G2852" s="21"/>
      <c r="H2852" s="54">
        <v>21</v>
      </c>
      <c r="I2852" s="51"/>
      <c r="J2852" s="27"/>
      <c r="K2852" s="27"/>
      <c r="L2852" s="15"/>
      <c r="M2852" s="15"/>
      <c r="N2852" s="4" t="s">
        <v>4444</v>
      </c>
      <c r="O2852" s="4"/>
    </row>
    <row r="2853" spans="1:15" x14ac:dyDescent="0.2">
      <c r="A2853" s="2">
        <v>40011141</v>
      </c>
      <c r="B2853" s="2" t="s">
        <v>3705</v>
      </c>
      <c r="C2853" s="5" t="s">
        <v>9321</v>
      </c>
      <c r="D2853" s="21">
        <v>5</v>
      </c>
      <c r="E2853" s="21"/>
      <c r="F2853" s="21" t="s">
        <v>10438</v>
      </c>
      <c r="G2853" s="21"/>
      <c r="H2853" s="54">
        <v>4</v>
      </c>
      <c r="I2853" s="51"/>
      <c r="J2853" s="27"/>
      <c r="K2853" s="27"/>
      <c r="L2853" s="15"/>
      <c r="M2853" s="15"/>
      <c r="N2853" s="4" t="s">
        <v>4175</v>
      </c>
      <c r="O2853" s="4"/>
    </row>
    <row r="2854" spans="1:15" x14ac:dyDescent="0.2">
      <c r="A2854" s="2">
        <v>40005228</v>
      </c>
      <c r="B2854" s="2" t="s">
        <v>5475</v>
      </c>
      <c r="C2854" s="5" t="s">
        <v>6469</v>
      </c>
      <c r="D2854" s="21">
        <v>13</v>
      </c>
      <c r="E2854" s="21"/>
      <c r="F2854" s="21" t="s">
        <v>10438</v>
      </c>
      <c r="G2854" s="21"/>
      <c r="H2854" s="54">
        <v>10</v>
      </c>
      <c r="I2854" s="51"/>
      <c r="J2854" s="27"/>
      <c r="K2854" s="27"/>
      <c r="L2854" s="15"/>
      <c r="M2854" s="15"/>
      <c r="N2854" s="4" t="s">
        <v>5047</v>
      </c>
      <c r="O2854" s="4"/>
    </row>
    <row r="2855" spans="1:15" x14ac:dyDescent="0.2">
      <c r="A2855" s="2">
        <v>40007718</v>
      </c>
      <c r="B2855" s="2" t="s">
        <v>2893</v>
      </c>
      <c r="C2855" s="5" t="s">
        <v>8590</v>
      </c>
      <c r="D2855" s="21">
        <v>16</v>
      </c>
      <c r="E2855" s="21"/>
      <c r="F2855" s="21" t="s">
        <v>10438</v>
      </c>
      <c r="G2855" s="21"/>
      <c r="H2855" s="54">
        <v>8</v>
      </c>
      <c r="I2855" s="51"/>
      <c r="J2855" s="27"/>
      <c r="K2855" s="27"/>
      <c r="L2855" s="15"/>
      <c r="M2855" s="15"/>
      <c r="N2855" s="4" t="s">
        <v>5047</v>
      </c>
      <c r="O2855" s="4"/>
    </row>
    <row r="2856" spans="1:15" x14ac:dyDescent="0.2">
      <c r="A2856" s="2">
        <v>40007488</v>
      </c>
      <c r="B2856" s="2" t="s">
        <v>2699</v>
      </c>
      <c r="C2856" s="5" t="s">
        <v>8400</v>
      </c>
      <c r="D2856" s="21">
        <v>10</v>
      </c>
      <c r="E2856" s="21"/>
      <c r="F2856" s="21" t="s">
        <v>10438</v>
      </c>
      <c r="G2856" s="21"/>
      <c r="H2856" s="54">
        <v>1</v>
      </c>
      <c r="I2856" s="51"/>
      <c r="J2856" s="27"/>
      <c r="K2856" s="27"/>
      <c r="L2856" s="15"/>
      <c r="M2856" s="15"/>
      <c r="N2856" s="4" t="s">
        <v>4769</v>
      </c>
      <c r="O2856" s="4"/>
    </row>
    <row r="2857" spans="1:15" x14ac:dyDescent="0.2">
      <c r="A2857" s="2">
        <v>40010294</v>
      </c>
      <c r="B2857" s="2" t="s">
        <v>3484</v>
      </c>
      <c r="C2857" s="5" t="s">
        <v>9178</v>
      </c>
      <c r="D2857" s="21"/>
      <c r="E2857" s="21"/>
      <c r="F2857" s="21" t="s">
        <v>10438</v>
      </c>
      <c r="G2857" s="21"/>
      <c r="H2857" s="54">
        <v>5</v>
      </c>
      <c r="I2857" s="51"/>
      <c r="J2857" s="27"/>
      <c r="K2857" s="27"/>
      <c r="L2857" s="15"/>
      <c r="M2857" s="15"/>
      <c r="N2857" s="4" t="s">
        <v>5251</v>
      </c>
      <c r="O2857" s="4"/>
    </row>
    <row r="2858" spans="1:15" x14ac:dyDescent="0.2">
      <c r="A2858" s="2">
        <v>40006478</v>
      </c>
      <c r="B2858" s="2" t="s">
        <v>1831</v>
      </c>
      <c r="C2858" s="5" t="s">
        <v>7539</v>
      </c>
      <c r="D2858" s="21">
        <v>5</v>
      </c>
      <c r="E2858" s="21"/>
      <c r="F2858" s="21" t="s">
        <v>10438</v>
      </c>
      <c r="G2858" s="21"/>
      <c r="H2858" s="54">
        <v>11</v>
      </c>
      <c r="I2858" s="51"/>
      <c r="J2858" s="27"/>
      <c r="K2858" s="27"/>
      <c r="L2858" s="15"/>
      <c r="M2858" s="15"/>
      <c r="N2858" s="4" t="s">
        <v>4516</v>
      </c>
      <c r="O2858" s="4"/>
    </row>
    <row r="2859" spans="1:15" x14ac:dyDescent="0.2">
      <c r="A2859" s="2">
        <v>40008204</v>
      </c>
      <c r="B2859" s="2" t="s">
        <v>3324</v>
      </c>
      <c r="C2859" s="5" t="s">
        <v>9016</v>
      </c>
      <c r="D2859" s="21">
        <v>6</v>
      </c>
      <c r="E2859" s="21"/>
      <c r="F2859" s="21" t="s">
        <v>10438</v>
      </c>
      <c r="G2859" s="21"/>
      <c r="H2859" s="54">
        <v>27</v>
      </c>
      <c r="I2859" s="51"/>
      <c r="J2859" s="27"/>
      <c r="K2859" s="27"/>
      <c r="L2859" s="15"/>
      <c r="M2859" s="15"/>
      <c r="N2859" s="4" t="s">
        <v>4617</v>
      </c>
      <c r="O2859" s="4"/>
    </row>
    <row r="2860" spans="1:15" x14ac:dyDescent="0.2">
      <c r="A2860" s="2">
        <v>40007591</v>
      </c>
      <c r="B2860" s="2" t="s">
        <v>2786</v>
      </c>
      <c r="C2860" s="5" t="s">
        <v>8485</v>
      </c>
      <c r="D2860" s="21">
        <v>3</v>
      </c>
      <c r="E2860" s="21"/>
      <c r="F2860" s="21" t="s">
        <v>10438</v>
      </c>
      <c r="G2860" s="21"/>
      <c r="H2860" s="54">
        <v>12</v>
      </c>
      <c r="I2860" s="51"/>
      <c r="J2860" s="27"/>
      <c r="K2860" s="27"/>
      <c r="L2860" s="15"/>
      <c r="M2860" s="15"/>
      <c r="N2860" s="4" t="s">
        <v>4438</v>
      </c>
      <c r="O2860" s="4"/>
    </row>
    <row r="2861" spans="1:15" x14ac:dyDescent="0.2">
      <c r="A2861" s="2">
        <v>40005962</v>
      </c>
      <c r="B2861" s="2" t="s">
        <v>1368</v>
      </c>
      <c r="C2861" s="5" t="s">
        <v>7074</v>
      </c>
      <c r="D2861" s="21">
        <v>2</v>
      </c>
      <c r="E2861" s="21"/>
      <c r="F2861" s="21" t="s">
        <v>10438</v>
      </c>
      <c r="G2861" s="21"/>
      <c r="H2861" s="54">
        <v>7</v>
      </c>
      <c r="I2861" s="51"/>
      <c r="J2861" s="27"/>
      <c r="K2861" s="27"/>
      <c r="L2861" s="15"/>
      <c r="M2861" s="15"/>
      <c r="N2861" s="4" t="s">
        <v>4334</v>
      </c>
      <c r="O2861" s="4"/>
    </row>
    <row r="2862" spans="1:15" x14ac:dyDescent="0.2">
      <c r="A2862" s="2">
        <v>40007260</v>
      </c>
      <c r="B2862" s="2" t="s">
        <v>2511</v>
      </c>
      <c r="C2862" s="5" t="s">
        <v>8206</v>
      </c>
      <c r="D2862" s="21">
        <v>12</v>
      </c>
      <c r="E2862" s="21"/>
      <c r="F2862" s="21" t="s">
        <v>10438</v>
      </c>
      <c r="G2862" s="21"/>
      <c r="H2862" s="54">
        <v>2</v>
      </c>
      <c r="I2862" s="51"/>
      <c r="J2862" s="27"/>
      <c r="K2862" s="27"/>
      <c r="L2862" s="15"/>
      <c r="M2862" s="15"/>
      <c r="N2862" s="4" t="s">
        <v>4895</v>
      </c>
      <c r="O2862" s="4"/>
    </row>
    <row r="2863" spans="1:15" x14ac:dyDescent="0.2">
      <c r="A2863" s="2">
        <v>40007154</v>
      </c>
      <c r="B2863" s="2" t="s">
        <v>2422</v>
      </c>
      <c r="C2863" s="5" t="s">
        <v>8124</v>
      </c>
      <c r="D2863" s="21">
        <v>3</v>
      </c>
      <c r="E2863" s="21"/>
      <c r="F2863" s="21" t="s">
        <v>10438</v>
      </c>
      <c r="G2863" s="21"/>
      <c r="H2863" s="54">
        <v>2</v>
      </c>
      <c r="I2863" s="51"/>
      <c r="J2863" s="27"/>
      <c r="K2863" s="27"/>
      <c r="L2863" s="15"/>
      <c r="M2863" s="15"/>
      <c r="N2863" s="4" t="s">
        <v>4849</v>
      </c>
      <c r="O2863" s="4"/>
    </row>
    <row r="2864" spans="1:15" x14ac:dyDescent="0.2">
      <c r="A2864" s="2">
        <v>40005976</v>
      </c>
      <c r="B2864" s="2" t="s">
        <v>1381</v>
      </c>
      <c r="C2864" s="5" t="s">
        <v>7087</v>
      </c>
      <c r="D2864" s="21">
        <v>3</v>
      </c>
      <c r="E2864" s="21"/>
      <c r="F2864" s="21" t="s">
        <v>10438</v>
      </c>
      <c r="G2864" s="21"/>
      <c r="H2864" s="54">
        <v>4</v>
      </c>
      <c r="I2864" s="51"/>
      <c r="J2864" s="27"/>
      <c r="K2864" s="27"/>
      <c r="L2864" s="15"/>
      <c r="M2864" s="15"/>
      <c r="N2864" s="4" t="s">
        <v>4195</v>
      </c>
      <c r="O2864" s="4"/>
    </row>
    <row r="2865" spans="1:15" x14ac:dyDescent="0.2">
      <c r="A2865" s="2">
        <v>40005622</v>
      </c>
      <c r="B2865" s="2" t="s">
        <v>1065</v>
      </c>
      <c r="C2865" s="5" t="s">
        <v>6793</v>
      </c>
      <c r="D2865" s="21">
        <v>5</v>
      </c>
      <c r="E2865" s="21"/>
      <c r="F2865" s="21" t="s">
        <v>10438</v>
      </c>
      <c r="G2865" s="21"/>
      <c r="H2865" s="54">
        <v>4</v>
      </c>
      <c r="I2865" s="51"/>
      <c r="J2865" s="27"/>
      <c r="K2865" s="27"/>
      <c r="L2865" s="15"/>
      <c r="M2865" s="15"/>
      <c r="N2865" s="4" t="s">
        <v>3936</v>
      </c>
      <c r="O2865" s="4"/>
    </row>
    <row r="2866" spans="1:15" x14ac:dyDescent="0.2">
      <c r="A2866" s="2">
        <v>40008260</v>
      </c>
      <c r="B2866" s="2" t="s">
        <v>3374</v>
      </c>
      <c r="C2866" s="5" t="s">
        <v>9066</v>
      </c>
      <c r="D2866" s="21">
        <v>5</v>
      </c>
      <c r="E2866" s="21"/>
      <c r="F2866" s="21" t="s">
        <v>10438</v>
      </c>
      <c r="G2866" s="21"/>
      <c r="H2866" s="54">
        <v>300</v>
      </c>
      <c r="I2866" s="51"/>
      <c r="J2866" s="27"/>
      <c r="K2866" s="27"/>
      <c r="L2866" s="15"/>
      <c r="M2866" s="15"/>
      <c r="N2866" s="4" t="s">
        <v>4176</v>
      </c>
      <c r="O2866" s="4"/>
    </row>
    <row r="2867" spans="1:15" x14ac:dyDescent="0.2">
      <c r="A2867" s="2">
        <v>40006231</v>
      </c>
      <c r="B2867" s="2" t="s">
        <v>1610</v>
      </c>
      <c r="C2867" s="5" t="s">
        <v>7314</v>
      </c>
      <c r="D2867" s="21">
        <v>3</v>
      </c>
      <c r="E2867" s="21"/>
      <c r="F2867" s="21" t="s">
        <v>10438</v>
      </c>
      <c r="G2867" s="21"/>
      <c r="H2867" s="54">
        <v>52</v>
      </c>
      <c r="I2867" s="51"/>
      <c r="J2867" s="27"/>
      <c r="K2867" s="27"/>
      <c r="L2867" s="15"/>
      <c r="M2867" s="15"/>
      <c r="N2867" s="4" t="s">
        <v>4480</v>
      </c>
      <c r="O2867" s="4"/>
    </row>
    <row r="2868" spans="1:15" x14ac:dyDescent="0.2">
      <c r="A2868" s="2">
        <v>10040632</v>
      </c>
      <c r="B2868" s="2" t="s">
        <v>5471</v>
      </c>
      <c r="C2868" s="5" t="s">
        <v>6393</v>
      </c>
      <c r="D2868" s="21">
        <v>42</v>
      </c>
      <c r="E2868" s="21"/>
      <c r="F2868" s="21" t="s">
        <v>10438</v>
      </c>
      <c r="G2868" s="21"/>
      <c r="H2868" s="54">
        <v>227</v>
      </c>
      <c r="I2868" s="51"/>
      <c r="J2868" s="27"/>
      <c r="K2868" s="27"/>
      <c r="L2868" s="15"/>
      <c r="M2868" s="15"/>
      <c r="N2868" s="4">
        <v>78</v>
      </c>
      <c r="O2868" s="4"/>
    </row>
    <row r="2869" spans="1:15" x14ac:dyDescent="0.2">
      <c r="A2869" s="2">
        <v>10040636</v>
      </c>
      <c r="B2869" s="2" t="s">
        <v>5390</v>
      </c>
      <c r="C2869" s="5" t="s">
        <v>6397</v>
      </c>
      <c r="D2869" s="21">
        <v>5</v>
      </c>
      <c r="E2869" s="21"/>
      <c r="F2869" s="21" t="s">
        <v>10438</v>
      </c>
      <c r="G2869" s="21"/>
      <c r="H2869" s="54">
        <v>3473</v>
      </c>
      <c r="I2869" s="51"/>
      <c r="J2869" s="27"/>
      <c r="K2869" s="27"/>
      <c r="L2869" s="15">
        <v>1</v>
      </c>
      <c r="M2869" s="15"/>
      <c r="N2869" s="4">
        <v>78</v>
      </c>
      <c r="O2869" s="4"/>
    </row>
    <row r="2870" spans="1:15" x14ac:dyDescent="0.2">
      <c r="A2870" s="2">
        <v>10018200</v>
      </c>
      <c r="B2870" s="2" t="s">
        <v>100</v>
      </c>
      <c r="C2870" s="5" t="s">
        <v>5637</v>
      </c>
      <c r="D2870" s="21">
        <v>1</v>
      </c>
      <c r="E2870" s="21"/>
      <c r="F2870" s="21" t="s">
        <v>10438</v>
      </c>
      <c r="G2870" s="21"/>
      <c r="H2870" s="54">
        <v>44</v>
      </c>
      <c r="I2870" s="51"/>
      <c r="J2870" s="27"/>
      <c r="K2870" s="27"/>
      <c r="L2870" s="15"/>
      <c r="M2870" s="15"/>
      <c r="N2870" s="4" t="s">
        <v>3939</v>
      </c>
      <c r="O2870" s="4"/>
    </row>
    <row r="2871" spans="1:15" x14ac:dyDescent="0.2">
      <c r="A2871" s="2">
        <v>40007873</v>
      </c>
      <c r="B2871" s="2" t="s">
        <v>3029</v>
      </c>
      <c r="C2871" s="5" t="s">
        <v>8725</v>
      </c>
      <c r="D2871" s="21">
        <v>6</v>
      </c>
      <c r="E2871" s="21"/>
      <c r="F2871" s="21" t="s">
        <v>10438</v>
      </c>
      <c r="G2871" s="21"/>
      <c r="H2871" s="54">
        <v>2</v>
      </c>
      <c r="I2871" s="51"/>
      <c r="J2871" s="27"/>
      <c r="K2871" s="27"/>
      <c r="L2871" s="15"/>
      <c r="M2871" s="15"/>
      <c r="N2871" s="4" t="s">
        <v>5113</v>
      </c>
      <c r="O2871" s="4"/>
    </row>
    <row r="2872" spans="1:15" x14ac:dyDescent="0.2">
      <c r="A2872" s="2">
        <v>40006116</v>
      </c>
      <c r="B2872" s="2" t="s">
        <v>1507</v>
      </c>
      <c r="C2872" s="5" t="s">
        <v>7212</v>
      </c>
      <c r="D2872" s="21">
        <v>8</v>
      </c>
      <c r="E2872" s="21"/>
      <c r="F2872" s="21" t="s">
        <v>10438</v>
      </c>
      <c r="G2872" s="21"/>
      <c r="H2872" s="54">
        <v>17</v>
      </c>
      <c r="I2872" s="51"/>
      <c r="J2872" s="27"/>
      <c r="K2872" s="27"/>
      <c r="L2872" s="15"/>
      <c r="M2872" s="15"/>
      <c r="N2872" s="4" t="s">
        <v>4236</v>
      </c>
      <c r="O2872" s="4" t="s">
        <v>10224</v>
      </c>
    </row>
    <row r="2873" spans="1:15" x14ac:dyDescent="0.2">
      <c r="A2873" s="2">
        <v>40007096</v>
      </c>
      <c r="B2873" s="2" t="s">
        <v>2368</v>
      </c>
      <c r="C2873" s="5" t="s">
        <v>8073</v>
      </c>
      <c r="D2873" s="21">
        <v>19</v>
      </c>
      <c r="E2873" s="21"/>
      <c r="F2873" s="21" t="s">
        <v>10438</v>
      </c>
      <c r="G2873" s="21"/>
      <c r="H2873" s="54">
        <v>31</v>
      </c>
      <c r="I2873" s="51"/>
      <c r="J2873" s="27"/>
      <c r="K2873" s="27"/>
      <c r="L2873" s="15"/>
      <c r="M2873" s="15"/>
      <c r="N2873" s="4" t="s">
        <v>4222</v>
      </c>
      <c r="O2873" s="4" t="s">
        <v>10223</v>
      </c>
    </row>
    <row r="2874" spans="1:15" x14ac:dyDescent="0.2">
      <c r="A2874" s="2">
        <v>40006553</v>
      </c>
      <c r="B2874" s="2" t="s">
        <v>1893</v>
      </c>
      <c r="C2874" s="5" t="s">
        <v>7601</v>
      </c>
      <c r="D2874" s="21">
        <v>1</v>
      </c>
      <c r="E2874" s="21"/>
      <c r="F2874" s="21" t="s">
        <v>10438</v>
      </c>
      <c r="G2874" s="21"/>
      <c r="H2874" s="54">
        <v>52</v>
      </c>
      <c r="I2874" s="51"/>
      <c r="J2874" s="27"/>
      <c r="K2874" s="27"/>
      <c r="L2874" s="15"/>
      <c r="M2874" s="15"/>
      <c r="N2874" s="4" t="s">
        <v>4108</v>
      </c>
      <c r="O2874" s="4"/>
    </row>
    <row r="2875" spans="1:15" x14ac:dyDescent="0.2">
      <c r="A2875" s="2">
        <v>40008063</v>
      </c>
      <c r="B2875" s="2" t="s">
        <v>3195</v>
      </c>
      <c r="C2875" s="5" t="s">
        <v>8890</v>
      </c>
      <c r="D2875" s="21">
        <v>3</v>
      </c>
      <c r="E2875" s="21"/>
      <c r="F2875" s="21" t="s">
        <v>10438</v>
      </c>
      <c r="G2875" s="21"/>
      <c r="H2875" s="54">
        <v>134</v>
      </c>
      <c r="I2875" s="51"/>
      <c r="J2875" s="27"/>
      <c r="K2875" s="27"/>
      <c r="L2875" s="15"/>
      <c r="M2875" s="15"/>
      <c r="N2875" s="4" t="s">
        <v>4047</v>
      </c>
      <c r="O2875" s="4"/>
    </row>
    <row r="2876" spans="1:15" x14ac:dyDescent="0.2">
      <c r="A2876" s="2">
        <v>40006416</v>
      </c>
      <c r="B2876" s="2" t="s">
        <v>1775</v>
      </c>
      <c r="C2876" s="5" t="s">
        <v>7485</v>
      </c>
      <c r="D2876" s="21">
        <v>1</v>
      </c>
      <c r="E2876" s="21"/>
      <c r="F2876" s="21" t="s">
        <v>10438</v>
      </c>
      <c r="G2876" s="21"/>
      <c r="H2876" s="54">
        <v>21</v>
      </c>
      <c r="I2876" s="51"/>
      <c r="J2876" s="27"/>
      <c r="K2876" s="27"/>
      <c r="L2876" s="15"/>
      <c r="M2876" s="15"/>
      <c r="N2876" s="4" t="s">
        <v>4581</v>
      </c>
      <c r="O2876" s="4"/>
    </row>
    <row r="2877" spans="1:15" x14ac:dyDescent="0.2">
      <c r="A2877" s="2">
        <v>40007666</v>
      </c>
      <c r="B2877" s="2" t="s">
        <v>2844</v>
      </c>
      <c r="C2877" s="5" t="s">
        <v>8543</v>
      </c>
      <c r="D2877" s="21">
        <v>1</v>
      </c>
      <c r="E2877" s="21"/>
      <c r="F2877" s="21" t="s">
        <v>10438</v>
      </c>
      <c r="G2877" s="21"/>
      <c r="H2877" s="54">
        <v>108</v>
      </c>
      <c r="I2877" s="51"/>
      <c r="J2877" s="27"/>
      <c r="K2877" s="27"/>
      <c r="L2877" s="15"/>
      <c r="M2877" s="15"/>
      <c r="N2877" s="4" t="s">
        <v>4362</v>
      </c>
      <c r="O2877" s="4"/>
    </row>
    <row r="2878" spans="1:15" x14ac:dyDescent="0.2">
      <c r="A2878" s="2">
        <v>40005422</v>
      </c>
      <c r="B2878" s="2" t="s">
        <v>898</v>
      </c>
      <c r="C2878" s="5">
        <v>3640990</v>
      </c>
      <c r="D2878" s="21">
        <v>4</v>
      </c>
      <c r="E2878" s="21"/>
      <c r="F2878" s="21" t="s">
        <v>10438</v>
      </c>
      <c r="G2878" s="21"/>
      <c r="H2878" s="54">
        <v>367</v>
      </c>
      <c r="I2878" s="51"/>
      <c r="J2878" s="27"/>
      <c r="K2878" s="27"/>
      <c r="L2878" s="15"/>
      <c r="M2878" s="15"/>
      <c r="N2878" s="4" t="s">
        <v>4114</v>
      </c>
      <c r="O2878" s="4"/>
    </row>
    <row r="2879" spans="1:15" x14ac:dyDescent="0.2">
      <c r="A2879" s="2">
        <v>40006748</v>
      </c>
      <c r="B2879" s="2" t="s">
        <v>2051</v>
      </c>
      <c r="C2879" s="5" t="s">
        <v>7763</v>
      </c>
      <c r="D2879" s="21">
        <v>1</v>
      </c>
      <c r="E2879" s="21"/>
      <c r="F2879" s="21" t="s">
        <v>10438</v>
      </c>
      <c r="G2879" s="21"/>
      <c r="H2879" s="54">
        <v>201</v>
      </c>
      <c r="I2879" s="51"/>
      <c r="J2879" s="27"/>
      <c r="K2879" s="27"/>
      <c r="L2879" s="15"/>
      <c r="M2879" s="15"/>
      <c r="N2879" s="4"/>
      <c r="O2879" s="4">
        <v>44</v>
      </c>
    </row>
    <row r="2880" spans="1:15" x14ac:dyDescent="0.2">
      <c r="A2880" s="2">
        <v>40007904</v>
      </c>
      <c r="B2880" s="2" t="s">
        <v>3059</v>
      </c>
      <c r="C2880" s="5" t="s">
        <v>8750</v>
      </c>
      <c r="D2880" s="21">
        <v>8</v>
      </c>
      <c r="E2880" s="21"/>
      <c r="F2880" s="21" t="s">
        <v>10438</v>
      </c>
      <c r="G2880" s="21"/>
      <c r="H2880" s="54">
        <v>38</v>
      </c>
      <c r="I2880" s="51"/>
      <c r="J2880" s="27"/>
      <c r="K2880" s="27"/>
      <c r="L2880" s="15"/>
      <c r="M2880" s="15"/>
      <c r="N2880" s="4"/>
      <c r="O2880" s="4" t="s">
        <v>10170</v>
      </c>
    </row>
    <row r="2881" spans="1:15" x14ac:dyDescent="0.2">
      <c r="A2881" s="2">
        <v>40006704</v>
      </c>
      <c r="B2881" s="2" t="s">
        <v>2018</v>
      </c>
      <c r="C2881" s="5" t="s">
        <v>7728</v>
      </c>
      <c r="D2881" s="21">
        <v>6</v>
      </c>
      <c r="E2881" s="21"/>
      <c r="F2881" s="21" t="s">
        <v>10438</v>
      </c>
      <c r="G2881" s="21"/>
      <c r="H2881" s="54">
        <v>107</v>
      </c>
      <c r="I2881" s="51"/>
      <c r="J2881" s="27"/>
      <c r="K2881" s="27"/>
      <c r="L2881" s="15"/>
      <c r="M2881" s="15"/>
      <c r="N2881" s="4" t="s">
        <v>3998</v>
      </c>
      <c r="O2881" s="4"/>
    </row>
    <row r="2882" spans="1:15" x14ac:dyDescent="0.2">
      <c r="A2882" s="2">
        <v>40006284</v>
      </c>
      <c r="B2882" s="2" t="s">
        <v>1657</v>
      </c>
      <c r="C2882" s="5" t="s">
        <v>7365</v>
      </c>
      <c r="D2882" s="21">
        <v>5</v>
      </c>
      <c r="E2882" s="21"/>
      <c r="F2882" s="21" t="s">
        <v>10438</v>
      </c>
      <c r="G2882" s="21"/>
      <c r="H2882" s="54">
        <v>329</v>
      </c>
      <c r="I2882" s="51"/>
      <c r="J2882" s="27"/>
      <c r="K2882" s="27"/>
      <c r="L2882" s="15"/>
      <c r="M2882" s="15"/>
      <c r="N2882" s="4" t="s">
        <v>4507</v>
      </c>
      <c r="O2882" s="4"/>
    </row>
    <row r="2883" spans="1:15" x14ac:dyDescent="0.2">
      <c r="A2883" s="2">
        <v>40006285</v>
      </c>
      <c r="B2883" s="2" t="s">
        <v>1658</v>
      </c>
      <c r="C2883" s="5" t="s">
        <v>7366</v>
      </c>
      <c r="D2883" s="21">
        <v>3</v>
      </c>
      <c r="E2883" s="21"/>
      <c r="F2883" s="21" t="s">
        <v>10438</v>
      </c>
      <c r="G2883" s="21"/>
      <c r="H2883" s="54">
        <v>51</v>
      </c>
      <c r="I2883" s="51"/>
      <c r="J2883" s="27"/>
      <c r="K2883" s="27"/>
      <c r="L2883" s="15"/>
      <c r="M2883" s="15"/>
      <c r="N2883" s="4" t="s">
        <v>4508</v>
      </c>
      <c r="O2883" s="4"/>
    </row>
    <row r="2884" spans="1:15" x14ac:dyDescent="0.2">
      <c r="A2884" s="2">
        <v>40005899</v>
      </c>
      <c r="B2884" s="2" t="s">
        <v>1313</v>
      </c>
      <c r="C2884" s="5" t="s">
        <v>7023</v>
      </c>
      <c r="D2884" s="21">
        <v>16</v>
      </c>
      <c r="E2884" s="21"/>
      <c r="F2884" s="21" t="s">
        <v>10438</v>
      </c>
      <c r="G2884" s="21"/>
      <c r="H2884" s="54">
        <v>25</v>
      </c>
      <c r="I2884" s="51"/>
      <c r="J2884" s="27"/>
      <c r="K2884" s="27"/>
      <c r="L2884" s="15"/>
      <c r="M2884" s="15"/>
      <c r="N2884" s="4" t="s">
        <v>4259</v>
      </c>
      <c r="O2884" s="4"/>
    </row>
    <row r="2885" spans="1:15" x14ac:dyDescent="0.2">
      <c r="A2885" s="2">
        <v>40005568</v>
      </c>
      <c r="B2885" s="2" t="s">
        <v>1020</v>
      </c>
      <c r="C2885" s="5" t="s">
        <v>6745</v>
      </c>
      <c r="D2885" s="21">
        <v>4</v>
      </c>
      <c r="E2885" s="21"/>
      <c r="F2885" s="21" t="s">
        <v>10438</v>
      </c>
      <c r="G2885" s="21"/>
      <c r="H2885" s="54">
        <v>118</v>
      </c>
      <c r="I2885" s="51"/>
      <c r="J2885" s="27"/>
      <c r="K2885" s="27"/>
      <c r="L2885" s="15"/>
      <c r="M2885" s="15"/>
      <c r="N2885" s="4" t="s">
        <v>4147</v>
      </c>
      <c r="O2885" s="4"/>
    </row>
    <row r="2886" spans="1:15" x14ac:dyDescent="0.2">
      <c r="A2886" s="2">
        <v>40006221</v>
      </c>
      <c r="B2886" s="2" t="s">
        <v>1602</v>
      </c>
      <c r="C2886" s="5">
        <v>32132011</v>
      </c>
      <c r="D2886" s="21">
        <v>1</v>
      </c>
      <c r="E2886" s="21"/>
      <c r="F2886" s="21" t="s">
        <v>10438</v>
      </c>
      <c r="G2886" s="21"/>
      <c r="H2886" s="54">
        <v>268</v>
      </c>
      <c r="I2886" s="51"/>
      <c r="J2886" s="27"/>
      <c r="K2886" s="27"/>
      <c r="L2886" s="15"/>
      <c r="M2886" s="15"/>
      <c r="N2886" s="4"/>
      <c r="O2886" s="4" t="s">
        <v>10439</v>
      </c>
    </row>
    <row r="2887" spans="1:15" x14ac:dyDescent="0.2">
      <c r="A2887" s="2">
        <v>40006201</v>
      </c>
      <c r="B2887" s="2" t="s">
        <v>1584</v>
      </c>
      <c r="C2887" s="5" t="s">
        <v>7291</v>
      </c>
      <c r="D2887" s="21">
        <v>14</v>
      </c>
      <c r="E2887" s="21"/>
      <c r="F2887" s="21" t="s">
        <v>10438</v>
      </c>
      <c r="G2887" s="21"/>
      <c r="H2887" s="54">
        <v>168</v>
      </c>
      <c r="I2887" s="51"/>
      <c r="J2887" s="27"/>
      <c r="K2887" s="27"/>
      <c r="L2887" s="15"/>
      <c r="M2887" s="15"/>
      <c r="N2887" s="4" t="s">
        <v>4471</v>
      </c>
      <c r="O2887" s="4"/>
    </row>
    <row r="2888" spans="1:15" x14ac:dyDescent="0.2">
      <c r="A2888" s="2">
        <v>40005794</v>
      </c>
      <c r="B2888" s="2" t="s">
        <v>1217</v>
      </c>
      <c r="C2888" s="5" t="s">
        <v>6930</v>
      </c>
      <c r="D2888" s="21">
        <v>3</v>
      </c>
      <c r="E2888" s="21"/>
      <c r="F2888" s="21" t="s">
        <v>10438</v>
      </c>
      <c r="G2888" s="21"/>
      <c r="H2888" s="54">
        <v>1340</v>
      </c>
      <c r="I2888" s="51"/>
      <c r="J2888" s="27"/>
      <c r="K2888" s="27"/>
      <c r="L2888" s="15"/>
      <c r="M2888" s="15"/>
      <c r="N2888" s="4" t="s">
        <v>4265</v>
      </c>
      <c r="O2888" s="4"/>
    </row>
    <row r="2889" spans="1:15" x14ac:dyDescent="0.2">
      <c r="A2889" s="2">
        <v>40006964</v>
      </c>
      <c r="B2889" s="2" t="s">
        <v>2255</v>
      </c>
      <c r="C2889" s="5" t="s">
        <v>7961</v>
      </c>
      <c r="D2889" s="21">
        <v>10</v>
      </c>
      <c r="E2889" s="21"/>
      <c r="F2889" s="21" t="s">
        <v>10438</v>
      </c>
      <c r="G2889" s="21"/>
      <c r="H2889" s="54">
        <v>183</v>
      </c>
      <c r="I2889" s="51"/>
      <c r="J2889" s="27"/>
      <c r="K2889" s="27"/>
      <c r="L2889" s="15">
        <v>10</v>
      </c>
      <c r="M2889" s="15"/>
      <c r="N2889" s="4" t="s">
        <v>4766</v>
      </c>
      <c r="O2889" s="4" t="s">
        <v>10356</v>
      </c>
    </row>
    <row r="2890" spans="1:15" x14ac:dyDescent="0.2">
      <c r="A2890" s="2">
        <v>40005859</v>
      </c>
      <c r="B2890" s="2" t="s">
        <v>1275</v>
      </c>
      <c r="C2890" s="5" t="s">
        <v>6986</v>
      </c>
      <c r="D2890" s="21">
        <v>2</v>
      </c>
      <c r="E2890" s="21"/>
      <c r="F2890" s="30">
        <v>3</v>
      </c>
      <c r="G2890" s="21"/>
      <c r="H2890" s="54">
        <v>73</v>
      </c>
      <c r="I2890" s="51"/>
      <c r="J2890" s="27"/>
      <c r="K2890" s="27"/>
      <c r="L2890" s="15">
        <v>5</v>
      </c>
      <c r="M2890" s="15">
        <v>2</v>
      </c>
      <c r="N2890" s="4" t="s">
        <v>4292</v>
      </c>
      <c r="O2890" s="4"/>
    </row>
    <row r="2891" spans="1:15" x14ac:dyDescent="0.2">
      <c r="A2891" s="2">
        <v>40005316</v>
      </c>
      <c r="B2891" s="2" t="s">
        <v>807</v>
      </c>
      <c r="C2891" s="5" t="s">
        <v>6524</v>
      </c>
      <c r="D2891" s="21">
        <v>5</v>
      </c>
      <c r="E2891" s="21"/>
      <c r="F2891" s="21" t="s">
        <v>10438</v>
      </c>
      <c r="G2891" s="21"/>
      <c r="H2891" s="54">
        <v>29</v>
      </c>
      <c r="I2891" s="51"/>
      <c r="J2891" s="27"/>
      <c r="K2891" s="27"/>
      <c r="L2891" s="15"/>
      <c r="M2891" s="15"/>
      <c r="N2891" s="4" t="s">
        <v>4048</v>
      </c>
      <c r="O2891" s="4"/>
    </row>
    <row r="2892" spans="1:15" x14ac:dyDescent="0.2">
      <c r="A2892" s="2">
        <v>40006002</v>
      </c>
      <c r="B2892" s="2" t="s">
        <v>1407</v>
      </c>
      <c r="C2892" s="5" t="s">
        <v>7113</v>
      </c>
      <c r="D2892" s="21">
        <v>7</v>
      </c>
      <c r="E2892" s="21"/>
      <c r="F2892" s="21" t="s">
        <v>10438</v>
      </c>
      <c r="G2892" s="21"/>
      <c r="H2892" s="54">
        <v>12</v>
      </c>
      <c r="I2892" s="51"/>
      <c r="J2892" s="27"/>
      <c r="K2892" s="27"/>
      <c r="L2892" s="15"/>
      <c r="M2892" s="15"/>
      <c r="N2892" s="4" t="s">
        <v>4363</v>
      </c>
      <c r="O2892" s="4"/>
    </row>
    <row r="2893" spans="1:15" x14ac:dyDescent="0.2">
      <c r="A2893" s="2">
        <v>40007731</v>
      </c>
      <c r="B2893" s="2" t="s">
        <v>2906</v>
      </c>
      <c r="C2893" s="5" t="s">
        <v>8603</v>
      </c>
      <c r="D2893" s="21">
        <v>1</v>
      </c>
      <c r="E2893" s="21"/>
      <c r="F2893" s="21" t="s">
        <v>10438</v>
      </c>
      <c r="G2893" s="21"/>
      <c r="H2893" s="54">
        <v>92</v>
      </c>
      <c r="I2893" s="51"/>
      <c r="J2893" s="27"/>
      <c r="K2893" s="27"/>
      <c r="L2893" s="15"/>
      <c r="M2893" s="15"/>
      <c r="N2893" s="4" t="s">
        <v>4681</v>
      </c>
      <c r="O2893" s="4"/>
    </row>
    <row r="2894" spans="1:15" x14ac:dyDescent="0.2">
      <c r="A2894" s="2">
        <v>40005813</v>
      </c>
      <c r="B2894" s="2" t="s">
        <v>1234</v>
      </c>
      <c r="C2894" s="5" t="s">
        <v>6947</v>
      </c>
      <c r="D2894" s="21">
        <v>3</v>
      </c>
      <c r="E2894" s="21"/>
      <c r="F2894" s="21" t="s">
        <v>10438</v>
      </c>
      <c r="G2894" s="21"/>
      <c r="H2894" s="54">
        <v>140</v>
      </c>
      <c r="I2894" s="51"/>
      <c r="J2894" s="27"/>
      <c r="K2894" s="27"/>
      <c r="L2894" s="15"/>
      <c r="M2894" s="15"/>
      <c r="N2894" s="4" t="s">
        <v>4195</v>
      </c>
      <c r="O2894" s="4"/>
    </row>
    <row r="2895" spans="1:15" x14ac:dyDescent="0.2">
      <c r="A2895" s="2">
        <v>40006749</v>
      </c>
      <c r="B2895" s="2" t="s">
        <v>2052</v>
      </c>
      <c r="C2895" s="5" t="s">
        <v>7764</v>
      </c>
      <c r="D2895" s="21">
        <v>1</v>
      </c>
      <c r="E2895" s="21"/>
      <c r="F2895" s="21" t="s">
        <v>10438</v>
      </c>
      <c r="G2895" s="21"/>
      <c r="H2895" s="54">
        <v>49</v>
      </c>
      <c r="I2895" s="51"/>
      <c r="J2895" s="27"/>
      <c r="K2895" s="27"/>
      <c r="L2895" s="15"/>
      <c r="M2895" s="15"/>
      <c r="N2895" s="4" t="s">
        <v>4195</v>
      </c>
      <c r="O2895" s="4"/>
    </row>
    <row r="2896" spans="1:15" x14ac:dyDescent="0.2">
      <c r="A2896" s="2">
        <v>40006422</v>
      </c>
      <c r="B2896" s="2" t="s">
        <v>1781</v>
      </c>
      <c r="C2896" s="5">
        <v>195132020</v>
      </c>
      <c r="D2896" s="21">
        <v>11</v>
      </c>
      <c r="E2896" s="21"/>
      <c r="F2896" s="21" t="s">
        <v>10438</v>
      </c>
      <c r="G2896" s="21"/>
      <c r="H2896" s="54">
        <v>117</v>
      </c>
      <c r="I2896" s="51"/>
      <c r="J2896" s="27"/>
      <c r="K2896" s="27"/>
      <c r="L2896" s="15"/>
      <c r="M2896" s="15"/>
      <c r="N2896" s="4" t="s">
        <v>4585</v>
      </c>
      <c r="O2896" s="4"/>
    </row>
    <row r="2897" spans="1:15" x14ac:dyDescent="0.2">
      <c r="A2897" s="2">
        <v>40007366</v>
      </c>
      <c r="B2897" s="2" t="s">
        <v>2597</v>
      </c>
      <c r="C2897" s="5" t="s">
        <v>8296</v>
      </c>
      <c r="D2897" s="21">
        <v>18</v>
      </c>
      <c r="E2897" s="21"/>
      <c r="F2897" s="30">
        <v>2</v>
      </c>
      <c r="G2897" s="21"/>
      <c r="H2897" s="54">
        <v>42</v>
      </c>
      <c r="I2897" s="51"/>
      <c r="J2897" s="27"/>
      <c r="K2897" s="27"/>
      <c r="L2897" s="15"/>
      <c r="M2897" s="15"/>
      <c r="N2897" s="4" t="s">
        <v>4046</v>
      </c>
      <c r="O2897" s="4"/>
    </row>
    <row r="2898" spans="1:15" x14ac:dyDescent="0.2">
      <c r="A2898" s="2">
        <v>40005432</v>
      </c>
      <c r="B2898" s="2" t="s">
        <v>907</v>
      </c>
      <c r="C2898" s="5" t="s">
        <v>6629</v>
      </c>
      <c r="D2898" s="21">
        <v>1</v>
      </c>
      <c r="E2898" s="21"/>
      <c r="F2898" s="21" t="s">
        <v>10438</v>
      </c>
      <c r="G2898" s="21"/>
      <c r="H2898" s="54">
        <v>351</v>
      </c>
      <c r="I2898" s="51"/>
      <c r="J2898" s="27"/>
      <c r="K2898" s="27"/>
      <c r="L2898" s="15"/>
      <c r="M2898" s="15"/>
      <c r="N2898" s="4" t="s">
        <v>4107</v>
      </c>
      <c r="O2898" s="4"/>
    </row>
    <row r="2899" spans="1:15" x14ac:dyDescent="0.2">
      <c r="A2899" s="2">
        <v>40010271</v>
      </c>
      <c r="B2899" s="2" t="s">
        <v>3462</v>
      </c>
      <c r="C2899" s="5" t="s">
        <v>9156</v>
      </c>
      <c r="D2899" s="21">
        <v>8</v>
      </c>
      <c r="E2899" s="21"/>
      <c r="F2899" s="21" t="s">
        <v>10438</v>
      </c>
      <c r="G2899" s="21"/>
      <c r="H2899" s="54">
        <v>177</v>
      </c>
      <c r="I2899" s="51"/>
      <c r="J2899" s="27"/>
      <c r="K2899" s="27"/>
      <c r="L2899" s="15"/>
      <c r="M2899" s="15"/>
      <c r="N2899" s="4" t="s">
        <v>5256</v>
      </c>
      <c r="O2899" s="4"/>
    </row>
    <row r="2900" spans="1:15" x14ac:dyDescent="0.2">
      <c r="A2900" s="2">
        <v>40007919</v>
      </c>
      <c r="B2900" s="2" t="s">
        <v>3074</v>
      </c>
      <c r="C2900" s="5" t="s">
        <v>8765</v>
      </c>
      <c r="D2900" s="21">
        <v>12</v>
      </c>
      <c r="E2900" s="21"/>
      <c r="F2900" s="21" t="s">
        <v>10438</v>
      </c>
      <c r="G2900" s="21"/>
      <c r="H2900" s="54">
        <v>196</v>
      </c>
      <c r="I2900" s="51"/>
      <c r="J2900" s="27"/>
      <c r="K2900" s="27"/>
      <c r="L2900" s="15"/>
      <c r="M2900" s="15"/>
      <c r="N2900" s="4" t="s">
        <v>5127</v>
      </c>
      <c r="O2900" s="4"/>
    </row>
    <row r="2901" spans="1:15" x14ac:dyDescent="0.2">
      <c r="A2901" s="2">
        <v>40007618</v>
      </c>
      <c r="B2901" s="2" t="s">
        <v>2805</v>
      </c>
      <c r="C2901" s="5" t="s">
        <v>8505</v>
      </c>
      <c r="D2901" s="21">
        <v>13</v>
      </c>
      <c r="E2901" s="21"/>
      <c r="F2901" s="21" t="s">
        <v>10438</v>
      </c>
      <c r="G2901" s="21"/>
      <c r="H2901" s="54">
        <v>4.5</v>
      </c>
      <c r="I2901" s="51"/>
      <c r="J2901" s="27"/>
      <c r="K2901" s="27"/>
      <c r="L2901" s="15"/>
      <c r="M2901" s="15"/>
      <c r="N2901" s="4" t="s">
        <v>4436</v>
      </c>
      <c r="O2901" s="4"/>
    </row>
    <row r="2902" spans="1:15" x14ac:dyDescent="0.2">
      <c r="A2902" s="2">
        <v>40007612</v>
      </c>
      <c r="B2902" s="2" t="s">
        <v>2800</v>
      </c>
      <c r="C2902" s="5" t="s">
        <v>8500</v>
      </c>
      <c r="D2902" s="21">
        <v>9</v>
      </c>
      <c r="E2902" s="21"/>
      <c r="F2902" s="21" t="s">
        <v>10438</v>
      </c>
      <c r="G2902" s="21"/>
      <c r="H2902" s="54">
        <v>67</v>
      </c>
      <c r="I2902" s="51"/>
      <c r="J2902" s="27"/>
      <c r="K2902" s="27"/>
      <c r="L2902" s="15"/>
      <c r="M2902" s="15"/>
      <c r="N2902" s="4" t="s">
        <v>5012</v>
      </c>
      <c r="O2902" s="4"/>
    </row>
    <row r="2903" spans="1:15" x14ac:dyDescent="0.2">
      <c r="A2903" s="2">
        <v>40006778</v>
      </c>
      <c r="B2903" s="2" t="s">
        <v>2078</v>
      </c>
      <c r="C2903" s="5" t="s">
        <v>7788</v>
      </c>
      <c r="D2903" s="21"/>
      <c r="E2903" s="21"/>
      <c r="F2903" s="21" t="s">
        <v>10438</v>
      </c>
      <c r="G2903" s="21"/>
      <c r="H2903" s="54">
        <v>10</v>
      </c>
      <c r="I2903" s="51"/>
      <c r="J2903" s="27"/>
      <c r="K2903" s="27"/>
      <c r="L2903" s="15"/>
      <c r="M2903" s="15"/>
      <c r="N2903" s="4" t="s">
        <v>4680</v>
      </c>
      <c r="O2903" s="4"/>
    </row>
    <row r="2904" spans="1:15" x14ac:dyDescent="0.2">
      <c r="A2904" s="2">
        <v>40006406</v>
      </c>
      <c r="B2904" s="2" t="s">
        <v>1766</v>
      </c>
      <c r="C2904" s="5" t="s">
        <v>7477</v>
      </c>
      <c r="D2904" s="21">
        <v>21</v>
      </c>
      <c r="E2904" s="21"/>
      <c r="F2904" s="21" t="s">
        <v>10438</v>
      </c>
      <c r="G2904" s="21"/>
      <c r="H2904" s="54">
        <v>11</v>
      </c>
      <c r="I2904" s="51"/>
      <c r="J2904" s="27"/>
      <c r="K2904" s="27"/>
      <c r="L2904" s="15"/>
      <c r="M2904" s="15"/>
      <c r="N2904" s="4" t="s">
        <v>4573</v>
      </c>
      <c r="O2904" s="4"/>
    </row>
    <row r="2905" spans="1:15" x14ac:dyDescent="0.2">
      <c r="A2905" s="2">
        <v>40007192</v>
      </c>
      <c r="B2905" s="2" t="s">
        <v>2458</v>
      </c>
      <c r="C2905" s="5" t="s">
        <v>8161</v>
      </c>
      <c r="D2905" s="21">
        <v>14</v>
      </c>
      <c r="E2905" s="21"/>
      <c r="F2905" s="21" t="s">
        <v>10438</v>
      </c>
      <c r="G2905" s="21"/>
      <c r="H2905" s="54">
        <v>8</v>
      </c>
      <c r="I2905" s="51"/>
      <c r="J2905" s="27"/>
      <c r="K2905" s="27"/>
      <c r="L2905" s="15"/>
      <c r="M2905" s="15"/>
      <c r="N2905" s="4" t="s">
        <v>4867</v>
      </c>
      <c r="O2905" s="4"/>
    </row>
    <row r="2906" spans="1:15" x14ac:dyDescent="0.2">
      <c r="A2906" s="2">
        <v>10013704</v>
      </c>
      <c r="B2906" s="2" t="s">
        <v>7</v>
      </c>
      <c r="C2906" s="5" t="s">
        <v>5528</v>
      </c>
      <c r="D2906" s="21">
        <v>4</v>
      </c>
      <c r="E2906" s="21"/>
      <c r="F2906" s="21" t="s">
        <v>10438</v>
      </c>
      <c r="G2906" s="21"/>
      <c r="H2906" s="54">
        <v>16940</v>
      </c>
      <c r="I2906" s="51">
        <v>14400</v>
      </c>
      <c r="J2906" s="27"/>
      <c r="K2906" s="27"/>
      <c r="L2906" s="15"/>
      <c r="M2906" s="15"/>
      <c r="N2906" s="4"/>
      <c r="O2906" s="4" t="s">
        <v>10455</v>
      </c>
    </row>
    <row r="2907" spans="1:15" x14ac:dyDescent="0.2">
      <c r="A2907" s="2">
        <v>10018954</v>
      </c>
      <c r="B2907" s="2" t="s">
        <v>382</v>
      </c>
      <c r="C2907" s="5" t="s">
        <v>5979</v>
      </c>
      <c r="D2907" s="21">
        <v>171</v>
      </c>
      <c r="E2907" s="21"/>
      <c r="F2907" s="21" t="s">
        <v>10438</v>
      </c>
      <c r="G2907" s="21"/>
      <c r="H2907" s="54">
        <v>179</v>
      </c>
      <c r="I2907" s="51"/>
      <c r="J2907" s="27"/>
      <c r="K2907" s="27"/>
      <c r="L2907" s="15"/>
      <c r="M2907" s="15"/>
      <c r="N2907" s="4">
        <v>52</v>
      </c>
      <c r="O2907" s="4"/>
    </row>
    <row r="2908" spans="1:15" x14ac:dyDescent="0.2">
      <c r="A2908" s="2">
        <v>10018930</v>
      </c>
      <c r="B2908" s="2" t="s">
        <v>369</v>
      </c>
      <c r="C2908" s="5" t="s">
        <v>5965</v>
      </c>
      <c r="D2908" s="21">
        <v>23</v>
      </c>
      <c r="E2908" s="21"/>
      <c r="F2908" s="21" t="s">
        <v>10438</v>
      </c>
      <c r="G2908" s="21"/>
      <c r="H2908" s="54">
        <v>245</v>
      </c>
      <c r="I2908" s="51"/>
      <c r="J2908" s="27"/>
      <c r="K2908" s="27"/>
      <c r="L2908" s="15"/>
      <c r="M2908" s="15">
        <v>10</v>
      </c>
      <c r="N2908" s="4">
        <v>52</v>
      </c>
      <c r="O2908" s="4"/>
    </row>
    <row r="2909" spans="1:15" x14ac:dyDescent="0.2">
      <c r="A2909" s="2">
        <v>10019594</v>
      </c>
      <c r="B2909" s="2" t="s">
        <v>3790</v>
      </c>
      <c r="C2909" s="5" t="s">
        <v>6184</v>
      </c>
      <c r="D2909" s="21">
        <v>53</v>
      </c>
      <c r="E2909" s="21"/>
      <c r="F2909" s="21" t="s">
        <v>10438</v>
      </c>
      <c r="G2909" s="21"/>
      <c r="H2909" s="54">
        <v>500</v>
      </c>
      <c r="I2909" s="51"/>
      <c r="J2909" s="27"/>
      <c r="K2909" s="27"/>
      <c r="L2909" s="15"/>
      <c r="M2909" s="15"/>
      <c r="N2909" s="4">
        <v>62</v>
      </c>
      <c r="O2909" s="4"/>
    </row>
    <row r="2910" spans="1:15" x14ac:dyDescent="0.2">
      <c r="A2910" s="2">
        <v>10018855</v>
      </c>
      <c r="B2910" s="2" t="s">
        <v>339</v>
      </c>
      <c r="C2910" s="5" t="s">
        <v>5929</v>
      </c>
      <c r="D2910" s="21">
        <v>1</v>
      </c>
      <c r="E2910" s="21"/>
      <c r="F2910" s="21" t="s">
        <v>10438</v>
      </c>
      <c r="G2910" s="21"/>
      <c r="H2910" s="54">
        <v>1360</v>
      </c>
      <c r="I2910" s="51"/>
      <c r="J2910" s="27"/>
      <c r="K2910" s="27"/>
      <c r="L2910" s="15">
        <v>10</v>
      </c>
      <c r="M2910" s="15">
        <v>25</v>
      </c>
      <c r="N2910" s="4">
        <v>49</v>
      </c>
      <c r="O2910" s="4"/>
    </row>
    <row r="2911" spans="1:15" x14ac:dyDescent="0.2">
      <c r="A2911" s="2">
        <v>10018481</v>
      </c>
      <c r="B2911" s="2" t="s">
        <v>188</v>
      </c>
      <c r="C2911" s="5" t="s">
        <v>5740</v>
      </c>
      <c r="D2911" s="21">
        <v>44</v>
      </c>
      <c r="E2911" s="21"/>
      <c r="F2911" s="21" t="s">
        <v>10438</v>
      </c>
      <c r="G2911" s="21"/>
      <c r="H2911" s="54">
        <v>95</v>
      </c>
      <c r="I2911" s="51"/>
      <c r="J2911" s="27"/>
      <c r="K2911" s="27"/>
      <c r="L2911" s="15"/>
      <c r="M2911" s="15"/>
      <c r="N2911" s="4">
        <v>51</v>
      </c>
      <c r="O2911" s="4"/>
    </row>
    <row r="2912" spans="1:15" x14ac:dyDescent="0.2">
      <c r="A2912" s="2">
        <v>10018922</v>
      </c>
      <c r="B2912" s="2" t="s">
        <v>365</v>
      </c>
      <c r="C2912" s="5" t="s">
        <v>5961</v>
      </c>
      <c r="D2912" s="21">
        <v>427</v>
      </c>
      <c r="E2912" s="21"/>
      <c r="F2912" s="30">
        <v>1</v>
      </c>
      <c r="G2912" s="21"/>
      <c r="H2912" s="54">
        <v>99</v>
      </c>
      <c r="I2912" s="51"/>
      <c r="J2912" s="27"/>
      <c r="K2912" s="27"/>
      <c r="L2912" s="15"/>
      <c r="M2912" s="15"/>
      <c r="N2912" s="4">
        <v>52</v>
      </c>
      <c r="O2912" s="4"/>
    </row>
    <row r="2913" spans="1:15" x14ac:dyDescent="0.2">
      <c r="A2913" s="2">
        <v>10019403</v>
      </c>
      <c r="B2913" s="2" t="s">
        <v>510</v>
      </c>
      <c r="C2913" s="5" t="s">
        <v>6130</v>
      </c>
      <c r="D2913" s="21">
        <v>145</v>
      </c>
      <c r="E2913" s="21"/>
      <c r="F2913" s="21" t="s">
        <v>10438</v>
      </c>
      <c r="G2913" s="21"/>
      <c r="H2913" s="54">
        <v>221</v>
      </c>
      <c r="I2913" s="51"/>
      <c r="J2913" s="27"/>
      <c r="K2913" s="27"/>
      <c r="L2913" s="15">
        <v>100</v>
      </c>
      <c r="M2913" s="15"/>
      <c r="N2913" s="4">
        <v>52</v>
      </c>
      <c r="O2913" s="4"/>
    </row>
    <row r="2914" spans="1:15" x14ac:dyDescent="0.2">
      <c r="A2914" s="2">
        <v>10019407</v>
      </c>
      <c r="B2914" s="2" t="s">
        <v>3651</v>
      </c>
      <c r="C2914" s="5" t="s">
        <v>6131</v>
      </c>
      <c r="D2914" s="21">
        <v>71</v>
      </c>
      <c r="E2914" s="21"/>
      <c r="F2914" s="21" t="s">
        <v>10438</v>
      </c>
      <c r="G2914" s="21"/>
      <c r="H2914" s="54">
        <v>354</v>
      </c>
      <c r="I2914" s="51"/>
      <c r="J2914" s="27"/>
      <c r="K2914" s="27"/>
      <c r="L2914" s="15">
        <v>20</v>
      </c>
      <c r="M2914" s="15">
        <v>20</v>
      </c>
      <c r="N2914" s="4">
        <v>52</v>
      </c>
      <c r="O2914" s="4"/>
    </row>
    <row r="2915" spans="1:15" x14ac:dyDescent="0.2">
      <c r="A2915" s="2">
        <v>40007724</v>
      </c>
      <c r="B2915" s="2" t="s">
        <v>2899</v>
      </c>
      <c r="C2915" s="5" t="s">
        <v>8596</v>
      </c>
      <c r="D2915" s="21">
        <v>17</v>
      </c>
      <c r="E2915" s="21"/>
      <c r="F2915" s="21" t="s">
        <v>10438</v>
      </c>
      <c r="G2915" s="21"/>
      <c r="H2915" s="54">
        <v>11</v>
      </c>
      <c r="I2915" s="51"/>
      <c r="J2915" s="27"/>
      <c r="K2915" s="27"/>
      <c r="L2915" s="15"/>
      <c r="M2915" s="15"/>
      <c r="N2915" s="4" t="s">
        <v>4687</v>
      </c>
      <c r="O2915" s="4"/>
    </row>
    <row r="2916" spans="1:15" x14ac:dyDescent="0.2">
      <c r="A2916" s="2">
        <v>40010518</v>
      </c>
      <c r="B2916" s="2" t="s">
        <v>3546</v>
      </c>
      <c r="C2916" s="5" t="s">
        <v>9251</v>
      </c>
      <c r="D2916" s="21">
        <v>1</v>
      </c>
      <c r="E2916" s="21"/>
      <c r="F2916" s="21" t="s">
        <v>10438</v>
      </c>
      <c r="G2916" s="21"/>
      <c r="H2916" s="54">
        <v>51</v>
      </c>
      <c r="I2916" s="51"/>
      <c r="J2916" s="27"/>
      <c r="K2916" s="27"/>
      <c r="L2916" s="15"/>
      <c r="M2916" s="15"/>
      <c r="N2916" s="4" t="s">
        <v>4485</v>
      </c>
      <c r="O2916" s="4"/>
    </row>
    <row r="2917" spans="1:15" x14ac:dyDescent="0.2">
      <c r="A2917" s="2">
        <v>40005739</v>
      </c>
      <c r="B2917" s="2" t="s">
        <v>1166</v>
      </c>
      <c r="C2917" s="5">
        <v>957604260</v>
      </c>
      <c r="D2917" s="21">
        <v>10</v>
      </c>
      <c r="E2917" s="21"/>
      <c r="F2917" s="21" t="s">
        <v>10438</v>
      </c>
      <c r="G2917" s="21"/>
      <c r="H2917" s="54">
        <v>50</v>
      </c>
      <c r="I2917" s="51"/>
      <c r="J2917" s="27"/>
      <c r="K2917" s="27"/>
      <c r="L2917" s="15"/>
      <c r="M2917" s="15"/>
      <c r="N2917" s="4" t="s">
        <v>4248</v>
      </c>
      <c r="O2917" s="4"/>
    </row>
    <row r="2918" spans="1:15" x14ac:dyDescent="0.2">
      <c r="A2918" s="2">
        <v>10019047</v>
      </c>
      <c r="B2918" s="2" t="s">
        <v>415</v>
      </c>
      <c r="C2918" s="5" t="s">
        <v>6019</v>
      </c>
      <c r="D2918" s="21">
        <v>6</v>
      </c>
      <c r="E2918" s="21">
        <v>6</v>
      </c>
      <c r="F2918" s="21" t="s">
        <v>10438</v>
      </c>
      <c r="G2918" s="21">
        <v>5</v>
      </c>
      <c r="H2918" s="54">
        <v>7631</v>
      </c>
      <c r="I2918" s="51">
        <v>6870</v>
      </c>
      <c r="J2918" s="27">
        <v>1</v>
      </c>
      <c r="K2918" s="27">
        <v>1</v>
      </c>
      <c r="L2918" s="15">
        <v>20</v>
      </c>
      <c r="M2918" s="15"/>
      <c r="N2918" s="4" t="s">
        <v>3607</v>
      </c>
      <c r="O2918" s="4"/>
    </row>
    <row r="2919" spans="1:15" x14ac:dyDescent="0.2">
      <c r="A2919" s="2">
        <v>40007380</v>
      </c>
      <c r="B2919" s="2" t="s">
        <v>2608</v>
      </c>
      <c r="C2919" s="5" t="s">
        <v>8306</v>
      </c>
      <c r="D2919" s="21">
        <v>7</v>
      </c>
      <c r="E2919" s="21"/>
      <c r="F2919" s="21" t="s">
        <v>10438</v>
      </c>
      <c r="G2919" s="21"/>
      <c r="H2919" s="54">
        <v>57</v>
      </c>
      <c r="I2919" s="51"/>
      <c r="J2919" s="27"/>
      <c r="K2919" s="27"/>
      <c r="L2919" s="15"/>
      <c r="M2919" s="15"/>
      <c r="N2919" s="4" t="s">
        <v>4936</v>
      </c>
      <c r="O2919" s="4"/>
    </row>
    <row r="2920" spans="1:15" x14ac:dyDescent="0.2">
      <c r="A2920" s="2">
        <v>10018879</v>
      </c>
      <c r="B2920" s="2" t="s">
        <v>346</v>
      </c>
      <c r="C2920" s="5" t="s">
        <v>5937</v>
      </c>
      <c r="D2920" s="21">
        <v>14</v>
      </c>
      <c r="E2920" s="21">
        <v>14</v>
      </c>
      <c r="F2920" s="21" t="s">
        <v>10438</v>
      </c>
      <c r="G2920" s="21">
        <v>4</v>
      </c>
      <c r="H2920" s="54">
        <v>1980</v>
      </c>
      <c r="I2920" s="51">
        <v>1825</v>
      </c>
      <c r="J2920" s="27">
        <v>36</v>
      </c>
      <c r="K2920" s="27">
        <v>36</v>
      </c>
      <c r="L2920" s="15"/>
      <c r="M2920" s="15">
        <v>12</v>
      </c>
      <c r="N2920" s="4" t="s">
        <v>3607</v>
      </c>
      <c r="O2920" s="4" t="s">
        <v>10450</v>
      </c>
    </row>
    <row r="2921" spans="1:15" x14ac:dyDescent="0.2">
      <c r="A2921" s="2">
        <v>10020001</v>
      </c>
      <c r="B2921" s="2" t="s">
        <v>655</v>
      </c>
      <c r="C2921" s="5" t="s">
        <v>6302</v>
      </c>
      <c r="D2921" s="21">
        <v>4</v>
      </c>
      <c r="E2921" s="21"/>
      <c r="F2921" s="21" t="s">
        <v>10438</v>
      </c>
      <c r="G2921" s="21"/>
      <c r="H2921" s="54">
        <v>1705</v>
      </c>
      <c r="I2921" s="51">
        <v>1570</v>
      </c>
      <c r="J2921" s="27"/>
      <c r="K2921" s="27"/>
      <c r="L2921" s="15">
        <v>5</v>
      </c>
      <c r="M2921" s="15"/>
      <c r="N2921" s="4">
        <v>99</v>
      </c>
      <c r="O2921" s="4"/>
    </row>
    <row r="2922" spans="1:15" x14ac:dyDescent="0.2">
      <c r="A2922" s="2">
        <v>10019916</v>
      </c>
      <c r="B2922" s="2" t="s">
        <v>624</v>
      </c>
      <c r="C2922" s="5" t="s">
        <v>6263</v>
      </c>
      <c r="D2922" s="21">
        <v>8</v>
      </c>
      <c r="E2922" s="21"/>
      <c r="F2922" s="21" t="s">
        <v>10438</v>
      </c>
      <c r="G2922" s="21"/>
      <c r="H2922" s="54">
        <v>1425</v>
      </c>
      <c r="I2922" s="51">
        <v>1315</v>
      </c>
      <c r="J2922" s="27"/>
      <c r="K2922" s="27"/>
      <c r="L2922" s="15">
        <v>5</v>
      </c>
      <c r="M2922" s="15">
        <v>3</v>
      </c>
      <c r="N2922" s="4"/>
      <c r="O2922" s="4"/>
    </row>
    <row r="2923" spans="1:15" x14ac:dyDescent="0.2">
      <c r="A2923" s="2">
        <v>10040637</v>
      </c>
      <c r="B2923" s="2" t="s">
        <v>5391</v>
      </c>
      <c r="C2923" s="5" t="s">
        <v>6398</v>
      </c>
      <c r="D2923" s="21">
        <v>2</v>
      </c>
      <c r="E2923" s="21"/>
      <c r="F2923" s="21" t="s">
        <v>10438</v>
      </c>
      <c r="G2923" s="21"/>
      <c r="H2923" s="54">
        <v>2601</v>
      </c>
      <c r="I2923" s="51">
        <v>2341</v>
      </c>
      <c r="J2923" s="27"/>
      <c r="K2923" s="27"/>
      <c r="L2923" s="15"/>
      <c r="M2923" s="15"/>
      <c r="N2923" s="4"/>
      <c r="O2923" s="4" t="s">
        <v>10469</v>
      </c>
    </row>
    <row r="2924" spans="1:15" x14ac:dyDescent="0.2">
      <c r="A2924" s="2">
        <v>10018228</v>
      </c>
      <c r="B2924" s="2" t="s">
        <v>114</v>
      </c>
      <c r="C2924" s="5" t="s">
        <v>5651</v>
      </c>
      <c r="D2924" s="21"/>
      <c r="E2924" s="21"/>
      <c r="F2924" s="21" t="s">
        <v>10438</v>
      </c>
      <c r="G2924" s="21"/>
      <c r="H2924" s="54">
        <v>4673</v>
      </c>
      <c r="I2924" s="51"/>
      <c r="J2924" s="27">
        <v>1</v>
      </c>
      <c r="K2924" s="27"/>
      <c r="L2924" s="15"/>
      <c r="M2924" s="15"/>
      <c r="N2924" s="4"/>
      <c r="O2924" s="4"/>
    </row>
    <row r="2925" spans="1:15" x14ac:dyDescent="0.2">
      <c r="A2925" s="2">
        <v>10019146</v>
      </c>
      <c r="B2925" s="2" t="s">
        <v>444</v>
      </c>
      <c r="C2925" s="5" t="s">
        <v>6049</v>
      </c>
      <c r="D2925" s="21">
        <v>8</v>
      </c>
      <c r="E2925" s="21"/>
      <c r="F2925" s="21" t="s">
        <v>10438</v>
      </c>
      <c r="G2925" s="21"/>
      <c r="H2925" s="54">
        <v>5770</v>
      </c>
      <c r="I2925" s="51">
        <v>5195</v>
      </c>
      <c r="J2925" s="27"/>
      <c r="K2925" s="27"/>
      <c r="L2925" s="15">
        <v>12</v>
      </c>
      <c r="M2925" s="15">
        <v>3</v>
      </c>
      <c r="N2925" s="4"/>
      <c r="O2925" s="4"/>
    </row>
    <row r="2926" spans="1:15" x14ac:dyDescent="0.2">
      <c r="A2926" s="2">
        <v>10019997</v>
      </c>
      <c r="B2926" s="2" t="s">
        <v>3746</v>
      </c>
      <c r="C2926" s="5" t="s">
        <v>6300</v>
      </c>
      <c r="D2926" s="21">
        <v>10</v>
      </c>
      <c r="E2926" s="21"/>
      <c r="F2926" s="21" t="s">
        <v>10438</v>
      </c>
      <c r="G2926" s="21"/>
      <c r="H2926" s="54">
        <v>5065</v>
      </c>
      <c r="I2926" s="51">
        <v>4560</v>
      </c>
      <c r="J2926" s="27">
        <v>14</v>
      </c>
      <c r="K2926" s="27"/>
      <c r="L2926" s="15"/>
      <c r="M2926" s="15"/>
      <c r="N2926" s="4"/>
      <c r="O2926" s="4" t="s">
        <v>10452</v>
      </c>
    </row>
    <row r="2927" spans="1:15" x14ac:dyDescent="0.2">
      <c r="A2927" s="2">
        <v>40007273</v>
      </c>
      <c r="B2927" s="2" t="s">
        <v>2521</v>
      </c>
      <c r="C2927" s="5" t="s">
        <v>8218</v>
      </c>
      <c r="D2927" s="21">
        <v>3</v>
      </c>
      <c r="E2927" s="21"/>
      <c r="F2927" s="21" t="s">
        <v>10438</v>
      </c>
      <c r="G2927" s="21"/>
      <c r="H2927" s="54">
        <v>241</v>
      </c>
      <c r="I2927" s="51"/>
      <c r="J2927" s="27"/>
      <c r="K2927" s="27"/>
      <c r="L2927" s="15"/>
      <c r="M2927" s="15"/>
      <c r="N2927" s="4" t="s">
        <v>4124</v>
      </c>
      <c r="O2927" s="4" t="s">
        <v>5096</v>
      </c>
    </row>
    <row r="2928" spans="1:15" x14ac:dyDescent="0.2">
      <c r="A2928" s="2">
        <v>40008249</v>
      </c>
      <c r="B2928" s="2" t="s">
        <v>3366</v>
      </c>
      <c r="C2928" s="5" t="s">
        <v>9057</v>
      </c>
      <c r="D2928" s="21">
        <v>7</v>
      </c>
      <c r="E2928" s="21"/>
      <c r="F2928" s="21" t="s">
        <v>10438</v>
      </c>
      <c r="G2928" s="21"/>
      <c r="H2928" s="54">
        <v>67</v>
      </c>
      <c r="I2928" s="51"/>
      <c r="J2928" s="27"/>
      <c r="K2928" s="27"/>
      <c r="L2928" s="15"/>
      <c r="M2928" s="15"/>
      <c r="N2928" s="4" t="s">
        <v>5220</v>
      </c>
      <c r="O2928" s="4"/>
    </row>
    <row r="2929" spans="1:15" x14ac:dyDescent="0.2">
      <c r="A2929" s="2">
        <v>40007802</v>
      </c>
      <c r="B2929" s="2" t="s">
        <v>2972</v>
      </c>
      <c r="C2929" s="5" t="s">
        <v>8670</v>
      </c>
      <c r="D2929" s="21">
        <v>7</v>
      </c>
      <c r="E2929" s="21"/>
      <c r="F2929" s="21" t="s">
        <v>10438</v>
      </c>
      <c r="G2929" s="21"/>
      <c r="H2929" s="54">
        <v>214</v>
      </c>
      <c r="I2929" s="51"/>
      <c r="J2929" s="27"/>
      <c r="K2929" s="27"/>
      <c r="L2929" s="15"/>
      <c r="M2929" s="15"/>
      <c r="N2929" s="4" t="s">
        <v>4106</v>
      </c>
      <c r="O2929" s="4"/>
    </row>
    <row r="2930" spans="1:15" x14ac:dyDescent="0.2">
      <c r="A2930" s="2">
        <v>40007801</v>
      </c>
      <c r="B2930" s="2" t="s">
        <v>2971</v>
      </c>
      <c r="C2930" s="5" t="s">
        <v>8669</v>
      </c>
      <c r="D2930" s="21">
        <v>26</v>
      </c>
      <c r="E2930" s="21"/>
      <c r="F2930" s="30">
        <v>1</v>
      </c>
      <c r="G2930" s="21"/>
      <c r="H2930" s="54">
        <v>66</v>
      </c>
      <c r="I2930" s="51"/>
      <c r="J2930" s="27"/>
      <c r="K2930" s="27"/>
      <c r="L2930" s="15">
        <v>30</v>
      </c>
      <c r="M2930" s="15">
        <v>20</v>
      </c>
      <c r="N2930" s="4" t="s">
        <v>5085</v>
      </c>
      <c r="O2930" s="4"/>
    </row>
    <row r="2931" spans="1:15" x14ac:dyDescent="0.2">
      <c r="A2931" s="2">
        <v>40007806</v>
      </c>
      <c r="B2931" s="2" t="s">
        <v>2975</v>
      </c>
      <c r="C2931" s="5" t="s">
        <v>8674</v>
      </c>
      <c r="D2931" s="21">
        <v>46</v>
      </c>
      <c r="E2931" s="21"/>
      <c r="F2931" s="30">
        <v>1</v>
      </c>
      <c r="G2931" s="21"/>
      <c r="H2931" s="54">
        <v>132</v>
      </c>
      <c r="I2931" s="51"/>
      <c r="J2931" s="27"/>
      <c r="K2931" s="27"/>
      <c r="L2931" s="15"/>
      <c r="M2931" s="15">
        <v>30</v>
      </c>
      <c r="N2931" s="4" t="s">
        <v>5086</v>
      </c>
      <c r="O2931" s="4"/>
    </row>
    <row r="2932" spans="1:15" x14ac:dyDescent="0.2">
      <c r="A2932" s="2">
        <v>40007622</v>
      </c>
      <c r="B2932" s="2" t="s">
        <v>2809</v>
      </c>
      <c r="C2932" s="5" t="s">
        <v>8509</v>
      </c>
      <c r="D2932" s="21">
        <v>13</v>
      </c>
      <c r="E2932" s="21"/>
      <c r="F2932" s="21" t="s">
        <v>10438</v>
      </c>
      <c r="G2932" s="21"/>
      <c r="H2932" s="54">
        <v>113</v>
      </c>
      <c r="I2932" s="51"/>
      <c r="J2932" s="27"/>
      <c r="K2932" s="27"/>
      <c r="L2932" s="15"/>
      <c r="M2932" s="15"/>
      <c r="N2932" s="4" t="s">
        <v>5016</v>
      </c>
      <c r="O2932" s="4"/>
    </row>
    <row r="2933" spans="1:15" x14ac:dyDescent="0.2">
      <c r="A2933" s="2">
        <v>40007804</v>
      </c>
      <c r="B2933" s="2" t="s">
        <v>2974</v>
      </c>
      <c r="C2933" s="5" t="s">
        <v>8672</v>
      </c>
      <c r="D2933" s="21">
        <v>118</v>
      </c>
      <c r="E2933" s="21"/>
      <c r="F2933" s="21" t="s">
        <v>10438</v>
      </c>
      <c r="G2933" s="21"/>
      <c r="H2933" s="54">
        <v>132</v>
      </c>
      <c r="I2933" s="51"/>
      <c r="J2933" s="27"/>
      <c r="K2933" s="27"/>
      <c r="L2933" s="15"/>
      <c r="M2933" s="15"/>
      <c r="N2933" s="4" t="s">
        <v>5087</v>
      </c>
      <c r="O2933" s="4" t="s">
        <v>3938</v>
      </c>
    </row>
    <row r="2934" spans="1:15" x14ac:dyDescent="0.2">
      <c r="A2934" s="2">
        <v>40007805</v>
      </c>
      <c r="B2934" s="2" t="s">
        <v>3820</v>
      </c>
      <c r="C2934" s="5" t="s">
        <v>8673</v>
      </c>
      <c r="D2934" s="21">
        <v>5</v>
      </c>
      <c r="E2934" s="21"/>
      <c r="F2934" s="21" t="s">
        <v>10438</v>
      </c>
      <c r="G2934" s="21"/>
      <c r="H2934" s="54">
        <v>70</v>
      </c>
      <c r="I2934" s="51"/>
      <c r="J2934" s="27"/>
      <c r="K2934" s="27"/>
      <c r="L2934" s="15"/>
      <c r="M2934" s="15"/>
      <c r="N2934" s="4" t="s">
        <v>4062</v>
      </c>
      <c r="O2934" s="4"/>
    </row>
    <row r="2935" spans="1:15" x14ac:dyDescent="0.2">
      <c r="A2935" s="2">
        <v>40010584</v>
      </c>
      <c r="B2935" s="7" t="s">
        <v>3561</v>
      </c>
      <c r="C2935" s="56" t="s">
        <v>9278</v>
      </c>
      <c r="D2935" s="21">
        <v>4</v>
      </c>
      <c r="E2935" s="21"/>
      <c r="F2935" s="21" t="s">
        <v>10438</v>
      </c>
      <c r="G2935" s="21"/>
      <c r="H2935" s="54">
        <v>109</v>
      </c>
      <c r="I2935" s="51"/>
      <c r="J2935" s="27"/>
      <c r="K2935" s="27"/>
      <c r="L2935" s="15"/>
      <c r="M2935" s="15">
        <v>8</v>
      </c>
      <c r="N2935" s="4" t="s">
        <v>10475</v>
      </c>
      <c r="O2935" s="4"/>
    </row>
    <row r="2936" spans="1:15" x14ac:dyDescent="0.2">
      <c r="A2936" s="2">
        <v>40007082</v>
      </c>
      <c r="B2936" s="2" t="s">
        <v>2355</v>
      </c>
      <c r="C2936" s="5" t="s">
        <v>8062</v>
      </c>
      <c r="D2936" s="21">
        <v>2</v>
      </c>
      <c r="E2936" s="21"/>
      <c r="F2936" s="21" t="s">
        <v>10438</v>
      </c>
      <c r="G2936" s="21"/>
      <c r="H2936" s="54">
        <v>125</v>
      </c>
      <c r="I2936" s="51"/>
      <c r="J2936" s="27"/>
      <c r="K2936" s="27"/>
      <c r="L2936" s="15">
        <v>20</v>
      </c>
      <c r="M2936" s="15">
        <v>20</v>
      </c>
      <c r="N2936" s="4" t="s">
        <v>4819</v>
      </c>
      <c r="O2936" s="4"/>
    </row>
    <row r="2937" spans="1:15" x14ac:dyDescent="0.2">
      <c r="A2937" s="2">
        <v>40003867</v>
      </c>
      <c r="B2937" s="2" t="s">
        <v>696</v>
      </c>
      <c r="C2937" s="5" t="s">
        <v>6410</v>
      </c>
      <c r="D2937" s="21">
        <v>62</v>
      </c>
      <c r="E2937" s="21"/>
      <c r="F2937" s="21" t="s">
        <v>10438</v>
      </c>
      <c r="G2937" s="21"/>
      <c r="H2937" s="54">
        <v>133</v>
      </c>
      <c r="I2937" s="51"/>
      <c r="J2937" s="27"/>
      <c r="K2937" s="27"/>
      <c r="L2937" s="15"/>
      <c r="M2937" s="15"/>
      <c r="N2937" s="4" t="s">
        <v>3972</v>
      </c>
      <c r="O2937" s="4" t="s">
        <v>10097</v>
      </c>
    </row>
    <row r="2938" spans="1:15" x14ac:dyDescent="0.2">
      <c r="A2938" s="2">
        <v>40007803</v>
      </c>
      <c r="B2938" s="2" t="s">
        <v>2973</v>
      </c>
      <c r="C2938" s="5" t="s">
        <v>8671</v>
      </c>
      <c r="D2938" s="21">
        <v>9</v>
      </c>
      <c r="E2938" s="21"/>
      <c r="F2938" s="21" t="s">
        <v>10438</v>
      </c>
      <c r="G2938" s="21"/>
      <c r="H2938" s="54">
        <v>389</v>
      </c>
      <c r="I2938" s="51"/>
      <c r="J2938" s="27"/>
      <c r="K2938" s="27"/>
      <c r="L2938" s="15"/>
      <c r="M2938" s="15"/>
      <c r="N2938" s="4" t="s">
        <v>5086</v>
      </c>
      <c r="O2938" s="4"/>
    </row>
    <row r="2939" spans="1:15" x14ac:dyDescent="0.2">
      <c r="A2939" s="2">
        <v>40006899</v>
      </c>
      <c r="B2939" s="2" t="s">
        <v>2194</v>
      </c>
      <c r="C2939" s="5" t="s">
        <v>7903</v>
      </c>
      <c r="D2939" s="21">
        <v>38</v>
      </c>
      <c r="E2939" s="21"/>
      <c r="F2939" s="21" t="s">
        <v>10438</v>
      </c>
      <c r="G2939" s="21"/>
      <c r="H2939" s="54">
        <v>1</v>
      </c>
      <c r="I2939" s="51"/>
      <c r="J2939" s="27"/>
      <c r="K2939" s="27"/>
      <c r="L2939" s="15"/>
      <c r="M2939" s="15"/>
      <c r="N2939" s="4" t="s">
        <v>4252</v>
      </c>
      <c r="O2939" s="4"/>
    </row>
    <row r="2940" spans="1:15" x14ac:dyDescent="0.2">
      <c r="A2940" s="2">
        <v>10018875</v>
      </c>
      <c r="B2940" s="2" t="s">
        <v>345</v>
      </c>
      <c r="C2940" s="5" t="s">
        <v>5935</v>
      </c>
      <c r="D2940" s="21">
        <v>11</v>
      </c>
      <c r="E2940" s="21">
        <v>11</v>
      </c>
      <c r="F2940" s="30" t="s">
        <v>10438</v>
      </c>
      <c r="G2940" s="21">
        <v>4</v>
      </c>
      <c r="H2940" s="54">
        <v>3695</v>
      </c>
      <c r="I2940" s="51">
        <v>3400</v>
      </c>
      <c r="J2940" s="27">
        <v>28</v>
      </c>
      <c r="K2940" s="27">
        <v>28</v>
      </c>
      <c r="L2940" s="15">
        <v>50</v>
      </c>
      <c r="M2940" s="15"/>
      <c r="N2940" s="4" t="s">
        <v>10713</v>
      </c>
      <c r="O2940" s="4" t="s">
        <v>10455</v>
      </c>
    </row>
    <row r="2941" spans="1:15" x14ac:dyDescent="0.2">
      <c r="A2941" s="2">
        <v>40007540</v>
      </c>
      <c r="B2941" s="2" t="s">
        <v>2741</v>
      </c>
      <c r="C2941" s="5" t="s">
        <v>8442</v>
      </c>
      <c r="D2941" s="21">
        <v>1</v>
      </c>
      <c r="E2941" s="21"/>
      <c r="F2941" s="21" t="s">
        <v>10438</v>
      </c>
      <c r="G2941" s="21"/>
      <c r="H2941" s="54">
        <v>92</v>
      </c>
      <c r="I2941" s="51"/>
      <c r="J2941" s="27"/>
      <c r="K2941" s="27"/>
      <c r="L2941" s="15"/>
      <c r="M2941" s="15"/>
      <c r="N2941" s="4" t="s">
        <v>4519</v>
      </c>
      <c r="O2941" s="4"/>
    </row>
    <row r="2942" spans="1:15" x14ac:dyDescent="0.2">
      <c r="A2942" s="2">
        <v>10013698</v>
      </c>
      <c r="B2942" s="2" t="s">
        <v>3609</v>
      </c>
      <c r="C2942" s="5" t="s">
        <v>5527</v>
      </c>
      <c r="D2942" s="21">
        <v>17</v>
      </c>
      <c r="E2942" s="21"/>
      <c r="F2942" s="21" t="s">
        <v>10438</v>
      </c>
      <c r="G2942" s="21"/>
      <c r="H2942" s="54">
        <v>5364</v>
      </c>
      <c r="I2942" s="51">
        <v>4830</v>
      </c>
      <c r="J2942" s="27"/>
      <c r="K2942" s="27"/>
      <c r="L2942" s="15">
        <v>8</v>
      </c>
      <c r="M2942" s="15">
        <v>9</v>
      </c>
      <c r="N2942" s="4">
        <v>103</v>
      </c>
      <c r="O2942" s="4" t="s">
        <v>10455</v>
      </c>
    </row>
    <row r="2943" spans="1:15" x14ac:dyDescent="0.2">
      <c r="A2943" s="2">
        <v>10019841</v>
      </c>
      <c r="B2943" s="2" t="s">
        <v>596</v>
      </c>
      <c r="C2943" s="5" t="s">
        <v>6230</v>
      </c>
      <c r="D2943" s="21">
        <v>14</v>
      </c>
      <c r="E2943" s="21">
        <v>14</v>
      </c>
      <c r="F2943" s="21" t="s">
        <v>10438</v>
      </c>
      <c r="G2943" s="21">
        <v>2</v>
      </c>
      <c r="H2943" s="54">
        <v>4180</v>
      </c>
      <c r="I2943" s="51">
        <v>3850</v>
      </c>
      <c r="J2943" s="27">
        <v>19</v>
      </c>
      <c r="K2943" s="27">
        <v>19</v>
      </c>
      <c r="L2943" s="15">
        <v>15</v>
      </c>
      <c r="M2943" s="15"/>
      <c r="N2943" s="4" t="s">
        <v>3934</v>
      </c>
      <c r="O2943" s="4" t="s">
        <v>10456</v>
      </c>
    </row>
    <row r="2944" spans="1:15" x14ac:dyDescent="0.2">
      <c r="A2944" s="2">
        <v>40008309</v>
      </c>
      <c r="B2944" s="2" t="s">
        <v>3416</v>
      </c>
      <c r="C2944" s="5" t="s">
        <v>9110</v>
      </c>
      <c r="D2944" s="21">
        <v>6</v>
      </c>
      <c r="E2944" s="21"/>
      <c r="F2944" s="21" t="s">
        <v>10438</v>
      </c>
      <c r="G2944" s="21"/>
      <c r="H2944" s="54">
        <v>502</v>
      </c>
      <c r="I2944" s="51"/>
      <c r="J2944" s="27"/>
      <c r="K2944" s="27"/>
      <c r="L2944" s="15"/>
      <c r="M2944" s="15"/>
      <c r="N2944" s="4" t="s">
        <v>4940</v>
      </c>
      <c r="O2944" s="4">
        <v>64</v>
      </c>
    </row>
    <row r="2945" spans="1:15" x14ac:dyDescent="0.2">
      <c r="A2945" s="2">
        <v>40008308</v>
      </c>
      <c r="B2945" s="7" t="s">
        <v>10765</v>
      </c>
      <c r="C2945" s="10" t="s">
        <v>9109</v>
      </c>
      <c r="D2945" s="21">
        <v>18</v>
      </c>
      <c r="E2945" s="21"/>
      <c r="F2945" s="30">
        <v>2</v>
      </c>
      <c r="G2945" s="21"/>
      <c r="H2945" s="54">
        <v>116</v>
      </c>
      <c r="I2945" s="51"/>
      <c r="J2945" s="27"/>
      <c r="K2945" s="27"/>
      <c r="L2945" s="15"/>
      <c r="M2945" s="15"/>
      <c r="N2945" s="4"/>
      <c r="O2945" s="4"/>
    </row>
    <row r="2946" spans="1:15" x14ac:dyDescent="0.2">
      <c r="A2946" s="2">
        <v>40008291</v>
      </c>
      <c r="B2946" s="2" t="s">
        <v>3402</v>
      </c>
      <c r="C2946" s="5" t="s">
        <v>9094</v>
      </c>
      <c r="D2946" s="21">
        <v>154</v>
      </c>
      <c r="E2946" s="21"/>
      <c r="F2946" s="30">
        <v>14</v>
      </c>
      <c r="G2946" s="21"/>
      <c r="H2946" s="54">
        <v>89</v>
      </c>
      <c r="I2946" s="51"/>
      <c r="J2946" s="27"/>
      <c r="K2946" s="27"/>
      <c r="L2946" s="15">
        <v>50</v>
      </c>
      <c r="M2946" s="15">
        <v>50</v>
      </c>
      <c r="N2946" s="4" t="s">
        <v>5234</v>
      </c>
      <c r="O2946" s="4">
        <v>22</v>
      </c>
    </row>
    <row r="2947" spans="1:15" x14ac:dyDescent="0.2">
      <c r="A2947" s="2">
        <v>40007882</v>
      </c>
      <c r="B2947" s="2" t="s">
        <v>3037</v>
      </c>
      <c r="C2947" s="5" t="s">
        <v>8730</v>
      </c>
      <c r="D2947" s="21">
        <v>1</v>
      </c>
      <c r="E2947" s="21"/>
      <c r="F2947" s="21" t="s">
        <v>10438</v>
      </c>
      <c r="G2947" s="21"/>
      <c r="H2947" s="54">
        <v>26</v>
      </c>
      <c r="I2947" s="51"/>
      <c r="J2947" s="27"/>
      <c r="K2947" s="27"/>
      <c r="L2947" s="15"/>
      <c r="M2947" s="15"/>
      <c r="N2947" s="4"/>
      <c r="O2947" s="4" t="s">
        <v>10351</v>
      </c>
    </row>
    <row r="2948" spans="1:15" x14ac:dyDescent="0.2">
      <c r="A2948" s="2">
        <v>40005860</v>
      </c>
      <c r="B2948" s="2" t="s">
        <v>1276</v>
      </c>
      <c r="C2948" s="5" t="s">
        <v>6987</v>
      </c>
      <c r="D2948" s="21">
        <v>6</v>
      </c>
      <c r="E2948" s="21"/>
      <c r="F2948" s="21" t="s">
        <v>10438</v>
      </c>
      <c r="G2948" s="21"/>
      <c r="H2948" s="54">
        <v>28</v>
      </c>
      <c r="I2948" s="51"/>
      <c r="J2948" s="27"/>
      <c r="K2948" s="27"/>
      <c r="L2948" s="15"/>
      <c r="M2948" s="15"/>
      <c r="N2948" s="4"/>
      <c r="O2948" s="4" t="s">
        <v>10160</v>
      </c>
    </row>
    <row r="2949" spans="1:15" x14ac:dyDescent="0.2">
      <c r="A2949" s="2">
        <v>40005578</v>
      </c>
      <c r="B2949" s="2" t="s">
        <v>3846</v>
      </c>
      <c r="C2949" s="5" t="s">
        <v>6754</v>
      </c>
      <c r="D2949" s="21">
        <v>4</v>
      </c>
      <c r="E2949" s="21"/>
      <c r="F2949" s="21" t="s">
        <v>10438</v>
      </c>
      <c r="G2949" s="21"/>
      <c r="H2949" s="54">
        <v>20</v>
      </c>
      <c r="I2949" s="51"/>
      <c r="J2949" s="27"/>
      <c r="K2949" s="27"/>
      <c r="L2949" s="15">
        <v>2</v>
      </c>
      <c r="M2949" s="15"/>
      <c r="N2949" s="4" t="s">
        <v>10476</v>
      </c>
      <c r="O2949" s="4"/>
    </row>
    <row r="2950" spans="1:15" x14ac:dyDescent="0.2">
      <c r="A2950" s="2">
        <v>40010297</v>
      </c>
      <c r="B2950" s="7" t="s">
        <v>3487</v>
      </c>
      <c r="C2950" s="5" t="s">
        <v>9181</v>
      </c>
      <c r="D2950" s="21">
        <v>2</v>
      </c>
      <c r="E2950" s="21"/>
      <c r="F2950" s="21" t="s">
        <v>10438</v>
      </c>
      <c r="G2950" s="21"/>
      <c r="H2950" s="54">
        <v>180</v>
      </c>
      <c r="I2950" s="51"/>
      <c r="J2950" s="27"/>
      <c r="K2950" s="27"/>
      <c r="L2950" s="15"/>
      <c r="M2950" s="15"/>
      <c r="N2950" s="4"/>
      <c r="O2950" s="4" t="s">
        <v>5117</v>
      </c>
    </row>
    <row r="2951" spans="1:15" x14ac:dyDescent="0.2">
      <c r="A2951" s="2">
        <v>40005740</v>
      </c>
      <c r="B2951" s="2" t="s">
        <v>1167</v>
      </c>
      <c r="C2951" s="5">
        <v>20245020</v>
      </c>
      <c r="D2951" s="21">
        <v>10</v>
      </c>
      <c r="E2951" s="21"/>
      <c r="F2951" s="21" t="s">
        <v>10438</v>
      </c>
      <c r="G2951" s="21"/>
      <c r="H2951" s="54">
        <v>15</v>
      </c>
      <c r="I2951" s="51"/>
      <c r="J2951" s="27"/>
      <c r="K2951" s="27"/>
      <c r="L2951" s="15"/>
      <c r="M2951" s="15"/>
      <c r="N2951" s="4" t="s">
        <v>4249</v>
      </c>
      <c r="O2951" s="4"/>
    </row>
    <row r="2952" spans="1:15" x14ac:dyDescent="0.2">
      <c r="A2952" s="2">
        <v>40007135</v>
      </c>
      <c r="B2952" s="2" t="s">
        <v>2403</v>
      </c>
      <c r="C2952" s="5">
        <v>225184012</v>
      </c>
      <c r="D2952" s="21">
        <v>40</v>
      </c>
      <c r="E2952" s="21"/>
      <c r="F2952" s="21" t="s">
        <v>10438</v>
      </c>
      <c r="G2952" s="21"/>
      <c r="H2952" s="54">
        <v>10</v>
      </c>
      <c r="I2952" s="51"/>
      <c r="J2952" s="27"/>
      <c r="K2952" s="27"/>
      <c r="L2952" s="15"/>
      <c r="M2952" s="15"/>
      <c r="N2952" s="4" t="s">
        <v>4842</v>
      </c>
      <c r="O2952" s="4"/>
    </row>
    <row r="2953" spans="1:15" x14ac:dyDescent="0.2">
      <c r="A2953" s="2">
        <v>40005399</v>
      </c>
      <c r="B2953" s="2" t="s">
        <v>876</v>
      </c>
      <c r="C2953" s="5" t="s">
        <v>6598</v>
      </c>
      <c r="D2953" s="21">
        <v>1</v>
      </c>
      <c r="E2953" s="21"/>
      <c r="F2953" s="21" t="s">
        <v>10438</v>
      </c>
      <c r="G2953" s="21"/>
      <c r="H2953" s="54">
        <v>158</v>
      </c>
      <c r="I2953" s="51"/>
      <c r="J2953" s="27"/>
      <c r="K2953" s="27"/>
      <c r="L2953" s="15"/>
      <c r="M2953" s="15"/>
      <c r="N2953" s="4" t="s">
        <v>4101</v>
      </c>
      <c r="O2953" s="4"/>
    </row>
    <row r="2954" spans="1:15" x14ac:dyDescent="0.2">
      <c r="A2954" s="2">
        <v>40007196</v>
      </c>
      <c r="B2954" s="2" t="s">
        <v>2461</v>
      </c>
      <c r="C2954" s="5">
        <v>369155010</v>
      </c>
      <c r="D2954" s="21">
        <v>1</v>
      </c>
      <c r="E2954" s="21"/>
      <c r="F2954" s="21" t="s">
        <v>10438</v>
      </c>
      <c r="G2954" s="21"/>
      <c r="H2954" s="54">
        <v>107</v>
      </c>
      <c r="I2954" s="51"/>
      <c r="J2954" s="27"/>
      <c r="K2954" s="27"/>
      <c r="L2954" s="15"/>
      <c r="M2954" s="15"/>
      <c r="N2954" s="4" t="s">
        <v>3980</v>
      </c>
      <c r="O2954" s="4"/>
    </row>
    <row r="2955" spans="1:15" x14ac:dyDescent="0.2">
      <c r="A2955" s="2">
        <v>40006744</v>
      </c>
      <c r="B2955" s="2" t="s">
        <v>3683</v>
      </c>
      <c r="C2955" s="5" t="s">
        <v>7759</v>
      </c>
      <c r="D2955" s="21">
        <v>48</v>
      </c>
      <c r="E2955" s="21"/>
      <c r="F2955" s="21" t="s">
        <v>10438</v>
      </c>
      <c r="G2955" s="21"/>
      <c r="H2955" s="54">
        <v>179</v>
      </c>
      <c r="I2955" s="51"/>
      <c r="J2955" s="27"/>
      <c r="K2955" s="27"/>
      <c r="L2955" s="15"/>
      <c r="M2955" s="15"/>
      <c r="N2955" s="4" t="s">
        <v>4664</v>
      </c>
      <c r="O2955" s="4"/>
    </row>
    <row r="2956" spans="1:15" x14ac:dyDescent="0.2">
      <c r="A2956" s="2">
        <v>40005437</v>
      </c>
      <c r="B2956" s="2" t="s">
        <v>911</v>
      </c>
      <c r="C2956" s="5" t="s">
        <v>6633</v>
      </c>
      <c r="D2956" s="21">
        <v>1</v>
      </c>
      <c r="E2956" s="21"/>
      <c r="F2956" s="21" t="s">
        <v>10438</v>
      </c>
      <c r="G2956" s="21"/>
      <c r="H2956" s="54">
        <v>26</v>
      </c>
      <c r="I2956" s="51"/>
      <c r="J2956" s="27"/>
      <c r="K2956" s="27"/>
      <c r="L2956" s="15"/>
      <c r="M2956" s="15"/>
      <c r="N2956" s="4" t="s">
        <v>3939</v>
      </c>
      <c r="O2956" s="4"/>
    </row>
    <row r="2957" spans="1:15" x14ac:dyDescent="0.2">
      <c r="A2957" s="2">
        <v>40007615</v>
      </c>
      <c r="B2957" s="2" t="s">
        <v>2803</v>
      </c>
      <c r="C2957" s="5" t="s">
        <v>8503</v>
      </c>
      <c r="D2957" s="21">
        <v>1</v>
      </c>
      <c r="E2957" s="21"/>
      <c r="F2957" s="21" t="s">
        <v>10438</v>
      </c>
      <c r="G2957" s="21"/>
      <c r="H2957" s="54">
        <v>207</v>
      </c>
      <c r="I2957" s="51"/>
      <c r="J2957" s="27"/>
      <c r="K2957" s="27"/>
      <c r="L2957" s="15"/>
      <c r="M2957" s="15"/>
      <c r="N2957" s="4" t="s">
        <v>4720</v>
      </c>
      <c r="O2957" s="4"/>
    </row>
    <row r="2958" spans="1:15" x14ac:dyDescent="0.2">
      <c r="A2958" s="2">
        <v>40007613</v>
      </c>
      <c r="B2958" s="2" t="s">
        <v>2801</v>
      </c>
      <c r="C2958" s="5" t="s">
        <v>8501</v>
      </c>
      <c r="D2958" s="21">
        <v>4</v>
      </c>
      <c r="E2958" s="21"/>
      <c r="F2958" s="21" t="s">
        <v>10438</v>
      </c>
      <c r="G2958" s="21"/>
      <c r="H2958" s="54">
        <v>583</v>
      </c>
      <c r="I2958" s="51"/>
      <c r="J2958" s="27"/>
      <c r="K2958" s="27"/>
      <c r="L2958" s="15"/>
      <c r="M2958" s="15"/>
      <c r="N2958" s="4" t="s">
        <v>5013</v>
      </c>
      <c r="O2958" s="4"/>
    </row>
    <row r="2959" spans="1:15" x14ac:dyDescent="0.2">
      <c r="A2959" s="2">
        <v>40010966</v>
      </c>
      <c r="B2959" s="2" t="s">
        <v>3585</v>
      </c>
      <c r="C2959" s="5" t="s">
        <v>9305</v>
      </c>
      <c r="D2959" s="21">
        <v>1</v>
      </c>
      <c r="E2959" s="21"/>
      <c r="F2959" s="21" t="s">
        <v>10438</v>
      </c>
      <c r="G2959" s="21"/>
      <c r="H2959" s="54">
        <v>1549</v>
      </c>
      <c r="I2959" s="51"/>
      <c r="J2959" s="27"/>
      <c r="K2959" s="27"/>
      <c r="L2959" s="15"/>
      <c r="M2959" s="15"/>
      <c r="N2959" s="4"/>
      <c r="O2959" s="4">
        <v>94</v>
      </c>
    </row>
    <row r="2960" spans="1:15" x14ac:dyDescent="0.2">
      <c r="A2960" s="2">
        <v>40008114</v>
      </c>
      <c r="B2960" s="2" t="s">
        <v>3239</v>
      </c>
      <c r="C2960" s="5">
        <v>27245010</v>
      </c>
      <c r="D2960" s="21">
        <v>1</v>
      </c>
      <c r="E2960" s="21"/>
      <c r="F2960" s="21" t="s">
        <v>10438</v>
      </c>
      <c r="G2960" s="21"/>
      <c r="H2960" s="54">
        <v>118</v>
      </c>
      <c r="I2960" s="51"/>
      <c r="J2960" s="27"/>
      <c r="K2960" s="27"/>
      <c r="L2960" s="15"/>
      <c r="M2960" s="15"/>
      <c r="N2960" s="4" t="s">
        <v>4250</v>
      </c>
      <c r="O2960" s="4"/>
    </row>
    <row r="2961" spans="1:15" x14ac:dyDescent="0.2">
      <c r="A2961" s="2">
        <v>40006251</v>
      </c>
      <c r="B2961" s="2" t="s">
        <v>1628</v>
      </c>
      <c r="C2961" s="5" t="s">
        <v>7332</v>
      </c>
      <c r="D2961" s="21">
        <v>6</v>
      </c>
      <c r="E2961" s="21"/>
      <c r="F2961" s="21" t="s">
        <v>10438</v>
      </c>
      <c r="G2961" s="21"/>
      <c r="H2961" s="54">
        <v>144</v>
      </c>
      <c r="I2961" s="51"/>
      <c r="J2961" s="27"/>
      <c r="K2961" s="27"/>
      <c r="L2961" s="15"/>
      <c r="M2961" s="15"/>
      <c r="N2961" s="4" t="s">
        <v>4259</v>
      </c>
      <c r="O2961" s="4"/>
    </row>
    <row r="2962" spans="1:15" x14ac:dyDescent="0.2">
      <c r="A2962" s="2">
        <v>40007411</v>
      </c>
      <c r="B2962" s="2" t="s">
        <v>2636</v>
      </c>
      <c r="C2962" s="5" t="s">
        <v>8334</v>
      </c>
      <c r="D2962" s="21">
        <v>14</v>
      </c>
      <c r="E2962" s="21"/>
      <c r="F2962" s="21" t="s">
        <v>10438</v>
      </c>
      <c r="G2962" s="21"/>
      <c r="H2962" s="54">
        <v>381</v>
      </c>
      <c r="I2962" s="51"/>
      <c r="J2962" s="27"/>
      <c r="K2962" s="27"/>
      <c r="L2962" s="15">
        <v>10</v>
      </c>
      <c r="M2962" s="15">
        <v>1</v>
      </c>
      <c r="N2962" s="4">
        <v>77</v>
      </c>
      <c r="O2962" s="4"/>
    </row>
    <row r="2963" spans="1:15" x14ac:dyDescent="0.2">
      <c r="A2963" s="2">
        <v>40006481</v>
      </c>
      <c r="B2963" s="2" t="s">
        <v>1834</v>
      </c>
      <c r="C2963" s="5" t="s">
        <v>7542</v>
      </c>
      <c r="D2963" s="21">
        <v>2</v>
      </c>
      <c r="E2963" s="21"/>
      <c r="F2963" s="21" t="s">
        <v>10438</v>
      </c>
      <c r="G2963" s="21"/>
      <c r="H2963" s="54">
        <v>492</v>
      </c>
      <c r="I2963" s="51"/>
      <c r="J2963" s="27"/>
      <c r="K2963" s="27"/>
      <c r="L2963" s="15"/>
      <c r="M2963" s="15"/>
      <c r="N2963" s="4" t="s">
        <v>4615</v>
      </c>
      <c r="O2963" s="4"/>
    </row>
    <row r="2964" spans="1:15" x14ac:dyDescent="0.2">
      <c r="A2964" s="2">
        <v>40008250</v>
      </c>
      <c r="B2964" s="2" t="s">
        <v>3367</v>
      </c>
      <c r="C2964" s="5" t="s">
        <v>9058</v>
      </c>
      <c r="D2964" s="21">
        <v>7</v>
      </c>
      <c r="E2964" s="21"/>
      <c r="F2964" s="21" t="s">
        <v>10438</v>
      </c>
      <c r="G2964" s="21"/>
      <c r="H2964" s="54">
        <v>533</v>
      </c>
      <c r="I2964" s="51"/>
      <c r="J2964" s="27"/>
      <c r="K2964" s="27"/>
      <c r="L2964" s="15"/>
      <c r="M2964" s="15"/>
      <c r="N2964" s="4">
        <v>62</v>
      </c>
      <c r="O2964" s="4"/>
    </row>
    <row r="2965" spans="1:15" x14ac:dyDescent="0.2">
      <c r="A2965" s="2">
        <v>40011201</v>
      </c>
      <c r="B2965" s="2" t="s">
        <v>3771</v>
      </c>
      <c r="C2965" s="5" t="s">
        <v>9346</v>
      </c>
      <c r="D2965" s="21">
        <v>9</v>
      </c>
      <c r="E2965" s="21"/>
      <c r="F2965" s="30">
        <v>1</v>
      </c>
      <c r="G2965" s="21"/>
      <c r="H2965" s="54">
        <v>10</v>
      </c>
      <c r="I2965" s="51"/>
      <c r="J2965" s="27"/>
      <c r="K2965" s="27"/>
      <c r="L2965" s="15"/>
      <c r="M2965" s="15"/>
      <c r="N2965" s="4" t="s">
        <v>5285</v>
      </c>
      <c r="O2965" s="4"/>
    </row>
    <row r="2966" spans="1:15" x14ac:dyDescent="0.2">
      <c r="A2966" s="2">
        <v>40007428</v>
      </c>
      <c r="B2966" s="2" t="s">
        <v>2650</v>
      </c>
      <c r="C2966" s="5">
        <v>975001200</v>
      </c>
      <c r="D2966" s="21">
        <v>15</v>
      </c>
      <c r="E2966" s="21"/>
      <c r="F2966" s="21" t="s">
        <v>10438</v>
      </c>
      <c r="G2966" s="21"/>
      <c r="H2966" s="54">
        <v>225</v>
      </c>
      <c r="I2966" s="51"/>
      <c r="J2966" s="27"/>
      <c r="K2966" s="27"/>
      <c r="L2966" s="15"/>
      <c r="M2966" s="15"/>
      <c r="N2966" s="4" t="s">
        <v>4956</v>
      </c>
      <c r="O2966" s="4"/>
    </row>
    <row r="2967" spans="1:15" x14ac:dyDescent="0.2">
      <c r="A2967" s="2">
        <v>40005798</v>
      </c>
      <c r="B2967" s="2" t="s">
        <v>1221</v>
      </c>
      <c r="C2967" s="5" t="s">
        <v>6934</v>
      </c>
      <c r="D2967" s="21">
        <v>3</v>
      </c>
      <c r="E2967" s="21"/>
      <c r="F2967" s="21" t="s">
        <v>10438</v>
      </c>
      <c r="G2967" s="21"/>
      <c r="H2967" s="54">
        <v>120</v>
      </c>
      <c r="I2967" s="51"/>
      <c r="J2967" s="27"/>
      <c r="K2967" s="27"/>
      <c r="L2967" s="15"/>
      <c r="M2967" s="15"/>
      <c r="N2967" s="4" t="s">
        <v>4266</v>
      </c>
      <c r="O2967" s="4"/>
    </row>
    <row r="2968" spans="1:15" x14ac:dyDescent="0.2">
      <c r="A2968" s="2">
        <v>40007940</v>
      </c>
      <c r="B2968" s="2" t="s">
        <v>3093</v>
      </c>
      <c r="C2968" s="5" t="s">
        <v>8785</v>
      </c>
      <c r="D2968" s="21">
        <v>13</v>
      </c>
      <c r="E2968" s="21"/>
      <c r="F2968" s="21" t="s">
        <v>10438</v>
      </c>
      <c r="G2968" s="21"/>
      <c r="H2968" s="54">
        <v>26</v>
      </c>
      <c r="I2968" s="51"/>
      <c r="J2968" s="27"/>
      <c r="K2968" s="27"/>
      <c r="L2968" s="15"/>
      <c r="M2968" s="15"/>
      <c r="N2968" s="4" t="s">
        <v>4901</v>
      </c>
      <c r="O2968" s="4">
        <v>93</v>
      </c>
    </row>
    <row r="2969" spans="1:15" x14ac:dyDescent="0.2">
      <c r="A2969" s="2">
        <v>40006239</v>
      </c>
      <c r="B2969" s="2" t="s">
        <v>1617</v>
      </c>
      <c r="C2969" s="5">
        <v>962900061</v>
      </c>
      <c r="D2969" s="21">
        <v>2</v>
      </c>
      <c r="E2969" s="21"/>
      <c r="F2969" s="21" t="s">
        <v>10438</v>
      </c>
      <c r="G2969" s="21"/>
      <c r="H2969" s="54">
        <v>55</v>
      </c>
      <c r="I2969" s="51"/>
      <c r="J2969" s="27"/>
      <c r="K2969" s="27"/>
      <c r="L2969" s="15"/>
      <c r="M2969" s="15"/>
      <c r="N2969" s="4" t="s">
        <v>4210</v>
      </c>
      <c r="O2969" s="4"/>
    </row>
    <row r="2970" spans="1:15" x14ac:dyDescent="0.2">
      <c r="A2970" s="2">
        <v>40007368</v>
      </c>
      <c r="B2970" s="2" t="s">
        <v>2598</v>
      </c>
      <c r="C2970" s="5" t="s">
        <v>8298</v>
      </c>
      <c r="D2970" s="21">
        <v>3</v>
      </c>
      <c r="E2970" s="21"/>
      <c r="F2970" s="21" t="s">
        <v>10438</v>
      </c>
      <c r="G2970" s="21"/>
      <c r="H2970" s="54">
        <v>4</v>
      </c>
      <c r="I2970" s="51"/>
      <c r="J2970" s="27"/>
      <c r="K2970" s="27"/>
      <c r="L2970" s="15">
        <v>5</v>
      </c>
      <c r="M2970" s="15"/>
      <c r="N2970" s="4" t="s">
        <v>4388</v>
      </c>
      <c r="O2970" s="4"/>
    </row>
    <row r="2971" spans="1:15" x14ac:dyDescent="0.2">
      <c r="A2971" s="2">
        <v>40005545</v>
      </c>
      <c r="B2971" s="2" t="s">
        <v>1005</v>
      </c>
      <c r="C2971" s="5" t="s">
        <v>6729</v>
      </c>
      <c r="D2971" s="21"/>
      <c r="E2971" s="21"/>
      <c r="F2971" s="21" t="s">
        <v>10438</v>
      </c>
      <c r="G2971" s="21"/>
      <c r="H2971" s="54">
        <v>7</v>
      </c>
      <c r="I2971" s="51"/>
      <c r="J2971" s="27"/>
      <c r="K2971" s="27"/>
      <c r="L2971" s="15"/>
      <c r="M2971" s="15"/>
      <c r="N2971" s="4" t="s">
        <v>4140</v>
      </c>
      <c r="O2971" s="4"/>
    </row>
    <row r="2972" spans="1:15" x14ac:dyDescent="0.2">
      <c r="A2972" s="2">
        <v>40005992</v>
      </c>
      <c r="B2972" s="2" t="s">
        <v>1397</v>
      </c>
      <c r="C2972" s="5" t="s">
        <v>7103</v>
      </c>
      <c r="D2972" s="21">
        <v>6</v>
      </c>
      <c r="E2972" s="21"/>
      <c r="F2972" s="21" t="s">
        <v>10438</v>
      </c>
      <c r="G2972" s="21"/>
      <c r="H2972" s="54">
        <v>62</v>
      </c>
      <c r="I2972" s="51"/>
      <c r="J2972" s="27"/>
      <c r="K2972" s="27"/>
      <c r="L2972" s="15"/>
      <c r="M2972" s="15"/>
      <c r="N2972" s="4" t="s">
        <v>4317</v>
      </c>
      <c r="O2972" s="4">
        <v>86</v>
      </c>
    </row>
    <row r="2973" spans="1:15" x14ac:dyDescent="0.2">
      <c r="A2973" s="2">
        <v>40005461</v>
      </c>
      <c r="B2973" s="2" t="s">
        <v>934</v>
      </c>
      <c r="C2973" s="5" t="s">
        <v>6656</v>
      </c>
      <c r="D2973" s="21">
        <v>2</v>
      </c>
      <c r="E2973" s="21"/>
      <c r="F2973" s="21" t="s">
        <v>10438</v>
      </c>
      <c r="G2973" s="21"/>
      <c r="H2973" s="54">
        <v>41</v>
      </c>
      <c r="I2973" s="51"/>
      <c r="J2973" s="27"/>
      <c r="K2973" s="27"/>
      <c r="L2973" s="15"/>
      <c r="M2973" s="15"/>
      <c r="N2973" s="4" t="s">
        <v>4828</v>
      </c>
      <c r="O2973" s="4"/>
    </row>
    <row r="2974" spans="1:15" x14ac:dyDescent="0.2">
      <c r="A2974" s="2">
        <v>40005471</v>
      </c>
      <c r="B2974" s="2" t="s">
        <v>942</v>
      </c>
      <c r="C2974" s="5" t="s">
        <v>6664</v>
      </c>
      <c r="D2974" s="21">
        <v>1</v>
      </c>
      <c r="E2974" s="21"/>
      <c r="F2974" s="21" t="s">
        <v>10438</v>
      </c>
      <c r="G2974" s="21"/>
      <c r="H2974" s="54">
        <v>23</v>
      </c>
      <c r="I2974" s="51"/>
      <c r="J2974" s="27"/>
      <c r="K2974" s="27"/>
      <c r="L2974" s="15"/>
      <c r="M2974" s="15"/>
      <c r="N2974" s="4" t="s">
        <v>3939</v>
      </c>
      <c r="O2974" s="4"/>
    </row>
    <row r="2975" spans="1:15" x14ac:dyDescent="0.2">
      <c r="A2975" s="2">
        <v>40011206</v>
      </c>
      <c r="B2975" s="2" t="s">
        <v>3775</v>
      </c>
      <c r="C2975" s="5" t="s">
        <v>9351</v>
      </c>
      <c r="D2975" s="21">
        <v>2</v>
      </c>
      <c r="E2975" s="21"/>
      <c r="F2975" s="30">
        <v>1</v>
      </c>
      <c r="G2975" s="21"/>
      <c r="H2975" s="54">
        <v>19</v>
      </c>
      <c r="I2975" s="51"/>
      <c r="J2975" s="27"/>
      <c r="K2975" s="27"/>
      <c r="L2975" s="15"/>
      <c r="M2975" s="15"/>
      <c r="N2975" s="4" t="s">
        <v>5284</v>
      </c>
      <c r="O2975" s="4"/>
    </row>
    <row r="2976" spans="1:15" x14ac:dyDescent="0.2">
      <c r="A2976" s="2">
        <v>40006233</v>
      </c>
      <c r="B2976" s="2" t="s">
        <v>1611</v>
      </c>
      <c r="C2976" s="5" t="s">
        <v>7315</v>
      </c>
      <c r="D2976" s="21">
        <v>3</v>
      </c>
      <c r="E2976" s="21"/>
      <c r="F2976" s="21" t="s">
        <v>10438</v>
      </c>
      <c r="G2976" s="21"/>
      <c r="H2976" s="54">
        <v>28</v>
      </c>
      <c r="I2976" s="51"/>
      <c r="J2976" s="27"/>
      <c r="K2976" s="27"/>
      <c r="L2976" s="15"/>
      <c r="M2976" s="15"/>
      <c r="N2976" s="4"/>
      <c r="O2976" s="4">
        <v>78</v>
      </c>
    </row>
    <row r="2977" spans="1:15" x14ac:dyDescent="0.2">
      <c r="A2977" s="2">
        <v>40006438</v>
      </c>
      <c r="B2977" s="2" t="s">
        <v>1796</v>
      </c>
      <c r="C2977" s="5" t="s">
        <v>7503</v>
      </c>
      <c r="D2977" s="21">
        <v>5</v>
      </c>
      <c r="E2977" s="21"/>
      <c r="F2977" s="21" t="s">
        <v>10438</v>
      </c>
      <c r="G2977" s="21"/>
      <c r="H2977" s="54">
        <v>22</v>
      </c>
      <c r="I2977" s="51"/>
      <c r="J2977" s="27"/>
      <c r="K2977" s="27"/>
      <c r="L2977" s="15"/>
      <c r="M2977" s="15"/>
      <c r="N2977" s="4" t="s">
        <v>4509</v>
      </c>
      <c r="O2977" s="4"/>
    </row>
    <row r="2978" spans="1:15" x14ac:dyDescent="0.2">
      <c r="A2978" s="2">
        <v>40006088</v>
      </c>
      <c r="B2978" s="2" t="s">
        <v>1480</v>
      </c>
      <c r="C2978" s="5" t="s">
        <v>7185</v>
      </c>
      <c r="D2978" s="21">
        <v>8</v>
      </c>
      <c r="E2978" s="21"/>
      <c r="F2978" s="21" t="s">
        <v>10438</v>
      </c>
      <c r="G2978" s="21"/>
      <c r="H2978" s="54">
        <v>21</v>
      </c>
      <c r="I2978" s="51"/>
      <c r="J2978" s="27"/>
      <c r="K2978" s="27"/>
      <c r="L2978" s="15"/>
      <c r="M2978" s="15"/>
      <c r="N2978" s="4" t="s">
        <v>4405</v>
      </c>
      <c r="O2978" s="4"/>
    </row>
    <row r="2979" spans="1:15" x14ac:dyDescent="0.2">
      <c r="A2979" s="2">
        <v>40005394</v>
      </c>
      <c r="B2979" s="2" t="s">
        <v>871</v>
      </c>
      <c r="C2979" s="5" t="s">
        <v>6593</v>
      </c>
      <c r="D2979" s="21">
        <v>6</v>
      </c>
      <c r="E2979" s="21"/>
      <c r="F2979" s="21" t="s">
        <v>10438</v>
      </c>
      <c r="G2979" s="21"/>
      <c r="H2979" s="54">
        <v>47</v>
      </c>
      <c r="I2979" s="51"/>
      <c r="J2979" s="27"/>
      <c r="K2979" s="27"/>
      <c r="L2979" s="15"/>
      <c r="M2979" s="15"/>
      <c r="N2979" s="4" t="s">
        <v>4094</v>
      </c>
      <c r="O2979" s="4"/>
    </row>
    <row r="2980" spans="1:15" x14ac:dyDescent="0.2">
      <c r="A2980" s="2">
        <v>40007102</v>
      </c>
      <c r="B2980" s="2" t="s">
        <v>2374</v>
      </c>
      <c r="C2980" s="5" t="s">
        <v>8079</v>
      </c>
      <c r="D2980" s="21">
        <v>8</v>
      </c>
      <c r="E2980" s="21"/>
      <c r="F2980" s="21" t="s">
        <v>10438</v>
      </c>
      <c r="G2980" s="21"/>
      <c r="H2980" s="54">
        <v>79</v>
      </c>
      <c r="I2980" s="51"/>
      <c r="J2980" s="27"/>
      <c r="K2980" s="27"/>
      <c r="L2980" s="15"/>
      <c r="M2980" s="15"/>
      <c r="N2980" s="4" t="s">
        <v>10477</v>
      </c>
      <c r="O2980" s="4"/>
    </row>
    <row r="2981" spans="1:15" x14ac:dyDescent="0.2">
      <c r="A2981" s="2">
        <v>40005463</v>
      </c>
      <c r="B2981" s="2" t="s">
        <v>936</v>
      </c>
      <c r="C2981" s="5" t="s">
        <v>6658</v>
      </c>
      <c r="D2981" s="21">
        <v>6</v>
      </c>
      <c r="E2981" s="21"/>
      <c r="F2981" s="21" t="s">
        <v>10438</v>
      </c>
      <c r="G2981" s="21"/>
      <c r="H2981" s="54">
        <v>29</v>
      </c>
      <c r="I2981" s="51"/>
      <c r="J2981" s="27"/>
      <c r="K2981" s="27"/>
      <c r="L2981" s="15"/>
      <c r="M2981" s="15"/>
      <c r="N2981" s="4" t="s">
        <v>3939</v>
      </c>
      <c r="O2981" s="4"/>
    </row>
    <row r="2982" spans="1:15" x14ac:dyDescent="0.2">
      <c r="A2982" s="2">
        <v>40011165</v>
      </c>
      <c r="B2982" s="2" t="s">
        <v>3604</v>
      </c>
      <c r="C2982" s="5" t="s">
        <v>9338</v>
      </c>
      <c r="D2982" s="21">
        <v>1</v>
      </c>
      <c r="E2982" s="21"/>
      <c r="F2982" s="21" t="s">
        <v>10438</v>
      </c>
      <c r="G2982" s="21"/>
      <c r="H2982" s="54">
        <v>27</v>
      </c>
      <c r="I2982" s="51"/>
      <c r="J2982" s="27"/>
      <c r="K2982" s="27"/>
      <c r="L2982" s="15"/>
      <c r="M2982" s="15"/>
      <c r="N2982" s="4" t="s">
        <v>4633</v>
      </c>
      <c r="O2982" s="4"/>
    </row>
    <row r="2983" spans="1:15" x14ac:dyDescent="0.2">
      <c r="A2983" s="2">
        <v>40011164</v>
      </c>
      <c r="B2983" s="2" t="s">
        <v>3603</v>
      </c>
      <c r="C2983" s="5" t="s">
        <v>9337</v>
      </c>
      <c r="D2983" s="21">
        <v>4</v>
      </c>
      <c r="E2983" s="21"/>
      <c r="F2983" s="21" t="s">
        <v>10438</v>
      </c>
      <c r="G2983" s="21"/>
      <c r="H2983" s="54">
        <v>31</v>
      </c>
      <c r="I2983" s="51"/>
      <c r="J2983" s="27"/>
      <c r="K2983" s="27"/>
      <c r="L2983" s="15"/>
      <c r="M2983" s="15"/>
      <c r="N2983" s="4" t="s">
        <v>4633</v>
      </c>
      <c r="O2983" s="4"/>
    </row>
    <row r="2984" spans="1:15" x14ac:dyDescent="0.2">
      <c r="A2984" s="2">
        <v>40005482</v>
      </c>
      <c r="B2984" s="2" t="s">
        <v>952</v>
      </c>
      <c r="C2984" s="5" t="s">
        <v>6674</v>
      </c>
      <c r="D2984" s="21">
        <v>1</v>
      </c>
      <c r="E2984" s="21"/>
      <c r="F2984" s="21" t="s">
        <v>10438</v>
      </c>
      <c r="G2984" s="21"/>
      <c r="H2984" s="54">
        <v>20</v>
      </c>
      <c r="I2984" s="51"/>
      <c r="J2984" s="27"/>
      <c r="K2984" s="27"/>
      <c r="L2984" s="15"/>
      <c r="M2984" s="15"/>
      <c r="N2984" s="4" t="s">
        <v>3939</v>
      </c>
      <c r="O2984" s="4"/>
    </row>
    <row r="2985" spans="1:15" x14ac:dyDescent="0.2">
      <c r="A2985" s="2">
        <v>10018460</v>
      </c>
      <c r="B2985" s="2" t="s">
        <v>3889</v>
      </c>
      <c r="C2985" s="5" t="s">
        <v>5735</v>
      </c>
      <c r="D2985" s="21">
        <v>3</v>
      </c>
      <c r="E2985" s="21"/>
      <c r="F2985" s="21" t="s">
        <v>10438</v>
      </c>
      <c r="G2985" s="21"/>
      <c r="H2985" s="54">
        <v>360</v>
      </c>
      <c r="I2985" s="51"/>
      <c r="J2985" s="27"/>
      <c r="K2985" s="27"/>
      <c r="L2985" s="15"/>
      <c r="M2985" s="15"/>
      <c r="N2985" s="4">
        <v>47</v>
      </c>
      <c r="O2985" s="4"/>
    </row>
    <row r="2986" spans="1:15" x14ac:dyDescent="0.2">
      <c r="A2986" s="2">
        <v>10018602</v>
      </c>
      <c r="B2986" s="2" t="s">
        <v>3891</v>
      </c>
      <c r="C2986" s="5" t="s">
        <v>5793</v>
      </c>
      <c r="D2986" s="21"/>
      <c r="E2986" s="21"/>
      <c r="F2986" s="21" t="s">
        <v>10438</v>
      </c>
      <c r="G2986" s="21"/>
      <c r="H2986" s="54">
        <v>452</v>
      </c>
      <c r="I2986" s="51"/>
      <c r="J2986" s="27"/>
      <c r="K2986" s="27"/>
      <c r="L2986" s="15"/>
      <c r="M2986" s="15">
        <v>5</v>
      </c>
      <c r="N2986" s="4">
        <v>68</v>
      </c>
      <c r="O2986" s="4"/>
    </row>
    <row r="2987" spans="1:15" x14ac:dyDescent="0.2">
      <c r="A2987" s="2">
        <v>10019817</v>
      </c>
      <c r="B2987" s="2" t="s">
        <v>591</v>
      </c>
      <c r="C2987" s="5" t="s">
        <v>6224</v>
      </c>
      <c r="D2987" s="21"/>
      <c r="E2987" s="21"/>
      <c r="F2987" s="21" t="s">
        <v>10438</v>
      </c>
      <c r="G2987" s="21"/>
      <c r="H2987" s="54">
        <v>111</v>
      </c>
      <c r="I2987" s="51"/>
      <c r="J2987" s="27"/>
      <c r="K2987" s="27"/>
      <c r="L2987" s="15"/>
      <c r="M2987" s="15"/>
      <c r="N2987" s="4">
        <v>47</v>
      </c>
      <c r="O2987" s="4"/>
    </row>
    <row r="2988" spans="1:15" x14ac:dyDescent="0.2">
      <c r="A2988" s="2">
        <v>10019840</v>
      </c>
      <c r="B2988" s="2" t="s">
        <v>595</v>
      </c>
      <c r="C2988" s="5" t="s">
        <v>6229</v>
      </c>
      <c r="D2988" s="21">
        <v>7</v>
      </c>
      <c r="E2988" s="21"/>
      <c r="F2988" s="21" t="s">
        <v>10438</v>
      </c>
      <c r="G2988" s="21"/>
      <c r="H2988" s="54">
        <v>65</v>
      </c>
      <c r="I2988" s="51"/>
      <c r="J2988" s="27"/>
      <c r="K2988" s="27"/>
      <c r="L2988" s="15"/>
      <c r="M2988" s="15"/>
      <c r="N2988" s="4">
        <v>47</v>
      </c>
      <c r="O2988" s="4"/>
    </row>
    <row r="2989" spans="1:15" x14ac:dyDescent="0.2">
      <c r="A2989" s="2">
        <v>10019466</v>
      </c>
      <c r="B2989" s="2" t="s">
        <v>523</v>
      </c>
      <c r="C2989" s="5" t="s">
        <v>6143</v>
      </c>
      <c r="D2989" s="21">
        <v>10</v>
      </c>
      <c r="E2989" s="21"/>
      <c r="F2989" s="21" t="s">
        <v>10438</v>
      </c>
      <c r="G2989" s="21"/>
      <c r="H2989" s="54">
        <v>145</v>
      </c>
      <c r="I2989" s="51"/>
      <c r="J2989" s="27"/>
      <c r="K2989" s="27"/>
      <c r="L2989" s="15">
        <v>15</v>
      </c>
      <c r="M2989" s="15"/>
      <c r="N2989" s="4">
        <v>47</v>
      </c>
      <c r="O2989" s="4"/>
    </row>
    <row r="2990" spans="1:15" x14ac:dyDescent="0.2">
      <c r="A2990" s="2">
        <v>40007918</v>
      </c>
      <c r="B2990" s="2" t="s">
        <v>3073</v>
      </c>
      <c r="C2990" s="5" t="s">
        <v>8764</v>
      </c>
      <c r="D2990" s="21">
        <v>3</v>
      </c>
      <c r="E2990" s="21"/>
      <c r="F2990" s="21" t="s">
        <v>10438</v>
      </c>
      <c r="G2990" s="21"/>
      <c r="H2990" s="54">
        <v>38</v>
      </c>
      <c r="I2990" s="51"/>
      <c r="J2990" s="27"/>
      <c r="K2990" s="27"/>
      <c r="L2990" s="15"/>
      <c r="M2990" s="15"/>
      <c r="N2990" s="4" t="s">
        <v>5126</v>
      </c>
      <c r="O2990" s="4"/>
    </row>
    <row r="2991" spans="1:15" x14ac:dyDescent="0.2">
      <c r="A2991" s="2">
        <v>40005510</v>
      </c>
      <c r="B2991" s="2" t="s">
        <v>976</v>
      </c>
      <c r="C2991" s="5" t="s">
        <v>6698</v>
      </c>
      <c r="D2991" s="21">
        <v>1</v>
      </c>
      <c r="E2991" s="21"/>
      <c r="F2991" s="21" t="s">
        <v>10438</v>
      </c>
      <c r="G2991" s="21"/>
      <c r="H2991" s="54">
        <v>32</v>
      </c>
      <c r="I2991" s="51"/>
      <c r="J2991" s="27"/>
      <c r="K2991" s="27"/>
      <c r="L2991" s="15"/>
      <c r="M2991" s="15"/>
      <c r="N2991" s="4"/>
      <c r="O2991" s="4" t="s">
        <v>5229</v>
      </c>
    </row>
    <row r="2992" spans="1:15" x14ac:dyDescent="0.2">
      <c r="A2992" s="2">
        <v>40010275</v>
      </c>
      <c r="B2992" s="2" t="s">
        <v>3466</v>
      </c>
      <c r="C2992" s="5" t="s">
        <v>9160</v>
      </c>
      <c r="D2992" s="21">
        <v>2</v>
      </c>
      <c r="E2992" s="21"/>
      <c r="F2992" s="21" t="s">
        <v>10438</v>
      </c>
      <c r="G2992" s="21"/>
      <c r="H2992" s="54">
        <v>40</v>
      </c>
      <c r="I2992" s="51"/>
      <c r="J2992" s="27"/>
      <c r="K2992" s="27"/>
      <c r="L2992" s="15"/>
      <c r="M2992" s="15"/>
      <c r="N2992" s="4"/>
      <c r="O2992" s="4" t="s">
        <v>5117</v>
      </c>
    </row>
    <row r="2993" spans="1:15" x14ac:dyDescent="0.2">
      <c r="A2993" s="2">
        <v>40005528</v>
      </c>
      <c r="B2993" s="2" t="s">
        <v>992</v>
      </c>
      <c r="C2993" s="5" t="s">
        <v>6714</v>
      </c>
      <c r="D2993" s="21">
        <v>1</v>
      </c>
      <c r="E2993" s="21"/>
      <c r="F2993" s="21" t="s">
        <v>10438</v>
      </c>
      <c r="G2993" s="21"/>
      <c r="H2993" s="54">
        <v>17</v>
      </c>
      <c r="I2993" s="51"/>
      <c r="J2993" s="27"/>
      <c r="K2993" s="27"/>
      <c r="L2993" s="15"/>
      <c r="M2993" s="15"/>
      <c r="N2993" s="4"/>
      <c r="O2993" s="4" t="s">
        <v>4109</v>
      </c>
    </row>
    <row r="2994" spans="1:15" x14ac:dyDescent="0.2">
      <c r="A2994" s="2">
        <v>10018612</v>
      </c>
      <c r="B2994" s="2" t="s">
        <v>236</v>
      </c>
      <c r="C2994" s="5" t="s">
        <v>5798</v>
      </c>
      <c r="D2994" s="21">
        <v>9</v>
      </c>
      <c r="E2994" s="21"/>
      <c r="F2994" s="21" t="s">
        <v>10438</v>
      </c>
      <c r="G2994" s="21"/>
      <c r="H2994" s="54">
        <v>3953</v>
      </c>
      <c r="I2994" s="51"/>
      <c r="J2994" s="27"/>
      <c r="K2994" s="27"/>
      <c r="L2994" s="15"/>
      <c r="M2994" s="15"/>
      <c r="N2994" s="4"/>
      <c r="O2994" s="4">
        <v>77</v>
      </c>
    </row>
    <row r="2995" spans="1:15" x14ac:dyDescent="0.2">
      <c r="A2995" s="2">
        <v>40005694</v>
      </c>
      <c r="B2995" s="2" t="s">
        <v>1127</v>
      </c>
      <c r="C2995" s="5" t="s">
        <v>6844</v>
      </c>
      <c r="D2995" s="21">
        <v>5</v>
      </c>
      <c r="E2995" s="21"/>
      <c r="F2995" s="21" t="s">
        <v>10438</v>
      </c>
      <c r="G2995" s="21"/>
      <c r="H2995" s="54">
        <v>10</v>
      </c>
      <c r="I2995" s="51"/>
      <c r="J2995" s="27"/>
      <c r="K2995" s="27"/>
      <c r="L2995" s="15"/>
      <c r="M2995" s="15"/>
      <c r="N2995" s="4" t="s">
        <v>4220</v>
      </c>
      <c r="O2995" s="4"/>
    </row>
    <row r="2996" spans="1:15" x14ac:dyDescent="0.2">
      <c r="A2996" s="2">
        <v>40006404</v>
      </c>
      <c r="B2996" s="2" t="s">
        <v>1764</v>
      </c>
      <c r="C2996" s="5" t="s">
        <v>7475</v>
      </c>
      <c r="D2996" s="21">
        <v>26</v>
      </c>
      <c r="E2996" s="21"/>
      <c r="F2996" s="21" t="s">
        <v>10438</v>
      </c>
      <c r="G2996" s="21"/>
      <c r="H2996" s="54">
        <v>8</v>
      </c>
      <c r="I2996" s="51"/>
      <c r="J2996" s="27"/>
      <c r="K2996" s="27"/>
      <c r="L2996" s="15"/>
      <c r="M2996" s="15"/>
      <c r="N2996" s="4" t="s">
        <v>4185</v>
      </c>
      <c r="O2996" s="4"/>
    </row>
    <row r="2997" spans="1:15" x14ac:dyDescent="0.2">
      <c r="A2997" s="2">
        <v>40005435</v>
      </c>
      <c r="B2997" s="2" t="s">
        <v>909</v>
      </c>
      <c r="C2997" s="5" t="s">
        <v>6632</v>
      </c>
      <c r="D2997" s="21">
        <v>2</v>
      </c>
      <c r="E2997" s="21"/>
      <c r="F2997" s="21" t="s">
        <v>10438</v>
      </c>
      <c r="G2997" s="21"/>
      <c r="H2997" s="54">
        <v>89</v>
      </c>
      <c r="I2997" s="51"/>
      <c r="J2997" s="27"/>
      <c r="K2997" s="27"/>
      <c r="L2997" s="15"/>
      <c r="M2997" s="15"/>
      <c r="N2997" s="4"/>
      <c r="O2997" s="4" t="s">
        <v>10357</v>
      </c>
    </row>
    <row r="2998" spans="1:15" x14ac:dyDescent="0.2">
      <c r="A2998" s="2">
        <v>40006300</v>
      </c>
      <c r="B2998" s="2" t="s">
        <v>3812</v>
      </c>
      <c r="C2998" s="5" t="s">
        <v>7380</v>
      </c>
      <c r="D2998" s="21">
        <v>10</v>
      </c>
      <c r="E2998" s="21"/>
      <c r="F2998" s="21" t="s">
        <v>10438</v>
      </c>
      <c r="G2998" s="21"/>
      <c r="H2998" s="54">
        <v>75</v>
      </c>
      <c r="I2998" s="51"/>
      <c r="J2998" s="27"/>
      <c r="K2998" s="27"/>
      <c r="L2998" s="15"/>
      <c r="M2998" s="15"/>
      <c r="N2998" s="4" t="s">
        <v>4515</v>
      </c>
      <c r="O2998" s="4"/>
    </row>
    <row r="2999" spans="1:15" x14ac:dyDescent="0.2">
      <c r="A2999" s="2">
        <v>40011139</v>
      </c>
      <c r="B2999" s="2" t="s">
        <v>3704</v>
      </c>
      <c r="C2999" s="5" t="s">
        <v>9319</v>
      </c>
      <c r="D2999" s="21">
        <v>12</v>
      </c>
      <c r="E2999" s="21"/>
      <c r="F2999" s="30">
        <v>2</v>
      </c>
      <c r="G2999" s="21"/>
      <c r="H2999" s="54">
        <v>30</v>
      </c>
      <c r="I2999" s="51"/>
      <c r="J2999" s="27"/>
      <c r="K2999" s="27"/>
      <c r="L2999" s="15"/>
      <c r="M2999" s="15"/>
      <c r="N2999" s="4" t="s">
        <v>4766</v>
      </c>
      <c r="O2999" s="4"/>
    </row>
    <row r="3000" spans="1:15" x14ac:dyDescent="0.2">
      <c r="A3000" s="2">
        <v>40006956</v>
      </c>
      <c r="B3000" s="2" t="s">
        <v>2247</v>
      </c>
      <c r="C3000" s="5" t="s">
        <v>7953</v>
      </c>
      <c r="D3000" s="21">
        <v>13</v>
      </c>
      <c r="E3000" s="21"/>
      <c r="F3000" s="21" t="s">
        <v>10438</v>
      </c>
      <c r="G3000" s="21"/>
      <c r="H3000" s="54">
        <v>31</v>
      </c>
      <c r="I3000" s="51"/>
      <c r="J3000" s="27"/>
      <c r="K3000" s="27"/>
      <c r="L3000" s="15"/>
      <c r="M3000" s="15"/>
      <c r="N3000" s="4" t="s">
        <v>4762</v>
      </c>
      <c r="O3000" s="4"/>
    </row>
    <row r="3001" spans="1:15" x14ac:dyDescent="0.2">
      <c r="A3001" s="2">
        <v>40005428</v>
      </c>
      <c r="B3001" s="2" t="s">
        <v>903</v>
      </c>
      <c r="C3001" s="5" t="s">
        <v>6625</v>
      </c>
      <c r="D3001" s="21">
        <v>1</v>
      </c>
      <c r="E3001" s="21"/>
      <c r="F3001" s="21" t="s">
        <v>10438</v>
      </c>
      <c r="G3001" s="21"/>
      <c r="H3001" s="54">
        <v>236</v>
      </c>
      <c r="I3001" s="51"/>
      <c r="J3001" s="27"/>
      <c r="K3001" s="27"/>
      <c r="L3001" s="15"/>
      <c r="M3001" s="15"/>
      <c r="N3001" s="4" t="s">
        <v>4095</v>
      </c>
      <c r="O3001" s="4"/>
    </row>
    <row r="3002" spans="1:15" x14ac:dyDescent="0.2">
      <c r="A3002" s="2">
        <v>40007344</v>
      </c>
      <c r="B3002" s="2" t="s">
        <v>2579</v>
      </c>
      <c r="C3002" s="5" t="s">
        <v>8276</v>
      </c>
      <c r="D3002" s="21">
        <v>8</v>
      </c>
      <c r="E3002" s="21"/>
      <c r="F3002" s="21" t="s">
        <v>10438</v>
      </c>
      <c r="G3002" s="21"/>
      <c r="H3002" s="54">
        <v>201</v>
      </c>
      <c r="I3002" s="51"/>
      <c r="J3002" s="27"/>
      <c r="K3002" s="27"/>
      <c r="L3002" s="15"/>
      <c r="M3002" s="15"/>
      <c r="N3002" s="4" t="s">
        <v>4271</v>
      </c>
      <c r="O3002" s="4" t="s">
        <v>10358</v>
      </c>
    </row>
    <row r="3003" spans="1:15" x14ac:dyDescent="0.2">
      <c r="A3003" s="2">
        <v>40007065</v>
      </c>
      <c r="B3003" s="2" t="s">
        <v>2340</v>
      </c>
      <c r="C3003" s="5" t="s">
        <v>8049</v>
      </c>
      <c r="D3003" s="21">
        <v>9</v>
      </c>
      <c r="E3003" s="21"/>
      <c r="F3003" s="21" t="s">
        <v>10438</v>
      </c>
      <c r="G3003" s="21"/>
      <c r="H3003" s="54">
        <v>340</v>
      </c>
      <c r="I3003" s="51"/>
      <c r="J3003" s="27"/>
      <c r="K3003" s="27"/>
      <c r="L3003" s="15"/>
      <c r="M3003" s="15"/>
      <c r="N3003" s="4" t="s">
        <v>4771</v>
      </c>
      <c r="O3003" s="4"/>
    </row>
    <row r="3004" spans="1:15" x14ac:dyDescent="0.2">
      <c r="A3004" s="2">
        <v>40006286</v>
      </c>
      <c r="B3004" s="2" t="s">
        <v>1659</v>
      </c>
      <c r="C3004" s="5" t="s">
        <v>7367</v>
      </c>
      <c r="D3004" s="21">
        <v>10</v>
      </c>
      <c r="E3004" s="21"/>
      <c r="F3004" s="21" t="s">
        <v>10438</v>
      </c>
      <c r="G3004" s="21"/>
      <c r="H3004" s="54">
        <v>33</v>
      </c>
      <c r="I3004" s="51"/>
      <c r="J3004" s="27"/>
      <c r="K3004" s="27"/>
      <c r="L3004" s="15"/>
      <c r="M3004" s="15"/>
      <c r="N3004" s="4" t="s">
        <v>4441</v>
      </c>
      <c r="O3004" s="4"/>
    </row>
    <row r="3005" spans="1:15" x14ac:dyDescent="0.2">
      <c r="A3005" s="2">
        <v>40008059</v>
      </c>
      <c r="B3005" s="2" t="s">
        <v>3191</v>
      </c>
      <c r="C3005" s="5" t="s">
        <v>8886</v>
      </c>
      <c r="D3005" s="21">
        <v>6</v>
      </c>
      <c r="E3005" s="21"/>
      <c r="F3005" s="21" t="s">
        <v>10438</v>
      </c>
      <c r="G3005" s="21"/>
      <c r="H3005" s="54">
        <v>72</v>
      </c>
      <c r="I3005" s="51"/>
      <c r="J3005" s="27"/>
      <c r="K3005" s="27"/>
      <c r="L3005" s="15"/>
      <c r="M3005" s="15"/>
      <c r="N3005" s="4" t="s">
        <v>5182</v>
      </c>
      <c r="O3005" s="4"/>
    </row>
    <row r="3006" spans="1:15" x14ac:dyDescent="0.2">
      <c r="A3006" s="2">
        <v>40006364</v>
      </c>
      <c r="B3006" s="2" t="s">
        <v>1727</v>
      </c>
      <c r="C3006" s="5" t="s">
        <v>7437</v>
      </c>
      <c r="D3006" s="21">
        <v>5</v>
      </c>
      <c r="E3006" s="21"/>
      <c r="F3006" s="21" t="s">
        <v>10438</v>
      </c>
      <c r="G3006" s="21"/>
      <c r="H3006" s="54">
        <v>8</v>
      </c>
      <c r="I3006" s="51"/>
      <c r="J3006" s="27"/>
      <c r="K3006" s="27"/>
      <c r="L3006" s="15"/>
      <c r="M3006" s="15"/>
      <c r="N3006" s="4" t="s">
        <v>4549</v>
      </c>
      <c r="O3006" s="4"/>
    </row>
    <row r="3007" spans="1:15" x14ac:dyDescent="0.2">
      <c r="A3007" s="2">
        <v>40006169</v>
      </c>
      <c r="B3007" s="2" t="s">
        <v>1555</v>
      </c>
      <c r="C3007" s="5" t="s">
        <v>7261</v>
      </c>
      <c r="D3007" s="21">
        <v>7</v>
      </c>
      <c r="E3007" s="21"/>
      <c r="F3007" s="21" t="s">
        <v>10438</v>
      </c>
      <c r="G3007" s="21"/>
      <c r="H3007" s="54">
        <v>1</v>
      </c>
      <c r="I3007" s="51"/>
      <c r="J3007" s="27"/>
      <c r="K3007" s="27"/>
      <c r="L3007" s="15"/>
      <c r="M3007" s="15"/>
      <c r="N3007" s="4" t="s">
        <v>4447</v>
      </c>
      <c r="O3007" s="4"/>
    </row>
    <row r="3008" spans="1:15" x14ac:dyDescent="0.2">
      <c r="A3008" s="2">
        <v>40006076</v>
      </c>
      <c r="B3008" s="2" t="s">
        <v>1469</v>
      </c>
      <c r="C3008" s="5" t="s">
        <v>7174</v>
      </c>
      <c r="D3008" s="21">
        <v>18</v>
      </c>
      <c r="E3008" s="21"/>
      <c r="F3008" s="21" t="s">
        <v>10438</v>
      </c>
      <c r="G3008" s="21"/>
      <c r="H3008" s="54">
        <v>7</v>
      </c>
      <c r="I3008" s="51"/>
      <c r="J3008" s="27"/>
      <c r="K3008" s="27"/>
      <c r="L3008" s="15"/>
      <c r="M3008" s="15"/>
      <c r="N3008" s="4" t="s">
        <v>4399</v>
      </c>
      <c r="O3008" s="4"/>
    </row>
    <row r="3009" spans="1:15" x14ac:dyDescent="0.2">
      <c r="A3009" s="2">
        <v>40005547</v>
      </c>
      <c r="B3009" s="2" t="s">
        <v>1007</v>
      </c>
      <c r="C3009" s="5" t="s">
        <v>6731</v>
      </c>
      <c r="D3009" s="21">
        <v>5</v>
      </c>
      <c r="E3009" s="21"/>
      <c r="F3009" s="21" t="s">
        <v>10438</v>
      </c>
      <c r="G3009" s="21"/>
      <c r="H3009" s="54">
        <v>4</v>
      </c>
      <c r="I3009" s="51"/>
      <c r="J3009" s="27"/>
      <c r="K3009" s="27"/>
      <c r="L3009" s="15"/>
      <c r="M3009" s="15"/>
      <c r="N3009" s="4" t="s">
        <v>4141</v>
      </c>
      <c r="O3009" s="4"/>
    </row>
    <row r="3010" spans="1:15" x14ac:dyDescent="0.2">
      <c r="A3010" s="2">
        <v>40006272</v>
      </c>
      <c r="B3010" s="2" t="s">
        <v>1646</v>
      </c>
      <c r="C3010" s="5" t="s">
        <v>7353</v>
      </c>
      <c r="D3010" s="21">
        <v>1</v>
      </c>
      <c r="E3010" s="21"/>
      <c r="F3010" s="21" t="s">
        <v>10438</v>
      </c>
      <c r="G3010" s="21"/>
      <c r="H3010" s="54">
        <v>10</v>
      </c>
      <c r="I3010" s="51"/>
      <c r="J3010" s="27"/>
      <c r="K3010" s="27"/>
      <c r="L3010" s="15"/>
      <c r="M3010" s="15"/>
      <c r="N3010" s="4" t="s">
        <v>4447</v>
      </c>
      <c r="O3010" s="4"/>
    </row>
    <row r="3011" spans="1:15" x14ac:dyDescent="0.2">
      <c r="A3011" s="2">
        <v>40006023</v>
      </c>
      <c r="B3011" s="2" t="s">
        <v>1425</v>
      </c>
      <c r="C3011" s="5" t="s">
        <v>7127</v>
      </c>
      <c r="D3011" s="21">
        <v>8</v>
      </c>
      <c r="E3011" s="21"/>
      <c r="F3011" s="21" t="s">
        <v>10438</v>
      </c>
      <c r="G3011" s="21"/>
      <c r="H3011" s="54">
        <v>4</v>
      </c>
      <c r="I3011" s="51"/>
      <c r="J3011" s="27"/>
      <c r="K3011" s="27"/>
      <c r="L3011" s="15"/>
      <c r="M3011" s="15"/>
      <c r="N3011" s="4" t="s">
        <v>4372</v>
      </c>
      <c r="O3011" s="4"/>
    </row>
    <row r="3012" spans="1:15" x14ac:dyDescent="0.2">
      <c r="A3012" s="2">
        <v>40006967</v>
      </c>
      <c r="B3012" s="2" t="s">
        <v>2258</v>
      </c>
      <c r="C3012" s="5" t="s">
        <v>7964</v>
      </c>
      <c r="D3012" s="21">
        <v>7</v>
      </c>
      <c r="E3012" s="21"/>
      <c r="F3012" s="21" t="s">
        <v>10438</v>
      </c>
      <c r="G3012" s="21"/>
      <c r="H3012" s="54">
        <v>4</v>
      </c>
      <c r="I3012" s="51"/>
      <c r="J3012" s="27"/>
      <c r="K3012" s="27"/>
      <c r="L3012" s="15">
        <v>18</v>
      </c>
      <c r="M3012" s="15"/>
      <c r="N3012" s="4" t="s">
        <v>4767</v>
      </c>
      <c r="O3012" s="4"/>
    </row>
    <row r="3013" spans="1:15" x14ac:dyDescent="0.2">
      <c r="A3013" s="2">
        <v>40006788</v>
      </c>
      <c r="B3013" s="2" t="s">
        <v>2088</v>
      </c>
      <c r="C3013" s="5" t="s">
        <v>7797</v>
      </c>
      <c r="D3013" s="21">
        <v>9</v>
      </c>
      <c r="E3013" s="21"/>
      <c r="F3013" s="21" t="s">
        <v>10438</v>
      </c>
      <c r="G3013" s="21"/>
      <c r="H3013" s="54">
        <v>4</v>
      </c>
      <c r="I3013" s="51"/>
      <c r="J3013" s="27"/>
      <c r="K3013" s="27"/>
      <c r="L3013" s="15"/>
      <c r="M3013" s="15"/>
      <c r="N3013" s="4" t="s">
        <v>4684</v>
      </c>
      <c r="O3013" s="4"/>
    </row>
    <row r="3014" spans="1:15" x14ac:dyDescent="0.2">
      <c r="A3014" s="2">
        <v>40006928</v>
      </c>
      <c r="B3014" s="2" t="s">
        <v>2221</v>
      </c>
      <c r="C3014" s="5" t="s">
        <v>7930</v>
      </c>
      <c r="D3014" s="21">
        <v>23</v>
      </c>
      <c r="E3014" s="21"/>
      <c r="F3014" s="21" t="s">
        <v>10438</v>
      </c>
      <c r="G3014" s="21"/>
      <c r="H3014" s="54">
        <v>2</v>
      </c>
      <c r="I3014" s="51"/>
      <c r="J3014" s="27"/>
      <c r="K3014" s="27"/>
      <c r="L3014" s="15">
        <v>30</v>
      </c>
      <c r="M3014" s="15"/>
      <c r="N3014" s="4" t="s">
        <v>4749</v>
      </c>
      <c r="O3014" s="4"/>
    </row>
    <row r="3015" spans="1:15" x14ac:dyDescent="0.2">
      <c r="A3015" s="2">
        <v>40005786</v>
      </c>
      <c r="B3015" s="2" t="s">
        <v>1210</v>
      </c>
      <c r="C3015" s="5" t="s">
        <v>6923</v>
      </c>
      <c r="D3015" s="21"/>
      <c r="E3015" s="21"/>
      <c r="F3015" s="21" t="s">
        <v>10438</v>
      </c>
      <c r="G3015" s="21"/>
      <c r="H3015" s="54">
        <v>3</v>
      </c>
      <c r="I3015" s="51"/>
      <c r="J3015" s="27"/>
      <c r="K3015" s="27"/>
      <c r="L3015" s="15"/>
      <c r="M3015" s="15"/>
      <c r="N3015" s="4" t="s">
        <v>4261</v>
      </c>
      <c r="O3015" s="4"/>
    </row>
    <row r="3016" spans="1:15" x14ac:dyDescent="0.2">
      <c r="A3016" s="2">
        <v>40010304</v>
      </c>
      <c r="B3016" s="2" t="s">
        <v>3493</v>
      </c>
      <c r="C3016" s="5" t="s">
        <v>9187</v>
      </c>
      <c r="D3016" s="21">
        <v>4</v>
      </c>
      <c r="E3016" s="21"/>
      <c r="F3016" s="21" t="s">
        <v>10438</v>
      </c>
      <c r="G3016" s="21"/>
      <c r="H3016" s="54">
        <v>55</v>
      </c>
      <c r="I3016" s="51"/>
      <c r="J3016" s="27"/>
      <c r="K3016" s="27"/>
      <c r="L3016" s="15"/>
      <c r="M3016" s="15"/>
      <c r="N3016" s="4" t="s">
        <v>5251</v>
      </c>
      <c r="O3016" s="4"/>
    </row>
    <row r="3017" spans="1:15" x14ac:dyDescent="0.2">
      <c r="A3017" s="2">
        <v>10018941</v>
      </c>
      <c r="B3017" s="2" t="s">
        <v>374</v>
      </c>
      <c r="C3017" s="5" t="s">
        <v>5970</v>
      </c>
      <c r="D3017" s="21">
        <v>1</v>
      </c>
      <c r="E3017" s="21"/>
      <c r="F3017" s="21" t="s">
        <v>10438</v>
      </c>
      <c r="G3017" s="21"/>
      <c r="H3017" s="54">
        <v>1</v>
      </c>
      <c r="I3017" s="51"/>
      <c r="J3017" s="27"/>
      <c r="K3017" s="27"/>
      <c r="L3017" s="15"/>
      <c r="M3017" s="15"/>
      <c r="N3017" s="4" t="s">
        <v>3949</v>
      </c>
      <c r="O3017" s="4"/>
    </row>
    <row r="3018" spans="1:15" x14ac:dyDescent="0.2">
      <c r="A3018" s="2">
        <v>40005784</v>
      </c>
      <c r="B3018" s="2" t="s">
        <v>1209</v>
      </c>
      <c r="C3018" s="5" t="s">
        <v>6921</v>
      </c>
      <c r="D3018" s="21">
        <v>7</v>
      </c>
      <c r="E3018" s="21"/>
      <c r="F3018" s="21" t="s">
        <v>10438</v>
      </c>
      <c r="G3018" s="21"/>
      <c r="H3018" s="54">
        <v>11</v>
      </c>
      <c r="I3018" s="51"/>
      <c r="J3018" s="27"/>
      <c r="K3018" s="27"/>
      <c r="L3018" s="15"/>
      <c r="M3018" s="15"/>
      <c r="N3018" s="4"/>
      <c r="O3018" s="4" t="s">
        <v>5033</v>
      </c>
    </row>
    <row r="3019" spans="1:15" x14ac:dyDescent="0.2">
      <c r="A3019" s="2">
        <v>40005953</v>
      </c>
      <c r="B3019" s="2" t="s">
        <v>1360</v>
      </c>
      <c r="C3019" s="5" t="s">
        <v>7066</v>
      </c>
      <c r="D3019" s="21">
        <v>7</v>
      </c>
      <c r="E3019" s="21"/>
      <c r="F3019" s="21" t="s">
        <v>10438</v>
      </c>
      <c r="G3019" s="21"/>
      <c r="H3019" s="54">
        <v>3</v>
      </c>
      <c r="I3019" s="51"/>
      <c r="J3019" s="27"/>
      <c r="K3019" s="27"/>
      <c r="L3019" s="15"/>
      <c r="M3019" s="15"/>
      <c r="N3019" s="4" t="s">
        <v>4243</v>
      </c>
      <c r="O3019" s="4"/>
    </row>
    <row r="3020" spans="1:15" x14ac:dyDescent="0.2">
      <c r="A3020" s="2">
        <v>40005783</v>
      </c>
      <c r="B3020" s="2" t="s">
        <v>1208</v>
      </c>
      <c r="C3020" s="5" t="s">
        <v>6920</v>
      </c>
      <c r="D3020" s="21">
        <v>1</v>
      </c>
      <c r="E3020" s="21"/>
      <c r="F3020" s="21" t="s">
        <v>10438</v>
      </c>
      <c r="G3020" s="21"/>
      <c r="H3020" s="54">
        <v>4</v>
      </c>
      <c r="I3020" s="51"/>
      <c r="J3020" s="27"/>
      <c r="K3020" s="27"/>
      <c r="L3020" s="15"/>
      <c r="M3020" s="15"/>
      <c r="N3020" s="4"/>
      <c r="O3020" s="4" t="s">
        <v>5006</v>
      </c>
    </row>
    <row r="3021" spans="1:15" x14ac:dyDescent="0.2">
      <c r="A3021" s="2">
        <v>40005989</v>
      </c>
      <c r="B3021" s="2" t="s">
        <v>1394</v>
      </c>
      <c r="C3021" s="5" t="s">
        <v>7100</v>
      </c>
      <c r="D3021" s="21">
        <v>4</v>
      </c>
      <c r="E3021" s="21"/>
      <c r="F3021" s="21" t="s">
        <v>10438</v>
      </c>
      <c r="G3021" s="21"/>
      <c r="H3021" s="54">
        <v>14</v>
      </c>
      <c r="I3021" s="51"/>
      <c r="J3021" s="27"/>
      <c r="K3021" s="27"/>
      <c r="L3021" s="15"/>
      <c r="M3021" s="15"/>
      <c r="N3021" s="4" t="s">
        <v>4213</v>
      </c>
      <c r="O3021" s="4"/>
    </row>
    <row r="3022" spans="1:15" x14ac:dyDescent="0.2">
      <c r="A3022" s="2">
        <v>40006311</v>
      </c>
      <c r="B3022" s="2" t="s">
        <v>1679</v>
      </c>
      <c r="C3022" s="5" t="s">
        <v>7389</v>
      </c>
      <c r="D3022" s="21">
        <v>10</v>
      </c>
      <c r="E3022" s="21"/>
      <c r="F3022" s="21" t="s">
        <v>10438</v>
      </c>
      <c r="G3022" s="21"/>
      <c r="H3022" s="54">
        <v>14</v>
      </c>
      <c r="I3022" s="51"/>
      <c r="J3022" s="27"/>
      <c r="K3022" s="27"/>
      <c r="L3022" s="15"/>
      <c r="M3022" s="15"/>
      <c r="N3022" s="4" t="s">
        <v>4411</v>
      </c>
      <c r="O3022" s="4"/>
    </row>
    <row r="3023" spans="1:15" x14ac:dyDescent="0.2">
      <c r="A3023" s="2">
        <v>40005964</v>
      </c>
      <c r="B3023" s="2" t="s">
        <v>1370</v>
      </c>
      <c r="C3023" s="5" t="s">
        <v>7076</v>
      </c>
      <c r="D3023" s="21">
        <v>10</v>
      </c>
      <c r="E3023" s="21"/>
      <c r="F3023" s="21" t="s">
        <v>10438</v>
      </c>
      <c r="G3023" s="21"/>
      <c r="H3023" s="54">
        <v>4</v>
      </c>
      <c r="I3023" s="51"/>
      <c r="J3023" s="27"/>
      <c r="K3023" s="27"/>
      <c r="L3023" s="15"/>
      <c r="M3023" s="15"/>
      <c r="N3023" s="4" t="s">
        <v>4268</v>
      </c>
      <c r="O3023" s="4"/>
    </row>
    <row r="3024" spans="1:15" x14ac:dyDescent="0.2">
      <c r="A3024" s="2">
        <v>40007432</v>
      </c>
      <c r="B3024" s="2" t="s">
        <v>2652</v>
      </c>
      <c r="C3024" s="5" t="s">
        <v>8350</v>
      </c>
      <c r="D3024" s="21">
        <v>14</v>
      </c>
      <c r="E3024" s="21"/>
      <c r="F3024" s="21" t="s">
        <v>10438</v>
      </c>
      <c r="G3024" s="21"/>
      <c r="H3024" s="54">
        <v>128</v>
      </c>
      <c r="I3024" s="51"/>
      <c r="J3024" s="27"/>
      <c r="K3024" s="27"/>
      <c r="L3024" s="15"/>
      <c r="M3024" s="15"/>
      <c r="N3024" s="4" t="s">
        <v>4957</v>
      </c>
      <c r="O3024" s="4"/>
    </row>
    <row r="3025" spans="1:15" x14ac:dyDescent="0.2">
      <c r="A3025" s="2">
        <v>40011216</v>
      </c>
      <c r="B3025" s="2" t="s">
        <v>3783</v>
      </c>
      <c r="C3025" s="5" t="s">
        <v>9360</v>
      </c>
      <c r="D3025" s="21">
        <v>2</v>
      </c>
      <c r="E3025" s="21"/>
      <c r="F3025" s="21" t="s">
        <v>10438</v>
      </c>
      <c r="G3025" s="21"/>
      <c r="H3025" s="54">
        <v>59</v>
      </c>
      <c r="I3025" s="51"/>
      <c r="J3025" s="27"/>
      <c r="K3025" s="27"/>
      <c r="L3025" s="15"/>
      <c r="M3025" s="15"/>
      <c r="N3025" s="4"/>
      <c r="O3025" s="4" t="s">
        <v>10320</v>
      </c>
    </row>
    <row r="3026" spans="1:15" x14ac:dyDescent="0.2">
      <c r="A3026" s="2">
        <v>40007553</v>
      </c>
      <c r="B3026" s="2" t="s">
        <v>2753</v>
      </c>
      <c r="C3026" s="5" t="s">
        <v>8453</v>
      </c>
      <c r="D3026" s="21">
        <v>1</v>
      </c>
      <c r="E3026" s="21"/>
      <c r="F3026" s="21" t="s">
        <v>10438</v>
      </c>
      <c r="G3026" s="21"/>
      <c r="H3026" s="54">
        <v>107</v>
      </c>
      <c r="I3026" s="51"/>
      <c r="J3026" s="27"/>
      <c r="K3026" s="27"/>
      <c r="L3026" s="15"/>
      <c r="M3026" s="15"/>
      <c r="N3026" s="4" t="s">
        <v>4344</v>
      </c>
      <c r="O3026" s="4"/>
    </row>
    <row r="3027" spans="1:15" x14ac:dyDescent="0.2">
      <c r="A3027" s="2">
        <v>40007571</v>
      </c>
      <c r="B3027" s="2" t="s">
        <v>2767</v>
      </c>
      <c r="C3027" s="5" t="s">
        <v>8467</v>
      </c>
      <c r="D3027" s="21">
        <v>4</v>
      </c>
      <c r="E3027" s="21"/>
      <c r="F3027" s="21" t="s">
        <v>10438</v>
      </c>
      <c r="G3027" s="21"/>
      <c r="H3027" s="54">
        <v>107</v>
      </c>
      <c r="I3027" s="51"/>
      <c r="J3027" s="27"/>
      <c r="K3027" s="27"/>
      <c r="L3027" s="15"/>
      <c r="M3027" s="15"/>
      <c r="N3027" s="4" t="s">
        <v>5001</v>
      </c>
      <c r="O3027" s="4"/>
    </row>
    <row r="3028" spans="1:15" x14ac:dyDescent="0.2">
      <c r="A3028" s="2">
        <v>40008146</v>
      </c>
      <c r="B3028" s="2" t="s">
        <v>3269</v>
      </c>
      <c r="C3028" s="5">
        <v>119224070</v>
      </c>
      <c r="D3028" s="21">
        <v>4</v>
      </c>
      <c r="E3028" s="21"/>
      <c r="F3028" s="21" t="s">
        <v>10438</v>
      </c>
      <c r="G3028" s="21"/>
      <c r="H3028" s="54">
        <v>170</v>
      </c>
      <c r="I3028" s="51"/>
      <c r="J3028" s="27"/>
      <c r="K3028" s="27"/>
      <c r="L3028" s="15"/>
      <c r="M3028" s="15"/>
      <c r="N3028" s="4" t="s">
        <v>4267</v>
      </c>
      <c r="O3028" s="4"/>
    </row>
    <row r="3029" spans="1:15" x14ac:dyDescent="0.2">
      <c r="A3029" s="2">
        <v>40006702</v>
      </c>
      <c r="B3029" s="2" t="s">
        <v>2016</v>
      </c>
      <c r="C3029" s="5" t="s">
        <v>7726</v>
      </c>
      <c r="D3029" s="21"/>
      <c r="E3029" s="21"/>
      <c r="F3029" s="21" t="s">
        <v>10438</v>
      </c>
      <c r="G3029" s="21"/>
      <c r="H3029" s="54">
        <v>18</v>
      </c>
      <c r="I3029" s="51"/>
      <c r="J3029" s="27"/>
      <c r="K3029" s="27"/>
      <c r="L3029" s="15"/>
      <c r="M3029" s="15"/>
      <c r="N3029" s="4" t="s">
        <v>4651</v>
      </c>
      <c r="O3029" s="4"/>
    </row>
    <row r="3030" spans="1:15" x14ac:dyDescent="0.2">
      <c r="A3030" s="2">
        <v>40010783</v>
      </c>
      <c r="B3030" s="2" t="s">
        <v>3565</v>
      </c>
      <c r="C3030" s="5" t="s">
        <v>9285</v>
      </c>
      <c r="D3030" s="21">
        <v>7</v>
      </c>
      <c r="E3030" s="21"/>
      <c r="F3030" s="30">
        <v>2</v>
      </c>
      <c r="G3030" s="21"/>
      <c r="H3030" s="54">
        <v>14</v>
      </c>
      <c r="I3030" s="51"/>
      <c r="J3030" s="27"/>
      <c r="K3030" s="27"/>
      <c r="L3030" s="15"/>
      <c r="M3030" s="15"/>
      <c r="N3030" s="4" t="s">
        <v>5277</v>
      </c>
      <c r="O3030" s="4"/>
    </row>
    <row r="3031" spans="1:15" x14ac:dyDescent="0.2">
      <c r="A3031" s="2">
        <v>40011149</v>
      </c>
      <c r="B3031" s="2" t="s">
        <v>3720</v>
      </c>
      <c r="C3031" s="5" t="s">
        <v>9329</v>
      </c>
      <c r="D3031" s="21">
        <v>32</v>
      </c>
      <c r="E3031" s="21"/>
      <c r="F3031" s="21" t="s">
        <v>10438</v>
      </c>
      <c r="G3031" s="21"/>
      <c r="H3031" s="54">
        <v>19</v>
      </c>
      <c r="I3031" s="51"/>
      <c r="J3031" s="27"/>
      <c r="K3031" s="27"/>
      <c r="L3031" s="15"/>
      <c r="M3031" s="15"/>
      <c r="N3031" s="4" t="s">
        <v>5283</v>
      </c>
      <c r="O3031" s="4"/>
    </row>
    <row r="3032" spans="1:15" x14ac:dyDescent="0.2">
      <c r="A3032" s="2">
        <v>40007653</v>
      </c>
      <c r="B3032" s="2" t="s">
        <v>2834</v>
      </c>
      <c r="C3032" s="5" t="s">
        <v>8533</v>
      </c>
      <c r="D3032" s="21">
        <v>10</v>
      </c>
      <c r="E3032" s="21"/>
      <c r="F3032" s="21" t="s">
        <v>10438</v>
      </c>
      <c r="G3032" s="21"/>
      <c r="H3032" s="54">
        <v>7</v>
      </c>
      <c r="I3032" s="51"/>
      <c r="J3032" s="27"/>
      <c r="K3032" s="27"/>
      <c r="L3032" s="15"/>
      <c r="M3032" s="15"/>
      <c r="N3032" s="4" t="s">
        <v>4496</v>
      </c>
      <c r="O3032" s="4"/>
    </row>
    <row r="3033" spans="1:15" x14ac:dyDescent="0.2">
      <c r="A3033" s="2">
        <v>40006849</v>
      </c>
      <c r="B3033" s="2" t="s">
        <v>2147</v>
      </c>
      <c r="C3033" s="5" t="s">
        <v>7856</v>
      </c>
      <c r="D3033" s="21">
        <v>12</v>
      </c>
      <c r="E3033" s="21"/>
      <c r="F3033" s="21" t="s">
        <v>10438</v>
      </c>
      <c r="G3033" s="21"/>
      <c r="H3033" s="54">
        <v>4</v>
      </c>
      <c r="I3033" s="51"/>
      <c r="J3033" s="27"/>
      <c r="K3033" s="27"/>
      <c r="L3033" s="15"/>
      <c r="M3033" s="15"/>
      <c r="N3033" s="4" t="s">
        <v>4442</v>
      </c>
      <c r="O3033" s="4"/>
    </row>
    <row r="3034" spans="1:15" x14ac:dyDescent="0.2">
      <c r="A3034" s="2">
        <v>40006971</v>
      </c>
      <c r="B3034" s="2" t="s">
        <v>2261</v>
      </c>
      <c r="C3034" s="5" t="s">
        <v>7967</v>
      </c>
      <c r="D3034" s="21">
        <v>4</v>
      </c>
      <c r="E3034" s="21"/>
      <c r="F3034" s="21" t="s">
        <v>10438</v>
      </c>
      <c r="G3034" s="21"/>
      <c r="H3034" s="54">
        <v>9</v>
      </c>
      <c r="I3034" s="51"/>
      <c r="J3034" s="27"/>
      <c r="K3034" s="27"/>
      <c r="L3034" s="15"/>
      <c r="M3034" s="15"/>
      <c r="N3034" s="4" t="s">
        <v>4770</v>
      </c>
      <c r="O3034" s="4"/>
    </row>
    <row r="3035" spans="1:15" x14ac:dyDescent="0.2">
      <c r="A3035" s="2">
        <v>40007598</v>
      </c>
      <c r="B3035" s="2" t="s">
        <v>2792</v>
      </c>
      <c r="C3035" s="5" t="s">
        <v>8491</v>
      </c>
      <c r="D3035" s="21">
        <v>3</v>
      </c>
      <c r="E3035" s="21"/>
      <c r="F3035" s="21" t="s">
        <v>10438</v>
      </c>
      <c r="G3035" s="21"/>
      <c r="H3035" s="54">
        <v>12</v>
      </c>
      <c r="I3035" s="51"/>
      <c r="J3035" s="27"/>
      <c r="K3035" s="27"/>
      <c r="L3035" s="15"/>
      <c r="M3035" s="15"/>
      <c r="N3035" s="4" t="s">
        <v>5011</v>
      </c>
      <c r="O3035" s="4"/>
    </row>
    <row r="3036" spans="1:15" x14ac:dyDescent="0.2">
      <c r="A3036" s="2">
        <v>40007106</v>
      </c>
      <c r="B3036" s="2" t="s">
        <v>2377</v>
      </c>
      <c r="C3036" s="5" t="s">
        <v>8082</v>
      </c>
      <c r="D3036" s="21">
        <v>5</v>
      </c>
      <c r="E3036" s="21"/>
      <c r="F3036" s="21" t="s">
        <v>10438</v>
      </c>
      <c r="G3036" s="21"/>
      <c r="H3036" s="54">
        <v>31</v>
      </c>
      <c r="I3036" s="51"/>
      <c r="J3036" s="27"/>
      <c r="K3036" s="27"/>
      <c r="L3036" s="15"/>
      <c r="M3036" s="15"/>
      <c r="N3036" s="4" t="s">
        <v>4830</v>
      </c>
      <c r="O3036" s="4"/>
    </row>
    <row r="3037" spans="1:15" x14ac:dyDescent="0.2">
      <c r="A3037" s="2">
        <v>40008000</v>
      </c>
      <c r="B3037" s="2" t="s">
        <v>3140</v>
      </c>
      <c r="C3037" s="5" t="s">
        <v>8838</v>
      </c>
      <c r="D3037" s="21"/>
      <c r="E3037" s="21"/>
      <c r="F3037" s="21" t="s">
        <v>10438</v>
      </c>
      <c r="G3037" s="21"/>
      <c r="H3037" s="54">
        <v>18</v>
      </c>
      <c r="I3037" s="51"/>
      <c r="J3037" s="27"/>
      <c r="K3037" s="27"/>
      <c r="L3037" s="15"/>
      <c r="M3037" s="15"/>
      <c r="N3037" s="4" t="s">
        <v>4340</v>
      </c>
      <c r="O3037" s="4"/>
    </row>
    <row r="3038" spans="1:15" x14ac:dyDescent="0.2">
      <c r="A3038" s="2">
        <v>40006959</v>
      </c>
      <c r="B3038" s="2" t="s">
        <v>2250</v>
      </c>
      <c r="C3038" s="5" t="s">
        <v>7956</v>
      </c>
      <c r="D3038" s="21">
        <v>12</v>
      </c>
      <c r="E3038" s="21"/>
      <c r="F3038" s="21" t="s">
        <v>10438</v>
      </c>
      <c r="G3038" s="21"/>
      <c r="H3038" s="54">
        <v>3</v>
      </c>
      <c r="I3038" s="51"/>
      <c r="J3038" s="27"/>
      <c r="K3038" s="27"/>
      <c r="L3038" s="15"/>
      <c r="M3038" s="15"/>
      <c r="N3038" s="4" t="s">
        <v>4764</v>
      </c>
      <c r="O3038" s="4"/>
    </row>
    <row r="3039" spans="1:15" x14ac:dyDescent="0.2">
      <c r="A3039" s="2">
        <v>40005577</v>
      </c>
      <c r="B3039" s="2" t="s">
        <v>1028</v>
      </c>
      <c r="C3039" s="5" t="s">
        <v>6753</v>
      </c>
      <c r="D3039" s="21">
        <v>6</v>
      </c>
      <c r="E3039" s="21"/>
      <c r="F3039" s="21" t="s">
        <v>10438</v>
      </c>
      <c r="G3039" s="21"/>
      <c r="H3039" s="54">
        <v>92</v>
      </c>
      <c r="I3039" s="51"/>
      <c r="J3039" s="27"/>
      <c r="K3039" s="27"/>
      <c r="L3039" s="15"/>
      <c r="M3039" s="15"/>
      <c r="N3039" s="4" t="s">
        <v>4154</v>
      </c>
      <c r="O3039" s="4"/>
    </row>
    <row r="3040" spans="1:15" x14ac:dyDescent="0.2">
      <c r="A3040" s="2">
        <v>40005260</v>
      </c>
      <c r="B3040" s="2" t="s">
        <v>775</v>
      </c>
      <c r="C3040" s="5" t="s">
        <v>6490</v>
      </c>
      <c r="D3040" s="21">
        <v>5</v>
      </c>
      <c r="E3040" s="21"/>
      <c r="F3040" s="21" t="s">
        <v>10438</v>
      </c>
      <c r="G3040" s="21"/>
      <c r="H3040" s="54">
        <v>14</v>
      </c>
      <c r="I3040" s="51"/>
      <c r="J3040" s="27"/>
      <c r="K3040" s="27"/>
      <c r="L3040" s="15"/>
      <c r="M3040" s="15"/>
      <c r="N3040" s="4" t="s">
        <v>4023</v>
      </c>
      <c r="O3040" s="4"/>
    </row>
    <row r="3041" spans="1:15" x14ac:dyDescent="0.2">
      <c r="A3041" s="2">
        <v>40007094</v>
      </c>
      <c r="B3041" s="2" t="s">
        <v>2366</v>
      </c>
      <c r="C3041" s="5" t="s">
        <v>8072</v>
      </c>
      <c r="D3041" s="21">
        <v>12</v>
      </c>
      <c r="E3041" s="21"/>
      <c r="F3041" s="21" t="s">
        <v>10438</v>
      </c>
      <c r="G3041" s="21"/>
      <c r="H3041" s="54">
        <v>21</v>
      </c>
      <c r="I3041" s="51"/>
      <c r="J3041" s="27"/>
      <c r="K3041" s="27"/>
      <c r="L3041" s="15"/>
      <c r="M3041" s="15"/>
      <c r="N3041" s="4" t="s">
        <v>4825</v>
      </c>
      <c r="O3041" s="4"/>
    </row>
    <row r="3042" spans="1:15" x14ac:dyDescent="0.2">
      <c r="A3042" s="2">
        <v>40005682</v>
      </c>
      <c r="B3042" s="2" t="s">
        <v>1116</v>
      </c>
      <c r="C3042" s="5" t="s">
        <v>6834</v>
      </c>
      <c r="D3042" s="21"/>
      <c r="E3042" s="21"/>
      <c r="F3042" s="21" t="s">
        <v>10438</v>
      </c>
      <c r="G3042" s="21"/>
      <c r="H3042" s="54">
        <v>13</v>
      </c>
      <c r="I3042" s="51"/>
      <c r="J3042" s="27"/>
      <c r="K3042" s="27"/>
      <c r="L3042" s="15"/>
      <c r="M3042" s="15"/>
      <c r="N3042" s="4" t="s">
        <v>4213</v>
      </c>
      <c r="O3042" s="4"/>
    </row>
    <row r="3043" spans="1:15" x14ac:dyDescent="0.2">
      <c r="A3043" s="2">
        <v>40006395</v>
      </c>
      <c r="B3043" s="2" t="s">
        <v>1755</v>
      </c>
      <c r="C3043" s="5" t="s">
        <v>7466</v>
      </c>
      <c r="D3043" s="21">
        <v>5</v>
      </c>
      <c r="E3043" s="21"/>
      <c r="F3043" s="21" t="s">
        <v>10438</v>
      </c>
      <c r="G3043" s="21"/>
      <c r="H3043" s="54">
        <v>37</v>
      </c>
      <c r="I3043" s="51"/>
      <c r="J3043" s="27"/>
      <c r="K3043" s="27"/>
      <c r="L3043" s="15"/>
      <c r="M3043" s="15"/>
      <c r="N3043" s="4" t="s">
        <v>4569</v>
      </c>
      <c r="O3043" s="4"/>
    </row>
    <row r="3044" spans="1:15" x14ac:dyDescent="0.2">
      <c r="A3044" s="2">
        <v>40005988</v>
      </c>
      <c r="B3044" s="2" t="s">
        <v>1393</v>
      </c>
      <c r="C3044" s="5" t="s">
        <v>7099</v>
      </c>
      <c r="D3044" s="21">
        <v>6</v>
      </c>
      <c r="E3044" s="21"/>
      <c r="F3044" s="21" t="s">
        <v>10438</v>
      </c>
      <c r="G3044" s="21"/>
      <c r="H3044" s="54">
        <v>53</v>
      </c>
      <c r="I3044" s="51"/>
      <c r="J3044" s="27"/>
      <c r="K3044" s="27"/>
      <c r="L3044" s="15"/>
      <c r="M3044" s="15"/>
      <c r="N3044" s="4" t="s">
        <v>4354</v>
      </c>
      <c r="O3044" s="4"/>
    </row>
    <row r="3045" spans="1:15" x14ac:dyDescent="0.2">
      <c r="A3045" s="2">
        <v>40007181</v>
      </c>
      <c r="B3045" s="2" t="s">
        <v>2448</v>
      </c>
      <c r="C3045" s="5" t="s">
        <v>8150</v>
      </c>
      <c r="D3045" s="21">
        <v>10</v>
      </c>
      <c r="E3045" s="21"/>
      <c r="F3045" s="21" t="s">
        <v>10438</v>
      </c>
      <c r="G3045" s="21"/>
      <c r="H3045" s="54">
        <v>53</v>
      </c>
      <c r="I3045" s="51"/>
      <c r="J3045" s="27"/>
      <c r="K3045" s="27"/>
      <c r="L3045" s="15"/>
      <c r="M3045" s="15"/>
      <c r="N3045" s="4"/>
      <c r="O3045" s="4">
        <v>75</v>
      </c>
    </row>
    <row r="3046" spans="1:15" x14ac:dyDescent="0.2">
      <c r="A3046" s="2">
        <v>40010281</v>
      </c>
      <c r="B3046" s="2" t="s">
        <v>3472</v>
      </c>
      <c r="C3046" s="5" t="s">
        <v>9166</v>
      </c>
      <c r="D3046" s="21">
        <v>2</v>
      </c>
      <c r="E3046" s="21"/>
      <c r="F3046" s="21" t="s">
        <v>10438</v>
      </c>
      <c r="G3046" s="21"/>
      <c r="H3046" s="54">
        <v>75</v>
      </c>
      <c r="I3046" s="51"/>
      <c r="J3046" s="27"/>
      <c r="K3046" s="27"/>
      <c r="L3046" s="15"/>
      <c r="M3046" s="15"/>
      <c r="N3046" s="4" t="s">
        <v>5260</v>
      </c>
      <c r="O3046" s="4"/>
    </row>
    <row r="3047" spans="1:15" x14ac:dyDescent="0.2">
      <c r="A3047" s="2">
        <v>40007709</v>
      </c>
      <c r="B3047" s="2" t="s">
        <v>2885</v>
      </c>
      <c r="C3047" s="5" t="s">
        <v>8583</v>
      </c>
      <c r="D3047" s="21">
        <v>4</v>
      </c>
      <c r="E3047" s="21"/>
      <c r="F3047" s="21" t="s">
        <v>10438</v>
      </c>
      <c r="G3047" s="21"/>
      <c r="H3047" s="54">
        <v>7</v>
      </c>
      <c r="I3047" s="51"/>
      <c r="J3047" s="27"/>
      <c r="K3047" s="27"/>
      <c r="L3047" s="15"/>
      <c r="M3047" s="15"/>
      <c r="N3047" s="4" t="s">
        <v>4619</v>
      </c>
      <c r="O3047" s="4"/>
    </row>
    <row r="3048" spans="1:15" x14ac:dyDescent="0.2">
      <c r="A3048" s="2">
        <v>40007427</v>
      </c>
      <c r="B3048" s="2" t="s">
        <v>2649</v>
      </c>
      <c r="C3048" s="5" t="s">
        <v>8347</v>
      </c>
      <c r="D3048" s="21">
        <v>3</v>
      </c>
      <c r="E3048" s="21"/>
      <c r="F3048" s="21" t="s">
        <v>10438</v>
      </c>
      <c r="G3048" s="21"/>
      <c r="H3048" s="54">
        <v>9</v>
      </c>
      <c r="I3048" s="51"/>
      <c r="J3048" s="27"/>
      <c r="K3048" s="27"/>
      <c r="L3048" s="15"/>
      <c r="M3048" s="15"/>
      <c r="N3048" s="4" t="s">
        <v>4952</v>
      </c>
      <c r="O3048" s="4"/>
    </row>
    <row r="3049" spans="1:15" x14ac:dyDescent="0.2">
      <c r="A3049" s="2">
        <v>40006619</v>
      </c>
      <c r="B3049" s="2" t="s">
        <v>1955</v>
      </c>
      <c r="C3049" s="5" t="s">
        <v>7664</v>
      </c>
      <c r="D3049" s="21">
        <v>2</v>
      </c>
      <c r="E3049" s="21"/>
      <c r="F3049" s="21" t="s">
        <v>10438</v>
      </c>
      <c r="G3049" s="21"/>
      <c r="H3049" s="54">
        <v>8</v>
      </c>
      <c r="I3049" s="51"/>
      <c r="J3049" s="27"/>
      <c r="K3049" s="27"/>
      <c r="L3049" s="15"/>
      <c r="M3049" s="15"/>
      <c r="N3049" s="4" t="s">
        <v>4116</v>
      </c>
      <c r="O3049" s="4"/>
    </row>
    <row r="3050" spans="1:15" x14ac:dyDescent="0.2">
      <c r="A3050" s="2">
        <v>40006808</v>
      </c>
      <c r="B3050" s="2" t="s">
        <v>2107</v>
      </c>
      <c r="C3050" s="5" t="s">
        <v>7816</v>
      </c>
      <c r="D3050" s="21"/>
      <c r="E3050" s="21"/>
      <c r="F3050" s="21" t="s">
        <v>10438</v>
      </c>
      <c r="G3050" s="21"/>
      <c r="H3050" s="54">
        <v>3</v>
      </c>
      <c r="I3050" s="51"/>
      <c r="J3050" s="27"/>
      <c r="K3050" s="27"/>
      <c r="L3050" s="15">
        <v>4</v>
      </c>
      <c r="M3050" s="15"/>
      <c r="N3050" s="4" t="s">
        <v>4439</v>
      </c>
      <c r="O3050" s="4"/>
    </row>
    <row r="3051" spans="1:15" x14ac:dyDescent="0.2">
      <c r="A3051" s="2">
        <v>40005294</v>
      </c>
      <c r="B3051" s="2" t="s">
        <v>794</v>
      </c>
      <c r="C3051" s="5" t="s">
        <v>6511</v>
      </c>
      <c r="D3051" s="21">
        <v>2</v>
      </c>
      <c r="E3051" s="21"/>
      <c r="F3051" s="21" t="s">
        <v>10438</v>
      </c>
      <c r="G3051" s="21"/>
      <c r="H3051" s="54">
        <v>6</v>
      </c>
      <c r="I3051" s="51"/>
      <c r="J3051" s="27"/>
      <c r="K3051" s="27"/>
      <c r="L3051" s="15"/>
      <c r="M3051" s="15">
        <v>3</v>
      </c>
      <c r="N3051" s="4" t="s">
        <v>4036</v>
      </c>
      <c r="O3051" s="4"/>
    </row>
    <row r="3052" spans="1:15" x14ac:dyDescent="0.2">
      <c r="A3052" s="2">
        <v>40008202</v>
      </c>
      <c r="B3052" s="2" t="s">
        <v>3322</v>
      </c>
      <c r="C3052" s="5" t="s">
        <v>9014</v>
      </c>
      <c r="D3052" s="21">
        <v>4</v>
      </c>
      <c r="E3052" s="21"/>
      <c r="F3052" s="21" t="s">
        <v>10438</v>
      </c>
      <c r="G3052" s="21"/>
      <c r="H3052" s="54">
        <v>2</v>
      </c>
      <c r="I3052" s="51"/>
      <c r="J3052" s="27"/>
      <c r="K3052" s="27"/>
      <c r="L3052" s="15"/>
      <c r="M3052" s="15"/>
      <c r="N3052" s="4" t="s">
        <v>4611</v>
      </c>
      <c r="O3052" s="4"/>
    </row>
    <row r="3053" spans="1:15" x14ac:dyDescent="0.2">
      <c r="A3053" s="2">
        <v>40007278</v>
      </c>
      <c r="B3053" s="2" t="s">
        <v>5396</v>
      </c>
      <c r="C3053" s="5" t="s">
        <v>8223</v>
      </c>
      <c r="D3053" s="21">
        <v>3</v>
      </c>
      <c r="E3053" s="21"/>
      <c r="F3053" s="30">
        <v>1</v>
      </c>
      <c r="G3053" s="21"/>
      <c r="H3053" s="54">
        <v>2</v>
      </c>
      <c r="I3053" s="51"/>
      <c r="J3053" s="27"/>
      <c r="K3053" s="27"/>
      <c r="L3053" s="15">
        <v>5</v>
      </c>
      <c r="M3053" s="15">
        <v>2</v>
      </c>
      <c r="N3053" s="4" t="s">
        <v>5298</v>
      </c>
      <c r="O3053" s="4"/>
    </row>
    <row r="3054" spans="1:15" x14ac:dyDescent="0.2">
      <c r="A3054" s="2">
        <v>40005277</v>
      </c>
      <c r="B3054" s="2" t="s">
        <v>784</v>
      </c>
      <c r="C3054" s="5" t="s">
        <v>6501</v>
      </c>
      <c r="D3054" s="21">
        <v>4</v>
      </c>
      <c r="E3054" s="21"/>
      <c r="F3054" s="21" t="s">
        <v>10438</v>
      </c>
      <c r="G3054" s="21"/>
      <c r="H3054" s="54">
        <v>4</v>
      </c>
      <c r="I3054" s="51"/>
      <c r="J3054" s="27"/>
      <c r="K3054" s="27"/>
      <c r="L3054" s="15"/>
      <c r="M3054" s="15"/>
      <c r="N3054" s="4" t="s">
        <v>4027</v>
      </c>
      <c r="O3054" s="4"/>
    </row>
    <row r="3055" spans="1:15" x14ac:dyDescent="0.2">
      <c r="A3055" s="2">
        <v>40005190</v>
      </c>
      <c r="B3055" s="2" t="s">
        <v>734</v>
      </c>
      <c r="C3055" s="5" t="s">
        <v>6447</v>
      </c>
      <c r="D3055" s="21">
        <v>2</v>
      </c>
      <c r="E3055" s="21"/>
      <c r="F3055" s="21" t="s">
        <v>10438</v>
      </c>
      <c r="G3055" s="21"/>
      <c r="H3055" s="54">
        <v>11</v>
      </c>
      <c r="I3055" s="51"/>
      <c r="J3055" s="27"/>
      <c r="K3055" s="27"/>
      <c r="L3055" s="15"/>
      <c r="M3055" s="15"/>
      <c r="N3055" s="4" t="s">
        <v>4000</v>
      </c>
      <c r="O3055" s="4"/>
    </row>
    <row r="3056" spans="1:15" x14ac:dyDescent="0.2">
      <c r="A3056" s="2">
        <v>40008221</v>
      </c>
      <c r="B3056" s="2" t="s">
        <v>3340</v>
      </c>
      <c r="C3056" s="5" t="s">
        <v>9032</v>
      </c>
      <c r="D3056" s="21">
        <v>5</v>
      </c>
      <c r="E3056" s="21"/>
      <c r="F3056" s="21" t="s">
        <v>10438</v>
      </c>
      <c r="G3056" s="21"/>
      <c r="H3056" s="54">
        <v>20</v>
      </c>
      <c r="I3056" s="51"/>
      <c r="J3056" s="27"/>
      <c r="K3056" s="27"/>
      <c r="L3056" s="15"/>
      <c r="M3056" s="15"/>
      <c r="N3056" s="4" t="s">
        <v>4608</v>
      </c>
      <c r="O3056" s="4"/>
    </row>
    <row r="3057" spans="1:15" x14ac:dyDescent="0.2">
      <c r="A3057" s="2">
        <v>40006431</v>
      </c>
      <c r="B3057" s="2" t="s">
        <v>1789</v>
      </c>
      <c r="C3057" s="5" t="s">
        <v>7496</v>
      </c>
      <c r="D3057" s="21">
        <v>9</v>
      </c>
      <c r="E3057" s="21"/>
      <c r="F3057" s="21" t="s">
        <v>10438</v>
      </c>
      <c r="G3057" s="21"/>
      <c r="H3057" s="54">
        <v>12</v>
      </c>
      <c r="I3057" s="51"/>
      <c r="J3057" s="27"/>
      <c r="K3057" s="27"/>
      <c r="L3057" s="15"/>
      <c r="M3057" s="15"/>
      <c r="N3057" s="4" t="s">
        <v>4351</v>
      </c>
      <c r="O3057" s="4"/>
    </row>
    <row r="3058" spans="1:15" x14ac:dyDescent="0.2">
      <c r="A3058" s="2">
        <v>40005731</v>
      </c>
      <c r="B3058" s="2" t="s">
        <v>1159</v>
      </c>
      <c r="C3058" s="5" t="s">
        <v>6876</v>
      </c>
      <c r="D3058" s="21">
        <v>17</v>
      </c>
      <c r="E3058" s="21"/>
      <c r="F3058" s="21" t="s">
        <v>10438</v>
      </c>
      <c r="G3058" s="21"/>
      <c r="H3058" s="54">
        <v>1</v>
      </c>
      <c r="I3058" s="51"/>
      <c r="J3058" s="27"/>
      <c r="K3058" s="27"/>
      <c r="L3058" s="15"/>
      <c r="M3058" s="15"/>
      <c r="N3058" s="4" t="s">
        <v>4241</v>
      </c>
      <c r="O3058" s="4"/>
    </row>
    <row r="3059" spans="1:15" x14ac:dyDescent="0.2">
      <c r="A3059" s="2">
        <v>40006394</v>
      </c>
      <c r="B3059" s="2" t="s">
        <v>1754</v>
      </c>
      <c r="C3059" s="5" t="s">
        <v>7465</v>
      </c>
      <c r="D3059" s="21">
        <v>5</v>
      </c>
      <c r="E3059" s="21"/>
      <c r="F3059" s="21" t="s">
        <v>10438</v>
      </c>
      <c r="G3059" s="21"/>
      <c r="H3059" s="54">
        <v>4</v>
      </c>
      <c r="I3059" s="51"/>
      <c r="J3059" s="27"/>
      <c r="K3059" s="27"/>
      <c r="L3059" s="15"/>
      <c r="M3059" s="15"/>
      <c r="N3059" s="4" t="s">
        <v>4568</v>
      </c>
      <c r="O3059" s="4"/>
    </row>
    <row r="3060" spans="1:15" x14ac:dyDescent="0.2">
      <c r="A3060" s="2">
        <v>40006095</v>
      </c>
      <c r="B3060" s="2" t="s">
        <v>1486</v>
      </c>
      <c r="C3060" s="5" t="s">
        <v>7192</v>
      </c>
      <c r="D3060" s="21">
        <v>56</v>
      </c>
      <c r="E3060" s="21"/>
      <c r="F3060" s="21" t="s">
        <v>10438</v>
      </c>
      <c r="G3060" s="21"/>
      <c r="H3060" s="54">
        <v>10</v>
      </c>
      <c r="I3060" s="51"/>
      <c r="J3060" s="27"/>
      <c r="K3060" s="27"/>
      <c r="L3060" s="15"/>
      <c r="M3060" s="15"/>
      <c r="N3060" s="4" t="s">
        <v>4412</v>
      </c>
      <c r="O3060" s="4"/>
    </row>
    <row r="3061" spans="1:15" x14ac:dyDescent="0.2">
      <c r="A3061" s="2">
        <v>40006376</v>
      </c>
      <c r="B3061" s="2" t="s">
        <v>1736</v>
      </c>
      <c r="C3061" s="5" t="s">
        <v>7447</v>
      </c>
      <c r="D3061" s="21">
        <v>5</v>
      </c>
      <c r="E3061" s="21"/>
      <c r="F3061" s="30">
        <v>2</v>
      </c>
      <c r="G3061" s="21"/>
      <c r="H3061" s="54">
        <v>6</v>
      </c>
      <c r="I3061" s="51"/>
      <c r="J3061" s="27"/>
      <c r="K3061" s="27"/>
      <c r="L3061" s="15"/>
      <c r="M3061" s="15">
        <v>5</v>
      </c>
      <c r="N3061" s="4" t="s">
        <v>4554</v>
      </c>
      <c r="O3061" s="4"/>
    </row>
    <row r="3062" spans="1:15" x14ac:dyDescent="0.2">
      <c r="A3062" s="2">
        <v>40005261</v>
      </c>
      <c r="B3062" s="2" t="s">
        <v>776</v>
      </c>
      <c r="C3062" s="5" t="s">
        <v>6491</v>
      </c>
      <c r="D3062" s="21">
        <v>4</v>
      </c>
      <c r="E3062" s="21"/>
      <c r="F3062" s="21" t="s">
        <v>10438</v>
      </c>
      <c r="G3062" s="21"/>
      <c r="H3062" s="54">
        <v>8</v>
      </c>
      <c r="I3062" s="51"/>
      <c r="J3062" s="27"/>
      <c r="K3062" s="27"/>
      <c r="L3062" s="15"/>
      <c r="M3062" s="15"/>
      <c r="N3062" s="4" t="s">
        <v>4023</v>
      </c>
      <c r="O3062" s="4"/>
    </row>
    <row r="3063" spans="1:15" x14ac:dyDescent="0.2">
      <c r="A3063" s="2">
        <v>40006019</v>
      </c>
      <c r="B3063" s="2" t="s">
        <v>1422</v>
      </c>
      <c r="C3063" s="5" t="s">
        <v>7124</v>
      </c>
      <c r="D3063" s="21">
        <v>6</v>
      </c>
      <c r="E3063" s="21"/>
      <c r="F3063" s="21" t="s">
        <v>10438</v>
      </c>
      <c r="G3063" s="21"/>
      <c r="H3063" s="54">
        <v>6</v>
      </c>
      <c r="I3063" s="51"/>
      <c r="J3063" s="27"/>
      <c r="K3063" s="27"/>
      <c r="L3063" s="15"/>
      <c r="M3063" s="15"/>
      <c r="N3063" s="4" t="s">
        <v>4371</v>
      </c>
      <c r="O3063" s="4"/>
    </row>
    <row r="3064" spans="1:15" x14ac:dyDescent="0.2">
      <c r="A3064" s="2">
        <v>40006637</v>
      </c>
      <c r="B3064" s="2" t="s">
        <v>1972</v>
      </c>
      <c r="C3064" s="5" t="s">
        <v>7681</v>
      </c>
      <c r="D3064" s="21">
        <v>9</v>
      </c>
      <c r="E3064" s="21"/>
      <c r="F3064" s="21" t="s">
        <v>10438</v>
      </c>
      <c r="G3064" s="21"/>
      <c r="H3064" s="54">
        <v>14</v>
      </c>
      <c r="I3064" s="51"/>
      <c r="J3064" s="27"/>
      <c r="K3064" s="27"/>
      <c r="L3064" s="15"/>
      <c r="M3064" s="15"/>
      <c r="N3064" s="4" t="s">
        <v>4633</v>
      </c>
      <c r="O3064" s="4"/>
    </row>
    <row r="3065" spans="1:15" x14ac:dyDescent="0.2">
      <c r="A3065" s="2">
        <v>40010393</v>
      </c>
      <c r="B3065" s="2" t="s">
        <v>3533</v>
      </c>
      <c r="C3065" s="5" t="s">
        <v>9236</v>
      </c>
      <c r="D3065" s="21">
        <v>8</v>
      </c>
      <c r="E3065" s="21"/>
      <c r="F3065" s="21" t="s">
        <v>10438</v>
      </c>
      <c r="G3065" s="21"/>
      <c r="H3065" s="54">
        <v>15</v>
      </c>
      <c r="I3065" s="51"/>
      <c r="J3065" s="27"/>
      <c r="K3065" s="27"/>
      <c r="L3065" s="15"/>
      <c r="M3065" s="15"/>
      <c r="N3065" s="4" t="s">
        <v>5259</v>
      </c>
      <c r="O3065" s="4"/>
    </row>
    <row r="3066" spans="1:15" x14ac:dyDescent="0.2">
      <c r="A3066" s="2">
        <v>40008091</v>
      </c>
      <c r="B3066" s="2" t="s">
        <v>3219</v>
      </c>
      <c r="C3066" s="5" t="s">
        <v>8916</v>
      </c>
      <c r="D3066" s="21">
        <v>34</v>
      </c>
      <c r="E3066" s="21"/>
      <c r="F3066" s="21" t="s">
        <v>10438</v>
      </c>
      <c r="G3066" s="21"/>
      <c r="H3066" s="54">
        <v>4</v>
      </c>
      <c r="I3066" s="51"/>
      <c r="J3066" s="27"/>
      <c r="K3066" s="27"/>
      <c r="L3066" s="15"/>
      <c r="M3066" s="15"/>
      <c r="N3066" s="4" t="s">
        <v>4157</v>
      </c>
      <c r="O3066" s="4"/>
    </row>
    <row r="3067" spans="1:15" x14ac:dyDescent="0.2">
      <c r="A3067" s="2">
        <v>40008084</v>
      </c>
      <c r="B3067" s="2" t="s">
        <v>3213</v>
      </c>
      <c r="C3067" s="5" t="s">
        <v>8909</v>
      </c>
      <c r="D3067" s="21">
        <v>1</v>
      </c>
      <c r="E3067" s="21"/>
      <c r="F3067" s="21" t="s">
        <v>10438</v>
      </c>
      <c r="G3067" s="21"/>
      <c r="H3067" s="54">
        <v>7</v>
      </c>
      <c r="I3067" s="51"/>
      <c r="J3067" s="27"/>
      <c r="K3067" s="27"/>
      <c r="L3067" s="15"/>
      <c r="M3067" s="15"/>
      <c r="N3067" s="4" t="s">
        <v>3936</v>
      </c>
      <c r="O3067" s="4"/>
    </row>
    <row r="3068" spans="1:15" x14ac:dyDescent="0.2">
      <c r="A3068" s="2">
        <v>40008275</v>
      </c>
      <c r="B3068" s="2" t="s">
        <v>3387</v>
      </c>
      <c r="C3068" s="5" t="s">
        <v>9080</v>
      </c>
      <c r="D3068" s="21">
        <v>5</v>
      </c>
      <c r="E3068" s="21"/>
      <c r="F3068" s="21" t="s">
        <v>10438</v>
      </c>
      <c r="G3068" s="21"/>
      <c r="H3068" s="54">
        <v>3</v>
      </c>
      <c r="I3068" s="51"/>
      <c r="J3068" s="27"/>
      <c r="K3068" s="27"/>
      <c r="L3068" s="15"/>
      <c r="M3068" s="15"/>
      <c r="N3068" s="4" t="s">
        <v>4269</v>
      </c>
      <c r="O3068" s="4"/>
    </row>
    <row r="3069" spans="1:15" x14ac:dyDescent="0.2">
      <c r="A3069" s="2">
        <v>40006114</v>
      </c>
      <c r="B3069" s="2" t="s">
        <v>1505</v>
      </c>
      <c r="C3069" s="5" t="s">
        <v>7210</v>
      </c>
      <c r="D3069" s="21"/>
      <c r="E3069" s="21"/>
      <c r="F3069" s="21" t="s">
        <v>10438</v>
      </c>
      <c r="G3069" s="21"/>
      <c r="H3069" s="54">
        <v>7</v>
      </c>
      <c r="I3069" s="51"/>
      <c r="J3069" s="27"/>
      <c r="K3069" s="27"/>
      <c r="L3069" s="15"/>
      <c r="M3069" s="15"/>
      <c r="N3069" s="4" t="s">
        <v>4250</v>
      </c>
      <c r="O3069" s="4"/>
    </row>
    <row r="3070" spans="1:15" x14ac:dyDescent="0.2">
      <c r="A3070" s="2">
        <v>40006477</v>
      </c>
      <c r="B3070" s="2" t="s">
        <v>1830</v>
      </c>
      <c r="C3070" s="5" t="s">
        <v>7538</v>
      </c>
      <c r="D3070" s="21">
        <v>5</v>
      </c>
      <c r="E3070" s="21"/>
      <c r="F3070" s="21" t="s">
        <v>10438</v>
      </c>
      <c r="G3070" s="21"/>
      <c r="H3070" s="54">
        <v>6</v>
      </c>
      <c r="I3070" s="51"/>
      <c r="J3070" s="27"/>
      <c r="K3070" s="27"/>
      <c r="L3070" s="15"/>
      <c r="M3070" s="15"/>
      <c r="N3070" s="4" t="s">
        <v>4614</v>
      </c>
      <c r="O3070" s="4"/>
    </row>
    <row r="3071" spans="1:15" x14ac:dyDescent="0.2">
      <c r="A3071" s="2">
        <v>40005455</v>
      </c>
      <c r="B3071" s="2" t="s">
        <v>928</v>
      </c>
      <c r="C3071" s="5" t="s">
        <v>6650</v>
      </c>
      <c r="D3071" s="21">
        <v>1</v>
      </c>
      <c r="E3071" s="21"/>
      <c r="F3071" s="21" t="s">
        <v>10438</v>
      </c>
      <c r="G3071" s="21"/>
      <c r="H3071" s="54">
        <v>11</v>
      </c>
      <c r="I3071" s="51"/>
      <c r="J3071" s="27"/>
      <c r="K3071" s="27"/>
      <c r="L3071" s="15"/>
      <c r="M3071" s="15"/>
      <c r="N3071" s="4"/>
      <c r="O3071" s="4" t="s">
        <v>4109</v>
      </c>
    </row>
    <row r="3072" spans="1:15" x14ac:dyDescent="0.2">
      <c r="A3072" s="2">
        <v>40008241</v>
      </c>
      <c r="B3072" s="2" t="s">
        <v>3358</v>
      </c>
      <c r="C3072" s="5" t="s">
        <v>9050</v>
      </c>
      <c r="D3072" s="21">
        <v>8</v>
      </c>
      <c r="E3072" s="21"/>
      <c r="F3072" s="21" t="s">
        <v>10438</v>
      </c>
      <c r="G3072" s="21"/>
      <c r="H3072" s="54">
        <v>4</v>
      </c>
      <c r="I3072" s="51"/>
      <c r="J3072" s="27"/>
      <c r="K3072" s="27"/>
      <c r="L3072" s="15"/>
      <c r="M3072" s="15"/>
      <c r="N3072" s="4" t="s">
        <v>4233</v>
      </c>
      <c r="O3072" s="4"/>
    </row>
    <row r="3073" spans="1:15" x14ac:dyDescent="0.2">
      <c r="A3073" s="2">
        <v>40008184</v>
      </c>
      <c r="B3073" s="2" t="s">
        <v>3306</v>
      </c>
      <c r="C3073" s="5" t="s">
        <v>8999</v>
      </c>
      <c r="D3073" s="21">
        <v>6</v>
      </c>
      <c r="E3073" s="21"/>
      <c r="F3073" s="21" t="s">
        <v>10438</v>
      </c>
      <c r="G3073" s="21"/>
      <c r="H3073" s="54">
        <v>7</v>
      </c>
      <c r="I3073" s="51"/>
      <c r="J3073" s="27"/>
      <c r="K3073" s="27"/>
      <c r="L3073" s="15"/>
      <c r="M3073" s="15"/>
      <c r="N3073" s="4" t="s">
        <v>5094</v>
      </c>
      <c r="O3073" s="4"/>
    </row>
    <row r="3074" spans="1:15" x14ac:dyDescent="0.2">
      <c r="A3074" s="2">
        <v>40007945</v>
      </c>
      <c r="B3074" s="2" t="s">
        <v>3702</v>
      </c>
      <c r="C3074" s="5" t="s">
        <v>8790</v>
      </c>
      <c r="D3074" s="21">
        <v>3</v>
      </c>
      <c r="E3074" s="21"/>
      <c r="F3074" s="21" t="s">
        <v>10438</v>
      </c>
      <c r="G3074" s="21"/>
      <c r="H3074" s="54">
        <v>363</v>
      </c>
      <c r="I3074" s="51"/>
      <c r="J3074" s="27"/>
      <c r="K3074" s="27"/>
      <c r="L3074" s="15"/>
      <c r="M3074" s="15"/>
      <c r="N3074" s="4"/>
      <c r="O3074" s="4">
        <v>75</v>
      </c>
    </row>
    <row r="3075" spans="1:15" x14ac:dyDescent="0.2">
      <c r="A3075" s="2">
        <v>40006495</v>
      </c>
      <c r="B3075" s="2" t="s">
        <v>1846</v>
      </c>
      <c r="C3075" s="5" t="s">
        <v>7553</v>
      </c>
      <c r="D3075" s="21">
        <v>2</v>
      </c>
      <c r="E3075" s="21"/>
      <c r="F3075" s="21" t="s">
        <v>10438</v>
      </c>
      <c r="G3075" s="21"/>
      <c r="H3075" s="54">
        <v>62</v>
      </c>
      <c r="I3075" s="51"/>
      <c r="J3075" s="27"/>
      <c r="K3075" s="27"/>
      <c r="L3075" s="15"/>
      <c r="M3075" s="15"/>
      <c r="N3075" s="4" t="s">
        <v>4259</v>
      </c>
      <c r="O3075" s="4"/>
    </row>
    <row r="3076" spans="1:15" x14ac:dyDescent="0.2">
      <c r="A3076" s="2">
        <v>40006066</v>
      </c>
      <c r="B3076" s="2" t="s">
        <v>1460</v>
      </c>
      <c r="C3076" s="5" t="s">
        <v>7167</v>
      </c>
      <c r="D3076" s="21">
        <v>13</v>
      </c>
      <c r="E3076" s="21"/>
      <c r="F3076" s="21" t="s">
        <v>10438</v>
      </c>
      <c r="G3076" s="21"/>
      <c r="H3076" s="54">
        <v>4</v>
      </c>
      <c r="I3076" s="51"/>
      <c r="J3076" s="27"/>
      <c r="K3076" s="27"/>
      <c r="L3076" s="15"/>
      <c r="M3076" s="15"/>
      <c r="N3076" s="4" t="s">
        <v>4392</v>
      </c>
      <c r="O3076" s="4"/>
    </row>
    <row r="3077" spans="1:15" x14ac:dyDescent="0.2">
      <c r="A3077" s="2">
        <v>40008209</v>
      </c>
      <c r="B3077" s="2" t="s">
        <v>3329</v>
      </c>
      <c r="C3077" s="5" t="s">
        <v>9021</v>
      </c>
      <c r="D3077" s="21">
        <v>4</v>
      </c>
      <c r="E3077" s="21"/>
      <c r="F3077" s="21" t="s">
        <v>10438</v>
      </c>
      <c r="G3077" s="21"/>
      <c r="H3077" s="54">
        <v>32</v>
      </c>
      <c r="I3077" s="51"/>
      <c r="J3077" s="27"/>
      <c r="K3077" s="27"/>
      <c r="L3077" s="15"/>
      <c r="M3077" s="15"/>
      <c r="N3077" s="4"/>
      <c r="O3077" s="4" t="s">
        <v>10203</v>
      </c>
    </row>
    <row r="3078" spans="1:15" x14ac:dyDescent="0.2">
      <c r="A3078" s="2">
        <v>40006646</v>
      </c>
      <c r="B3078" s="2" t="s">
        <v>1978</v>
      </c>
      <c r="C3078" s="5" t="s">
        <v>7687</v>
      </c>
      <c r="D3078" s="21">
        <v>2</v>
      </c>
      <c r="E3078" s="21"/>
      <c r="F3078" s="21" t="s">
        <v>10438</v>
      </c>
      <c r="G3078" s="21"/>
      <c r="H3078" s="54">
        <v>11</v>
      </c>
      <c r="I3078" s="51"/>
      <c r="J3078" s="27"/>
      <c r="K3078" s="27"/>
      <c r="L3078" s="15"/>
      <c r="M3078" s="15"/>
      <c r="N3078" s="4" t="s">
        <v>4132</v>
      </c>
      <c r="O3078" s="4"/>
    </row>
    <row r="3079" spans="1:15" x14ac:dyDescent="0.2">
      <c r="A3079" s="2">
        <v>40005574</v>
      </c>
      <c r="B3079" s="2" t="s">
        <v>1026</v>
      </c>
      <c r="C3079" s="5" t="s">
        <v>6751</v>
      </c>
      <c r="D3079" s="21">
        <v>7</v>
      </c>
      <c r="E3079" s="21"/>
      <c r="F3079" s="21" t="s">
        <v>10438</v>
      </c>
      <c r="G3079" s="21"/>
      <c r="H3079" s="54">
        <v>169</v>
      </c>
      <c r="I3079" s="51"/>
      <c r="J3079" s="27"/>
      <c r="K3079" s="27"/>
      <c r="L3079" s="15"/>
      <c r="M3079" s="15"/>
      <c r="N3079" s="4" t="s">
        <v>4152</v>
      </c>
      <c r="O3079" s="4"/>
    </row>
    <row r="3080" spans="1:15" x14ac:dyDescent="0.2">
      <c r="A3080" s="2">
        <v>40006393</v>
      </c>
      <c r="B3080" s="2" t="s">
        <v>1753</v>
      </c>
      <c r="C3080" s="5" t="s">
        <v>7464</v>
      </c>
      <c r="D3080" s="21">
        <v>5</v>
      </c>
      <c r="E3080" s="21"/>
      <c r="F3080" s="21" t="s">
        <v>10438</v>
      </c>
      <c r="G3080" s="21"/>
      <c r="H3080" s="54">
        <v>21</v>
      </c>
      <c r="I3080" s="51"/>
      <c r="J3080" s="27"/>
      <c r="K3080" s="27"/>
      <c r="L3080" s="15"/>
      <c r="M3080" s="15"/>
      <c r="N3080" s="4" t="s">
        <v>4567</v>
      </c>
      <c r="O3080" s="4"/>
    </row>
    <row r="3081" spans="1:15" x14ac:dyDescent="0.2">
      <c r="A3081" s="2">
        <v>40007018</v>
      </c>
      <c r="B3081" s="2" t="s">
        <v>3905</v>
      </c>
      <c r="C3081" s="5" t="s">
        <v>8009</v>
      </c>
      <c r="D3081" s="21">
        <v>7</v>
      </c>
      <c r="E3081" s="21"/>
      <c r="F3081" s="21" t="s">
        <v>10438</v>
      </c>
      <c r="G3081" s="21"/>
      <c r="H3081" s="54">
        <v>539</v>
      </c>
      <c r="I3081" s="51"/>
      <c r="J3081" s="27"/>
      <c r="K3081" s="27"/>
      <c r="L3081" s="15"/>
      <c r="M3081" s="15"/>
      <c r="N3081" s="4" t="s">
        <v>5291</v>
      </c>
      <c r="O3081" s="4"/>
    </row>
    <row r="3082" spans="1:15" x14ac:dyDescent="0.2">
      <c r="A3082" s="2">
        <v>40007193</v>
      </c>
      <c r="B3082" s="2" t="s">
        <v>2459</v>
      </c>
      <c r="C3082" s="5" t="s">
        <v>8162</v>
      </c>
      <c r="D3082" s="21">
        <v>13</v>
      </c>
      <c r="E3082" s="21"/>
      <c r="F3082" s="21" t="s">
        <v>10438</v>
      </c>
      <c r="G3082" s="21"/>
      <c r="H3082" s="54">
        <v>490</v>
      </c>
      <c r="I3082" s="51"/>
      <c r="J3082" s="27"/>
      <c r="K3082" s="27"/>
      <c r="L3082" s="15"/>
      <c r="M3082" s="15"/>
      <c r="N3082" s="4" t="s">
        <v>4868</v>
      </c>
      <c r="O3082" s="4"/>
    </row>
    <row r="3083" spans="1:15" x14ac:dyDescent="0.2">
      <c r="A3083" s="2">
        <v>40005412</v>
      </c>
      <c r="B3083" s="2" t="s">
        <v>888</v>
      </c>
      <c r="C3083" s="5" t="s">
        <v>6611</v>
      </c>
      <c r="D3083" s="21">
        <v>5</v>
      </c>
      <c r="E3083" s="21"/>
      <c r="F3083" s="21" t="s">
        <v>10438</v>
      </c>
      <c r="G3083" s="21"/>
      <c r="H3083" s="54">
        <v>631</v>
      </c>
      <c r="I3083" s="51"/>
      <c r="J3083" s="27"/>
      <c r="K3083" s="27"/>
      <c r="L3083" s="15"/>
      <c r="M3083" s="15"/>
      <c r="N3083" s="4" t="s">
        <v>4107</v>
      </c>
      <c r="O3083" s="4"/>
    </row>
    <row r="3084" spans="1:15" x14ac:dyDescent="0.2">
      <c r="A3084" s="2">
        <v>40005430</v>
      </c>
      <c r="B3084" s="2" t="s">
        <v>905</v>
      </c>
      <c r="C3084" s="5" t="s">
        <v>6627</v>
      </c>
      <c r="D3084" s="21">
        <v>2</v>
      </c>
      <c r="E3084" s="21"/>
      <c r="F3084" s="21" t="s">
        <v>10438</v>
      </c>
      <c r="G3084" s="21"/>
      <c r="H3084" s="54">
        <v>41</v>
      </c>
      <c r="I3084" s="51"/>
      <c r="J3084" s="27"/>
      <c r="K3084" s="27"/>
      <c r="L3084" s="15"/>
      <c r="M3084" s="15"/>
      <c r="N3084" s="4" t="s">
        <v>4115</v>
      </c>
      <c r="O3084" s="4"/>
    </row>
    <row r="3085" spans="1:15" x14ac:dyDescent="0.2">
      <c r="A3085" s="2">
        <v>10018939</v>
      </c>
      <c r="B3085" s="2" t="s">
        <v>373</v>
      </c>
      <c r="C3085" s="5" t="s">
        <v>5969</v>
      </c>
      <c r="D3085" s="21">
        <v>1</v>
      </c>
      <c r="E3085" s="21"/>
      <c r="F3085" s="21" t="s">
        <v>10438</v>
      </c>
      <c r="G3085" s="21"/>
      <c r="H3085" s="54">
        <v>15</v>
      </c>
      <c r="I3085" s="51"/>
      <c r="J3085" s="27"/>
      <c r="K3085" s="27"/>
      <c r="L3085" s="15"/>
      <c r="M3085" s="15"/>
      <c r="N3085" s="4"/>
      <c r="O3085" s="4">
        <v>75</v>
      </c>
    </row>
    <row r="3086" spans="1:15" x14ac:dyDescent="0.2">
      <c r="A3086" s="2">
        <v>40006530</v>
      </c>
      <c r="B3086" s="2" t="s">
        <v>1873</v>
      </c>
      <c r="C3086" s="5" t="s">
        <v>7581</v>
      </c>
      <c r="D3086" s="21">
        <v>2</v>
      </c>
      <c r="E3086" s="21"/>
      <c r="F3086" s="21" t="s">
        <v>10438</v>
      </c>
      <c r="G3086" s="21"/>
      <c r="H3086" s="54">
        <v>11</v>
      </c>
      <c r="I3086" s="51"/>
      <c r="J3086" s="27"/>
      <c r="K3086" s="27"/>
      <c r="L3086" s="15"/>
      <c r="M3086" s="15"/>
      <c r="N3086" s="4" t="s">
        <v>4625</v>
      </c>
      <c r="O3086" s="4"/>
    </row>
    <row r="3087" spans="1:15" x14ac:dyDescent="0.2">
      <c r="A3087" s="2">
        <v>40006356</v>
      </c>
      <c r="B3087" s="2" t="s">
        <v>5302</v>
      </c>
      <c r="C3087" s="5" t="s">
        <v>7429</v>
      </c>
      <c r="D3087" s="21">
        <v>1</v>
      </c>
      <c r="E3087" s="21"/>
      <c r="F3087" s="21" t="s">
        <v>10438</v>
      </c>
      <c r="G3087" s="21"/>
      <c r="H3087" s="54">
        <v>7</v>
      </c>
      <c r="I3087" s="51"/>
      <c r="J3087" s="27"/>
      <c r="K3087" s="27"/>
      <c r="L3087" s="15"/>
      <c r="M3087" s="15"/>
      <c r="N3087" s="4" t="s">
        <v>5252</v>
      </c>
      <c r="O3087" s="4"/>
    </row>
    <row r="3088" spans="1:15" x14ac:dyDescent="0.2">
      <c r="A3088" s="2">
        <v>40007741</v>
      </c>
      <c r="B3088" s="2" t="s">
        <v>2916</v>
      </c>
      <c r="C3088" s="5" t="s">
        <v>8612</v>
      </c>
      <c r="D3088" s="21">
        <v>4</v>
      </c>
      <c r="E3088" s="21"/>
      <c r="F3088" s="21" t="s">
        <v>10438</v>
      </c>
      <c r="G3088" s="21"/>
      <c r="H3088" s="54">
        <v>881</v>
      </c>
      <c r="I3088" s="51"/>
      <c r="J3088" s="27"/>
      <c r="K3088" s="27"/>
      <c r="L3088" s="15"/>
      <c r="M3088" s="15">
        <v>7</v>
      </c>
      <c r="N3088" s="4">
        <v>2</v>
      </c>
      <c r="O3088" s="4"/>
    </row>
    <row r="3089" spans="1:15" x14ac:dyDescent="0.2">
      <c r="A3089" s="2">
        <v>10018716</v>
      </c>
      <c r="B3089" s="2" t="s">
        <v>284</v>
      </c>
      <c r="C3089" s="5" t="s">
        <v>5858</v>
      </c>
      <c r="D3089" s="21"/>
      <c r="E3089" s="21"/>
      <c r="F3089" s="21" t="s">
        <v>10438</v>
      </c>
      <c r="G3089" s="21"/>
      <c r="H3089" s="54">
        <v>7715</v>
      </c>
      <c r="I3089" s="51">
        <v>6560</v>
      </c>
      <c r="J3089" s="27"/>
      <c r="K3089" s="27"/>
      <c r="L3089" s="15"/>
      <c r="M3089" s="15"/>
      <c r="N3089" s="4" t="s">
        <v>3607</v>
      </c>
      <c r="O3089" s="4"/>
    </row>
    <row r="3090" spans="1:15" x14ac:dyDescent="0.2">
      <c r="A3090" s="2">
        <v>10019084</v>
      </c>
      <c r="B3090" s="2" t="s">
        <v>424</v>
      </c>
      <c r="C3090" s="5" t="s">
        <v>6026</v>
      </c>
      <c r="D3090" s="21">
        <v>18</v>
      </c>
      <c r="E3090" s="21">
        <v>18</v>
      </c>
      <c r="F3090" s="30" t="s">
        <v>10438</v>
      </c>
      <c r="G3090" s="21">
        <v>10</v>
      </c>
      <c r="H3090" s="54">
        <v>4330</v>
      </c>
      <c r="I3090" s="51">
        <v>3985</v>
      </c>
      <c r="J3090" s="27">
        <v>81</v>
      </c>
      <c r="K3090" s="27">
        <v>81</v>
      </c>
      <c r="L3090" s="15">
        <v>80</v>
      </c>
      <c r="M3090" s="15">
        <v>75</v>
      </c>
      <c r="N3090" s="4" t="s">
        <v>10713</v>
      </c>
      <c r="O3090" s="4" t="s">
        <v>10457</v>
      </c>
    </row>
    <row r="3091" spans="1:15" x14ac:dyDescent="0.2">
      <c r="A3091" s="2">
        <v>10013684</v>
      </c>
      <c r="B3091" s="2" t="s">
        <v>5</v>
      </c>
      <c r="C3091" s="5" t="s">
        <v>5525</v>
      </c>
      <c r="D3091" s="21">
        <v>12</v>
      </c>
      <c r="E3091" s="21">
        <v>12</v>
      </c>
      <c r="F3091" s="21" t="s">
        <v>10438</v>
      </c>
      <c r="G3091" s="21">
        <v>4</v>
      </c>
      <c r="H3091" s="54">
        <v>6048</v>
      </c>
      <c r="I3091" s="51">
        <v>5445</v>
      </c>
      <c r="J3091" s="27">
        <v>12</v>
      </c>
      <c r="K3091" s="27">
        <v>12</v>
      </c>
      <c r="L3091" s="15">
        <v>10</v>
      </c>
      <c r="M3091" s="15">
        <v>15</v>
      </c>
      <c r="N3091" s="4" t="s">
        <v>3607</v>
      </c>
      <c r="O3091" s="4" t="s">
        <v>10449</v>
      </c>
    </row>
    <row r="3092" spans="1:15" x14ac:dyDescent="0.2">
      <c r="A3092" s="2">
        <v>10013680</v>
      </c>
      <c r="B3092" s="2" t="s">
        <v>3</v>
      </c>
      <c r="C3092" s="5" t="s">
        <v>5523</v>
      </c>
      <c r="D3092" s="21"/>
      <c r="E3092" s="21"/>
      <c r="F3092" s="21" t="s">
        <v>10438</v>
      </c>
      <c r="G3092" s="21"/>
      <c r="H3092" s="54">
        <v>9561</v>
      </c>
      <c r="I3092" s="51"/>
      <c r="J3092" s="27"/>
      <c r="K3092" s="27"/>
      <c r="L3092" s="15"/>
      <c r="M3092" s="15">
        <v>5</v>
      </c>
      <c r="N3092" s="4" t="s">
        <v>3607</v>
      </c>
      <c r="O3092" s="4"/>
    </row>
    <row r="3093" spans="1:15" x14ac:dyDescent="0.2">
      <c r="A3093" s="2">
        <v>10019112</v>
      </c>
      <c r="B3093" s="2" t="s">
        <v>432</v>
      </c>
      <c r="C3093" s="5" t="s">
        <v>6034</v>
      </c>
      <c r="D3093" s="21">
        <v>2</v>
      </c>
      <c r="E3093" s="21"/>
      <c r="F3093" s="21" t="s">
        <v>10438</v>
      </c>
      <c r="G3093" s="21"/>
      <c r="H3093" s="54">
        <v>12770</v>
      </c>
      <c r="I3093" s="51">
        <v>10855</v>
      </c>
      <c r="J3093" s="27"/>
      <c r="K3093" s="27"/>
      <c r="L3093" s="15"/>
      <c r="M3093" s="15">
        <v>3</v>
      </c>
      <c r="N3093" s="4"/>
      <c r="O3093" s="4"/>
    </row>
    <row r="3094" spans="1:15" x14ac:dyDescent="0.2">
      <c r="A3094" s="2">
        <v>40006717</v>
      </c>
      <c r="B3094" s="2" t="s">
        <v>2026</v>
      </c>
      <c r="C3094" s="5" t="s">
        <v>7737</v>
      </c>
      <c r="D3094" s="21">
        <v>22</v>
      </c>
      <c r="E3094" s="21"/>
      <c r="F3094" s="21" t="s">
        <v>10438</v>
      </c>
      <c r="G3094" s="21"/>
      <c r="H3094" s="54">
        <v>722</v>
      </c>
      <c r="I3094" s="51"/>
      <c r="J3094" s="27"/>
      <c r="K3094" s="27"/>
      <c r="L3094" s="15"/>
      <c r="M3094" s="15"/>
      <c r="N3094" s="4" t="s">
        <v>4429</v>
      </c>
      <c r="O3094" s="4">
        <v>67</v>
      </c>
    </row>
    <row r="3095" spans="1:15" x14ac:dyDescent="0.2">
      <c r="A3095" s="2">
        <v>40005822</v>
      </c>
      <c r="B3095" s="2" t="s">
        <v>1242</v>
      </c>
      <c r="C3095" s="5" t="s">
        <v>6954</v>
      </c>
      <c r="D3095" s="21">
        <v>2</v>
      </c>
      <c r="E3095" s="21"/>
      <c r="F3095" s="21" t="s">
        <v>10438</v>
      </c>
      <c r="G3095" s="21"/>
      <c r="H3095" s="54">
        <v>360</v>
      </c>
      <c r="I3095" s="51"/>
      <c r="J3095" s="27"/>
      <c r="K3095" s="27"/>
      <c r="L3095" s="15"/>
      <c r="M3095" s="15"/>
      <c r="N3095" s="4"/>
      <c r="O3095" s="4">
        <v>89</v>
      </c>
    </row>
    <row r="3096" spans="1:15" x14ac:dyDescent="0.2">
      <c r="A3096" s="2">
        <v>40006352</v>
      </c>
      <c r="B3096" s="2" t="s">
        <v>1716</v>
      </c>
      <c r="C3096" s="5" t="s">
        <v>7425</v>
      </c>
      <c r="D3096" s="21">
        <v>2</v>
      </c>
      <c r="E3096" s="21"/>
      <c r="F3096" s="21" t="s">
        <v>10438</v>
      </c>
      <c r="G3096" s="21"/>
      <c r="H3096" s="54">
        <v>1006</v>
      </c>
      <c r="I3096" s="51"/>
      <c r="J3096" s="27"/>
      <c r="K3096" s="27"/>
      <c r="L3096" s="15"/>
      <c r="M3096" s="15"/>
      <c r="N3096" s="4" t="s">
        <v>4601</v>
      </c>
      <c r="O3096" s="4"/>
    </row>
    <row r="3097" spans="1:15" x14ac:dyDescent="0.2">
      <c r="A3097" s="2">
        <v>40005540</v>
      </c>
      <c r="B3097" s="2" t="s">
        <v>1001</v>
      </c>
      <c r="C3097" s="5" t="s">
        <v>6724</v>
      </c>
      <c r="D3097" s="21">
        <v>3</v>
      </c>
      <c r="E3097" s="21"/>
      <c r="F3097" s="21" t="s">
        <v>10438</v>
      </c>
      <c r="G3097" s="21"/>
      <c r="H3097" s="54">
        <v>515</v>
      </c>
      <c r="I3097" s="51"/>
      <c r="J3097" s="27"/>
      <c r="K3097" s="27"/>
      <c r="L3097" s="15"/>
      <c r="M3097" s="15"/>
      <c r="N3097" s="4"/>
      <c r="O3097" s="4">
        <v>68</v>
      </c>
    </row>
    <row r="3098" spans="1:15" x14ac:dyDescent="0.2">
      <c r="A3098" s="2">
        <v>40005542</v>
      </c>
      <c r="B3098" s="2" t="s">
        <v>1002</v>
      </c>
      <c r="C3098" s="5" t="s">
        <v>6726</v>
      </c>
      <c r="D3098" s="21">
        <v>1</v>
      </c>
      <c r="E3098" s="21"/>
      <c r="F3098" s="21" t="s">
        <v>10438</v>
      </c>
      <c r="G3098" s="21"/>
      <c r="H3098" s="54">
        <v>264</v>
      </c>
      <c r="I3098" s="51"/>
      <c r="J3098" s="27"/>
      <c r="K3098" s="27"/>
      <c r="L3098" s="15"/>
      <c r="M3098" s="15"/>
      <c r="N3098" s="4"/>
      <c r="O3098" s="4">
        <v>68</v>
      </c>
    </row>
    <row r="3099" spans="1:15" x14ac:dyDescent="0.2">
      <c r="A3099" s="2">
        <v>40005544</v>
      </c>
      <c r="B3099" s="2" t="s">
        <v>1004</v>
      </c>
      <c r="C3099" s="5" t="s">
        <v>6728</v>
      </c>
      <c r="D3099" s="21">
        <v>4</v>
      </c>
      <c r="E3099" s="21"/>
      <c r="F3099" s="21" t="s">
        <v>10438</v>
      </c>
      <c r="G3099" s="21"/>
      <c r="H3099" s="54">
        <v>221</v>
      </c>
      <c r="I3099" s="51"/>
      <c r="J3099" s="27"/>
      <c r="K3099" s="27"/>
      <c r="L3099" s="15"/>
      <c r="M3099" s="15"/>
      <c r="N3099" s="4"/>
      <c r="O3099" s="4">
        <v>68</v>
      </c>
    </row>
    <row r="3100" spans="1:15" x14ac:dyDescent="0.2">
      <c r="A3100" s="2">
        <v>40005408</v>
      </c>
      <c r="B3100" s="2" t="s">
        <v>884</v>
      </c>
      <c r="C3100" s="5" t="s">
        <v>6607</v>
      </c>
      <c r="D3100" s="21">
        <v>5</v>
      </c>
      <c r="E3100" s="21"/>
      <c r="F3100" s="21" t="s">
        <v>10438</v>
      </c>
      <c r="G3100" s="21"/>
      <c r="H3100" s="54">
        <v>218</v>
      </c>
      <c r="I3100" s="51"/>
      <c r="J3100" s="27"/>
      <c r="K3100" s="27"/>
      <c r="L3100" s="15"/>
      <c r="M3100" s="15"/>
      <c r="N3100" s="4"/>
      <c r="O3100" s="4">
        <v>70</v>
      </c>
    </row>
    <row r="3101" spans="1:15" x14ac:dyDescent="0.2">
      <c r="A3101" s="2">
        <v>40005403</v>
      </c>
      <c r="B3101" s="2" t="s">
        <v>880</v>
      </c>
      <c r="C3101" s="5" t="s">
        <v>6602</v>
      </c>
      <c r="D3101" s="21">
        <v>1</v>
      </c>
      <c r="E3101" s="21"/>
      <c r="F3101" s="21" t="s">
        <v>10438</v>
      </c>
      <c r="G3101" s="21"/>
      <c r="H3101" s="54">
        <v>242</v>
      </c>
      <c r="I3101" s="51"/>
      <c r="J3101" s="27"/>
      <c r="K3101" s="27"/>
      <c r="L3101" s="15"/>
      <c r="M3101" s="15"/>
      <c r="N3101" s="4" t="s">
        <v>4103</v>
      </c>
      <c r="O3101" s="4">
        <v>70</v>
      </c>
    </row>
    <row r="3102" spans="1:15" x14ac:dyDescent="0.2">
      <c r="A3102" s="2">
        <v>40005530</v>
      </c>
      <c r="B3102" s="2" t="s">
        <v>994</v>
      </c>
      <c r="C3102" s="5" t="s">
        <v>6716</v>
      </c>
      <c r="D3102" s="21">
        <v>1</v>
      </c>
      <c r="E3102" s="21"/>
      <c r="F3102" s="21" t="s">
        <v>10438</v>
      </c>
      <c r="G3102" s="21"/>
      <c r="H3102" s="54">
        <v>437</v>
      </c>
      <c r="I3102" s="51"/>
      <c r="J3102" s="27"/>
      <c r="K3102" s="27"/>
      <c r="L3102" s="15"/>
      <c r="M3102" s="15"/>
      <c r="N3102" s="4"/>
      <c r="O3102" s="4">
        <v>32</v>
      </c>
    </row>
    <row r="3103" spans="1:15" x14ac:dyDescent="0.2">
      <c r="A3103" s="2">
        <v>40005534</v>
      </c>
      <c r="B3103" s="2" t="s">
        <v>997</v>
      </c>
      <c r="C3103" s="5" t="s">
        <v>6719</v>
      </c>
      <c r="D3103" s="21">
        <v>5</v>
      </c>
      <c r="E3103" s="21"/>
      <c r="F3103" s="21" t="s">
        <v>10438</v>
      </c>
      <c r="G3103" s="21"/>
      <c r="H3103" s="54">
        <v>417</v>
      </c>
      <c r="I3103" s="51"/>
      <c r="J3103" s="27"/>
      <c r="K3103" s="27"/>
      <c r="L3103" s="15"/>
      <c r="M3103" s="15"/>
      <c r="N3103" s="4"/>
      <c r="O3103" s="4">
        <v>32</v>
      </c>
    </row>
    <row r="3104" spans="1:15" x14ac:dyDescent="0.2">
      <c r="A3104" s="2">
        <v>40005536</v>
      </c>
      <c r="B3104" s="2" t="s">
        <v>998</v>
      </c>
      <c r="C3104" s="5" t="s">
        <v>6721</v>
      </c>
      <c r="D3104" s="21">
        <v>5</v>
      </c>
      <c r="E3104" s="21"/>
      <c r="F3104" s="21" t="s">
        <v>10438</v>
      </c>
      <c r="G3104" s="21"/>
      <c r="H3104" s="54">
        <v>1194</v>
      </c>
      <c r="I3104" s="51"/>
      <c r="J3104" s="27"/>
      <c r="K3104" s="27"/>
      <c r="L3104" s="15"/>
      <c r="M3104" s="15"/>
      <c r="N3104" s="4" t="s">
        <v>4105</v>
      </c>
      <c r="O3104" s="4">
        <v>32</v>
      </c>
    </row>
    <row r="3105" spans="1:15" x14ac:dyDescent="0.2">
      <c r="A3105" s="2">
        <v>40005538</v>
      </c>
      <c r="B3105" s="2" t="s">
        <v>1000</v>
      </c>
      <c r="C3105" s="5" t="s">
        <v>6723</v>
      </c>
      <c r="D3105" s="21">
        <v>1</v>
      </c>
      <c r="E3105" s="21"/>
      <c r="F3105" s="21" t="s">
        <v>10438</v>
      </c>
      <c r="G3105" s="21"/>
      <c r="H3105" s="54">
        <v>471</v>
      </c>
      <c r="I3105" s="51"/>
      <c r="J3105" s="27"/>
      <c r="K3105" s="27"/>
      <c r="L3105" s="15"/>
      <c r="M3105" s="15"/>
      <c r="N3105" s="4"/>
      <c r="O3105" s="4">
        <v>32</v>
      </c>
    </row>
    <row r="3106" spans="1:15" x14ac:dyDescent="0.2">
      <c r="A3106" s="2">
        <v>40005532</v>
      </c>
      <c r="B3106" s="2" t="s">
        <v>996</v>
      </c>
      <c r="C3106" s="5" t="s">
        <v>6718</v>
      </c>
      <c r="D3106" s="21">
        <v>2</v>
      </c>
      <c r="E3106" s="21"/>
      <c r="F3106" s="21" t="s">
        <v>10438</v>
      </c>
      <c r="G3106" s="21"/>
      <c r="H3106" s="54">
        <v>1492</v>
      </c>
      <c r="I3106" s="51"/>
      <c r="J3106" s="27"/>
      <c r="K3106" s="27"/>
      <c r="L3106" s="15"/>
      <c r="M3106" s="15"/>
      <c r="N3106" s="4"/>
      <c r="O3106" s="4">
        <v>32</v>
      </c>
    </row>
    <row r="3107" spans="1:15" x14ac:dyDescent="0.2">
      <c r="A3107" s="2">
        <v>40005831</v>
      </c>
      <c r="B3107" s="2" t="s">
        <v>1250</v>
      </c>
      <c r="C3107" s="5" t="s">
        <v>6962</v>
      </c>
      <c r="D3107" s="21">
        <v>3</v>
      </c>
      <c r="E3107" s="21"/>
      <c r="F3107" s="21" t="s">
        <v>10438</v>
      </c>
      <c r="G3107" s="21"/>
      <c r="H3107" s="54">
        <v>386</v>
      </c>
      <c r="I3107" s="51"/>
      <c r="J3107" s="27"/>
      <c r="K3107" s="27"/>
      <c r="L3107" s="15"/>
      <c r="M3107" s="15"/>
      <c r="N3107" s="4"/>
      <c r="O3107" s="4">
        <v>70</v>
      </c>
    </row>
    <row r="3108" spans="1:15" x14ac:dyDescent="0.2">
      <c r="A3108" s="2">
        <v>40005252</v>
      </c>
      <c r="B3108" s="2" t="s">
        <v>771</v>
      </c>
      <c r="C3108" s="5" t="s">
        <v>6486</v>
      </c>
      <c r="D3108" s="21">
        <v>2</v>
      </c>
      <c r="E3108" s="21"/>
      <c r="F3108" s="21" t="s">
        <v>10438</v>
      </c>
      <c r="G3108" s="21"/>
      <c r="H3108" s="54">
        <v>474</v>
      </c>
      <c r="I3108" s="51"/>
      <c r="J3108" s="27"/>
      <c r="K3108" s="27"/>
      <c r="L3108" s="15"/>
      <c r="M3108" s="15"/>
      <c r="N3108" s="4" t="s">
        <v>4021</v>
      </c>
      <c r="O3108" s="4"/>
    </row>
    <row r="3109" spans="1:15" x14ac:dyDescent="0.2">
      <c r="A3109" s="2">
        <v>40005381</v>
      </c>
      <c r="B3109" s="2" t="s">
        <v>859</v>
      </c>
      <c r="C3109" s="5" t="s">
        <v>6581</v>
      </c>
      <c r="D3109" s="21">
        <v>8</v>
      </c>
      <c r="E3109" s="21"/>
      <c r="F3109" s="21" t="s">
        <v>10438</v>
      </c>
      <c r="G3109" s="21"/>
      <c r="H3109" s="54">
        <v>618</v>
      </c>
      <c r="I3109" s="51"/>
      <c r="J3109" s="27"/>
      <c r="K3109" s="27"/>
      <c r="L3109" s="15"/>
      <c r="M3109" s="15"/>
      <c r="N3109" s="4" t="s">
        <v>4087</v>
      </c>
      <c r="O3109" s="4">
        <v>65</v>
      </c>
    </row>
    <row r="3110" spans="1:15" x14ac:dyDescent="0.2">
      <c r="A3110" s="2">
        <v>40011563</v>
      </c>
      <c r="B3110" s="2" t="s">
        <v>5449</v>
      </c>
      <c r="C3110" s="5" t="s">
        <v>9400</v>
      </c>
      <c r="D3110" s="21">
        <v>1</v>
      </c>
      <c r="E3110" s="21"/>
      <c r="F3110" s="21" t="s">
        <v>10438</v>
      </c>
      <c r="G3110" s="21"/>
      <c r="H3110" s="54">
        <v>423</v>
      </c>
      <c r="I3110" s="51"/>
      <c r="J3110" s="27"/>
      <c r="K3110" s="27"/>
      <c r="L3110" s="15"/>
      <c r="M3110" s="15"/>
      <c r="N3110" s="4"/>
      <c r="O3110" s="4">
        <v>68</v>
      </c>
    </row>
    <row r="3111" spans="1:15" x14ac:dyDescent="0.2">
      <c r="A3111" s="2">
        <v>40011208</v>
      </c>
      <c r="B3111" s="2" t="s">
        <v>3776</v>
      </c>
      <c r="C3111" s="5" t="s">
        <v>9353</v>
      </c>
      <c r="D3111" s="21">
        <v>2</v>
      </c>
      <c r="E3111" s="21"/>
      <c r="F3111" s="21" t="s">
        <v>10438</v>
      </c>
      <c r="G3111" s="21"/>
      <c r="H3111" s="54">
        <v>402</v>
      </c>
      <c r="I3111" s="51"/>
      <c r="J3111" s="27"/>
      <c r="K3111" s="27"/>
      <c r="L3111" s="15"/>
      <c r="M3111" s="15"/>
      <c r="N3111" s="4" t="s">
        <v>4031</v>
      </c>
      <c r="O3111" s="4"/>
    </row>
    <row r="3112" spans="1:15" x14ac:dyDescent="0.2">
      <c r="A3112" s="2">
        <v>40005921</v>
      </c>
      <c r="B3112" s="2" t="s">
        <v>1331</v>
      </c>
      <c r="C3112" s="5" t="s">
        <v>7037</v>
      </c>
      <c r="D3112" s="21">
        <v>21</v>
      </c>
      <c r="E3112" s="21"/>
      <c r="F3112" s="21" t="s">
        <v>10438</v>
      </c>
      <c r="G3112" s="21"/>
      <c r="H3112" s="54">
        <v>331</v>
      </c>
      <c r="I3112" s="51"/>
      <c r="J3112" s="27"/>
      <c r="K3112" s="27"/>
      <c r="L3112" s="15"/>
      <c r="M3112" s="15"/>
      <c r="N3112" s="4" t="s">
        <v>4087</v>
      </c>
      <c r="O3112" s="4">
        <v>67</v>
      </c>
    </row>
    <row r="3113" spans="1:15" x14ac:dyDescent="0.2">
      <c r="A3113" s="2">
        <v>40005334</v>
      </c>
      <c r="B3113" s="2" t="s">
        <v>821</v>
      </c>
      <c r="C3113" s="5" t="s">
        <v>6538</v>
      </c>
      <c r="D3113" s="21">
        <v>6</v>
      </c>
      <c r="E3113" s="21"/>
      <c r="F3113" s="21" t="s">
        <v>10438</v>
      </c>
      <c r="G3113" s="21"/>
      <c r="H3113" s="54">
        <v>424</v>
      </c>
      <c r="I3113" s="51"/>
      <c r="J3113" s="27"/>
      <c r="K3113" s="27"/>
      <c r="L3113" s="15"/>
      <c r="M3113" s="15"/>
      <c r="N3113" s="4" t="s">
        <v>4056</v>
      </c>
      <c r="O3113" s="4"/>
    </row>
    <row r="3114" spans="1:15" x14ac:dyDescent="0.2">
      <c r="A3114" s="2">
        <v>40005922</v>
      </c>
      <c r="B3114" s="2" t="s">
        <v>1332</v>
      </c>
      <c r="C3114" s="5" t="s">
        <v>7038</v>
      </c>
      <c r="D3114" s="21">
        <v>1</v>
      </c>
      <c r="E3114" s="21"/>
      <c r="F3114" s="21" t="s">
        <v>10438</v>
      </c>
      <c r="G3114" s="21"/>
      <c r="H3114" s="54">
        <v>305</v>
      </c>
      <c r="I3114" s="51"/>
      <c r="J3114" s="27"/>
      <c r="K3114" s="27"/>
      <c r="L3114" s="15"/>
      <c r="M3114" s="15">
        <v>2</v>
      </c>
      <c r="N3114" s="4" t="s">
        <v>4103</v>
      </c>
      <c r="O3114" s="4"/>
    </row>
    <row r="3115" spans="1:15" x14ac:dyDescent="0.2">
      <c r="A3115" s="2">
        <v>40006540</v>
      </c>
      <c r="B3115" s="2" t="s">
        <v>1880</v>
      </c>
      <c r="C3115" s="5" t="s">
        <v>7588</v>
      </c>
      <c r="D3115" s="21">
        <v>2</v>
      </c>
      <c r="E3115" s="21"/>
      <c r="F3115" s="21" t="s">
        <v>10438</v>
      </c>
      <c r="G3115" s="21"/>
      <c r="H3115" s="54">
        <v>261</v>
      </c>
      <c r="I3115" s="51"/>
      <c r="J3115" s="27"/>
      <c r="K3115" s="27"/>
      <c r="L3115" s="15"/>
      <c r="M3115" s="15"/>
      <c r="N3115" s="4"/>
      <c r="O3115" s="4">
        <v>68</v>
      </c>
    </row>
    <row r="3116" spans="1:15" x14ac:dyDescent="0.2">
      <c r="A3116" s="2">
        <v>10019928</v>
      </c>
      <c r="B3116" s="2" t="s">
        <v>3632</v>
      </c>
      <c r="C3116" s="5" t="s">
        <v>6266</v>
      </c>
      <c r="D3116" s="21">
        <v>16</v>
      </c>
      <c r="E3116" s="21"/>
      <c r="F3116" s="21" t="s">
        <v>10438</v>
      </c>
      <c r="G3116" s="21"/>
      <c r="H3116" s="54">
        <v>46</v>
      </c>
      <c r="I3116" s="51"/>
      <c r="J3116" s="27"/>
      <c r="K3116" s="27"/>
      <c r="L3116" s="15"/>
      <c r="M3116" s="15"/>
      <c r="N3116" s="4">
        <v>50</v>
      </c>
      <c r="O3116" s="4"/>
    </row>
    <row r="3117" spans="1:15" x14ac:dyDescent="0.2">
      <c r="A3117" s="2">
        <v>10019933</v>
      </c>
      <c r="B3117" s="2" t="s">
        <v>3633</v>
      </c>
      <c r="C3117" s="5">
        <v>953003090</v>
      </c>
      <c r="D3117" s="21">
        <v>376</v>
      </c>
      <c r="E3117" s="21"/>
      <c r="F3117" s="21" t="s">
        <v>10438</v>
      </c>
      <c r="G3117" s="21"/>
      <c r="H3117" s="54">
        <v>45</v>
      </c>
      <c r="I3117" s="51"/>
      <c r="J3117" s="27"/>
      <c r="K3117" s="27"/>
      <c r="L3117" s="15"/>
      <c r="M3117" s="15">
        <v>150</v>
      </c>
      <c r="N3117" s="4">
        <v>50</v>
      </c>
      <c r="O3117" s="4"/>
    </row>
    <row r="3118" spans="1:15" x14ac:dyDescent="0.2">
      <c r="A3118" s="2">
        <v>10019926</v>
      </c>
      <c r="B3118" s="2" t="s">
        <v>626</v>
      </c>
      <c r="C3118" s="5">
        <v>953003040</v>
      </c>
      <c r="D3118" s="21">
        <v>114</v>
      </c>
      <c r="E3118" s="21"/>
      <c r="F3118" s="21" t="s">
        <v>10438</v>
      </c>
      <c r="G3118" s="21"/>
      <c r="H3118" s="54">
        <v>67</v>
      </c>
      <c r="I3118" s="51"/>
      <c r="J3118" s="27"/>
      <c r="K3118" s="27"/>
      <c r="L3118" s="15"/>
      <c r="M3118" s="15"/>
      <c r="N3118" s="4">
        <v>50</v>
      </c>
      <c r="O3118" s="4"/>
    </row>
    <row r="3119" spans="1:15" x14ac:dyDescent="0.2">
      <c r="A3119" s="2">
        <v>10019188</v>
      </c>
      <c r="B3119" s="2" t="s">
        <v>455</v>
      </c>
      <c r="C3119" s="5" t="s">
        <v>6063</v>
      </c>
      <c r="D3119" s="21">
        <v>24</v>
      </c>
      <c r="E3119" s="21"/>
      <c r="F3119" s="21" t="s">
        <v>10438</v>
      </c>
      <c r="G3119" s="21"/>
      <c r="H3119" s="54">
        <v>92</v>
      </c>
      <c r="I3119" s="51"/>
      <c r="J3119" s="27"/>
      <c r="K3119" s="27"/>
      <c r="L3119" s="15"/>
      <c r="M3119" s="15"/>
      <c r="N3119" s="4">
        <v>75</v>
      </c>
      <c r="O3119" s="4"/>
    </row>
    <row r="3120" spans="1:15" x14ac:dyDescent="0.2">
      <c r="A3120" s="2">
        <v>10019813</v>
      </c>
      <c r="B3120" s="2" t="s">
        <v>589</v>
      </c>
      <c r="C3120" s="5" t="s">
        <v>6222</v>
      </c>
      <c r="D3120" s="21">
        <v>4</v>
      </c>
      <c r="E3120" s="21"/>
      <c r="F3120" s="21" t="s">
        <v>10438</v>
      </c>
      <c r="G3120" s="21"/>
      <c r="H3120" s="54">
        <v>2530</v>
      </c>
      <c r="I3120" s="51">
        <v>2280</v>
      </c>
      <c r="J3120" s="27">
        <v>16</v>
      </c>
      <c r="K3120" s="27"/>
      <c r="L3120" s="15"/>
      <c r="M3120" s="15">
        <v>10</v>
      </c>
      <c r="N3120" s="4" t="s">
        <v>3607</v>
      </c>
      <c r="O3120" s="4" t="s">
        <v>10445</v>
      </c>
    </row>
    <row r="3121" spans="1:15" x14ac:dyDescent="0.2">
      <c r="A3121" s="2">
        <v>10020023</v>
      </c>
      <c r="B3121" s="2" t="s">
        <v>3801</v>
      </c>
      <c r="C3121" s="5" t="s">
        <v>6305</v>
      </c>
      <c r="D3121" s="21">
        <v>2</v>
      </c>
      <c r="E3121" s="21"/>
      <c r="F3121" s="21" t="s">
        <v>10438</v>
      </c>
      <c r="G3121" s="21"/>
      <c r="H3121" s="54">
        <v>216</v>
      </c>
      <c r="I3121" s="51"/>
      <c r="J3121" s="27"/>
      <c r="K3121" s="27"/>
      <c r="L3121" s="15">
        <v>3</v>
      </c>
      <c r="M3121" s="15"/>
      <c r="N3121" s="4">
        <v>78</v>
      </c>
      <c r="O3121" s="4"/>
    </row>
    <row r="3122" spans="1:15" x14ac:dyDescent="0.2">
      <c r="A3122" s="2">
        <v>10018032</v>
      </c>
      <c r="B3122" s="2" t="s">
        <v>3802</v>
      </c>
      <c r="C3122" s="5" t="s">
        <v>5590</v>
      </c>
      <c r="D3122" s="21"/>
      <c r="E3122" s="21"/>
      <c r="F3122" s="21" t="s">
        <v>10438</v>
      </c>
      <c r="G3122" s="21"/>
      <c r="H3122" s="54">
        <v>300</v>
      </c>
      <c r="I3122" s="51"/>
      <c r="J3122" s="27"/>
      <c r="K3122" s="27"/>
      <c r="L3122" s="15">
        <v>20</v>
      </c>
      <c r="M3122" s="15">
        <v>4</v>
      </c>
      <c r="N3122" s="4">
        <v>78</v>
      </c>
      <c r="O3122" s="4"/>
    </row>
    <row r="3123" spans="1:15" x14ac:dyDescent="0.2">
      <c r="A3123" s="2">
        <v>10019123</v>
      </c>
      <c r="B3123" s="2" t="s">
        <v>435</v>
      </c>
      <c r="C3123" s="5" t="s">
        <v>6037</v>
      </c>
      <c r="D3123" s="21"/>
      <c r="E3123" s="21"/>
      <c r="F3123" s="21" t="s">
        <v>10438</v>
      </c>
      <c r="G3123" s="21"/>
      <c r="H3123" s="54">
        <v>309</v>
      </c>
      <c r="I3123" s="51"/>
      <c r="J3123" s="27"/>
      <c r="K3123" s="27"/>
      <c r="L3123" s="15">
        <v>10</v>
      </c>
      <c r="M3123" s="15"/>
      <c r="N3123" s="4">
        <v>78</v>
      </c>
      <c r="O3123" s="4"/>
    </row>
    <row r="3124" spans="1:15" x14ac:dyDescent="0.2">
      <c r="A3124" s="2">
        <v>10019158</v>
      </c>
      <c r="B3124" s="2" t="s">
        <v>448</v>
      </c>
      <c r="C3124" s="5" t="s">
        <v>6054</v>
      </c>
      <c r="D3124" s="21">
        <v>16</v>
      </c>
      <c r="E3124" s="21"/>
      <c r="F3124" s="21" t="s">
        <v>10438</v>
      </c>
      <c r="G3124" s="21"/>
      <c r="H3124" s="54">
        <v>418</v>
      </c>
      <c r="I3124" s="51"/>
      <c r="J3124" s="27"/>
      <c r="K3124" s="27"/>
      <c r="L3124" s="15"/>
      <c r="M3124" s="15"/>
      <c r="N3124" s="4">
        <v>78</v>
      </c>
      <c r="O3124" s="4"/>
    </row>
    <row r="3125" spans="1:15" x14ac:dyDescent="0.2">
      <c r="A3125" s="2">
        <v>10019861</v>
      </c>
      <c r="B3125" s="2" t="s">
        <v>3640</v>
      </c>
      <c r="C3125" s="5" t="s">
        <v>6239</v>
      </c>
      <c r="D3125" s="21">
        <v>16</v>
      </c>
      <c r="E3125" s="21"/>
      <c r="F3125" s="21" t="s">
        <v>10438</v>
      </c>
      <c r="G3125" s="21"/>
      <c r="H3125" s="54">
        <v>1925</v>
      </c>
      <c r="I3125" s="51">
        <v>1733</v>
      </c>
      <c r="J3125" s="27"/>
      <c r="K3125" s="27"/>
      <c r="L3125" s="15">
        <v>10</v>
      </c>
      <c r="M3125" s="15">
        <v>15</v>
      </c>
      <c r="N3125" s="4">
        <v>57</v>
      </c>
      <c r="O3125" s="4"/>
    </row>
    <row r="3126" spans="1:15" x14ac:dyDescent="0.2">
      <c r="A3126" s="2">
        <v>10019409</v>
      </c>
      <c r="B3126" s="2" t="s">
        <v>511</v>
      </c>
      <c r="C3126" s="5" t="s">
        <v>6132</v>
      </c>
      <c r="D3126" s="21">
        <v>5</v>
      </c>
      <c r="E3126" s="21"/>
      <c r="F3126" s="21" t="s">
        <v>10438</v>
      </c>
      <c r="G3126" s="21"/>
      <c r="H3126" s="54">
        <v>2197</v>
      </c>
      <c r="I3126" s="51">
        <v>1978</v>
      </c>
      <c r="J3126" s="27"/>
      <c r="K3126" s="27"/>
      <c r="L3126" s="15">
        <v>5</v>
      </c>
      <c r="M3126" s="15"/>
      <c r="N3126" s="4">
        <v>57</v>
      </c>
      <c r="O3126" s="4"/>
    </row>
    <row r="3127" spans="1:15" x14ac:dyDescent="0.2">
      <c r="A3127" s="2">
        <v>10019940</v>
      </c>
      <c r="B3127" s="2" t="s">
        <v>633</v>
      </c>
      <c r="C3127" s="5" t="s">
        <v>6272</v>
      </c>
      <c r="D3127" s="21">
        <v>28</v>
      </c>
      <c r="E3127" s="21"/>
      <c r="F3127" s="21" t="s">
        <v>10438</v>
      </c>
      <c r="G3127" s="21"/>
      <c r="H3127" s="54">
        <v>211</v>
      </c>
      <c r="I3127" s="51"/>
      <c r="J3127" s="27"/>
      <c r="K3127" s="27"/>
      <c r="L3127" s="15"/>
      <c r="M3127" s="15"/>
      <c r="N3127" s="4">
        <v>51</v>
      </c>
      <c r="O3127" s="4"/>
    </row>
    <row r="3128" spans="1:15" x14ac:dyDescent="0.2">
      <c r="A3128" s="2">
        <v>10019414</v>
      </c>
      <c r="B3128" s="2" t="s">
        <v>513</v>
      </c>
      <c r="C3128" s="5">
        <v>965403282</v>
      </c>
      <c r="D3128" s="21">
        <v>13</v>
      </c>
      <c r="E3128" s="21"/>
      <c r="F3128" s="21" t="s">
        <v>10438</v>
      </c>
      <c r="G3128" s="21"/>
      <c r="H3128" s="54">
        <v>92</v>
      </c>
      <c r="I3128" s="51"/>
      <c r="J3128" s="27"/>
      <c r="K3128" s="27"/>
      <c r="L3128" s="15"/>
      <c r="M3128" s="15"/>
      <c r="N3128" s="4" t="s">
        <v>3957</v>
      </c>
      <c r="O3128" s="4"/>
    </row>
    <row r="3129" spans="1:15" x14ac:dyDescent="0.2">
      <c r="A3129" s="2">
        <v>40008008</v>
      </c>
      <c r="B3129" s="2" t="s">
        <v>3148</v>
      </c>
      <c r="C3129" s="5">
        <v>965403430</v>
      </c>
      <c r="D3129" s="21">
        <v>1</v>
      </c>
      <c r="E3129" s="21"/>
      <c r="F3129" s="21" t="s">
        <v>10438</v>
      </c>
      <c r="G3129" s="21"/>
      <c r="H3129" s="54">
        <v>138</v>
      </c>
      <c r="I3129" s="51"/>
      <c r="J3129" s="27"/>
      <c r="K3129" s="27"/>
      <c r="L3129" s="15"/>
      <c r="M3129" s="15"/>
      <c r="N3129" s="4" t="s">
        <v>4250</v>
      </c>
      <c r="O3129" s="4"/>
    </row>
    <row r="3130" spans="1:15" x14ac:dyDescent="0.2">
      <c r="A3130" s="2">
        <v>40007649</v>
      </c>
      <c r="B3130" s="2" t="s">
        <v>2831</v>
      </c>
      <c r="C3130" s="5">
        <v>965403491</v>
      </c>
      <c r="D3130" s="21">
        <v>15</v>
      </c>
      <c r="E3130" s="21"/>
      <c r="F3130" s="21" t="s">
        <v>10438</v>
      </c>
      <c r="G3130" s="21"/>
      <c r="H3130" s="54">
        <v>80</v>
      </c>
      <c r="I3130" s="51"/>
      <c r="J3130" s="27"/>
      <c r="K3130" s="27"/>
      <c r="L3130" s="15"/>
      <c r="M3130" s="15"/>
      <c r="N3130" s="4" t="s">
        <v>4992</v>
      </c>
      <c r="O3130" s="4"/>
    </row>
    <row r="3131" spans="1:15" x14ac:dyDescent="0.2">
      <c r="A3131" s="2">
        <v>40008016</v>
      </c>
      <c r="B3131" s="2" t="s">
        <v>3156</v>
      </c>
      <c r="C3131" s="5">
        <v>27213150</v>
      </c>
      <c r="D3131" s="21">
        <v>1</v>
      </c>
      <c r="E3131" s="21"/>
      <c r="F3131" s="21" t="s">
        <v>10438</v>
      </c>
      <c r="G3131" s="21"/>
      <c r="H3131" s="54">
        <v>10</v>
      </c>
      <c r="I3131" s="51"/>
      <c r="J3131" s="27"/>
      <c r="K3131" s="27"/>
      <c r="L3131" s="15"/>
      <c r="M3131" s="15"/>
      <c r="N3131" s="4" t="s">
        <v>4387</v>
      </c>
      <c r="O3131" s="4"/>
    </row>
    <row r="3132" spans="1:15" x14ac:dyDescent="0.2">
      <c r="A3132" s="2">
        <v>40007388</v>
      </c>
      <c r="B3132" s="2" t="s">
        <v>2615</v>
      </c>
      <c r="C3132" s="5" t="s">
        <v>8313</v>
      </c>
      <c r="D3132" s="21">
        <v>4</v>
      </c>
      <c r="E3132" s="21"/>
      <c r="F3132" s="21" t="s">
        <v>10438</v>
      </c>
      <c r="G3132" s="21"/>
      <c r="H3132" s="54">
        <v>143</v>
      </c>
      <c r="I3132" s="51"/>
      <c r="J3132" s="27"/>
      <c r="K3132" s="27"/>
      <c r="L3132" s="15"/>
      <c r="M3132" s="15"/>
      <c r="N3132" s="4">
        <v>62</v>
      </c>
      <c r="O3132" s="4"/>
    </row>
    <row r="3133" spans="1:15" x14ac:dyDescent="0.2">
      <c r="A3133" s="2">
        <v>40007387</v>
      </c>
      <c r="B3133" s="2" t="s">
        <v>2614</v>
      </c>
      <c r="C3133" s="5" t="s">
        <v>8312</v>
      </c>
      <c r="D3133" s="21">
        <v>20</v>
      </c>
      <c r="E3133" s="21"/>
      <c r="F3133" s="21" t="s">
        <v>10438</v>
      </c>
      <c r="G3133" s="21"/>
      <c r="H3133" s="54">
        <v>36</v>
      </c>
      <c r="I3133" s="51"/>
      <c r="J3133" s="27"/>
      <c r="K3133" s="27"/>
      <c r="L3133" s="15"/>
      <c r="M3133" s="15"/>
      <c r="N3133" s="4" t="s">
        <v>4004</v>
      </c>
      <c r="O3133" s="4" t="s">
        <v>10180</v>
      </c>
    </row>
    <row r="3134" spans="1:15" x14ac:dyDescent="0.2">
      <c r="A3134" s="2">
        <v>40007303</v>
      </c>
      <c r="B3134" s="2" t="s">
        <v>2545</v>
      </c>
      <c r="C3134" s="5" t="s">
        <v>8242</v>
      </c>
      <c r="D3134" s="21">
        <v>10</v>
      </c>
      <c r="E3134" s="21"/>
      <c r="F3134" s="21" t="s">
        <v>10438</v>
      </c>
      <c r="G3134" s="21"/>
      <c r="H3134" s="54">
        <v>4</v>
      </c>
      <c r="I3134" s="51"/>
      <c r="J3134" s="27"/>
      <c r="K3134" s="27"/>
      <c r="L3134" s="15"/>
      <c r="M3134" s="15"/>
      <c r="N3134" s="4" t="s">
        <v>4657</v>
      </c>
      <c r="O3134" s="4"/>
    </row>
    <row r="3135" spans="1:15" x14ac:dyDescent="0.2">
      <c r="A3135" s="2">
        <v>40006662</v>
      </c>
      <c r="B3135" s="2" t="s">
        <v>1988</v>
      </c>
      <c r="C3135" s="5" t="s">
        <v>7697</v>
      </c>
      <c r="D3135" s="21">
        <v>14</v>
      </c>
      <c r="E3135" s="21"/>
      <c r="F3135" s="21" t="s">
        <v>10438</v>
      </c>
      <c r="G3135" s="21"/>
      <c r="H3135" s="54">
        <v>4</v>
      </c>
      <c r="I3135" s="51"/>
      <c r="J3135" s="27"/>
      <c r="K3135" s="27"/>
      <c r="L3135" s="15"/>
      <c r="M3135" s="15"/>
      <c r="N3135" s="4" t="s">
        <v>4132</v>
      </c>
      <c r="O3135" s="4"/>
    </row>
    <row r="3136" spans="1:15" x14ac:dyDescent="0.2">
      <c r="A3136" s="2">
        <v>40006664</v>
      </c>
      <c r="B3136" s="2" t="s">
        <v>1989</v>
      </c>
      <c r="C3136" s="5" t="s">
        <v>7698</v>
      </c>
      <c r="D3136" s="21">
        <v>6</v>
      </c>
      <c r="E3136" s="21"/>
      <c r="F3136" s="21" t="s">
        <v>10438</v>
      </c>
      <c r="G3136" s="21"/>
      <c r="H3136" s="54">
        <v>11</v>
      </c>
      <c r="I3136" s="51"/>
      <c r="J3136" s="27"/>
      <c r="K3136" s="27"/>
      <c r="L3136" s="15"/>
      <c r="M3136" s="15"/>
      <c r="N3136" s="4" t="s">
        <v>4132</v>
      </c>
      <c r="O3136" s="4"/>
    </row>
    <row r="3137" spans="1:15" x14ac:dyDescent="0.2">
      <c r="A3137" s="2">
        <v>40008137</v>
      </c>
      <c r="B3137" s="2" t="s">
        <v>3260</v>
      </c>
      <c r="C3137" s="5" t="s">
        <v>8956</v>
      </c>
      <c r="D3137" s="21">
        <v>16</v>
      </c>
      <c r="E3137" s="21"/>
      <c r="F3137" s="21" t="s">
        <v>10438</v>
      </c>
      <c r="G3137" s="21"/>
      <c r="H3137" s="54">
        <v>7</v>
      </c>
      <c r="I3137" s="51"/>
      <c r="J3137" s="27"/>
      <c r="K3137" s="27"/>
      <c r="L3137" s="15"/>
      <c r="M3137" s="15"/>
      <c r="N3137" s="4" t="s">
        <v>4459</v>
      </c>
      <c r="O3137" s="4"/>
    </row>
    <row r="3138" spans="1:15" x14ac:dyDescent="0.2">
      <c r="A3138" s="2">
        <v>40005486</v>
      </c>
      <c r="B3138" s="2" t="s">
        <v>956</v>
      </c>
      <c r="C3138" s="5" t="s">
        <v>6678</v>
      </c>
      <c r="D3138" s="21">
        <v>2</v>
      </c>
      <c r="E3138" s="21"/>
      <c r="F3138" s="21" t="s">
        <v>10438</v>
      </c>
      <c r="G3138" s="21"/>
      <c r="H3138" s="54">
        <v>8</v>
      </c>
      <c r="I3138" s="51"/>
      <c r="J3138" s="27"/>
      <c r="K3138" s="27"/>
      <c r="L3138" s="15"/>
      <c r="M3138" s="15"/>
      <c r="N3138" s="4" t="s">
        <v>4132</v>
      </c>
      <c r="O3138" s="4"/>
    </row>
    <row r="3139" spans="1:15" x14ac:dyDescent="0.2">
      <c r="A3139" s="2">
        <v>40006432</v>
      </c>
      <c r="B3139" s="2" t="s">
        <v>1790</v>
      </c>
      <c r="C3139" s="5" t="s">
        <v>7497</v>
      </c>
      <c r="D3139" s="21">
        <v>4</v>
      </c>
      <c r="E3139" s="21"/>
      <c r="F3139" s="21" t="s">
        <v>10438</v>
      </c>
      <c r="G3139" s="21"/>
      <c r="H3139" s="54">
        <v>17</v>
      </c>
      <c r="I3139" s="51"/>
      <c r="J3139" s="27"/>
      <c r="K3139" s="27"/>
      <c r="L3139" s="15"/>
      <c r="M3139" s="15"/>
      <c r="N3139" s="4" t="s">
        <v>4589</v>
      </c>
      <c r="O3139" s="4"/>
    </row>
    <row r="3140" spans="1:15" x14ac:dyDescent="0.2">
      <c r="A3140" s="2">
        <v>40006537</v>
      </c>
      <c r="B3140" s="2" t="s">
        <v>1877</v>
      </c>
      <c r="C3140" s="5" t="s">
        <v>7585</v>
      </c>
      <c r="D3140" s="21">
        <v>15</v>
      </c>
      <c r="E3140" s="21"/>
      <c r="F3140" s="21" t="s">
        <v>10438</v>
      </c>
      <c r="G3140" s="21"/>
      <c r="H3140" s="54">
        <v>6</v>
      </c>
      <c r="I3140" s="51"/>
      <c r="J3140" s="27"/>
      <c r="K3140" s="27"/>
      <c r="L3140" s="15"/>
      <c r="M3140" s="15"/>
      <c r="N3140" s="4" t="s">
        <v>4437</v>
      </c>
      <c r="O3140" s="4"/>
    </row>
    <row r="3141" spans="1:15" x14ac:dyDescent="0.2">
      <c r="A3141" s="2">
        <v>40006655</v>
      </c>
      <c r="B3141" s="2" t="s">
        <v>1981</v>
      </c>
      <c r="C3141" s="5" t="s">
        <v>7690</v>
      </c>
      <c r="D3141" s="21">
        <v>1</v>
      </c>
      <c r="E3141" s="21"/>
      <c r="F3141" s="21" t="s">
        <v>10438</v>
      </c>
      <c r="G3141" s="21"/>
      <c r="H3141" s="54">
        <v>61</v>
      </c>
      <c r="I3141" s="51"/>
      <c r="J3141" s="27"/>
      <c r="K3141" s="27"/>
      <c r="L3141" s="15"/>
      <c r="M3141" s="15"/>
      <c r="N3141" s="4" t="s">
        <v>4108</v>
      </c>
      <c r="O3141" s="4"/>
    </row>
    <row r="3142" spans="1:15" x14ac:dyDescent="0.2">
      <c r="A3142" s="2">
        <v>40005244</v>
      </c>
      <c r="B3142" s="2" t="s">
        <v>765</v>
      </c>
      <c r="C3142" s="5" t="s">
        <v>6479</v>
      </c>
      <c r="D3142" s="21">
        <v>37</v>
      </c>
      <c r="E3142" s="21"/>
      <c r="F3142" s="30">
        <v>4</v>
      </c>
      <c r="G3142" s="21"/>
      <c r="H3142" s="54">
        <v>14</v>
      </c>
      <c r="I3142" s="51"/>
      <c r="J3142" s="27"/>
      <c r="K3142" s="27"/>
      <c r="L3142" s="15">
        <v>40</v>
      </c>
      <c r="M3142" s="15">
        <v>10</v>
      </c>
      <c r="N3142" s="4" t="s">
        <v>4018</v>
      </c>
      <c r="O3142" s="4"/>
    </row>
    <row r="3143" spans="1:15" x14ac:dyDescent="0.2">
      <c r="A3143" s="2">
        <v>40007712</v>
      </c>
      <c r="B3143" s="2" t="s">
        <v>2888</v>
      </c>
      <c r="C3143" s="5" t="s">
        <v>8586</v>
      </c>
      <c r="D3143" s="21">
        <v>4</v>
      </c>
      <c r="E3143" s="21"/>
      <c r="F3143" s="21" t="s">
        <v>10438</v>
      </c>
      <c r="G3143" s="21"/>
      <c r="H3143" s="54">
        <v>8</v>
      </c>
      <c r="I3143" s="51"/>
      <c r="J3143" s="27"/>
      <c r="K3143" s="27"/>
      <c r="L3143" s="15"/>
      <c r="M3143" s="15"/>
      <c r="N3143" s="4" t="s">
        <v>5044</v>
      </c>
      <c r="O3143" s="4"/>
    </row>
    <row r="3144" spans="1:15" x14ac:dyDescent="0.2">
      <c r="A3144" s="2">
        <v>40010310</v>
      </c>
      <c r="B3144" s="2" t="s">
        <v>3496</v>
      </c>
      <c r="C3144" s="5" t="s">
        <v>9191</v>
      </c>
      <c r="D3144" s="21">
        <v>5</v>
      </c>
      <c r="E3144" s="21"/>
      <c r="F3144" s="21" t="s">
        <v>10438</v>
      </c>
      <c r="G3144" s="21"/>
      <c r="H3144" s="54">
        <v>23</v>
      </c>
      <c r="I3144" s="51"/>
      <c r="J3144" s="27"/>
      <c r="K3144" s="27"/>
      <c r="L3144" s="15"/>
      <c r="M3144" s="15"/>
      <c r="N3144" s="4" t="s">
        <v>5261</v>
      </c>
      <c r="O3144" s="4"/>
    </row>
    <row r="3145" spans="1:15" x14ac:dyDescent="0.2">
      <c r="A3145" s="2">
        <v>40010278</v>
      </c>
      <c r="B3145" s="2" t="s">
        <v>3469</v>
      </c>
      <c r="C3145" s="5" t="s">
        <v>9163</v>
      </c>
      <c r="D3145" s="21">
        <v>3</v>
      </c>
      <c r="E3145" s="21"/>
      <c r="F3145" s="21" t="s">
        <v>10438</v>
      </c>
      <c r="G3145" s="21"/>
      <c r="H3145" s="54">
        <v>86</v>
      </c>
      <c r="I3145" s="51"/>
      <c r="J3145" s="27"/>
      <c r="K3145" s="27"/>
      <c r="L3145" s="15"/>
      <c r="M3145" s="15"/>
      <c r="N3145" s="4" t="s">
        <v>4013</v>
      </c>
      <c r="O3145" s="4"/>
    </row>
    <row r="3146" spans="1:15" x14ac:dyDescent="0.2">
      <c r="A3146" s="2">
        <v>40005688</v>
      </c>
      <c r="B3146" s="2" t="s">
        <v>1122</v>
      </c>
      <c r="C3146" s="5" t="s">
        <v>6840</v>
      </c>
      <c r="D3146" s="21">
        <v>35</v>
      </c>
      <c r="E3146" s="21"/>
      <c r="F3146" s="21" t="s">
        <v>10438</v>
      </c>
      <c r="G3146" s="21"/>
      <c r="H3146" s="54">
        <v>31</v>
      </c>
      <c r="I3146" s="51"/>
      <c r="J3146" s="27"/>
      <c r="K3146" s="27"/>
      <c r="L3146" s="15"/>
      <c r="M3146" s="15"/>
      <c r="N3146" s="4" t="s">
        <v>4217</v>
      </c>
      <c r="O3146" s="4"/>
    </row>
    <row r="3147" spans="1:15" x14ac:dyDescent="0.2">
      <c r="A3147" s="2">
        <v>40010305</v>
      </c>
      <c r="B3147" s="2" t="s">
        <v>3494</v>
      </c>
      <c r="C3147" s="5" t="s">
        <v>9188</v>
      </c>
      <c r="D3147" s="21">
        <v>5</v>
      </c>
      <c r="E3147" s="21"/>
      <c r="F3147" s="21" t="s">
        <v>10438</v>
      </c>
      <c r="G3147" s="21"/>
      <c r="H3147" s="54">
        <v>25</v>
      </c>
      <c r="I3147" s="51"/>
      <c r="J3147" s="27"/>
      <c r="K3147" s="27"/>
      <c r="L3147" s="15"/>
      <c r="M3147" s="15"/>
      <c r="N3147" s="4" t="s">
        <v>4013</v>
      </c>
      <c r="O3147" s="4"/>
    </row>
    <row r="3148" spans="1:15" x14ac:dyDescent="0.2">
      <c r="A3148" s="2">
        <v>40006658</v>
      </c>
      <c r="B3148" s="2" t="s">
        <v>1984</v>
      </c>
      <c r="C3148" s="5" t="s">
        <v>7693</v>
      </c>
      <c r="D3148" s="21">
        <v>1</v>
      </c>
      <c r="E3148" s="21"/>
      <c r="F3148" s="21" t="s">
        <v>10438</v>
      </c>
      <c r="G3148" s="21"/>
      <c r="H3148" s="54">
        <v>58</v>
      </c>
      <c r="I3148" s="51"/>
      <c r="J3148" s="27"/>
      <c r="K3148" s="27"/>
      <c r="L3148" s="15"/>
      <c r="M3148" s="15"/>
      <c r="N3148" s="4" t="s">
        <v>4108</v>
      </c>
      <c r="O3148" s="4"/>
    </row>
    <row r="3149" spans="1:15" x14ac:dyDescent="0.2">
      <c r="A3149" s="2">
        <v>40006660</v>
      </c>
      <c r="B3149" s="2" t="s">
        <v>1986</v>
      </c>
      <c r="C3149" s="5" t="s">
        <v>7695</v>
      </c>
      <c r="D3149" s="21">
        <v>1</v>
      </c>
      <c r="E3149" s="21"/>
      <c r="F3149" s="21" t="s">
        <v>10438</v>
      </c>
      <c r="G3149" s="21"/>
      <c r="H3149" s="54">
        <v>29</v>
      </c>
      <c r="I3149" s="51"/>
      <c r="J3149" s="27"/>
      <c r="K3149" s="27"/>
      <c r="L3149" s="15"/>
      <c r="M3149" s="15"/>
      <c r="N3149" s="4" t="s">
        <v>4116</v>
      </c>
      <c r="O3149" s="4"/>
    </row>
    <row r="3150" spans="1:15" x14ac:dyDescent="0.2">
      <c r="A3150" s="2">
        <v>40010277</v>
      </c>
      <c r="B3150" s="2" t="s">
        <v>3468</v>
      </c>
      <c r="C3150" s="5" t="s">
        <v>9162</v>
      </c>
      <c r="D3150" s="21">
        <v>3</v>
      </c>
      <c r="E3150" s="21"/>
      <c r="F3150" s="21" t="s">
        <v>10438</v>
      </c>
      <c r="G3150" s="21"/>
      <c r="H3150" s="54">
        <v>39</v>
      </c>
      <c r="I3150" s="51"/>
      <c r="J3150" s="27"/>
      <c r="K3150" s="27"/>
      <c r="L3150" s="15"/>
      <c r="M3150" s="15"/>
      <c r="N3150" s="4" t="s">
        <v>4497</v>
      </c>
      <c r="O3150" s="4"/>
    </row>
    <row r="3151" spans="1:15" x14ac:dyDescent="0.2">
      <c r="A3151" s="2">
        <v>40006132</v>
      </c>
      <c r="B3151" s="2" t="s">
        <v>1523</v>
      </c>
      <c r="C3151" s="5" t="s">
        <v>7227</v>
      </c>
      <c r="D3151" s="21">
        <v>12</v>
      </c>
      <c r="E3151" s="21"/>
      <c r="F3151" s="21" t="s">
        <v>10438</v>
      </c>
      <c r="G3151" s="21"/>
      <c r="H3151" s="54">
        <v>35</v>
      </c>
      <c r="I3151" s="51"/>
      <c r="J3151" s="27"/>
      <c r="K3151" s="27"/>
      <c r="L3151" s="15"/>
      <c r="M3151" s="15"/>
      <c r="N3151" s="4" t="s">
        <v>4192</v>
      </c>
      <c r="O3151" s="4"/>
    </row>
    <row r="3152" spans="1:15" x14ac:dyDescent="0.2">
      <c r="A3152" s="2">
        <v>40007555</v>
      </c>
      <c r="B3152" s="2" t="s">
        <v>2755</v>
      </c>
      <c r="C3152" s="5" t="s">
        <v>8455</v>
      </c>
      <c r="D3152" s="21">
        <v>20</v>
      </c>
      <c r="E3152" s="21"/>
      <c r="F3152" s="21" t="s">
        <v>10438</v>
      </c>
      <c r="G3152" s="21"/>
      <c r="H3152" s="54">
        <v>6</v>
      </c>
      <c r="I3152" s="51"/>
      <c r="J3152" s="27"/>
      <c r="K3152" s="27"/>
      <c r="L3152" s="15"/>
      <c r="M3152" s="15"/>
      <c r="N3152" s="4" t="s">
        <v>4707</v>
      </c>
      <c r="O3152" s="4"/>
    </row>
    <row r="3153" spans="1:15" x14ac:dyDescent="0.2">
      <c r="A3153" s="2">
        <v>40005695</v>
      </c>
      <c r="B3153" s="2" t="s">
        <v>1128</v>
      </c>
      <c r="C3153" s="5" t="s">
        <v>6845</v>
      </c>
      <c r="D3153" s="21">
        <v>9</v>
      </c>
      <c r="E3153" s="21"/>
      <c r="F3153" s="21" t="s">
        <v>10438</v>
      </c>
      <c r="G3153" s="21"/>
      <c r="H3153" s="54">
        <v>4</v>
      </c>
      <c r="I3153" s="51"/>
      <c r="J3153" s="27"/>
      <c r="K3153" s="27"/>
      <c r="L3153" s="15"/>
      <c r="M3153" s="15"/>
      <c r="N3153" s="4" t="s">
        <v>4221</v>
      </c>
      <c r="O3153" s="4"/>
    </row>
    <row r="3154" spans="1:15" x14ac:dyDescent="0.2">
      <c r="A3154" s="2">
        <v>40006315</v>
      </c>
      <c r="B3154" s="2" t="s">
        <v>1682</v>
      </c>
      <c r="C3154" s="5" t="s">
        <v>7392</v>
      </c>
      <c r="D3154" s="21">
        <v>4</v>
      </c>
      <c r="E3154" s="21"/>
      <c r="F3154" s="21" t="s">
        <v>10438</v>
      </c>
      <c r="G3154" s="21"/>
      <c r="H3154" s="54">
        <v>2</v>
      </c>
      <c r="I3154" s="51"/>
      <c r="J3154" s="27"/>
      <c r="K3154" s="27"/>
      <c r="L3154" s="15"/>
      <c r="M3154" s="15"/>
      <c r="N3154" s="4" t="s">
        <v>4521</v>
      </c>
      <c r="O3154" s="4"/>
    </row>
    <row r="3155" spans="1:15" x14ac:dyDescent="0.2">
      <c r="A3155" s="2">
        <v>40007396</v>
      </c>
      <c r="B3155" s="2" t="s">
        <v>2622</v>
      </c>
      <c r="C3155" s="5" t="s">
        <v>8320</v>
      </c>
      <c r="D3155" s="21">
        <v>13</v>
      </c>
      <c r="E3155" s="21"/>
      <c r="F3155" s="21" t="s">
        <v>10438</v>
      </c>
      <c r="G3155" s="21"/>
      <c r="H3155" s="54">
        <v>16</v>
      </c>
      <c r="I3155" s="51"/>
      <c r="J3155" s="27"/>
      <c r="K3155" s="27"/>
      <c r="L3155" s="15"/>
      <c r="M3155" s="15"/>
      <c r="N3155" s="4" t="s">
        <v>4941</v>
      </c>
      <c r="O3155" s="4"/>
    </row>
    <row r="3156" spans="1:15" x14ac:dyDescent="0.2">
      <c r="A3156" s="2">
        <v>40007902</v>
      </c>
      <c r="B3156" s="2" t="s">
        <v>3057</v>
      </c>
      <c r="C3156" s="5" t="s">
        <v>8748</v>
      </c>
      <c r="D3156" s="21">
        <v>8</v>
      </c>
      <c r="E3156" s="21"/>
      <c r="F3156" s="21" t="s">
        <v>10438</v>
      </c>
      <c r="G3156" s="21"/>
      <c r="H3156" s="54">
        <v>10</v>
      </c>
      <c r="I3156" s="51"/>
      <c r="J3156" s="27"/>
      <c r="K3156" s="27"/>
      <c r="L3156" s="15"/>
      <c r="M3156" s="15"/>
      <c r="N3156" s="4" t="s">
        <v>4820</v>
      </c>
      <c r="O3156" s="4"/>
    </row>
    <row r="3157" spans="1:15" x14ac:dyDescent="0.2">
      <c r="A3157" s="2">
        <v>40007523</v>
      </c>
      <c r="B3157" s="2" t="s">
        <v>2728</v>
      </c>
      <c r="C3157" s="5" t="s">
        <v>8431</v>
      </c>
      <c r="D3157" s="21">
        <v>38</v>
      </c>
      <c r="E3157" s="21"/>
      <c r="F3157" s="30">
        <v>2</v>
      </c>
      <c r="G3157" s="21"/>
      <c r="H3157" s="54">
        <v>7</v>
      </c>
      <c r="I3157" s="51"/>
      <c r="J3157" s="27"/>
      <c r="K3157" s="27"/>
      <c r="L3157" s="15"/>
      <c r="M3157" s="15"/>
      <c r="N3157" s="4" t="s">
        <v>4985</v>
      </c>
      <c r="O3157" s="4"/>
    </row>
    <row r="3158" spans="1:15" x14ac:dyDescent="0.2">
      <c r="A3158" s="2">
        <v>40006781</v>
      </c>
      <c r="B3158" s="2" t="s">
        <v>2081</v>
      </c>
      <c r="C3158" s="5" t="s">
        <v>7791</v>
      </c>
      <c r="D3158" s="21">
        <v>1</v>
      </c>
      <c r="E3158" s="21"/>
      <c r="F3158" s="21" t="s">
        <v>10438</v>
      </c>
      <c r="G3158" s="21"/>
      <c r="H3158" s="54">
        <v>4</v>
      </c>
      <c r="I3158" s="51"/>
      <c r="J3158" s="27"/>
      <c r="K3158" s="27"/>
      <c r="L3158" s="15"/>
      <c r="M3158" s="15"/>
      <c r="N3158" s="4" t="s">
        <v>4454</v>
      </c>
      <c r="O3158" s="4"/>
    </row>
    <row r="3159" spans="1:15" x14ac:dyDescent="0.2">
      <c r="A3159" s="2">
        <v>40007365</v>
      </c>
      <c r="B3159" s="2" t="s">
        <v>2596</v>
      </c>
      <c r="C3159" s="5" t="s">
        <v>8295</v>
      </c>
      <c r="D3159" s="21">
        <v>11</v>
      </c>
      <c r="E3159" s="21"/>
      <c r="F3159" s="30">
        <v>1</v>
      </c>
      <c r="G3159" s="21"/>
      <c r="H3159" s="54">
        <v>46</v>
      </c>
      <c r="I3159" s="51"/>
      <c r="J3159" s="27"/>
      <c r="K3159" s="27"/>
      <c r="L3159" s="15">
        <v>50</v>
      </c>
      <c r="M3159" s="15">
        <v>12</v>
      </c>
      <c r="N3159" s="4" t="s">
        <v>4361</v>
      </c>
      <c r="O3159" s="4"/>
    </row>
    <row r="3160" spans="1:15" x14ac:dyDescent="0.2">
      <c r="A3160" s="2">
        <v>40007030</v>
      </c>
      <c r="B3160" s="2" t="s">
        <v>2309</v>
      </c>
      <c r="C3160" s="10" t="s">
        <v>8019</v>
      </c>
      <c r="D3160" s="21">
        <v>14</v>
      </c>
      <c r="E3160" s="21"/>
      <c r="F3160" s="21" t="s">
        <v>10438</v>
      </c>
      <c r="G3160" s="21"/>
      <c r="H3160" s="54">
        <v>102</v>
      </c>
      <c r="I3160" s="51"/>
      <c r="J3160" s="27"/>
      <c r="K3160" s="27"/>
      <c r="L3160" s="15"/>
      <c r="M3160" s="15">
        <v>5</v>
      </c>
      <c r="N3160" s="4" t="s">
        <v>4796</v>
      </c>
      <c r="O3160" s="4"/>
    </row>
    <row r="3161" spans="1:15" x14ac:dyDescent="0.2">
      <c r="A3161" s="2">
        <v>10019836</v>
      </c>
      <c r="B3161" s="2" t="s">
        <v>593</v>
      </c>
      <c r="C3161" s="5" t="s">
        <v>6227</v>
      </c>
      <c r="D3161" s="21">
        <v>16</v>
      </c>
      <c r="E3161" s="21"/>
      <c r="F3161" s="21" t="s">
        <v>10438</v>
      </c>
      <c r="G3161" s="21"/>
      <c r="H3161" s="54">
        <v>34</v>
      </c>
      <c r="I3161" s="51"/>
      <c r="J3161" s="27"/>
      <c r="K3161" s="27"/>
      <c r="L3161" s="15"/>
      <c r="M3161" s="15">
        <v>4</v>
      </c>
      <c r="N3161" s="4">
        <v>65</v>
      </c>
      <c r="O3161" s="4"/>
    </row>
    <row r="3162" spans="1:15" x14ac:dyDescent="0.2">
      <c r="A3162" s="2">
        <v>40006657</v>
      </c>
      <c r="B3162" s="2" t="s">
        <v>1983</v>
      </c>
      <c r="C3162" s="5" t="s">
        <v>7692</v>
      </c>
      <c r="D3162" s="21">
        <v>5</v>
      </c>
      <c r="E3162" s="21"/>
      <c r="F3162" s="21" t="s">
        <v>10438</v>
      </c>
      <c r="G3162" s="21"/>
      <c r="H3162" s="54">
        <v>29</v>
      </c>
      <c r="I3162" s="51"/>
      <c r="J3162" s="27"/>
      <c r="K3162" s="27"/>
      <c r="L3162" s="15"/>
      <c r="M3162" s="15"/>
      <c r="N3162" s="4"/>
      <c r="O3162" s="4">
        <v>88</v>
      </c>
    </row>
    <row r="3163" spans="1:15" x14ac:dyDescent="0.2">
      <c r="A3163" s="2">
        <v>40007153</v>
      </c>
      <c r="B3163" s="2" t="s">
        <v>2421</v>
      </c>
      <c r="C3163" s="5" t="s">
        <v>8123</v>
      </c>
      <c r="D3163" s="21">
        <v>1</v>
      </c>
      <c r="E3163" s="21"/>
      <c r="F3163" s="21" t="s">
        <v>10438</v>
      </c>
      <c r="G3163" s="21"/>
      <c r="H3163" s="54">
        <v>1326</v>
      </c>
      <c r="I3163" s="51"/>
      <c r="J3163" s="27"/>
      <c r="K3163" s="27"/>
      <c r="L3163" s="15"/>
      <c r="M3163" s="15"/>
      <c r="N3163" s="4" t="s">
        <v>4080</v>
      </c>
      <c r="O3163" s="4"/>
    </row>
    <row r="3164" spans="1:15" x14ac:dyDescent="0.2">
      <c r="A3164" s="2">
        <v>40007637</v>
      </c>
      <c r="B3164" s="2" t="s">
        <v>3814</v>
      </c>
      <c r="C3164" s="5" t="s">
        <v>8523</v>
      </c>
      <c r="D3164" s="21">
        <v>12</v>
      </c>
      <c r="E3164" s="21"/>
      <c r="F3164" s="21" t="s">
        <v>10438</v>
      </c>
      <c r="G3164" s="21"/>
      <c r="H3164" s="54">
        <v>175</v>
      </c>
      <c r="I3164" s="51"/>
      <c r="J3164" s="27"/>
      <c r="K3164" s="27"/>
      <c r="L3164" s="15"/>
      <c r="M3164" s="15"/>
      <c r="N3164" s="4" t="s">
        <v>4272</v>
      </c>
      <c r="O3164" s="4"/>
    </row>
    <row r="3165" spans="1:15" x14ac:dyDescent="0.2">
      <c r="A3165" s="2">
        <v>40006061</v>
      </c>
      <c r="B3165" s="2" t="s">
        <v>1456</v>
      </c>
      <c r="C3165" s="5" t="s">
        <v>7162</v>
      </c>
      <c r="D3165" s="21">
        <v>4</v>
      </c>
      <c r="E3165" s="21"/>
      <c r="F3165" s="21" t="s">
        <v>10438</v>
      </c>
      <c r="G3165" s="21"/>
      <c r="H3165" s="54">
        <v>347</v>
      </c>
      <c r="I3165" s="51"/>
      <c r="J3165" s="27"/>
      <c r="K3165" s="27"/>
      <c r="L3165" s="15"/>
      <c r="M3165" s="15"/>
      <c r="N3165" s="4" t="s">
        <v>4390</v>
      </c>
      <c r="O3165" s="4">
        <v>88</v>
      </c>
    </row>
    <row r="3166" spans="1:15" x14ac:dyDescent="0.2">
      <c r="A3166" s="2">
        <v>40006690</v>
      </c>
      <c r="B3166" s="2" t="s">
        <v>2008</v>
      </c>
      <c r="C3166" s="5" t="s">
        <v>7717</v>
      </c>
      <c r="D3166" s="21">
        <v>2</v>
      </c>
      <c r="E3166" s="21"/>
      <c r="F3166" s="21" t="s">
        <v>10438</v>
      </c>
      <c r="G3166" s="21"/>
      <c r="H3166" s="54">
        <v>327</v>
      </c>
      <c r="I3166" s="51"/>
      <c r="J3166" s="27"/>
      <c r="K3166" s="27"/>
      <c r="L3166" s="15"/>
      <c r="M3166" s="15"/>
      <c r="N3166" s="4"/>
      <c r="O3166" s="4" t="s">
        <v>10095</v>
      </c>
    </row>
    <row r="3167" spans="1:15" x14ac:dyDescent="0.2">
      <c r="A3167" s="2">
        <v>40006058</v>
      </c>
      <c r="B3167" s="2" t="s">
        <v>1454</v>
      </c>
      <c r="C3167" s="5" t="s">
        <v>7159</v>
      </c>
      <c r="D3167" s="21">
        <v>3</v>
      </c>
      <c r="E3167" s="21"/>
      <c r="F3167" s="21" t="s">
        <v>10438</v>
      </c>
      <c r="G3167" s="21"/>
      <c r="H3167" s="54">
        <v>80</v>
      </c>
      <c r="I3167" s="51"/>
      <c r="J3167" s="27"/>
      <c r="K3167" s="27"/>
      <c r="L3167" s="15"/>
      <c r="M3167" s="15"/>
      <c r="N3167" s="4" t="s">
        <v>4089</v>
      </c>
      <c r="O3167" s="4" t="s">
        <v>4817</v>
      </c>
    </row>
    <row r="3168" spans="1:15" x14ac:dyDescent="0.2">
      <c r="A3168" s="2">
        <v>40005914</v>
      </c>
      <c r="B3168" s="2" t="s">
        <v>1325</v>
      </c>
      <c r="C3168" s="5" t="s">
        <v>7032</v>
      </c>
      <c r="D3168" s="21">
        <v>4</v>
      </c>
      <c r="E3168" s="21"/>
      <c r="F3168" s="30">
        <v>1</v>
      </c>
      <c r="G3168" s="21"/>
      <c r="H3168" s="54">
        <v>195</v>
      </c>
      <c r="I3168" s="51"/>
      <c r="J3168" s="27"/>
      <c r="K3168" s="27"/>
      <c r="L3168" s="15"/>
      <c r="M3168" s="15">
        <v>2</v>
      </c>
      <c r="N3168" s="4" t="s">
        <v>4222</v>
      </c>
      <c r="O3168" s="4" t="s">
        <v>3944</v>
      </c>
    </row>
    <row r="3169" spans="1:15" x14ac:dyDescent="0.2">
      <c r="A3169" s="2">
        <v>40011415</v>
      </c>
      <c r="B3169" s="2" t="s">
        <v>5309</v>
      </c>
      <c r="C3169" s="5" t="s">
        <v>9393</v>
      </c>
      <c r="D3169" s="21">
        <v>1</v>
      </c>
      <c r="E3169" s="21"/>
      <c r="F3169" s="21" t="s">
        <v>10438</v>
      </c>
      <c r="G3169" s="21"/>
      <c r="H3169" s="54">
        <v>144</v>
      </c>
      <c r="I3169" s="51"/>
      <c r="J3169" s="27"/>
      <c r="K3169" s="27"/>
      <c r="L3169" s="15"/>
      <c r="M3169" s="15"/>
      <c r="N3169" s="4"/>
      <c r="O3169" s="4" t="s">
        <v>10440</v>
      </c>
    </row>
    <row r="3170" spans="1:15" x14ac:dyDescent="0.2">
      <c r="A3170" s="2">
        <v>40005954</v>
      </c>
      <c r="B3170" s="2" t="s">
        <v>1361</v>
      </c>
      <c r="C3170" s="5" t="s">
        <v>7067</v>
      </c>
      <c r="D3170" s="21">
        <v>2</v>
      </c>
      <c r="E3170" s="21"/>
      <c r="F3170" s="21" t="s">
        <v>10438</v>
      </c>
      <c r="G3170" s="21"/>
      <c r="H3170" s="54">
        <v>187</v>
      </c>
      <c r="I3170" s="51"/>
      <c r="J3170" s="27"/>
      <c r="K3170" s="27"/>
      <c r="L3170" s="15"/>
      <c r="M3170" s="15"/>
      <c r="N3170" s="4"/>
      <c r="O3170" s="4">
        <v>88</v>
      </c>
    </row>
    <row r="3171" spans="1:15" x14ac:dyDescent="0.2">
      <c r="A3171" s="2">
        <v>40005196</v>
      </c>
      <c r="B3171" s="2" t="s">
        <v>737</v>
      </c>
      <c r="C3171" s="5" t="s">
        <v>6450</v>
      </c>
      <c r="D3171" s="21">
        <v>1</v>
      </c>
      <c r="E3171" s="21"/>
      <c r="F3171" s="21" t="s">
        <v>10438</v>
      </c>
      <c r="G3171" s="21"/>
      <c r="H3171" s="54">
        <v>465</v>
      </c>
      <c r="I3171" s="51"/>
      <c r="J3171" s="27"/>
      <c r="K3171" s="27"/>
      <c r="L3171" s="15"/>
      <c r="M3171" s="15"/>
      <c r="N3171" s="4"/>
      <c r="O3171" s="4">
        <v>65</v>
      </c>
    </row>
    <row r="3172" spans="1:15" x14ac:dyDescent="0.2">
      <c r="A3172" s="2">
        <v>40005913</v>
      </c>
      <c r="B3172" s="2" t="s">
        <v>1324</v>
      </c>
      <c r="C3172" s="5" t="s">
        <v>7031</v>
      </c>
      <c r="D3172" s="21"/>
      <c r="E3172" s="21"/>
      <c r="F3172" s="21" t="s">
        <v>10438</v>
      </c>
      <c r="G3172" s="21"/>
      <c r="H3172" s="54">
        <v>275</v>
      </c>
      <c r="I3172" s="51"/>
      <c r="J3172" s="27"/>
      <c r="K3172" s="27"/>
      <c r="L3172" s="15"/>
      <c r="M3172" s="15"/>
      <c r="N3172" s="4"/>
      <c r="O3172" s="4">
        <v>78</v>
      </c>
    </row>
    <row r="3173" spans="1:15" x14ac:dyDescent="0.2">
      <c r="A3173" s="2">
        <v>40005329</v>
      </c>
      <c r="B3173" s="2" t="s">
        <v>817</v>
      </c>
      <c r="C3173" s="5" t="s">
        <v>6534</v>
      </c>
      <c r="D3173" s="21">
        <v>1</v>
      </c>
      <c r="E3173" s="21"/>
      <c r="F3173" s="21" t="s">
        <v>10438</v>
      </c>
      <c r="G3173" s="21"/>
      <c r="H3173" s="54">
        <v>185</v>
      </c>
      <c r="I3173" s="51"/>
      <c r="J3173" s="27"/>
      <c r="K3173" s="27"/>
      <c r="L3173" s="15"/>
      <c r="M3173" s="15"/>
      <c r="N3173" s="4"/>
      <c r="O3173" s="4">
        <v>65</v>
      </c>
    </row>
    <row r="3174" spans="1:15" x14ac:dyDescent="0.2">
      <c r="A3174" s="2">
        <v>40006917</v>
      </c>
      <c r="B3174" s="2" t="s">
        <v>2212</v>
      </c>
      <c r="C3174" s="5" t="s">
        <v>7921</v>
      </c>
      <c r="D3174" s="21">
        <v>6</v>
      </c>
      <c r="E3174" s="21"/>
      <c r="F3174" s="21" t="s">
        <v>10438</v>
      </c>
      <c r="G3174" s="21"/>
      <c r="H3174" s="54">
        <v>48</v>
      </c>
      <c r="I3174" s="51"/>
      <c r="J3174" s="27"/>
      <c r="K3174" s="27"/>
      <c r="L3174" s="15"/>
      <c r="M3174" s="15"/>
      <c r="N3174" s="4"/>
      <c r="O3174" s="4">
        <v>88</v>
      </c>
    </row>
    <row r="3175" spans="1:15" x14ac:dyDescent="0.2">
      <c r="A3175" s="2">
        <v>40005737</v>
      </c>
      <c r="B3175" s="2" t="s">
        <v>1164</v>
      </c>
      <c r="C3175" s="5">
        <v>927304000</v>
      </c>
      <c r="D3175" s="21">
        <v>9</v>
      </c>
      <c r="E3175" s="21"/>
      <c r="F3175" s="21" t="s">
        <v>10438</v>
      </c>
      <c r="G3175" s="21"/>
      <c r="H3175" s="54">
        <v>4</v>
      </c>
      <c r="I3175" s="51"/>
      <c r="J3175" s="27"/>
      <c r="K3175" s="27"/>
      <c r="L3175" s="15"/>
      <c r="M3175" s="15"/>
      <c r="N3175" s="4" t="s">
        <v>4247</v>
      </c>
      <c r="O3175" s="4"/>
    </row>
    <row r="3176" spans="1:15" x14ac:dyDescent="0.2">
      <c r="A3176" s="2">
        <v>40007247</v>
      </c>
      <c r="B3176" s="2" t="s">
        <v>2501</v>
      </c>
      <c r="C3176" s="5">
        <v>927306000</v>
      </c>
      <c r="D3176" s="21">
        <v>11</v>
      </c>
      <c r="E3176" s="21"/>
      <c r="F3176" s="21" t="s">
        <v>10438</v>
      </c>
      <c r="G3176" s="21"/>
      <c r="H3176" s="54">
        <v>13</v>
      </c>
      <c r="I3176" s="51"/>
      <c r="J3176" s="27"/>
      <c r="K3176" s="27"/>
      <c r="L3176" s="15"/>
      <c r="M3176" s="15"/>
      <c r="N3176" s="4" t="s">
        <v>4890</v>
      </c>
      <c r="O3176" s="4"/>
    </row>
    <row r="3177" spans="1:15" x14ac:dyDescent="0.2">
      <c r="A3177" s="2">
        <v>40007373</v>
      </c>
      <c r="B3177" s="2" t="s">
        <v>2601</v>
      </c>
      <c r="C3177" s="5">
        <v>930110120</v>
      </c>
      <c r="D3177" s="21">
        <v>19</v>
      </c>
      <c r="E3177" s="21"/>
      <c r="F3177" s="21" t="s">
        <v>10438</v>
      </c>
      <c r="G3177" s="21"/>
      <c r="H3177" s="54">
        <v>4</v>
      </c>
      <c r="I3177" s="51"/>
      <c r="J3177" s="27"/>
      <c r="K3177" s="27"/>
      <c r="L3177" s="15"/>
      <c r="M3177" s="15"/>
      <c r="N3177" s="4" t="s">
        <v>4691</v>
      </c>
      <c r="O3177" s="4"/>
    </row>
    <row r="3178" spans="1:15" x14ac:dyDescent="0.2">
      <c r="A3178" s="2">
        <v>40007664</v>
      </c>
      <c r="B3178" s="2" t="s">
        <v>2842</v>
      </c>
      <c r="C3178" s="5" t="s">
        <v>8542</v>
      </c>
      <c r="D3178" s="21">
        <v>10</v>
      </c>
      <c r="E3178" s="21"/>
      <c r="F3178" s="21" t="s">
        <v>10438</v>
      </c>
      <c r="G3178" s="21"/>
      <c r="H3178" s="54">
        <v>60</v>
      </c>
      <c r="I3178" s="51"/>
      <c r="J3178" s="27"/>
      <c r="K3178" s="27"/>
      <c r="L3178" s="15"/>
      <c r="M3178" s="15"/>
      <c r="N3178" s="4"/>
      <c r="O3178" s="4">
        <v>92</v>
      </c>
    </row>
    <row r="3179" spans="1:15" x14ac:dyDescent="0.2">
      <c r="A3179" s="2">
        <v>10018146</v>
      </c>
      <c r="B3179" s="2" t="s">
        <v>5341</v>
      </c>
      <c r="C3179" s="5" t="s">
        <v>5617</v>
      </c>
      <c r="D3179" s="21">
        <v>2</v>
      </c>
      <c r="E3179" s="21"/>
      <c r="F3179" s="21" t="s">
        <v>10438</v>
      </c>
      <c r="G3179" s="21"/>
      <c r="H3179" s="54">
        <v>7720</v>
      </c>
      <c r="I3179" s="51">
        <v>6950</v>
      </c>
      <c r="J3179" s="27"/>
      <c r="K3179" s="27"/>
      <c r="L3179" s="15"/>
      <c r="M3179" s="15">
        <v>3</v>
      </c>
      <c r="N3179" s="4"/>
      <c r="O3179" s="4" t="s">
        <v>10457</v>
      </c>
    </row>
    <row r="3180" spans="1:15" x14ac:dyDescent="0.2">
      <c r="A3180" s="2">
        <v>10019553</v>
      </c>
      <c r="B3180" s="2" t="s">
        <v>542</v>
      </c>
      <c r="C3180" s="5" t="s">
        <v>6165</v>
      </c>
      <c r="D3180" s="21">
        <v>40</v>
      </c>
      <c r="E3180" s="21"/>
      <c r="F3180" s="21" t="s">
        <v>10438</v>
      </c>
      <c r="G3180" s="21"/>
      <c r="H3180" s="54">
        <v>185</v>
      </c>
      <c r="I3180" s="51"/>
      <c r="J3180" s="27"/>
      <c r="K3180" s="27"/>
      <c r="L3180" s="15">
        <v>10</v>
      </c>
      <c r="M3180" s="15">
        <v>6</v>
      </c>
      <c r="N3180" s="4">
        <v>81</v>
      </c>
      <c r="O3180" s="4"/>
    </row>
    <row r="3181" spans="1:15" x14ac:dyDescent="0.2">
      <c r="A3181" s="2">
        <v>10018577</v>
      </c>
      <c r="B3181" s="2" t="s">
        <v>220</v>
      </c>
      <c r="C3181" s="5" t="s">
        <v>5780</v>
      </c>
      <c r="D3181" s="21">
        <v>5</v>
      </c>
      <c r="E3181" s="21"/>
      <c r="F3181" s="21" t="s">
        <v>10438</v>
      </c>
      <c r="G3181" s="21"/>
      <c r="H3181" s="54">
        <v>235</v>
      </c>
      <c r="I3181" s="51"/>
      <c r="J3181" s="27"/>
      <c r="K3181" s="27"/>
      <c r="L3181" s="15"/>
      <c r="M3181" s="15"/>
      <c r="N3181" s="4">
        <v>111</v>
      </c>
      <c r="O3181" s="4"/>
    </row>
    <row r="3182" spans="1:15" x14ac:dyDescent="0.2">
      <c r="A3182" s="2">
        <v>10017889</v>
      </c>
      <c r="B3182" s="7" t="s">
        <v>17</v>
      </c>
      <c r="C3182" s="5" t="s">
        <v>9432</v>
      </c>
      <c r="D3182" s="21">
        <v>1</v>
      </c>
      <c r="E3182" s="21"/>
      <c r="F3182" s="21" t="s">
        <v>10438</v>
      </c>
      <c r="G3182" s="21"/>
      <c r="H3182" s="54">
        <v>254</v>
      </c>
      <c r="I3182" s="51"/>
      <c r="J3182" s="27"/>
      <c r="K3182" s="27"/>
      <c r="L3182" s="15"/>
      <c r="M3182" s="15">
        <v>6</v>
      </c>
      <c r="N3182" s="4"/>
      <c r="O3182" s="4"/>
    </row>
    <row r="3183" spans="1:15" x14ac:dyDescent="0.2">
      <c r="A3183" s="2">
        <v>40010394</v>
      </c>
      <c r="B3183" s="2" t="s">
        <v>3534</v>
      </c>
      <c r="C3183" s="5" t="s">
        <v>9237</v>
      </c>
      <c r="D3183" s="21">
        <v>7</v>
      </c>
      <c r="E3183" s="21"/>
      <c r="F3183" s="21" t="s">
        <v>10438</v>
      </c>
      <c r="G3183" s="21"/>
      <c r="H3183" s="54">
        <v>450</v>
      </c>
      <c r="I3183" s="51"/>
      <c r="J3183" s="27"/>
      <c r="K3183" s="27"/>
      <c r="L3183" s="15">
        <v>10</v>
      </c>
      <c r="M3183" s="15"/>
      <c r="N3183" s="4">
        <v>100</v>
      </c>
      <c r="O3183" s="4"/>
    </row>
    <row r="3184" spans="1:15" x14ac:dyDescent="0.2">
      <c r="A3184" s="2">
        <v>10018819</v>
      </c>
      <c r="B3184" s="2" t="s">
        <v>5360</v>
      </c>
      <c r="C3184" s="56" t="s">
        <v>5914</v>
      </c>
      <c r="D3184" s="21">
        <v>1</v>
      </c>
      <c r="E3184" s="21"/>
      <c r="F3184" s="21" t="s">
        <v>10438</v>
      </c>
      <c r="G3184" s="21"/>
      <c r="H3184" s="54">
        <v>691</v>
      </c>
      <c r="I3184" s="51"/>
      <c r="J3184" s="27"/>
      <c r="K3184" s="27"/>
      <c r="L3184" s="15">
        <v>14</v>
      </c>
      <c r="M3184" s="15">
        <v>10</v>
      </c>
      <c r="N3184" s="4">
        <v>91</v>
      </c>
      <c r="O3184" s="4"/>
    </row>
    <row r="3185" spans="1:15" x14ac:dyDescent="0.2">
      <c r="A3185" s="2">
        <v>10018243</v>
      </c>
      <c r="B3185" s="2" t="s">
        <v>123</v>
      </c>
      <c r="C3185" s="5" t="s">
        <v>5662</v>
      </c>
      <c r="D3185" s="21"/>
      <c r="E3185" s="21"/>
      <c r="F3185" s="21" t="s">
        <v>10438</v>
      </c>
      <c r="G3185" s="21"/>
      <c r="H3185" s="54">
        <v>318</v>
      </c>
      <c r="I3185" s="51"/>
      <c r="J3185" s="27"/>
      <c r="K3185" s="27"/>
      <c r="L3185" s="15"/>
      <c r="M3185" s="15"/>
      <c r="N3185" s="4">
        <v>57</v>
      </c>
      <c r="O3185" s="4"/>
    </row>
    <row r="3186" spans="1:15" x14ac:dyDescent="0.2">
      <c r="A3186" s="2">
        <v>10019675</v>
      </c>
      <c r="B3186" s="2" t="s">
        <v>567</v>
      </c>
      <c r="C3186" s="5" t="s">
        <v>6196</v>
      </c>
      <c r="D3186" s="21">
        <v>13</v>
      </c>
      <c r="E3186" s="21"/>
      <c r="F3186" s="21" t="s">
        <v>10438</v>
      </c>
      <c r="G3186" s="21"/>
      <c r="H3186" s="54">
        <v>250</v>
      </c>
      <c r="I3186" s="51"/>
      <c r="J3186" s="27"/>
      <c r="K3186" s="27"/>
      <c r="L3186" s="15"/>
      <c r="M3186" s="15"/>
      <c r="N3186" s="4">
        <v>51</v>
      </c>
      <c r="O3186" s="4"/>
    </row>
    <row r="3187" spans="1:15" x14ac:dyDescent="0.2">
      <c r="A3187" s="2">
        <v>10018948</v>
      </c>
      <c r="B3187" s="2" t="s">
        <v>378</v>
      </c>
      <c r="C3187" s="5" t="s">
        <v>5975</v>
      </c>
      <c r="D3187" s="21">
        <v>2</v>
      </c>
      <c r="E3187" s="21"/>
      <c r="F3187" s="21" t="s">
        <v>10438</v>
      </c>
      <c r="G3187" s="21"/>
      <c r="H3187" s="54">
        <v>184</v>
      </c>
      <c r="I3187" s="51"/>
      <c r="J3187" s="27"/>
      <c r="K3187" s="27"/>
      <c r="L3187" s="15"/>
      <c r="M3187" s="15"/>
      <c r="N3187" s="4">
        <v>61</v>
      </c>
      <c r="O3187" s="4"/>
    </row>
    <row r="3188" spans="1:15" x14ac:dyDescent="0.2">
      <c r="A3188" s="2">
        <v>40006083</v>
      </c>
      <c r="B3188" s="2" t="s">
        <v>1475</v>
      </c>
      <c r="C3188" s="5" t="s">
        <v>7180</v>
      </c>
      <c r="D3188" s="21">
        <v>1</v>
      </c>
      <c r="E3188" s="21"/>
      <c r="F3188" s="21" t="s">
        <v>10438</v>
      </c>
      <c r="G3188" s="21"/>
      <c r="H3188" s="54">
        <v>20</v>
      </c>
      <c r="I3188" s="51"/>
      <c r="J3188" s="27"/>
      <c r="K3188" s="27"/>
      <c r="L3188" s="15"/>
      <c r="M3188" s="15"/>
      <c r="N3188" s="4" t="s">
        <v>4403</v>
      </c>
      <c r="O3188" s="4"/>
    </row>
    <row r="3189" spans="1:15" x14ac:dyDescent="0.2">
      <c r="A3189" s="2">
        <v>40006031</v>
      </c>
      <c r="B3189" s="2" t="s">
        <v>1432</v>
      </c>
      <c r="C3189" s="5" t="s">
        <v>7134</v>
      </c>
      <c r="D3189" s="21">
        <v>1</v>
      </c>
      <c r="E3189" s="21"/>
      <c r="F3189" s="21" t="s">
        <v>10438</v>
      </c>
      <c r="G3189" s="21"/>
      <c r="H3189" s="54">
        <v>12</v>
      </c>
      <c r="I3189" s="51"/>
      <c r="J3189" s="27"/>
      <c r="K3189" s="27"/>
      <c r="L3189" s="15"/>
      <c r="M3189" s="15"/>
      <c r="N3189" s="4" t="s">
        <v>4091</v>
      </c>
      <c r="O3189" s="4"/>
    </row>
    <row r="3190" spans="1:15" x14ac:dyDescent="0.2">
      <c r="A3190" s="2">
        <v>40007201</v>
      </c>
      <c r="B3190" s="2" t="s">
        <v>2465</v>
      </c>
      <c r="C3190" s="5">
        <v>320266007</v>
      </c>
      <c r="D3190" s="21">
        <v>8</v>
      </c>
      <c r="E3190" s="21"/>
      <c r="F3190" s="21" t="s">
        <v>10438</v>
      </c>
      <c r="G3190" s="21"/>
      <c r="H3190" s="54">
        <v>11</v>
      </c>
      <c r="I3190" s="51"/>
      <c r="J3190" s="27"/>
      <c r="K3190" s="27"/>
      <c r="L3190" s="15"/>
      <c r="M3190" s="15"/>
      <c r="N3190" s="4" t="s">
        <v>4871</v>
      </c>
      <c r="O3190" s="4"/>
    </row>
    <row r="3191" spans="1:15" x14ac:dyDescent="0.2">
      <c r="A3191" s="2">
        <v>40007271</v>
      </c>
      <c r="B3191" s="2" t="s">
        <v>2519</v>
      </c>
      <c r="C3191" s="56" t="s">
        <v>8216</v>
      </c>
      <c r="D3191" s="21">
        <v>-3</v>
      </c>
      <c r="E3191" s="21"/>
      <c r="F3191" s="21" t="s">
        <v>10438</v>
      </c>
      <c r="G3191" s="21"/>
      <c r="H3191" s="54">
        <v>11</v>
      </c>
      <c r="I3191" s="51"/>
      <c r="J3191" s="27"/>
      <c r="K3191" s="27"/>
      <c r="L3191" s="15"/>
      <c r="M3191" s="15"/>
      <c r="N3191" s="4" t="s">
        <v>4899</v>
      </c>
      <c r="O3191" s="4"/>
    </row>
    <row r="3192" spans="1:15" x14ac:dyDescent="0.2">
      <c r="A3192" s="2">
        <v>40008162</v>
      </c>
      <c r="B3192" s="2" t="s">
        <v>3285</v>
      </c>
      <c r="C3192" s="5">
        <v>901505354</v>
      </c>
      <c r="D3192" s="21"/>
      <c r="E3192" s="21"/>
      <c r="F3192" s="21" t="s">
        <v>10438</v>
      </c>
      <c r="G3192" s="21"/>
      <c r="H3192" s="54">
        <v>10</v>
      </c>
      <c r="I3192" s="51"/>
      <c r="J3192" s="27"/>
      <c r="K3192" s="27"/>
      <c r="L3192" s="15"/>
      <c r="M3192" s="15"/>
      <c r="N3192" s="4" t="s">
        <v>5018</v>
      </c>
      <c r="O3192" s="4"/>
    </row>
    <row r="3193" spans="1:15" x14ac:dyDescent="0.2">
      <c r="A3193" s="2">
        <v>40007243</v>
      </c>
      <c r="B3193" s="2" t="s">
        <v>2498</v>
      </c>
      <c r="C3193" s="5">
        <v>908305405</v>
      </c>
      <c r="D3193" s="21">
        <v>4</v>
      </c>
      <c r="E3193" s="21"/>
      <c r="F3193" s="21" t="s">
        <v>10438</v>
      </c>
      <c r="G3193" s="21"/>
      <c r="H3193" s="54">
        <v>10</v>
      </c>
      <c r="I3193" s="51"/>
      <c r="J3193" s="27"/>
      <c r="K3193" s="27"/>
      <c r="L3193" s="15"/>
      <c r="M3193" s="15"/>
      <c r="N3193" s="4" t="s">
        <v>4843</v>
      </c>
      <c r="O3193" s="4"/>
    </row>
    <row r="3194" spans="1:15" x14ac:dyDescent="0.2">
      <c r="A3194" s="2">
        <v>40007233</v>
      </c>
      <c r="B3194" s="2" t="s">
        <v>2489</v>
      </c>
      <c r="C3194" s="5" t="s">
        <v>8189</v>
      </c>
      <c r="D3194" s="21">
        <v>6</v>
      </c>
      <c r="E3194" s="21"/>
      <c r="F3194" s="21" t="s">
        <v>10438</v>
      </c>
      <c r="G3194" s="21"/>
      <c r="H3194" s="54">
        <v>6</v>
      </c>
      <c r="I3194" s="51"/>
      <c r="J3194" s="27"/>
      <c r="K3194" s="27"/>
      <c r="L3194" s="15"/>
      <c r="M3194" s="15"/>
      <c r="N3194" s="4" t="s">
        <v>4886</v>
      </c>
      <c r="O3194" s="4"/>
    </row>
    <row r="3195" spans="1:15" x14ac:dyDescent="0.2">
      <c r="A3195" s="2">
        <v>40005877</v>
      </c>
      <c r="B3195" s="2" t="s">
        <v>1293</v>
      </c>
      <c r="C3195" s="5" t="s">
        <v>7003</v>
      </c>
      <c r="D3195" s="21">
        <v>133</v>
      </c>
      <c r="E3195" s="21"/>
      <c r="F3195" s="21" t="s">
        <v>10438</v>
      </c>
      <c r="G3195" s="21"/>
      <c r="H3195" s="54">
        <v>78</v>
      </c>
      <c r="I3195" s="51"/>
      <c r="J3195" s="27"/>
      <c r="K3195" s="27"/>
      <c r="L3195" s="15"/>
      <c r="M3195" s="15"/>
      <c r="N3195" s="4">
        <v>65</v>
      </c>
      <c r="O3195" s="4">
        <v>95</v>
      </c>
    </row>
    <row r="3196" spans="1:15" x14ac:dyDescent="0.2">
      <c r="A3196" s="2">
        <v>10018649</v>
      </c>
      <c r="B3196" s="2" t="s">
        <v>5352</v>
      </c>
      <c r="C3196" s="5" t="s">
        <v>5818</v>
      </c>
      <c r="D3196" s="21">
        <v>7</v>
      </c>
      <c r="E3196" s="21"/>
      <c r="F3196" s="21" t="s">
        <v>10438</v>
      </c>
      <c r="G3196" s="21"/>
      <c r="H3196" s="54">
        <v>473</v>
      </c>
      <c r="I3196" s="51"/>
      <c r="J3196" s="27"/>
      <c r="K3196" s="27"/>
      <c r="L3196" s="15">
        <v>5</v>
      </c>
      <c r="M3196" s="15">
        <v>8</v>
      </c>
      <c r="N3196" s="4">
        <v>67</v>
      </c>
      <c r="O3196" s="4"/>
    </row>
    <row r="3197" spans="1:15" x14ac:dyDescent="0.2">
      <c r="A3197" s="2">
        <v>10018409</v>
      </c>
      <c r="B3197" s="2" t="s">
        <v>168</v>
      </c>
      <c r="C3197" s="5" t="s">
        <v>5709</v>
      </c>
      <c r="D3197" s="21">
        <v>8</v>
      </c>
      <c r="E3197" s="21"/>
      <c r="F3197" s="21" t="s">
        <v>10438</v>
      </c>
      <c r="G3197" s="21"/>
      <c r="H3197" s="54">
        <v>95</v>
      </c>
      <c r="I3197" s="51"/>
      <c r="J3197" s="27"/>
      <c r="K3197" s="27"/>
      <c r="L3197" s="15"/>
      <c r="M3197" s="15"/>
      <c r="N3197" s="4">
        <v>72</v>
      </c>
      <c r="O3197" s="4"/>
    </row>
    <row r="3198" spans="1:15" x14ac:dyDescent="0.2">
      <c r="A3198" s="2">
        <v>10018410</v>
      </c>
      <c r="B3198" s="2" t="s">
        <v>169</v>
      </c>
      <c r="C3198" s="5" t="s">
        <v>5710</v>
      </c>
      <c r="D3198" s="21">
        <v>7</v>
      </c>
      <c r="E3198" s="21"/>
      <c r="F3198" s="21" t="s">
        <v>10438</v>
      </c>
      <c r="G3198" s="21"/>
      <c r="H3198" s="54">
        <v>44</v>
      </c>
      <c r="I3198" s="51"/>
      <c r="J3198" s="27"/>
      <c r="K3198" s="27"/>
      <c r="L3198" s="15"/>
      <c r="M3198" s="15"/>
      <c r="N3198" s="4">
        <v>72</v>
      </c>
      <c r="O3198" s="4"/>
    </row>
    <row r="3199" spans="1:15" x14ac:dyDescent="0.2">
      <c r="A3199" s="2">
        <v>40005915</v>
      </c>
      <c r="B3199" s="2" t="s">
        <v>1326</v>
      </c>
      <c r="C3199" s="5" t="s">
        <v>7033</v>
      </c>
      <c r="D3199" s="21">
        <v>1</v>
      </c>
      <c r="E3199" s="21"/>
      <c r="F3199" s="21" t="s">
        <v>10438</v>
      </c>
      <c r="G3199" s="21"/>
      <c r="H3199" s="54">
        <v>2</v>
      </c>
      <c r="I3199" s="51"/>
      <c r="J3199" s="27"/>
      <c r="K3199" s="27"/>
      <c r="L3199" s="15"/>
      <c r="M3199" s="15"/>
      <c r="N3199" s="4" t="s">
        <v>4314</v>
      </c>
      <c r="O3199" s="4"/>
    </row>
    <row r="3200" spans="1:15" x14ac:dyDescent="0.2">
      <c r="A3200" s="2">
        <v>40005631</v>
      </c>
      <c r="B3200" s="2" t="s">
        <v>1074</v>
      </c>
      <c r="C3200" s="5">
        <v>3640830</v>
      </c>
      <c r="D3200" s="21">
        <v>11</v>
      </c>
      <c r="E3200" s="21"/>
      <c r="F3200" s="21" t="s">
        <v>10438</v>
      </c>
      <c r="G3200" s="21"/>
      <c r="H3200" s="54">
        <v>9</v>
      </c>
      <c r="I3200" s="51"/>
      <c r="J3200" s="27"/>
      <c r="K3200" s="27"/>
      <c r="L3200" s="15"/>
      <c r="M3200" s="15"/>
      <c r="N3200" s="4"/>
      <c r="O3200" s="4" t="s">
        <v>10173</v>
      </c>
    </row>
    <row r="3201" spans="1:15" x14ac:dyDescent="0.2">
      <c r="A3201" s="2">
        <v>40005401</v>
      </c>
      <c r="B3201" s="2" t="s">
        <v>878</v>
      </c>
      <c r="C3201" s="5" t="s">
        <v>6600</v>
      </c>
      <c r="D3201" s="21">
        <v>7</v>
      </c>
      <c r="E3201" s="21"/>
      <c r="F3201" s="21" t="s">
        <v>10438</v>
      </c>
      <c r="G3201" s="21"/>
      <c r="H3201" s="54">
        <v>25</v>
      </c>
      <c r="I3201" s="51"/>
      <c r="J3201" s="27"/>
      <c r="K3201" s="27"/>
      <c r="L3201" s="15"/>
      <c r="M3201" s="15"/>
      <c r="N3201" s="4" t="s">
        <v>4092</v>
      </c>
      <c r="O3201" s="4"/>
    </row>
    <row r="3202" spans="1:15" x14ac:dyDescent="0.2">
      <c r="A3202" s="2">
        <v>40006503</v>
      </c>
      <c r="B3202" s="2" t="s">
        <v>1854</v>
      </c>
      <c r="C3202" s="5" t="s">
        <v>7561</v>
      </c>
      <c r="D3202" s="21">
        <v>15</v>
      </c>
      <c r="E3202" s="21"/>
      <c r="F3202" s="21" t="s">
        <v>10438</v>
      </c>
      <c r="G3202" s="21"/>
      <c r="H3202" s="54">
        <v>6</v>
      </c>
      <c r="I3202" s="51"/>
      <c r="J3202" s="27"/>
      <c r="K3202" s="27"/>
      <c r="L3202" s="15"/>
      <c r="M3202" s="15"/>
      <c r="N3202" s="4"/>
      <c r="O3202" s="4" t="s">
        <v>10096</v>
      </c>
    </row>
    <row r="3203" spans="1:15" x14ac:dyDescent="0.2">
      <c r="A3203" s="2">
        <v>40007218</v>
      </c>
      <c r="B3203" s="2" t="s">
        <v>2477</v>
      </c>
      <c r="C3203" s="5" t="s">
        <v>8178</v>
      </c>
      <c r="D3203" s="21">
        <v>4</v>
      </c>
      <c r="E3203" s="21"/>
      <c r="F3203" s="21" t="s">
        <v>10438</v>
      </c>
      <c r="G3203" s="21"/>
      <c r="H3203" s="54">
        <v>5</v>
      </c>
      <c r="I3203" s="51"/>
      <c r="J3203" s="27"/>
      <c r="K3203" s="27"/>
      <c r="L3203" s="15"/>
      <c r="M3203" s="15"/>
      <c r="N3203" s="4" t="s">
        <v>4784</v>
      </c>
      <c r="O3203" s="4"/>
    </row>
    <row r="3204" spans="1:15" x14ac:dyDescent="0.2">
      <c r="A3204" s="2">
        <v>40005675</v>
      </c>
      <c r="B3204" s="2" t="s">
        <v>1111</v>
      </c>
      <c r="C3204" s="5" t="s">
        <v>6829</v>
      </c>
      <c r="D3204" s="21">
        <v>11</v>
      </c>
      <c r="E3204" s="21"/>
      <c r="F3204" s="21" t="s">
        <v>10438</v>
      </c>
      <c r="G3204" s="21"/>
      <c r="H3204" s="54">
        <v>9</v>
      </c>
      <c r="I3204" s="51"/>
      <c r="J3204" s="27"/>
      <c r="K3204" s="27"/>
      <c r="L3204" s="15"/>
      <c r="M3204" s="15"/>
      <c r="N3204" s="4" t="s">
        <v>4211</v>
      </c>
      <c r="O3204" s="4"/>
    </row>
    <row r="3205" spans="1:15" x14ac:dyDescent="0.2">
      <c r="A3205" s="2">
        <v>40006514</v>
      </c>
      <c r="B3205" s="2" t="s">
        <v>1862</v>
      </c>
      <c r="C3205" s="5" t="s">
        <v>7570</v>
      </c>
      <c r="D3205" s="21">
        <v>1</v>
      </c>
      <c r="E3205" s="21"/>
      <c r="F3205" s="21" t="s">
        <v>10438</v>
      </c>
      <c r="G3205" s="21"/>
      <c r="H3205" s="54">
        <v>13</v>
      </c>
      <c r="I3205" s="51"/>
      <c r="J3205" s="27"/>
      <c r="K3205" s="27"/>
      <c r="L3205" s="15"/>
      <c r="M3205" s="15"/>
      <c r="N3205" s="4"/>
      <c r="O3205" s="4" t="s">
        <v>10096</v>
      </c>
    </row>
    <row r="3206" spans="1:15" x14ac:dyDescent="0.2">
      <c r="A3206" s="2">
        <v>40008166</v>
      </c>
      <c r="B3206" s="2" t="s">
        <v>3289</v>
      </c>
      <c r="C3206" s="5" t="s">
        <v>8982</v>
      </c>
      <c r="D3206" s="21">
        <v>9</v>
      </c>
      <c r="E3206" s="21"/>
      <c r="F3206" s="21" t="s">
        <v>10438</v>
      </c>
      <c r="G3206" s="21"/>
      <c r="H3206" s="54">
        <v>61</v>
      </c>
      <c r="I3206" s="51"/>
      <c r="J3206" s="27"/>
      <c r="K3206" s="27"/>
      <c r="L3206" s="15"/>
      <c r="M3206" s="15"/>
      <c r="N3206" s="4"/>
      <c r="O3206" s="4">
        <v>90</v>
      </c>
    </row>
    <row r="3207" spans="1:15" x14ac:dyDescent="0.2">
      <c r="A3207" s="2">
        <v>10019115</v>
      </c>
      <c r="B3207" s="2" t="s">
        <v>434</v>
      </c>
      <c r="C3207" s="5" t="s">
        <v>9433</v>
      </c>
      <c r="D3207" s="21"/>
      <c r="E3207" s="21"/>
      <c r="F3207" s="21" t="s">
        <v>10438</v>
      </c>
      <c r="G3207" s="21"/>
      <c r="H3207" s="54">
        <v>150</v>
      </c>
      <c r="I3207" s="51"/>
      <c r="J3207" s="27"/>
      <c r="K3207" s="27"/>
      <c r="L3207" s="15"/>
      <c r="M3207" s="15">
        <v>10</v>
      </c>
      <c r="N3207" s="4">
        <v>65</v>
      </c>
      <c r="O3207" s="4"/>
    </row>
    <row r="3208" spans="1:15" x14ac:dyDescent="0.2">
      <c r="A3208" s="2">
        <v>10019219</v>
      </c>
      <c r="B3208" s="2" t="s">
        <v>5365</v>
      </c>
      <c r="C3208" s="5" t="s">
        <v>6076</v>
      </c>
      <c r="D3208" s="21">
        <v>3</v>
      </c>
      <c r="E3208" s="21"/>
      <c r="F3208" s="21" t="s">
        <v>10438</v>
      </c>
      <c r="G3208" s="21"/>
      <c r="H3208" s="54">
        <v>5840</v>
      </c>
      <c r="I3208" s="51">
        <v>4965</v>
      </c>
      <c r="J3208" s="27"/>
      <c r="K3208" s="27"/>
      <c r="L3208" s="15"/>
      <c r="M3208" s="15"/>
      <c r="N3208" s="4"/>
      <c r="O3208" s="4" t="s">
        <v>10462</v>
      </c>
    </row>
    <row r="3209" spans="1:15" x14ac:dyDescent="0.2">
      <c r="A3209" s="2">
        <v>40006502</v>
      </c>
      <c r="B3209" s="2" t="s">
        <v>1853</v>
      </c>
      <c r="C3209" s="5" t="s">
        <v>7560</v>
      </c>
      <c r="D3209" s="21">
        <v>10</v>
      </c>
      <c r="E3209" s="21"/>
      <c r="F3209" s="21" t="s">
        <v>10438</v>
      </c>
      <c r="G3209" s="21"/>
      <c r="H3209" s="54">
        <v>48</v>
      </c>
      <c r="I3209" s="51"/>
      <c r="J3209" s="27"/>
      <c r="K3209" s="27"/>
      <c r="L3209" s="15"/>
      <c r="M3209" s="15"/>
      <c r="N3209" s="4"/>
      <c r="O3209" s="4" t="s">
        <v>10096</v>
      </c>
    </row>
    <row r="3210" spans="1:15" x14ac:dyDescent="0.2">
      <c r="A3210" s="2">
        <v>10018598</v>
      </c>
      <c r="B3210" s="2" t="s">
        <v>229</v>
      </c>
      <c r="C3210" s="5" t="s">
        <v>5790</v>
      </c>
      <c r="D3210" s="21">
        <v>4</v>
      </c>
      <c r="E3210" s="21"/>
      <c r="F3210" s="21" t="s">
        <v>10438</v>
      </c>
      <c r="G3210" s="21"/>
      <c r="H3210" s="54">
        <v>3855</v>
      </c>
      <c r="I3210" s="51"/>
      <c r="J3210" s="27"/>
      <c r="K3210" s="27"/>
      <c r="L3210" s="15"/>
      <c r="M3210" s="15"/>
      <c r="N3210" s="4">
        <v>108</v>
      </c>
      <c r="O3210" s="4">
        <v>106</v>
      </c>
    </row>
    <row r="3211" spans="1:15" x14ac:dyDescent="0.2">
      <c r="A3211" s="2">
        <v>10019435</v>
      </c>
      <c r="B3211" s="2" t="s">
        <v>516</v>
      </c>
      <c r="C3211" s="5" t="s">
        <v>6136</v>
      </c>
      <c r="D3211" s="21">
        <v>1</v>
      </c>
      <c r="E3211" s="21"/>
      <c r="F3211" s="21" t="s">
        <v>10438</v>
      </c>
      <c r="G3211" s="21"/>
      <c r="H3211" s="54">
        <v>1405</v>
      </c>
      <c r="I3211" s="51"/>
      <c r="J3211" s="27"/>
      <c r="K3211" s="27"/>
      <c r="L3211" s="15"/>
      <c r="M3211" s="15"/>
      <c r="N3211" s="4"/>
      <c r="O3211" s="4"/>
    </row>
    <row r="3212" spans="1:15" x14ac:dyDescent="0.2">
      <c r="A3212" s="2">
        <v>10019519</v>
      </c>
      <c r="B3212" s="2" t="s">
        <v>534</v>
      </c>
      <c r="C3212" s="5" t="s">
        <v>6156</v>
      </c>
      <c r="D3212" s="21">
        <v>17</v>
      </c>
      <c r="E3212" s="21"/>
      <c r="F3212" s="21" t="s">
        <v>10438</v>
      </c>
      <c r="G3212" s="21"/>
      <c r="H3212" s="54">
        <v>307</v>
      </c>
      <c r="I3212" s="51"/>
      <c r="J3212" s="27"/>
      <c r="K3212" s="27"/>
      <c r="L3212" s="15"/>
      <c r="M3212" s="15"/>
      <c r="N3212" s="4">
        <v>74</v>
      </c>
      <c r="O3212" s="4"/>
    </row>
    <row r="3213" spans="1:15" x14ac:dyDescent="0.2">
      <c r="A3213" s="2">
        <v>10020068</v>
      </c>
      <c r="B3213" s="2" t="s">
        <v>3646</v>
      </c>
      <c r="C3213" s="5" t="s">
        <v>6326</v>
      </c>
      <c r="D3213" s="21"/>
      <c r="E3213" s="21"/>
      <c r="F3213" s="21" t="s">
        <v>10438</v>
      </c>
      <c r="G3213" s="21"/>
      <c r="H3213" s="54">
        <v>28</v>
      </c>
      <c r="I3213" s="51"/>
      <c r="J3213" s="27"/>
      <c r="K3213" s="27"/>
      <c r="L3213" s="15"/>
      <c r="M3213" s="15"/>
      <c r="N3213" s="4">
        <v>47</v>
      </c>
      <c r="O3213" s="4"/>
    </row>
    <row r="3214" spans="1:15" x14ac:dyDescent="0.2">
      <c r="A3214" s="2">
        <v>10019809</v>
      </c>
      <c r="B3214" s="2" t="s">
        <v>587</v>
      </c>
      <c r="C3214" s="5" t="s">
        <v>6220</v>
      </c>
      <c r="D3214" s="21">
        <v>51</v>
      </c>
      <c r="E3214" s="21"/>
      <c r="F3214" s="21" t="s">
        <v>10438</v>
      </c>
      <c r="G3214" s="21"/>
      <c r="H3214" s="54">
        <v>21</v>
      </c>
      <c r="I3214" s="51"/>
      <c r="J3214" s="27"/>
      <c r="K3214" s="27"/>
      <c r="L3214" s="15"/>
      <c r="M3214" s="15"/>
      <c r="N3214" s="4">
        <v>47</v>
      </c>
      <c r="O3214" s="4"/>
    </row>
    <row r="3215" spans="1:15" x14ac:dyDescent="0.2">
      <c r="A3215" s="2">
        <v>10019882</v>
      </c>
      <c r="B3215" s="2" t="s">
        <v>613</v>
      </c>
      <c r="C3215" s="5" t="s">
        <v>6250</v>
      </c>
      <c r="D3215" s="21">
        <v>11</v>
      </c>
      <c r="E3215" s="21"/>
      <c r="F3215" s="21" t="s">
        <v>10438</v>
      </c>
      <c r="G3215" s="21"/>
      <c r="H3215" s="54">
        <v>25</v>
      </c>
      <c r="I3215" s="51"/>
      <c r="J3215" s="27"/>
      <c r="K3215" s="27"/>
      <c r="L3215" s="15"/>
      <c r="M3215" s="15"/>
      <c r="N3215" s="4">
        <v>47</v>
      </c>
      <c r="O3215" s="4"/>
    </row>
    <row r="3216" spans="1:15" x14ac:dyDescent="0.2">
      <c r="A3216" s="2">
        <v>10019922</v>
      </c>
      <c r="B3216" s="2" t="s">
        <v>3645</v>
      </c>
      <c r="C3216" s="5" t="s">
        <v>6265</v>
      </c>
      <c r="D3216" s="21"/>
      <c r="E3216" s="21"/>
      <c r="F3216" s="21" t="s">
        <v>10438</v>
      </c>
      <c r="G3216" s="21"/>
      <c r="H3216" s="54">
        <v>22</v>
      </c>
      <c r="I3216" s="51"/>
      <c r="J3216" s="27"/>
      <c r="K3216" s="27"/>
      <c r="L3216" s="15"/>
      <c r="M3216" s="15"/>
      <c r="N3216" s="4">
        <v>47</v>
      </c>
      <c r="O3216" s="4"/>
    </row>
    <row r="3217" spans="1:15" x14ac:dyDescent="0.2">
      <c r="A3217" s="2">
        <v>40007937</v>
      </c>
      <c r="B3217" s="2" t="s">
        <v>3090</v>
      </c>
      <c r="C3217" s="5" t="s">
        <v>8783</v>
      </c>
      <c r="D3217" s="21">
        <v>17</v>
      </c>
      <c r="E3217" s="21"/>
      <c r="F3217" s="21" t="s">
        <v>10438</v>
      </c>
      <c r="G3217" s="21"/>
      <c r="H3217" s="54">
        <v>23</v>
      </c>
      <c r="I3217" s="51"/>
      <c r="J3217" s="27"/>
      <c r="K3217" s="27"/>
      <c r="L3217" s="15"/>
      <c r="M3217" s="15"/>
      <c r="N3217" s="4">
        <v>47</v>
      </c>
      <c r="O3217" s="4"/>
    </row>
    <row r="3218" spans="1:15" x14ac:dyDescent="0.2">
      <c r="A3218" s="2">
        <v>10018952</v>
      </c>
      <c r="B3218" s="2" t="s">
        <v>381</v>
      </c>
      <c r="C3218" s="5" t="s">
        <v>5978</v>
      </c>
      <c r="D3218" s="21">
        <v>1</v>
      </c>
      <c r="E3218" s="21"/>
      <c r="F3218" s="21" t="s">
        <v>10438</v>
      </c>
      <c r="G3218" s="21"/>
      <c r="H3218" s="54">
        <v>513</v>
      </c>
      <c r="I3218" s="51"/>
      <c r="J3218" s="27"/>
      <c r="K3218" s="27"/>
      <c r="L3218" s="15"/>
      <c r="M3218" s="15"/>
      <c r="N3218" s="4">
        <v>67</v>
      </c>
      <c r="O3218" s="4"/>
    </row>
    <row r="3219" spans="1:15" x14ac:dyDescent="0.2">
      <c r="A3219" s="2">
        <v>10019959</v>
      </c>
      <c r="B3219" s="2" t="s">
        <v>3647</v>
      </c>
      <c r="C3219" s="5" t="s">
        <v>6285</v>
      </c>
      <c r="D3219" s="21"/>
      <c r="E3219" s="21"/>
      <c r="F3219" s="21" t="s">
        <v>10438</v>
      </c>
      <c r="G3219" s="21"/>
      <c r="H3219" s="54">
        <v>31</v>
      </c>
      <c r="I3219" s="51"/>
      <c r="J3219" s="27"/>
      <c r="K3219" s="27"/>
      <c r="L3219" s="15"/>
      <c r="M3219" s="15">
        <v>10</v>
      </c>
      <c r="N3219" s="4">
        <v>47</v>
      </c>
      <c r="O3219" s="4"/>
    </row>
    <row r="3220" spans="1:15" x14ac:dyDescent="0.2">
      <c r="A3220" s="2">
        <v>10018579</v>
      </c>
      <c r="B3220" s="2" t="s">
        <v>222</v>
      </c>
      <c r="C3220" s="5" t="s">
        <v>5782</v>
      </c>
      <c r="D3220" s="21">
        <v>4</v>
      </c>
      <c r="E3220" s="21"/>
      <c r="F3220" s="21" t="s">
        <v>10438</v>
      </c>
      <c r="G3220" s="21"/>
      <c r="H3220" s="54">
        <v>185</v>
      </c>
      <c r="I3220" s="51"/>
      <c r="J3220" s="27"/>
      <c r="K3220" s="27"/>
      <c r="L3220" s="15"/>
      <c r="M3220" s="15"/>
      <c r="N3220" s="4"/>
      <c r="O3220" s="4"/>
    </row>
    <row r="3221" spans="1:15" x14ac:dyDescent="0.2">
      <c r="A3221" s="2">
        <v>10018229</v>
      </c>
      <c r="B3221" s="2" t="s">
        <v>115</v>
      </c>
      <c r="C3221" s="5" t="s">
        <v>5652</v>
      </c>
      <c r="D3221" s="21">
        <v>5</v>
      </c>
      <c r="E3221" s="21"/>
      <c r="F3221" s="21" t="s">
        <v>10438</v>
      </c>
      <c r="G3221" s="21"/>
      <c r="H3221" s="54">
        <v>820</v>
      </c>
      <c r="I3221" s="51"/>
      <c r="J3221" s="27"/>
      <c r="K3221" s="27"/>
      <c r="L3221" s="15"/>
      <c r="M3221" s="15"/>
      <c r="N3221" s="4">
        <v>76</v>
      </c>
      <c r="O3221" s="4"/>
    </row>
    <row r="3222" spans="1:15" x14ac:dyDescent="0.2">
      <c r="A3222" s="2">
        <v>10018256</v>
      </c>
      <c r="B3222" s="2" t="s">
        <v>130</v>
      </c>
      <c r="C3222" s="5" t="s">
        <v>5669</v>
      </c>
      <c r="D3222" s="21">
        <v>8</v>
      </c>
      <c r="E3222" s="21"/>
      <c r="F3222" s="21" t="s">
        <v>10438</v>
      </c>
      <c r="G3222" s="21"/>
      <c r="H3222" s="54">
        <v>860</v>
      </c>
      <c r="I3222" s="51"/>
      <c r="J3222" s="27"/>
      <c r="K3222" s="27"/>
      <c r="L3222" s="15"/>
      <c r="M3222" s="15"/>
      <c r="N3222" s="4">
        <v>66</v>
      </c>
      <c r="O3222" s="4"/>
    </row>
    <row r="3223" spans="1:15" x14ac:dyDescent="0.2">
      <c r="A3223" s="2">
        <v>10017983</v>
      </c>
      <c r="B3223" s="2" t="s">
        <v>42</v>
      </c>
      <c r="C3223" s="5" t="s">
        <v>5573</v>
      </c>
      <c r="D3223" s="21">
        <v>10</v>
      </c>
      <c r="E3223" s="21"/>
      <c r="F3223" s="21" t="s">
        <v>10438</v>
      </c>
      <c r="G3223" s="21"/>
      <c r="H3223" s="54">
        <v>285</v>
      </c>
      <c r="I3223" s="51"/>
      <c r="J3223" s="27"/>
      <c r="K3223" s="27"/>
      <c r="L3223" s="15"/>
      <c r="M3223" s="15"/>
      <c r="N3223" s="4"/>
      <c r="O3223" s="4"/>
    </row>
    <row r="3224" spans="1:15" x14ac:dyDescent="0.2">
      <c r="A3224" s="2">
        <v>10017985</v>
      </c>
      <c r="B3224" s="2" t="s">
        <v>43</v>
      </c>
      <c r="C3224" s="5" t="s">
        <v>5574</v>
      </c>
      <c r="D3224" s="21">
        <v>6</v>
      </c>
      <c r="E3224" s="21"/>
      <c r="F3224" s="21" t="s">
        <v>10438</v>
      </c>
      <c r="G3224" s="21"/>
      <c r="H3224" s="54">
        <v>299</v>
      </c>
      <c r="I3224" s="51"/>
      <c r="J3224" s="27"/>
      <c r="K3224" s="27"/>
      <c r="L3224" s="15"/>
      <c r="M3224" s="15"/>
      <c r="N3224" s="4"/>
      <c r="O3224" s="4"/>
    </row>
    <row r="3225" spans="1:15" x14ac:dyDescent="0.2">
      <c r="A3225" s="2">
        <v>10017987</v>
      </c>
      <c r="B3225" s="2" t="s">
        <v>45</v>
      </c>
      <c r="C3225" s="5" t="s">
        <v>5575</v>
      </c>
      <c r="D3225" s="21">
        <v>2</v>
      </c>
      <c r="E3225" s="21"/>
      <c r="F3225" s="21" t="s">
        <v>10438</v>
      </c>
      <c r="G3225" s="21"/>
      <c r="H3225" s="54">
        <v>229</v>
      </c>
      <c r="I3225" s="51"/>
      <c r="J3225" s="27"/>
      <c r="K3225" s="27"/>
      <c r="L3225" s="15"/>
      <c r="M3225" s="15"/>
      <c r="N3225" s="4"/>
      <c r="O3225" s="4"/>
    </row>
    <row r="3226" spans="1:15" x14ac:dyDescent="0.2">
      <c r="A3226" s="2">
        <v>10017989</v>
      </c>
      <c r="B3226" s="2" t="s">
        <v>46</v>
      </c>
      <c r="C3226" s="5" t="s">
        <v>5576</v>
      </c>
      <c r="D3226" s="21">
        <v>7</v>
      </c>
      <c r="E3226" s="21"/>
      <c r="F3226" s="21" t="s">
        <v>10438</v>
      </c>
      <c r="G3226" s="21"/>
      <c r="H3226" s="54">
        <v>376</v>
      </c>
      <c r="I3226" s="51"/>
      <c r="J3226" s="27"/>
      <c r="K3226" s="27"/>
      <c r="L3226" s="15"/>
      <c r="M3226" s="15"/>
      <c r="N3226" s="4"/>
      <c r="O3226" s="4"/>
    </row>
    <row r="3227" spans="1:15" x14ac:dyDescent="0.2">
      <c r="A3227" s="2">
        <v>10017991</v>
      </c>
      <c r="B3227" s="2" t="s">
        <v>47</v>
      </c>
      <c r="C3227" s="5" t="s">
        <v>5577</v>
      </c>
      <c r="D3227" s="21">
        <v>8</v>
      </c>
      <c r="E3227" s="21"/>
      <c r="F3227" s="21" t="s">
        <v>10438</v>
      </c>
      <c r="G3227" s="21"/>
      <c r="H3227" s="54">
        <v>334</v>
      </c>
      <c r="I3227" s="51"/>
      <c r="J3227" s="27"/>
      <c r="K3227" s="27"/>
      <c r="L3227" s="15"/>
      <c r="M3227" s="15"/>
      <c r="N3227" s="4"/>
      <c r="O3227" s="4"/>
    </row>
    <row r="3228" spans="1:15" x14ac:dyDescent="0.2">
      <c r="A3228" s="2">
        <v>10017993</v>
      </c>
      <c r="B3228" s="2" t="s">
        <v>48</v>
      </c>
      <c r="C3228" s="5" t="s">
        <v>5578</v>
      </c>
      <c r="D3228" s="21">
        <v>6</v>
      </c>
      <c r="E3228" s="21"/>
      <c r="F3228" s="21" t="s">
        <v>10438</v>
      </c>
      <c r="G3228" s="21"/>
      <c r="H3228" s="54">
        <v>390</v>
      </c>
      <c r="I3228" s="51"/>
      <c r="J3228" s="27"/>
      <c r="K3228" s="27"/>
      <c r="L3228" s="15"/>
      <c r="M3228" s="15"/>
      <c r="N3228" s="4"/>
      <c r="O3228" s="4"/>
    </row>
    <row r="3229" spans="1:15" x14ac:dyDescent="0.2">
      <c r="A3229" s="2">
        <v>10017995</v>
      </c>
      <c r="B3229" s="2" t="s">
        <v>50</v>
      </c>
      <c r="C3229" s="5" t="s">
        <v>5580</v>
      </c>
      <c r="D3229" s="21">
        <v>4</v>
      </c>
      <c r="E3229" s="21"/>
      <c r="F3229" s="21" t="s">
        <v>10438</v>
      </c>
      <c r="G3229" s="21"/>
      <c r="H3229" s="54">
        <v>378</v>
      </c>
      <c r="I3229" s="51"/>
      <c r="J3229" s="27"/>
      <c r="K3229" s="27"/>
      <c r="L3229" s="15"/>
      <c r="M3229" s="15"/>
      <c r="N3229" s="4"/>
      <c r="O3229" s="4"/>
    </row>
    <row r="3230" spans="1:15" x14ac:dyDescent="0.2">
      <c r="A3230" s="2">
        <v>10017997</v>
      </c>
      <c r="B3230" s="2" t="s">
        <v>51</v>
      </c>
      <c r="C3230" s="5" t="s">
        <v>5581</v>
      </c>
      <c r="D3230" s="21">
        <v>6</v>
      </c>
      <c r="E3230" s="21"/>
      <c r="F3230" s="21" t="s">
        <v>10438</v>
      </c>
      <c r="G3230" s="21"/>
      <c r="H3230" s="54">
        <v>358</v>
      </c>
      <c r="I3230" s="51"/>
      <c r="J3230" s="27"/>
      <c r="K3230" s="27"/>
      <c r="L3230" s="15"/>
      <c r="M3230" s="15"/>
      <c r="N3230" s="4"/>
      <c r="O3230" s="4"/>
    </row>
    <row r="3231" spans="1:15" x14ac:dyDescent="0.2">
      <c r="A3231" s="2">
        <v>10017999</v>
      </c>
      <c r="B3231" s="2" t="s">
        <v>52</v>
      </c>
      <c r="C3231" s="5" t="s">
        <v>5582</v>
      </c>
      <c r="D3231" s="21">
        <v>9</v>
      </c>
      <c r="E3231" s="21"/>
      <c r="F3231" s="21" t="s">
        <v>10438</v>
      </c>
      <c r="G3231" s="21"/>
      <c r="H3231" s="54">
        <v>479</v>
      </c>
      <c r="I3231" s="51"/>
      <c r="J3231" s="27"/>
      <c r="K3231" s="27"/>
      <c r="L3231" s="15"/>
      <c r="M3231" s="15"/>
      <c r="N3231" s="4"/>
      <c r="O3231" s="4"/>
    </row>
    <row r="3232" spans="1:15" x14ac:dyDescent="0.2">
      <c r="A3232" s="2">
        <v>10018001</v>
      </c>
      <c r="B3232" s="2" t="s">
        <v>53</v>
      </c>
      <c r="C3232" s="5" t="s">
        <v>5583</v>
      </c>
      <c r="D3232" s="21">
        <v>9</v>
      </c>
      <c r="E3232" s="21"/>
      <c r="F3232" s="21" t="s">
        <v>10438</v>
      </c>
      <c r="G3232" s="21"/>
      <c r="H3232" s="54">
        <v>449</v>
      </c>
      <c r="I3232" s="51"/>
      <c r="J3232" s="27"/>
      <c r="K3232" s="27"/>
      <c r="L3232" s="15"/>
      <c r="M3232" s="15"/>
      <c r="N3232" s="4"/>
      <c r="O3232" s="4"/>
    </row>
    <row r="3233" spans="1:15" x14ac:dyDescent="0.2">
      <c r="A3233" s="2">
        <v>10018003</v>
      </c>
      <c r="B3233" s="2" t="s">
        <v>54</v>
      </c>
      <c r="C3233" s="5" t="s">
        <v>5584</v>
      </c>
      <c r="D3233" s="21">
        <v>7</v>
      </c>
      <c r="E3233" s="21"/>
      <c r="F3233" s="21" t="s">
        <v>10438</v>
      </c>
      <c r="G3233" s="21"/>
      <c r="H3233" s="54">
        <v>420</v>
      </c>
      <c r="I3233" s="51"/>
      <c r="J3233" s="27"/>
      <c r="K3233" s="27"/>
      <c r="L3233" s="15"/>
      <c r="M3233" s="15"/>
      <c r="N3233" s="4"/>
      <c r="O3233" s="4"/>
    </row>
    <row r="3234" spans="1:15" x14ac:dyDescent="0.2">
      <c r="A3234" s="2">
        <v>10018005</v>
      </c>
      <c r="B3234" s="2" t="s">
        <v>55</v>
      </c>
      <c r="C3234" s="5" t="s">
        <v>5585</v>
      </c>
      <c r="D3234" s="21">
        <v>7</v>
      </c>
      <c r="E3234" s="21"/>
      <c r="F3234" s="21" t="s">
        <v>10438</v>
      </c>
      <c r="G3234" s="21"/>
      <c r="H3234" s="54">
        <v>541</v>
      </c>
      <c r="I3234" s="51"/>
      <c r="J3234" s="27"/>
      <c r="K3234" s="27"/>
      <c r="L3234" s="15"/>
      <c r="M3234" s="15"/>
      <c r="N3234" s="4"/>
      <c r="O3234" s="4"/>
    </row>
    <row r="3235" spans="1:15" x14ac:dyDescent="0.2">
      <c r="A3235" s="2">
        <v>10018007</v>
      </c>
      <c r="B3235" s="2" t="s">
        <v>56</v>
      </c>
      <c r="C3235" s="5" t="s">
        <v>5586</v>
      </c>
      <c r="D3235" s="21">
        <v>10</v>
      </c>
      <c r="E3235" s="21"/>
      <c r="F3235" s="21" t="s">
        <v>10438</v>
      </c>
      <c r="G3235" s="21"/>
      <c r="H3235" s="54">
        <v>433</v>
      </c>
      <c r="I3235" s="51"/>
      <c r="J3235" s="27"/>
      <c r="K3235" s="27"/>
      <c r="L3235" s="15"/>
      <c r="M3235" s="15"/>
      <c r="N3235" s="4"/>
      <c r="O3235" s="4"/>
    </row>
    <row r="3236" spans="1:15" x14ac:dyDescent="0.2">
      <c r="A3236" s="2">
        <v>10018009</v>
      </c>
      <c r="B3236" s="2" t="s">
        <v>57</v>
      </c>
      <c r="C3236" s="5" t="s">
        <v>5587</v>
      </c>
      <c r="D3236" s="21">
        <v>8</v>
      </c>
      <c r="E3236" s="21"/>
      <c r="F3236" s="21" t="s">
        <v>10438</v>
      </c>
      <c r="G3236" s="21"/>
      <c r="H3236" s="54">
        <v>281</v>
      </c>
      <c r="I3236" s="51"/>
      <c r="J3236" s="27"/>
      <c r="K3236" s="27"/>
      <c r="L3236" s="15"/>
      <c r="M3236" s="15"/>
      <c r="N3236" s="4"/>
      <c r="O3236" s="4"/>
    </row>
    <row r="3237" spans="1:15" x14ac:dyDescent="0.2">
      <c r="A3237" s="2">
        <v>10018011</v>
      </c>
      <c r="B3237" s="2" t="s">
        <v>58</v>
      </c>
      <c r="C3237" s="5" t="s">
        <v>5588</v>
      </c>
      <c r="D3237" s="21">
        <v>10</v>
      </c>
      <c r="E3237" s="21"/>
      <c r="F3237" s="21" t="s">
        <v>10438</v>
      </c>
      <c r="G3237" s="21"/>
      <c r="H3237" s="54">
        <v>407</v>
      </c>
      <c r="I3237" s="51"/>
      <c r="J3237" s="27"/>
      <c r="K3237" s="27"/>
      <c r="L3237" s="15"/>
      <c r="M3237" s="15"/>
      <c r="N3237" s="4"/>
      <c r="O3237" s="4"/>
    </row>
    <row r="3238" spans="1:15" x14ac:dyDescent="0.2">
      <c r="A3238" s="2">
        <v>10019017</v>
      </c>
      <c r="B3238" s="2" t="s">
        <v>402</v>
      </c>
      <c r="C3238" s="5" t="s">
        <v>6005</v>
      </c>
      <c r="D3238" s="21">
        <v>4</v>
      </c>
      <c r="E3238" s="21"/>
      <c r="F3238" s="21" t="s">
        <v>10438</v>
      </c>
      <c r="G3238" s="21"/>
      <c r="H3238" s="54">
        <v>690</v>
      </c>
      <c r="I3238" s="51"/>
      <c r="J3238" s="27"/>
      <c r="K3238" s="27"/>
      <c r="L3238" s="15"/>
      <c r="M3238" s="15"/>
      <c r="N3238" s="4"/>
      <c r="O3238" s="4"/>
    </row>
    <row r="3239" spans="1:15" x14ac:dyDescent="0.2">
      <c r="A3239" s="2">
        <v>10019019</v>
      </c>
      <c r="B3239" s="2" t="s">
        <v>404</v>
      </c>
      <c r="C3239" s="5" t="s">
        <v>6007</v>
      </c>
      <c r="D3239" s="21">
        <v>9</v>
      </c>
      <c r="E3239" s="21"/>
      <c r="F3239" s="21" t="s">
        <v>10438</v>
      </c>
      <c r="G3239" s="21"/>
      <c r="H3239" s="54">
        <v>884</v>
      </c>
      <c r="I3239" s="51"/>
      <c r="J3239" s="27"/>
      <c r="K3239" s="27"/>
      <c r="L3239" s="15"/>
      <c r="M3239" s="15"/>
      <c r="N3239" s="4">
        <v>66</v>
      </c>
      <c r="O3239" s="4"/>
    </row>
    <row r="3240" spans="1:15" x14ac:dyDescent="0.2">
      <c r="A3240" s="2">
        <v>10019053</v>
      </c>
      <c r="B3240" s="2" t="s">
        <v>418</v>
      </c>
      <c r="C3240" s="5" t="s">
        <v>6021</v>
      </c>
      <c r="D3240" s="21">
        <v>7</v>
      </c>
      <c r="E3240" s="21"/>
      <c r="F3240" s="21" t="s">
        <v>10438</v>
      </c>
      <c r="G3240" s="21"/>
      <c r="H3240" s="54">
        <v>138</v>
      </c>
      <c r="I3240" s="51"/>
      <c r="J3240" s="27"/>
      <c r="K3240" s="27"/>
      <c r="L3240" s="15"/>
      <c r="M3240" s="15"/>
      <c r="N3240" s="4">
        <v>83</v>
      </c>
      <c r="O3240" s="4"/>
    </row>
    <row r="3241" spans="1:15" x14ac:dyDescent="0.2">
      <c r="A3241" s="2">
        <v>10018549</v>
      </c>
      <c r="B3241" s="2" t="s">
        <v>214</v>
      </c>
      <c r="C3241" s="5" t="s">
        <v>5773</v>
      </c>
      <c r="D3241" s="21">
        <v>21</v>
      </c>
      <c r="E3241" s="21"/>
      <c r="F3241" s="21" t="s">
        <v>10438</v>
      </c>
      <c r="G3241" s="21"/>
      <c r="H3241" s="54">
        <v>67</v>
      </c>
      <c r="I3241" s="51"/>
      <c r="J3241" s="27"/>
      <c r="K3241" s="27"/>
      <c r="L3241" s="15"/>
      <c r="M3241" s="15"/>
      <c r="N3241" s="4">
        <v>81</v>
      </c>
      <c r="O3241" s="4"/>
    </row>
    <row r="3242" spans="1:15" x14ac:dyDescent="0.2">
      <c r="A3242" s="2">
        <v>10029925</v>
      </c>
      <c r="B3242" s="2" t="s">
        <v>681</v>
      </c>
      <c r="C3242" s="5" t="s">
        <v>6343</v>
      </c>
      <c r="D3242" s="21">
        <v>5</v>
      </c>
      <c r="E3242" s="21"/>
      <c r="F3242" s="21" t="s">
        <v>10438</v>
      </c>
      <c r="G3242" s="21"/>
      <c r="H3242" s="54">
        <v>66</v>
      </c>
      <c r="I3242" s="51"/>
      <c r="J3242" s="27"/>
      <c r="K3242" s="27"/>
      <c r="L3242" s="15"/>
      <c r="M3242" s="15"/>
      <c r="N3242" s="4">
        <v>106</v>
      </c>
      <c r="O3242" s="4"/>
    </row>
    <row r="3243" spans="1:15" x14ac:dyDescent="0.2">
      <c r="A3243" s="2">
        <v>10018381</v>
      </c>
      <c r="B3243" s="2" t="s">
        <v>160</v>
      </c>
      <c r="C3243" s="5" t="s">
        <v>5700</v>
      </c>
      <c r="D3243" s="21">
        <v>12</v>
      </c>
      <c r="E3243" s="21"/>
      <c r="F3243" s="21" t="s">
        <v>10438</v>
      </c>
      <c r="G3243" s="21"/>
      <c r="H3243" s="54">
        <v>135</v>
      </c>
      <c r="I3243" s="51"/>
      <c r="J3243" s="27"/>
      <c r="K3243" s="27"/>
      <c r="L3243" s="15"/>
      <c r="M3243" s="15"/>
      <c r="N3243" s="4">
        <v>106</v>
      </c>
      <c r="O3243" s="4"/>
    </row>
    <row r="3244" spans="1:15" x14ac:dyDescent="0.2">
      <c r="A3244" s="2">
        <v>10018203</v>
      </c>
      <c r="B3244" s="2" t="s">
        <v>102</v>
      </c>
      <c r="C3244" s="5" t="s">
        <v>5639</v>
      </c>
      <c r="D3244" s="21"/>
      <c r="E3244" s="21"/>
      <c r="F3244" s="21" t="s">
        <v>10438</v>
      </c>
      <c r="G3244" s="21"/>
      <c r="H3244" s="54">
        <v>90</v>
      </c>
      <c r="I3244" s="51"/>
      <c r="J3244" s="27"/>
      <c r="K3244" s="27"/>
      <c r="L3244" s="15"/>
      <c r="M3244" s="15"/>
      <c r="N3244" s="4">
        <v>80</v>
      </c>
      <c r="O3244" s="4"/>
    </row>
    <row r="3245" spans="1:15" x14ac:dyDescent="0.2">
      <c r="A3245" s="2">
        <v>10019645</v>
      </c>
      <c r="B3245" s="2" t="s">
        <v>562</v>
      </c>
      <c r="C3245" s="5" t="s">
        <v>6190</v>
      </c>
      <c r="D3245" s="21">
        <v>4</v>
      </c>
      <c r="E3245" s="21"/>
      <c r="F3245" s="21" t="s">
        <v>10438</v>
      </c>
      <c r="G3245" s="21"/>
      <c r="H3245" s="54">
        <v>2965</v>
      </c>
      <c r="I3245" s="51">
        <v>2669</v>
      </c>
      <c r="J3245" s="27"/>
      <c r="K3245" s="27"/>
      <c r="L3245" s="15"/>
      <c r="M3245" s="15"/>
      <c r="N3245" s="4">
        <v>57</v>
      </c>
      <c r="O3245" s="4"/>
    </row>
    <row r="3246" spans="1:15" x14ac:dyDescent="0.2">
      <c r="A3246" s="2">
        <v>10029926</v>
      </c>
      <c r="B3246" s="2" t="s">
        <v>5379</v>
      </c>
      <c r="C3246" s="5" t="s">
        <v>6344</v>
      </c>
      <c r="D3246" s="21">
        <v>80</v>
      </c>
      <c r="E3246" s="21"/>
      <c r="F3246" s="21" t="s">
        <v>10438</v>
      </c>
      <c r="G3246" s="21"/>
      <c r="H3246" s="54">
        <v>146</v>
      </c>
      <c r="I3246" s="51"/>
      <c r="J3246" s="27"/>
      <c r="K3246" s="27"/>
      <c r="L3246" s="15"/>
      <c r="M3246" s="15"/>
      <c r="N3246" s="4">
        <v>83</v>
      </c>
      <c r="O3246" s="4"/>
    </row>
    <row r="3247" spans="1:15" x14ac:dyDescent="0.2">
      <c r="A3247" s="2">
        <v>10029927</v>
      </c>
      <c r="B3247" s="2" t="s">
        <v>682</v>
      </c>
      <c r="C3247" s="5" t="s">
        <v>6345</v>
      </c>
      <c r="D3247" s="21"/>
      <c r="E3247" s="21"/>
      <c r="F3247" s="21" t="s">
        <v>10438</v>
      </c>
      <c r="G3247" s="21"/>
      <c r="H3247" s="54">
        <v>280</v>
      </c>
      <c r="I3247" s="51"/>
      <c r="J3247" s="27"/>
      <c r="K3247" s="27"/>
      <c r="L3247" s="15"/>
      <c r="M3247" s="15"/>
      <c r="N3247" s="4">
        <v>82</v>
      </c>
      <c r="O3247" s="4"/>
    </row>
    <row r="3248" spans="1:15" x14ac:dyDescent="0.2">
      <c r="A3248" s="2">
        <v>10018236</v>
      </c>
      <c r="B3248" s="2" t="s">
        <v>122</v>
      </c>
      <c r="C3248" s="5" t="s">
        <v>5659</v>
      </c>
      <c r="D3248" s="21"/>
      <c r="E3248" s="21"/>
      <c r="F3248" s="21" t="s">
        <v>10438</v>
      </c>
      <c r="G3248" s="21"/>
      <c r="H3248" s="54">
        <v>125</v>
      </c>
      <c r="I3248" s="51"/>
      <c r="J3248" s="27"/>
      <c r="K3248" s="27"/>
      <c r="L3248" s="15">
        <v>3</v>
      </c>
      <c r="M3248" s="15"/>
      <c r="N3248" s="4">
        <v>67</v>
      </c>
      <c r="O3248" s="4"/>
    </row>
    <row r="3249" spans="1:15" x14ac:dyDescent="0.2">
      <c r="A3249" s="2">
        <v>10018257</v>
      </c>
      <c r="B3249" s="2" t="s">
        <v>131</v>
      </c>
      <c r="C3249" s="5" t="s">
        <v>5670</v>
      </c>
      <c r="D3249" s="21">
        <v>3</v>
      </c>
      <c r="E3249" s="21"/>
      <c r="F3249" s="21" t="s">
        <v>10438</v>
      </c>
      <c r="G3249" s="21"/>
      <c r="H3249" s="54">
        <v>448</v>
      </c>
      <c r="I3249" s="51"/>
      <c r="J3249" s="27"/>
      <c r="K3249" s="27"/>
      <c r="L3249" s="15"/>
      <c r="M3249" s="15"/>
      <c r="N3249" s="4">
        <v>66</v>
      </c>
      <c r="O3249" s="4"/>
    </row>
    <row r="3250" spans="1:15" x14ac:dyDescent="0.2">
      <c r="A3250" s="2">
        <v>10018259</v>
      </c>
      <c r="B3250" s="2" t="s">
        <v>132</v>
      </c>
      <c r="C3250" s="5" t="s">
        <v>5671</v>
      </c>
      <c r="D3250" s="21">
        <v>5</v>
      </c>
      <c r="E3250" s="21"/>
      <c r="F3250" s="21" t="s">
        <v>10438</v>
      </c>
      <c r="G3250" s="21"/>
      <c r="H3250" s="54">
        <v>1000</v>
      </c>
      <c r="I3250" s="51"/>
      <c r="J3250" s="27"/>
      <c r="K3250" s="27"/>
      <c r="L3250" s="15"/>
      <c r="M3250" s="15"/>
      <c r="N3250" s="4">
        <v>66</v>
      </c>
      <c r="O3250" s="4"/>
    </row>
    <row r="3251" spans="1:15" x14ac:dyDescent="0.2">
      <c r="A3251" s="2">
        <v>10040631</v>
      </c>
      <c r="B3251" s="2" t="s">
        <v>5470</v>
      </c>
      <c r="C3251" s="5" t="s">
        <v>6392</v>
      </c>
      <c r="D3251" s="21">
        <v>4</v>
      </c>
      <c r="E3251" s="21"/>
      <c r="F3251" s="21" t="s">
        <v>10438</v>
      </c>
      <c r="G3251" s="21"/>
      <c r="H3251" s="54">
        <v>269</v>
      </c>
      <c r="I3251" s="51"/>
      <c r="J3251" s="27"/>
      <c r="K3251" s="27"/>
      <c r="L3251" s="15"/>
      <c r="M3251" s="15"/>
      <c r="N3251" s="4">
        <v>83</v>
      </c>
      <c r="O3251" s="4"/>
    </row>
    <row r="3252" spans="1:15" x14ac:dyDescent="0.2">
      <c r="A3252" s="2">
        <v>10018775</v>
      </c>
      <c r="B3252" s="2" t="s">
        <v>306</v>
      </c>
      <c r="C3252" s="56" t="s">
        <v>5888</v>
      </c>
      <c r="D3252" s="21">
        <v>-3</v>
      </c>
      <c r="E3252" s="21"/>
      <c r="F3252" s="21" t="s">
        <v>10438</v>
      </c>
      <c r="G3252" s="21"/>
      <c r="H3252" s="54">
        <v>110</v>
      </c>
      <c r="I3252" s="51"/>
      <c r="J3252" s="27"/>
      <c r="K3252" s="27"/>
      <c r="L3252" s="15">
        <v>10</v>
      </c>
      <c r="M3252" s="15">
        <v>10</v>
      </c>
      <c r="N3252" s="4">
        <v>67</v>
      </c>
      <c r="O3252" s="4"/>
    </row>
    <row r="3253" spans="1:15" x14ac:dyDescent="0.2">
      <c r="A3253" s="2">
        <v>10018457</v>
      </c>
      <c r="B3253" s="2" t="s">
        <v>183</v>
      </c>
      <c r="C3253" s="5" t="s">
        <v>5732</v>
      </c>
      <c r="D3253" s="21">
        <v>7</v>
      </c>
      <c r="E3253" s="21"/>
      <c r="F3253" s="21" t="s">
        <v>10438</v>
      </c>
      <c r="G3253" s="21"/>
      <c r="H3253" s="54">
        <v>135</v>
      </c>
      <c r="I3253" s="51"/>
      <c r="J3253" s="27"/>
      <c r="K3253" s="27"/>
      <c r="L3253" s="15">
        <v>5</v>
      </c>
      <c r="M3253" s="15"/>
      <c r="N3253" s="4">
        <v>67</v>
      </c>
      <c r="O3253" s="4"/>
    </row>
    <row r="3254" spans="1:15" x14ac:dyDescent="0.2">
      <c r="A3254" s="2">
        <v>10017893</v>
      </c>
      <c r="B3254" s="2" t="s">
        <v>19</v>
      </c>
      <c r="C3254" s="5" t="s">
        <v>5537</v>
      </c>
      <c r="D3254" s="21">
        <v>10</v>
      </c>
      <c r="E3254" s="21"/>
      <c r="F3254" s="21" t="s">
        <v>10438</v>
      </c>
      <c r="G3254" s="21"/>
      <c r="H3254" s="54">
        <v>121</v>
      </c>
      <c r="I3254" s="51"/>
      <c r="J3254" s="27"/>
      <c r="K3254" s="27"/>
      <c r="L3254" s="15"/>
      <c r="M3254" s="15"/>
      <c r="N3254" s="4">
        <v>83</v>
      </c>
      <c r="O3254" s="4"/>
    </row>
    <row r="3255" spans="1:15" x14ac:dyDescent="0.2">
      <c r="A3255" s="2">
        <v>10036234</v>
      </c>
      <c r="B3255" s="2" t="s">
        <v>3725</v>
      </c>
      <c r="C3255" s="5" t="s">
        <v>6364</v>
      </c>
      <c r="D3255" s="21">
        <v>5</v>
      </c>
      <c r="E3255" s="21"/>
      <c r="F3255" s="21" t="s">
        <v>10438</v>
      </c>
      <c r="G3255" s="21"/>
      <c r="H3255" s="54">
        <v>329</v>
      </c>
      <c r="I3255" s="51"/>
      <c r="J3255" s="27"/>
      <c r="K3255" s="27"/>
      <c r="L3255" s="15"/>
      <c r="M3255" s="15"/>
      <c r="N3255" s="4">
        <v>83</v>
      </c>
      <c r="O3255" s="4"/>
    </row>
    <row r="3256" spans="1:15" x14ac:dyDescent="0.2">
      <c r="A3256" s="2">
        <v>10019037</v>
      </c>
      <c r="B3256" s="2" t="s">
        <v>410</v>
      </c>
      <c r="C3256" s="5" t="s">
        <v>6014</v>
      </c>
      <c r="D3256" s="21">
        <v>3</v>
      </c>
      <c r="E3256" s="21"/>
      <c r="F3256" s="21" t="s">
        <v>10438</v>
      </c>
      <c r="G3256" s="21"/>
      <c r="H3256" s="54">
        <v>615</v>
      </c>
      <c r="I3256" s="51"/>
      <c r="J3256" s="27"/>
      <c r="K3256" s="27"/>
      <c r="L3256" s="15"/>
      <c r="M3256" s="15"/>
      <c r="N3256" s="4">
        <v>67</v>
      </c>
      <c r="O3256" s="4"/>
    </row>
    <row r="3257" spans="1:15" x14ac:dyDescent="0.2">
      <c r="A3257" s="2">
        <v>10018453</v>
      </c>
      <c r="B3257" s="2" t="s">
        <v>181</v>
      </c>
      <c r="C3257" s="5" t="s">
        <v>5728</v>
      </c>
      <c r="D3257" s="21"/>
      <c r="E3257" s="21"/>
      <c r="F3257" s="21" t="s">
        <v>10438</v>
      </c>
      <c r="G3257" s="21"/>
      <c r="H3257" s="54">
        <v>346</v>
      </c>
      <c r="I3257" s="51"/>
      <c r="J3257" s="27"/>
      <c r="K3257" s="27"/>
      <c r="L3257" s="15"/>
      <c r="M3257" s="15"/>
      <c r="N3257" s="4">
        <v>66</v>
      </c>
      <c r="O3257" s="4"/>
    </row>
    <row r="3258" spans="1:15" x14ac:dyDescent="0.2">
      <c r="A3258" s="2">
        <v>40006161</v>
      </c>
      <c r="B3258" s="2" t="s">
        <v>1548</v>
      </c>
      <c r="C3258" s="5" t="s">
        <v>7254</v>
      </c>
      <c r="D3258" s="21">
        <v>12</v>
      </c>
      <c r="E3258" s="21"/>
      <c r="F3258" s="21" t="s">
        <v>10438</v>
      </c>
      <c r="G3258" s="21"/>
      <c r="H3258" s="54">
        <v>169</v>
      </c>
      <c r="I3258" s="51"/>
      <c r="J3258" s="27"/>
      <c r="K3258" s="27"/>
      <c r="L3258" s="15"/>
      <c r="M3258" s="15"/>
      <c r="N3258" s="4" t="s">
        <v>4443</v>
      </c>
      <c r="O3258" s="4"/>
    </row>
    <row r="3259" spans="1:15" x14ac:dyDescent="0.2">
      <c r="A3259" s="2">
        <v>40007029</v>
      </c>
      <c r="B3259" s="2" t="s">
        <v>2308</v>
      </c>
      <c r="C3259" s="5" t="s">
        <v>8018</v>
      </c>
      <c r="D3259" s="21">
        <v>4</v>
      </c>
      <c r="E3259" s="21"/>
      <c r="F3259" s="21" t="s">
        <v>10438</v>
      </c>
      <c r="G3259" s="21"/>
      <c r="H3259" s="54">
        <v>8</v>
      </c>
      <c r="I3259" s="51"/>
      <c r="J3259" s="27"/>
      <c r="K3259" s="27"/>
      <c r="L3259" s="15"/>
      <c r="M3259" s="15"/>
      <c r="N3259" s="4" t="s">
        <v>4795</v>
      </c>
      <c r="O3259" s="4"/>
    </row>
    <row r="3260" spans="1:15" x14ac:dyDescent="0.2">
      <c r="A3260" s="2">
        <v>40005189</v>
      </c>
      <c r="B3260" s="2" t="s">
        <v>733</v>
      </c>
      <c r="C3260" s="5" t="s">
        <v>6446</v>
      </c>
      <c r="D3260" s="21">
        <v>3</v>
      </c>
      <c r="E3260" s="21"/>
      <c r="F3260" s="21" t="s">
        <v>10438</v>
      </c>
      <c r="G3260" s="21"/>
      <c r="H3260" s="54">
        <v>23</v>
      </c>
      <c r="I3260" s="51"/>
      <c r="J3260" s="27"/>
      <c r="K3260" s="27"/>
      <c r="L3260" s="15"/>
      <c r="M3260" s="15"/>
      <c r="N3260" s="4" t="s">
        <v>3995</v>
      </c>
      <c r="O3260" s="4"/>
    </row>
    <row r="3261" spans="1:15" x14ac:dyDescent="0.2">
      <c r="A3261" s="2">
        <v>40005488</v>
      </c>
      <c r="B3261" s="2" t="s">
        <v>958</v>
      </c>
      <c r="C3261" s="5" t="s">
        <v>6680</v>
      </c>
      <c r="D3261" s="21">
        <v>1</v>
      </c>
      <c r="E3261" s="21"/>
      <c r="F3261" s="21" t="s">
        <v>10438</v>
      </c>
      <c r="G3261" s="21"/>
      <c r="H3261" s="54">
        <v>20</v>
      </c>
      <c r="I3261" s="51"/>
      <c r="J3261" s="27"/>
      <c r="K3261" s="27"/>
      <c r="L3261" s="15"/>
      <c r="M3261" s="15"/>
      <c r="N3261" s="4"/>
      <c r="O3261" s="4" t="s">
        <v>10096</v>
      </c>
    </row>
    <row r="3262" spans="1:15" x14ac:dyDescent="0.2">
      <c r="A3262" s="2">
        <v>40007910</v>
      </c>
      <c r="B3262" s="2" t="s">
        <v>3065</v>
      </c>
      <c r="C3262" s="5" t="s">
        <v>8756</v>
      </c>
      <c r="D3262" s="21">
        <v>9</v>
      </c>
      <c r="E3262" s="21"/>
      <c r="F3262" s="21" t="s">
        <v>10438</v>
      </c>
      <c r="G3262" s="21"/>
      <c r="H3262" s="54">
        <v>5</v>
      </c>
      <c r="I3262" s="51"/>
      <c r="J3262" s="27"/>
      <c r="K3262" s="27"/>
      <c r="L3262" s="15"/>
      <c r="M3262" s="15"/>
      <c r="N3262" s="4" t="s">
        <v>5123</v>
      </c>
      <c r="O3262" s="4"/>
    </row>
    <row r="3263" spans="1:15" x14ac:dyDescent="0.2">
      <c r="A3263" s="2">
        <v>40005994</v>
      </c>
      <c r="B3263" s="2" t="s">
        <v>1399</v>
      </c>
      <c r="C3263" s="5" t="s">
        <v>7105</v>
      </c>
      <c r="D3263" s="21">
        <v>10</v>
      </c>
      <c r="E3263" s="21"/>
      <c r="F3263" s="21" t="s">
        <v>10438</v>
      </c>
      <c r="G3263" s="21"/>
      <c r="H3263" s="54">
        <v>17</v>
      </c>
      <c r="I3263" s="51"/>
      <c r="J3263" s="27"/>
      <c r="K3263" s="27"/>
      <c r="L3263" s="15"/>
      <c r="M3263" s="15"/>
      <c r="N3263" s="4" t="s">
        <v>4356</v>
      </c>
      <c r="O3263" s="4"/>
    </row>
    <row r="3264" spans="1:15" x14ac:dyDescent="0.2">
      <c r="A3264" s="2">
        <v>40005502</v>
      </c>
      <c r="B3264" s="2" t="s">
        <v>970</v>
      </c>
      <c r="C3264" s="5" t="s">
        <v>6692</v>
      </c>
      <c r="D3264" s="21">
        <v>1</v>
      </c>
      <c r="E3264" s="21"/>
      <c r="F3264" s="21" t="s">
        <v>10438</v>
      </c>
      <c r="G3264" s="21"/>
      <c r="H3264" s="54">
        <v>14</v>
      </c>
      <c r="I3264" s="51"/>
      <c r="J3264" s="27"/>
      <c r="K3264" s="27"/>
      <c r="L3264" s="15"/>
      <c r="M3264" s="15"/>
      <c r="N3264" s="4"/>
      <c r="O3264" s="4" t="s">
        <v>10096</v>
      </c>
    </row>
    <row r="3265" spans="1:15" x14ac:dyDescent="0.2">
      <c r="A3265" s="2">
        <v>40005995</v>
      </c>
      <c r="B3265" s="2" t="s">
        <v>1400</v>
      </c>
      <c r="C3265" s="5" t="s">
        <v>7106</v>
      </c>
      <c r="D3265" s="21">
        <v>9</v>
      </c>
      <c r="E3265" s="21"/>
      <c r="F3265" s="21" t="s">
        <v>10438</v>
      </c>
      <c r="G3265" s="21"/>
      <c r="H3265" s="54">
        <v>17</v>
      </c>
      <c r="I3265" s="51"/>
      <c r="J3265" s="27"/>
      <c r="K3265" s="27"/>
      <c r="L3265" s="15"/>
      <c r="M3265" s="15"/>
      <c r="N3265" s="4" t="s">
        <v>4357</v>
      </c>
      <c r="O3265" s="4"/>
    </row>
    <row r="3266" spans="1:15" x14ac:dyDescent="0.2">
      <c r="A3266" s="2">
        <v>40005503</v>
      </c>
      <c r="B3266" s="2" t="s">
        <v>971</v>
      </c>
      <c r="C3266" s="5" t="s">
        <v>6693</v>
      </c>
      <c r="D3266" s="21">
        <v>1</v>
      </c>
      <c r="E3266" s="21"/>
      <c r="F3266" s="21" t="s">
        <v>10438</v>
      </c>
      <c r="G3266" s="21"/>
      <c r="H3266" s="54">
        <v>14</v>
      </c>
      <c r="I3266" s="51"/>
      <c r="J3266" s="27"/>
      <c r="K3266" s="27"/>
      <c r="L3266" s="15"/>
      <c r="M3266" s="15"/>
      <c r="N3266" s="4"/>
      <c r="O3266" s="4" t="s">
        <v>10096</v>
      </c>
    </row>
    <row r="3267" spans="1:15" x14ac:dyDescent="0.2">
      <c r="A3267" s="2">
        <v>40005999</v>
      </c>
      <c r="B3267" s="2" t="s">
        <v>1404</v>
      </c>
      <c r="C3267" s="5" t="s">
        <v>7110</v>
      </c>
      <c r="D3267" s="21">
        <v>4</v>
      </c>
      <c r="E3267" s="21"/>
      <c r="F3267" s="21" t="s">
        <v>10438</v>
      </c>
      <c r="G3267" s="21"/>
      <c r="H3267" s="54">
        <v>10</v>
      </c>
      <c r="I3267" s="51"/>
      <c r="J3267" s="27"/>
      <c r="K3267" s="27"/>
      <c r="L3267" s="15"/>
      <c r="M3267" s="15"/>
      <c r="N3267" s="4" t="s">
        <v>4361</v>
      </c>
      <c r="O3267" s="4"/>
    </row>
    <row r="3268" spans="1:15" x14ac:dyDescent="0.2">
      <c r="A3268" s="2">
        <v>40006340</v>
      </c>
      <c r="B3268" s="2" t="s">
        <v>1705</v>
      </c>
      <c r="C3268" s="5" t="s">
        <v>7414</v>
      </c>
      <c r="D3268" s="21">
        <v>3</v>
      </c>
      <c r="E3268" s="21"/>
      <c r="F3268" s="21" t="s">
        <v>10438</v>
      </c>
      <c r="G3268" s="21"/>
      <c r="H3268" s="54">
        <v>21</v>
      </c>
      <c r="I3268" s="51"/>
      <c r="J3268" s="27"/>
      <c r="K3268" s="27"/>
      <c r="L3268" s="15"/>
      <c r="M3268" s="15"/>
      <c r="N3268" s="4"/>
      <c r="O3268" s="4" t="s">
        <v>10236</v>
      </c>
    </row>
    <row r="3269" spans="1:15" x14ac:dyDescent="0.2">
      <c r="A3269" s="2">
        <v>10018735</v>
      </c>
      <c r="B3269" s="2" t="s">
        <v>3897</v>
      </c>
      <c r="C3269" s="5" t="s">
        <v>5867</v>
      </c>
      <c r="D3269" s="21">
        <v>1</v>
      </c>
      <c r="E3269" s="21"/>
      <c r="F3269" s="21" t="s">
        <v>10438</v>
      </c>
      <c r="G3269" s="21"/>
      <c r="H3269" s="54">
        <v>474</v>
      </c>
      <c r="I3269" s="51"/>
      <c r="J3269" s="27"/>
      <c r="K3269" s="27"/>
      <c r="L3269" s="15"/>
      <c r="M3269" s="15"/>
      <c r="N3269" s="4"/>
      <c r="O3269" s="4"/>
    </row>
    <row r="3270" spans="1:15" x14ac:dyDescent="0.2">
      <c r="A3270" s="2">
        <v>40006887</v>
      </c>
      <c r="B3270" s="2" t="s">
        <v>2182</v>
      </c>
      <c r="C3270" s="5" t="s">
        <v>7891</v>
      </c>
      <c r="D3270" s="21">
        <v>8</v>
      </c>
      <c r="E3270" s="21"/>
      <c r="F3270" s="21" t="s">
        <v>10438</v>
      </c>
      <c r="G3270" s="21"/>
      <c r="H3270" s="54">
        <v>5</v>
      </c>
      <c r="I3270" s="51"/>
      <c r="J3270" s="27"/>
      <c r="K3270" s="27"/>
      <c r="L3270" s="15"/>
      <c r="M3270" s="15"/>
      <c r="N3270" s="4" t="s">
        <v>4682</v>
      </c>
      <c r="O3270" s="4"/>
    </row>
    <row r="3271" spans="1:15" x14ac:dyDescent="0.2">
      <c r="A3271" s="2">
        <v>10019463</v>
      </c>
      <c r="B3271" s="2" t="s">
        <v>522</v>
      </c>
      <c r="C3271" s="5" t="s">
        <v>6142</v>
      </c>
      <c r="D3271" s="21">
        <v>4</v>
      </c>
      <c r="E3271" s="21"/>
      <c r="F3271" s="21" t="s">
        <v>10438</v>
      </c>
      <c r="G3271" s="21"/>
      <c r="H3271" s="54">
        <v>220</v>
      </c>
      <c r="I3271" s="51"/>
      <c r="J3271" s="27"/>
      <c r="K3271" s="27"/>
      <c r="L3271" s="15"/>
      <c r="M3271" s="15"/>
      <c r="N3271" s="4">
        <v>106</v>
      </c>
      <c r="O3271" s="4"/>
    </row>
    <row r="3272" spans="1:15" x14ac:dyDescent="0.2">
      <c r="A3272" s="2">
        <v>40005558</v>
      </c>
      <c r="B3272" s="2" t="s">
        <v>1015</v>
      </c>
      <c r="C3272" s="5" t="s">
        <v>6740</v>
      </c>
      <c r="D3272" s="21">
        <v>5</v>
      </c>
      <c r="E3272" s="21"/>
      <c r="F3272" s="21" t="s">
        <v>10438</v>
      </c>
      <c r="G3272" s="21"/>
      <c r="H3272" s="54">
        <v>151</v>
      </c>
      <c r="I3272" s="51"/>
      <c r="J3272" s="27"/>
      <c r="K3272" s="27"/>
      <c r="L3272" s="15"/>
      <c r="M3272" s="15"/>
      <c r="N3272" s="4"/>
      <c r="O3272" s="4" t="s">
        <v>10096</v>
      </c>
    </row>
    <row r="3273" spans="1:15" x14ac:dyDescent="0.2">
      <c r="A3273" s="2">
        <v>40011161</v>
      </c>
      <c r="B3273" s="2" t="s">
        <v>3601</v>
      </c>
      <c r="C3273" s="5" t="s">
        <v>9335</v>
      </c>
      <c r="D3273" s="21">
        <v>1</v>
      </c>
      <c r="E3273" s="21"/>
      <c r="F3273" s="21" t="s">
        <v>10438</v>
      </c>
      <c r="G3273" s="21"/>
      <c r="H3273" s="54">
        <v>21</v>
      </c>
      <c r="I3273" s="51"/>
      <c r="J3273" s="27"/>
      <c r="K3273" s="27"/>
      <c r="L3273" s="15"/>
      <c r="M3273" s="15"/>
      <c r="N3273" s="4" t="s">
        <v>4633</v>
      </c>
      <c r="O3273" s="4"/>
    </row>
    <row r="3274" spans="1:15" x14ac:dyDescent="0.2">
      <c r="A3274" s="2">
        <v>40007297</v>
      </c>
      <c r="B3274" s="2" t="s">
        <v>2542</v>
      </c>
      <c r="C3274" s="5">
        <v>957150100</v>
      </c>
      <c r="D3274" s="21">
        <v>1</v>
      </c>
      <c r="E3274" s="21"/>
      <c r="F3274" s="21" t="s">
        <v>10438</v>
      </c>
      <c r="G3274" s="21"/>
      <c r="H3274" s="54">
        <v>372</v>
      </c>
      <c r="I3274" s="51"/>
      <c r="J3274" s="27"/>
      <c r="K3274" s="27"/>
      <c r="L3274" s="15"/>
      <c r="M3274" s="15"/>
      <c r="N3274" s="4" t="s">
        <v>4519</v>
      </c>
      <c r="O3274" s="4"/>
    </row>
    <row r="3275" spans="1:15" x14ac:dyDescent="0.2">
      <c r="A3275" s="2">
        <v>40006471</v>
      </c>
      <c r="B3275" s="2" t="s">
        <v>1824</v>
      </c>
      <c r="C3275" s="5" t="s">
        <v>7532</v>
      </c>
      <c r="D3275" s="21">
        <v>2</v>
      </c>
      <c r="E3275" s="21"/>
      <c r="F3275" s="21" t="s">
        <v>10438</v>
      </c>
      <c r="G3275" s="21"/>
      <c r="H3275" s="54">
        <v>194</v>
      </c>
      <c r="I3275" s="51"/>
      <c r="J3275" s="27"/>
      <c r="K3275" s="27"/>
      <c r="L3275" s="15"/>
      <c r="M3275" s="15"/>
      <c r="N3275" s="4" t="s">
        <v>4259</v>
      </c>
      <c r="O3275" s="4"/>
    </row>
    <row r="3276" spans="1:15" x14ac:dyDescent="0.2">
      <c r="A3276" s="2">
        <v>40007412</v>
      </c>
      <c r="B3276" s="2" t="s">
        <v>2637</v>
      </c>
      <c r="C3276" s="5" t="s">
        <v>8335</v>
      </c>
      <c r="D3276" s="21">
        <v>2</v>
      </c>
      <c r="E3276" s="21"/>
      <c r="F3276" s="21" t="s">
        <v>10438</v>
      </c>
      <c r="G3276" s="21"/>
      <c r="H3276" s="54">
        <v>106</v>
      </c>
      <c r="I3276" s="51"/>
      <c r="J3276" s="27"/>
      <c r="K3276" s="27"/>
      <c r="L3276" s="15">
        <v>1</v>
      </c>
      <c r="M3276" s="15">
        <v>5</v>
      </c>
      <c r="N3276" s="4" t="s">
        <v>4950</v>
      </c>
      <c r="O3276" s="4"/>
    </row>
    <row r="3277" spans="1:15" x14ac:dyDescent="0.2">
      <c r="A3277" s="2">
        <v>40008239</v>
      </c>
      <c r="B3277" s="2" t="s">
        <v>3356</v>
      </c>
      <c r="C3277" s="5" t="s">
        <v>9048</v>
      </c>
      <c r="D3277" s="21">
        <v>4</v>
      </c>
      <c r="E3277" s="21"/>
      <c r="F3277" s="21" t="s">
        <v>10438</v>
      </c>
      <c r="G3277" s="21"/>
      <c r="H3277" s="54">
        <v>357</v>
      </c>
      <c r="I3277" s="51"/>
      <c r="J3277" s="27"/>
      <c r="K3277" s="27"/>
      <c r="L3277" s="15"/>
      <c r="M3277" s="15"/>
      <c r="N3277" s="4" t="s">
        <v>10478</v>
      </c>
      <c r="O3277" s="4"/>
    </row>
    <row r="3278" spans="1:15" x14ac:dyDescent="0.2">
      <c r="A3278" s="2">
        <v>40005929</v>
      </c>
      <c r="B3278" s="2" t="s">
        <v>1338</v>
      </c>
      <c r="C3278" s="5" t="s">
        <v>7044</v>
      </c>
      <c r="D3278" s="21">
        <v>10</v>
      </c>
      <c r="E3278" s="21"/>
      <c r="F3278" s="21" t="s">
        <v>10438</v>
      </c>
      <c r="G3278" s="21"/>
      <c r="H3278" s="54">
        <v>161</v>
      </c>
      <c r="I3278" s="51"/>
      <c r="J3278" s="27"/>
      <c r="K3278" s="27"/>
      <c r="L3278" s="15"/>
      <c r="M3278" s="15"/>
      <c r="N3278" s="4"/>
      <c r="O3278" s="4">
        <v>88</v>
      </c>
    </row>
    <row r="3279" spans="1:15" x14ac:dyDescent="0.2">
      <c r="A3279" s="2">
        <v>10018225</v>
      </c>
      <c r="B3279" s="2" t="s">
        <v>112</v>
      </c>
      <c r="C3279" s="5" t="s">
        <v>5649</v>
      </c>
      <c r="D3279" s="21">
        <v>1</v>
      </c>
      <c r="E3279" s="21"/>
      <c r="F3279" s="21" t="s">
        <v>10438</v>
      </c>
      <c r="G3279" s="21"/>
      <c r="H3279" s="54">
        <v>1686</v>
      </c>
      <c r="I3279" s="51"/>
      <c r="J3279" s="27"/>
      <c r="K3279" s="27"/>
      <c r="L3279" s="15"/>
      <c r="M3279" s="15"/>
      <c r="N3279" s="4"/>
      <c r="O3279" s="4" t="s">
        <v>10469</v>
      </c>
    </row>
    <row r="3280" spans="1:15" x14ac:dyDescent="0.2">
      <c r="A3280" s="2">
        <v>40007080</v>
      </c>
      <c r="B3280" s="2" t="s">
        <v>2354</v>
      </c>
      <c r="C3280" s="5" t="s">
        <v>8061</v>
      </c>
      <c r="D3280" s="21">
        <v>4</v>
      </c>
      <c r="E3280" s="21"/>
      <c r="F3280" s="21" t="s">
        <v>10438</v>
      </c>
      <c r="G3280" s="21"/>
      <c r="H3280" s="54">
        <v>15</v>
      </c>
      <c r="I3280" s="51"/>
      <c r="J3280" s="27"/>
      <c r="K3280" s="27"/>
      <c r="L3280" s="15"/>
      <c r="M3280" s="15"/>
      <c r="N3280" s="4" t="s">
        <v>4615</v>
      </c>
      <c r="O3280" s="4"/>
    </row>
    <row r="3281" spans="1:15" x14ac:dyDescent="0.2">
      <c r="A3281" s="2">
        <v>40005696</v>
      </c>
      <c r="B3281" s="2" t="s">
        <v>3826</v>
      </c>
      <c r="C3281" s="5" t="s">
        <v>6846</v>
      </c>
      <c r="D3281" s="21">
        <v>5</v>
      </c>
      <c r="E3281" s="21"/>
      <c r="F3281" s="21" t="s">
        <v>10438</v>
      </c>
      <c r="G3281" s="21"/>
      <c r="H3281" s="54">
        <v>25</v>
      </c>
      <c r="I3281" s="51"/>
      <c r="J3281" s="27"/>
      <c r="K3281" s="27"/>
      <c r="L3281" s="15"/>
      <c r="M3281" s="15"/>
      <c r="N3281" s="4" t="s">
        <v>4222</v>
      </c>
      <c r="O3281" s="4"/>
    </row>
    <row r="3282" spans="1:15" x14ac:dyDescent="0.2">
      <c r="A3282" s="2">
        <v>40006689</v>
      </c>
      <c r="B3282" s="2" t="s">
        <v>2007</v>
      </c>
      <c r="C3282" s="5" t="s">
        <v>7716</v>
      </c>
      <c r="D3282" s="21">
        <v>12</v>
      </c>
      <c r="E3282" s="21"/>
      <c r="F3282" s="21" t="s">
        <v>10438</v>
      </c>
      <c r="G3282" s="21"/>
      <c r="H3282" s="54">
        <v>10</v>
      </c>
      <c r="I3282" s="51"/>
      <c r="J3282" s="27"/>
      <c r="K3282" s="27"/>
      <c r="L3282" s="15"/>
      <c r="M3282" s="15"/>
      <c r="N3282" s="4" t="s">
        <v>4647</v>
      </c>
      <c r="O3282" s="4"/>
    </row>
    <row r="3283" spans="1:15" x14ac:dyDescent="0.2">
      <c r="A3283" s="2">
        <v>40005690</v>
      </c>
      <c r="B3283" s="2" t="s">
        <v>1123</v>
      </c>
      <c r="C3283" s="5" t="s">
        <v>5506</v>
      </c>
      <c r="D3283" s="21">
        <v>3</v>
      </c>
      <c r="E3283" s="21"/>
      <c r="F3283" s="30">
        <v>1</v>
      </c>
      <c r="G3283" s="21"/>
      <c r="H3283" s="54">
        <v>9</v>
      </c>
      <c r="I3283" s="51"/>
      <c r="J3283" s="27"/>
      <c r="K3283" s="27"/>
      <c r="L3283" s="15"/>
      <c r="M3283" s="15"/>
      <c r="N3283" s="4" t="s">
        <v>4883</v>
      </c>
      <c r="O3283" s="4" t="s">
        <v>10359</v>
      </c>
    </row>
    <row r="3284" spans="1:15" x14ac:dyDescent="0.2">
      <c r="A3284" s="2">
        <v>40005451</v>
      </c>
      <c r="B3284" s="2" t="s">
        <v>924</v>
      </c>
      <c r="C3284" s="5" t="s">
        <v>6646</v>
      </c>
      <c r="D3284" s="21">
        <v>2</v>
      </c>
      <c r="E3284" s="21"/>
      <c r="F3284" s="21" t="s">
        <v>10438</v>
      </c>
      <c r="G3284" s="21"/>
      <c r="H3284" s="54">
        <v>20</v>
      </c>
      <c r="I3284" s="51"/>
      <c r="J3284" s="27"/>
      <c r="K3284" s="27"/>
      <c r="L3284" s="15"/>
      <c r="M3284" s="15"/>
      <c r="N3284" s="4"/>
      <c r="O3284" s="4" t="s">
        <v>10096</v>
      </c>
    </row>
    <row r="3285" spans="1:15" x14ac:dyDescent="0.2">
      <c r="A3285" s="2">
        <v>40007707</v>
      </c>
      <c r="B3285" s="2" t="s">
        <v>2883</v>
      </c>
      <c r="C3285" s="5" t="s">
        <v>8581</v>
      </c>
      <c r="D3285" s="21">
        <v>1</v>
      </c>
      <c r="E3285" s="21"/>
      <c r="F3285" s="21" t="s">
        <v>10438</v>
      </c>
      <c r="G3285" s="21"/>
      <c r="H3285" s="54">
        <v>14.5</v>
      </c>
      <c r="I3285" s="51"/>
      <c r="J3285" s="27"/>
      <c r="K3285" s="27"/>
      <c r="L3285" s="15"/>
      <c r="M3285" s="15"/>
      <c r="N3285" s="4" t="s">
        <v>4493</v>
      </c>
      <c r="O3285" s="4"/>
    </row>
    <row r="3286" spans="1:15" x14ac:dyDescent="0.2">
      <c r="A3286" s="2">
        <v>40007939</v>
      </c>
      <c r="B3286" s="2" t="s">
        <v>3092</v>
      </c>
      <c r="C3286" s="5">
        <v>225221020</v>
      </c>
      <c r="D3286" s="21">
        <v>13</v>
      </c>
      <c r="E3286" s="21"/>
      <c r="F3286" s="21" t="s">
        <v>10438</v>
      </c>
      <c r="G3286" s="21"/>
      <c r="H3286" s="54">
        <v>174</v>
      </c>
      <c r="I3286" s="51"/>
      <c r="J3286" s="27"/>
      <c r="K3286" s="27"/>
      <c r="L3286" s="15"/>
      <c r="M3286" s="15"/>
      <c r="N3286" s="4" t="s">
        <v>5141</v>
      </c>
      <c r="O3286" s="4"/>
    </row>
    <row r="3287" spans="1:15" x14ac:dyDescent="0.2">
      <c r="A3287" s="2">
        <v>40007369</v>
      </c>
      <c r="B3287" s="2" t="s">
        <v>3625</v>
      </c>
      <c r="C3287" s="5" t="s">
        <v>8299</v>
      </c>
      <c r="D3287" s="21">
        <v>15</v>
      </c>
      <c r="E3287" s="21"/>
      <c r="F3287" s="21" t="s">
        <v>10438</v>
      </c>
      <c r="G3287" s="21"/>
      <c r="H3287" s="54">
        <v>59</v>
      </c>
      <c r="I3287" s="51"/>
      <c r="J3287" s="27"/>
      <c r="K3287" s="27"/>
      <c r="L3287" s="15"/>
      <c r="M3287" s="15"/>
      <c r="N3287" s="4" t="s">
        <v>3937</v>
      </c>
      <c r="O3287" s="4"/>
    </row>
    <row r="3288" spans="1:15" x14ac:dyDescent="0.2">
      <c r="A3288" s="2">
        <v>10040633</v>
      </c>
      <c r="B3288" s="2" t="s">
        <v>5472</v>
      </c>
      <c r="C3288" s="5" t="s">
        <v>6394</v>
      </c>
      <c r="D3288" s="21"/>
      <c r="E3288" s="21"/>
      <c r="F3288" s="21" t="s">
        <v>10438</v>
      </c>
      <c r="G3288" s="21"/>
      <c r="H3288" s="54">
        <v>80</v>
      </c>
      <c r="I3288" s="51"/>
      <c r="J3288" s="27"/>
      <c r="K3288" s="27"/>
      <c r="L3288" s="15"/>
      <c r="M3288" s="15"/>
      <c r="N3288" s="4" t="s">
        <v>10046</v>
      </c>
      <c r="O3288" s="4"/>
    </row>
    <row r="3289" spans="1:15" x14ac:dyDescent="0.2">
      <c r="A3289" s="2">
        <v>10036227</v>
      </c>
      <c r="B3289" s="2" t="s">
        <v>3715</v>
      </c>
      <c r="C3289" s="5" t="s">
        <v>6360</v>
      </c>
      <c r="D3289" s="21">
        <v>1</v>
      </c>
      <c r="E3289" s="21"/>
      <c r="F3289" s="21" t="s">
        <v>10438</v>
      </c>
      <c r="G3289" s="21"/>
      <c r="H3289" s="54">
        <v>2165</v>
      </c>
      <c r="I3289" s="51"/>
      <c r="J3289" s="27"/>
      <c r="K3289" s="27"/>
      <c r="L3289" s="15"/>
      <c r="M3289" s="15"/>
      <c r="N3289" s="4"/>
      <c r="O3289" s="4">
        <v>102</v>
      </c>
    </row>
    <row r="3290" spans="1:15" x14ac:dyDescent="0.2">
      <c r="A3290" s="2">
        <v>40010318</v>
      </c>
      <c r="B3290" s="2" t="s">
        <v>3706</v>
      </c>
      <c r="C3290" s="5" t="s">
        <v>9198</v>
      </c>
      <c r="D3290" s="21">
        <v>1</v>
      </c>
      <c r="E3290" s="21"/>
      <c r="F3290" s="21" t="s">
        <v>10438</v>
      </c>
      <c r="G3290" s="21"/>
      <c r="H3290" s="54">
        <v>1957</v>
      </c>
      <c r="I3290" s="51"/>
      <c r="J3290" s="27"/>
      <c r="K3290" s="27"/>
      <c r="L3290" s="15"/>
      <c r="M3290" s="15"/>
      <c r="N3290" s="4"/>
      <c r="O3290" s="4">
        <v>102</v>
      </c>
    </row>
    <row r="3291" spans="1:15" x14ac:dyDescent="0.2">
      <c r="A3291" s="2">
        <v>10019899</v>
      </c>
      <c r="B3291" s="2" t="s">
        <v>619</v>
      </c>
      <c r="C3291" s="5" t="s">
        <v>6257</v>
      </c>
      <c r="D3291" s="21">
        <v>16</v>
      </c>
      <c r="E3291" s="21"/>
      <c r="F3291" s="21" t="s">
        <v>10438</v>
      </c>
      <c r="G3291" s="21"/>
      <c r="H3291" s="54">
        <v>530</v>
      </c>
      <c r="I3291" s="51"/>
      <c r="J3291" s="27"/>
      <c r="K3291" s="27"/>
      <c r="L3291" s="15"/>
      <c r="M3291" s="15"/>
      <c r="N3291" s="4">
        <v>60</v>
      </c>
      <c r="O3291" s="4"/>
    </row>
    <row r="3292" spans="1:15" x14ac:dyDescent="0.2">
      <c r="A3292" s="2">
        <v>10018159</v>
      </c>
      <c r="B3292" s="2" t="s">
        <v>84</v>
      </c>
      <c r="C3292" s="5" t="s">
        <v>5621</v>
      </c>
      <c r="D3292" s="21">
        <v>1</v>
      </c>
      <c r="E3292" s="21"/>
      <c r="F3292" s="21" t="s">
        <v>10438</v>
      </c>
      <c r="G3292" s="21"/>
      <c r="H3292" s="54">
        <v>6015</v>
      </c>
      <c r="I3292" s="51">
        <v>1505</v>
      </c>
      <c r="J3292" s="27"/>
      <c r="K3292" s="27"/>
      <c r="L3292" s="15"/>
      <c r="M3292" s="15"/>
      <c r="N3292" s="4"/>
      <c r="O3292" s="4"/>
    </row>
    <row r="3293" spans="1:15" x14ac:dyDescent="0.2">
      <c r="A3293" s="2">
        <v>10018636</v>
      </c>
      <c r="B3293" s="2" t="s">
        <v>244</v>
      </c>
      <c r="C3293" s="5" t="s">
        <v>5810</v>
      </c>
      <c r="D3293" s="21">
        <v>10</v>
      </c>
      <c r="E3293" s="21"/>
      <c r="F3293" s="21" t="s">
        <v>10438</v>
      </c>
      <c r="G3293" s="21"/>
      <c r="H3293" s="54">
        <v>82</v>
      </c>
      <c r="I3293" s="51"/>
      <c r="J3293" s="27"/>
      <c r="K3293" s="27"/>
      <c r="L3293" s="15"/>
      <c r="M3293" s="15"/>
      <c r="N3293" s="4"/>
      <c r="O3293" s="4" t="s">
        <v>10360</v>
      </c>
    </row>
    <row r="3294" spans="1:15" x14ac:dyDescent="0.2">
      <c r="A3294" s="2">
        <v>40008007</v>
      </c>
      <c r="B3294" s="2" t="s">
        <v>3147</v>
      </c>
      <c r="C3294" s="5" t="s">
        <v>8843</v>
      </c>
      <c r="D3294" s="21">
        <v>8</v>
      </c>
      <c r="E3294" s="21"/>
      <c r="F3294" s="21" t="s">
        <v>10438</v>
      </c>
      <c r="G3294" s="21"/>
      <c r="H3294" s="54">
        <v>14</v>
      </c>
      <c r="I3294" s="51"/>
      <c r="J3294" s="27"/>
      <c r="K3294" s="27"/>
      <c r="L3294" s="15"/>
      <c r="M3294" s="15"/>
      <c r="N3294" s="4" t="s">
        <v>4268</v>
      </c>
      <c r="O3294" s="4"/>
    </row>
    <row r="3295" spans="1:15" x14ac:dyDescent="0.2">
      <c r="A3295" s="2">
        <v>40006577</v>
      </c>
      <c r="B3295" s="2" t="s">
        <v>1914</v>
      </c>
      <c r="C3295" s="5" t="s">
        <v>7622</v>
      </c>
      <c r="D3295" s="21">
        <v>1</v>
      </c>
      <c r="E3295" s="21"/>
      <c r="F3295" s="21" t="s">
        <v>10438</v>
      </c>
      <c r="G3295" s="21"/>
      <c r="H3295" s="54">
        <v>70</v>
      </c>
      <c r="I3295" s="51"/>
      <c r="J3295" s="27"/>
      <c r="K3295" s="27"/>
      <c r="L3295" s="15"/>
      <c r="M3295" s="15"/>
      <c r="N3295" s="4"/>
      <c r="O3295" s="4" t="s">
        <v>10095</v>
      </c>
    </row>
    <row r="3296" spans="1:15" x14ac:dyDescent="0.2">
      <c r="A3296" s="2">
        <v>40006950</v>
      </c>
      <c r="B3296" s="2" t="s">
        <v>2241</v>
      </c>
      <c r="C3296" s="5" t="s">
        <v>7947</v>
      </c>
      <c r="D3296" s="21">
        <v>3</v>
      </c>
      <c r="E3296" s="21"/>
      <c r="F3296" s="21" t="s">
        <v>10438</v>
      </c>
      <c r="G3296" s="21"/>
      <c r="H3296" s="54">
        <v>72</v>
      </c>
      <c r="I3296" s="51"/>
      <c r="J3296" s="27"/>
      <c r="K3296" s="27"/>
      <c r="L3296" s="15"/>
      <c r="M3296" s="15"/>
      <c r="N3296" s="4" t="s">
        <v>4758</v>
      </c>
      <c r="O3296" s="4"/>
    </row>
    <row r="3297" spans="1:15" x14ac:dyDescent="0.2">
      <c r="A3297" s="2">
        <v>40005447</v>
      </c>
      <c r="B3297" s="2" t="s">
        <v>920</v>
      </c>
      <c r="C3297" s="5" t="s">
        <v>6642</v>
      </c>
      <c r="D3297" s="21">
        <v>1</v>
      </c>
      <c r="E3297" s="21"/>
      <c r="F3297" s="21" t="s">
        <v>10438</v>
      </c>
      <c r="G3297" s="21"/>
      <c r="H3297" s="54">
        <v>20</v>
      </c>
      <c r="I3297" s="51"/>
      <c r="J3297" s="27"/>
      <c r="K3297" s="27"/>
      <c r="L3297" s="15"/>
      <c r="M3297" s="15"/>
      <c r="N3297" s="4"/>
      <c r="O3297" s="4" t="s">
        <v>10096</v>
      </c>
    </row>
    <row r="3298" spans="1:15" x14ac:dyDescent="0.2">
      <c r="A3298" s="2">
        <v>40008106</v>
      </c>
      <c r="B3298" s="2" t="s">
        <v>3233</v>
      </c>
      <c r="C3298" s="5" t="s">
        <v>8929</v>
      </c>
      <c r="D3298" s="21">
        <v>8</v>
      </c>
      <c r="E3298" s="21"/>
      <c r="F3298" s="21" t="s">
        <v>10438</v>
      </c>
      <c r="G3298" s="21"/>
      <c r="H3298" s="54">
        <v>11</v>
      </c>
      <c r="I3298" s="51"/>
      <c r="J3298" s="27"/>
      <c r="K3298" s="27"/>
      <c r="L3298" s="15"/>
      <c r="M3298" s="15"/>
      <c r="N3298" s="4" t="s">
        <v>4863</v>
      </c>
      <c r="O3298" s="4"/>
    </row>
    <row r="3299" spans="1:15" x14ac:dyDescent="0.2">
      <c r="A3299" s="2">
        <v>40005980</v>
      </c>
      <c r="B3299" s="2" t="s">
        <v>1385</v>
      </c>
      <c r="C3299" s="5" t="s">
        <v>7091</v>
      </c>
      <c r="D3299" s="21">
        <v>3</v>
      </c>
      <c r="E3299" s="21"/>
      <c r="F3299" s="21" t="s">
        <v>10438</v>
      </c>
      <c r="G3299" s="21"/>
      <c r="H3299" s="54">
        <v>10</v>
      </c>
      <c r="I3299" s="51"/>
      <c r="J3299" s="27"/>
      <c r="K3299" s="27"/>
      <c r="L3299" s="15"/>
      <c r="M3299" s="15"/>
      <c r="N3299" s="4" t="s">
        <v>4144</v>
      </c>
      <c r="O3299" s="4"/>
    </row>
    <row r="3300" spans="1:15" x14ac:dyDescent="0.2">
      <c r="A3300" s="2">
        <v>40005963</v>
      </c>
      <c r="B3300" s="2" t="s">
        <v>1369</v>
      </c>
      <c r="C3300" s="5" t="s">
        <v>7075</v>
      </c>
      <c r="D3300" s="21">
        <v>9</v>
      </c>
      <c r="E3300" s="21"/>
      <c r="F3300" s="21" t="s">
        <v>10438</v>
      </c>
      <c r="G3300" s="21"/>
      <c r="H3300" s="54">
        <v>7</v>
      </c>
      <c r="I3300" s="51"/>
      <c r="J3300" s="27"/>
      <c r="K3300" s="27"/>
      <c r="L3300" s="15"/>
      <c r="M3300" s="15"/>
      <c r="N3300" s="4" t="s">
        <v>4338</v>
      </c>
      <c r="O3300" s="4"/>
    </row>
    <row r="3301" spans="1:15" x14ac:dyDescent="0.2">
      <c r="A3301" s="2">
        <v>40006656</v>
      </c>
      <c r="B3301" s="2" t="s">
        <v>1982</v>
      </c>
      <c r="C3301" s="5" t="s">
        <v>7691</v>
      </c>
      <c r="D3301" s="21">
        <v>7</v>
      </c>
      <c r="E3301" s="21"/>
      <c r="F3301" s="21" t="s">
        <v>10438</v>
      </c>
      <c r="G3301" s="21"/>
      <c r="H3301" s="54">
        <v>9</v>
      </c>
      <c r="I3301" s="51"/>
      <c r="J3301" s="27"/>
      <c r="K3301" s="27"/>
      <c r="L3301" s="15"/>
      <c r="M3301" s="15">
        <v>5</v>
      </c>
      <c r="N3301" s="4" t="s">
        <v>4635</v>
      </c>
      <c r="O3301" s="4"/>
    </row>
    <row r="3302" spans="1:15" x14ac:dyDescent="0.2">
      <c r="A3302" s="2">
        <v>40007865</v>
      </c>
      <c r="B3302" s="2" t="s">
        <v>3022</v>
      </c>
      <c r="C3302" s="5" t="s">
        <v>8721</v>
      </c>
      <c r="D3302" s="21">
        <v>29</v>
      </c>
      <c r="E3302" s="21"/>
      <c r="F3302" s="21" t="s">
        <v>10438</v>
      </c>
      <c r="G3302" s="21"/>
      <c r="H3302" s="54">
        <v>6</v>
      </c>
      <c r="I3302" s="51"/>
      <c r="J3302" s="27"/>
      <c r="K3302" s="27"/>
      <c r="L3302" s="15"/>
      <c r="M3302" s="15"/>
      <c r="N3302" s="4" t="s">
        <v>4889</v>
      </c>
      <c r="O3302" s="4"/>
    </row>
    <row r="3303" spans="1:15" x14ac:dyDescent="0.2">
      <c r="A3303" s="2">
        <v>40007262</v>
      </c>
      <c r="B3303" s="2" t="s">
        <v>2513</v>
      </c>
      <c r="C3303" s="5" t="s">
        <v>8208</v>
      </c>
      <c r="D3303" s="21"/>
      <c r="E3303" s="21"/>
      <c r="F3303" s="21" t="s">
        <v>10438</v>
      </c>
      <c r="G3303" s="21"/>
      <c r="H3303" s="54">
        <v>8</v>
      </c>
      <c r="I3303" s="51"/>
      <c r="J3303" s="27"/>
      <c r="K3303" s="27"/>
      <c r="L3303" s="15"/>
      <c r="M3303" s="15"/>
      <c r="N3303" s="4" t="s">
        <v>4415</v>
      </c>
      <c r="O3303" s="4"/>
    </row>
    <row r="3304" spans="1:15" x14ac:dyDescent="0.2">
      <c r="A3304" s="2">
        <v>40007729</v>
      </c>
      <c r="B3304" s="2" t="s">
        <v>2904</v>
      </c>
      <c r="C3304" s="5" t="s">
        <v>8601</v>
      </c>
      <c r="D3304" s="21">
        <v>10</v>
      </c>
      <c r="E3304" s="21"/>
      <c r="F3304" s="21" t="s">
        <v>10438</v>
      </c>
      <c r="G3304" s="21"/>
      <c r="H3304" s="54">
        <v>13</v>
      </c>
      <c r="I3304" s="51"/>
      <c r="J3304" s="27"/>
      <c r="K3304" s="27"/>
      <c r="L3304" s="15"/>
      <c r="M3304" s="15"/>
      <c r="N3304" s="4"/>
      <c r="O3304" s="4" t="s">
        <v>10096</v>
      </c>
    </row>
    <row r="3305" spans="1:15" x14ac:dyDescent="0.2">
      <c r="A3305" s="2">
        <v>40006645</v>
      </c>
      <c r="B3305" s="2" t="s">
        <v>1977</v>
      </c>
      <c r="C3305" s="5" t="s">
        <v>7686</v>
      </c>
      <c r="D3305" s="21">
        <v>2</v>
      </c>
      <c r="E3305" s="21"/>
      <c r="F3305" s="21" t="s">
        <v>10438</v>
      </c>
      <c r="G3305" s="21"/>
      <c r="H3305" s="54">
        <v>11</v>
      </c>
      <c r="I3305" s="51"/>
      <c r="J3305" s="27"/>
      <c r="K3305" s="27"/>
      <c r="L3305" s="15"/>
      <c r="M3305" s="15"/>
      <c r="N3305" s="4"/>
      <c r="O3305" s="4" t="s">
        <v>10096</v>
      </c>
    </row>
    <row r="3306" spans="1:15" x14ac:dyDescent="0.2">
      <c r="A3306" s="2">
        <v>40006235</v>
      </c>
      <c r="B3306" s="2" t="s">
        <v>1613</v>
      </c>
      <c r="C3306" s="5" t="s">
        <v>7317</v>
      </c>
      <c r="D3306" s="21">
        <v>10</v>
      </c>
      <c r="E3306" s="21"/>
      <c r="F3306" s="21" t="s">
        <v>10438</v>
      </c>
      <c r="G3306" s="21"/>
      <c r="H3306" s="54">
        <v>8</v>
      </c>
      <c r="I3306" s="51"/>
      <c r="J3306" s="27"/>
      <c r="K3306" s="27"/>
      <c r="L3306" s="15"/>
      <c r="M3306" s="15"/>
      <c r="N3306" s="4" t="s">
        <v>4481</v>
      </c>
      <c r="O3306" s="4"/>
    </row>
    <row r="3307" spans="1:15" x14ac:dyDescent="0.2">
      <c r="A3307" s="2">
        <v>40007022</v>
      </c>
      <c r="B3307" s="2" t="s">
        <v>2303</v>
      </c>
      <c r="C3307" s="5" t="s">
        <v>8013</v>
      </c>
      <c r="D3307" s="21">
        <v>4</v>
      </c>
      <c r="E3307" s="21"/>
      <c r="F3307" s="21" t="s">
        <v>10438</v>
      </c>
      <c r="G3307" s="21"/>
      <c r="H3307" s="54">
        <v>24</v>
      </c>
      <c r="I3307" s="51"/>
      <c r="J3307" s="27"/>
      <c r="K3307" s="27"/>
      <c r="L3307" s="15"/>
      <c r="M3307" s="15"/>
      <c r="N3307" s="4" t="s">
        <v>4793</v>
      </c>
      <c r="O3307" s="4"/>
    </row>
    <row r="3308" spans="1:15" x14ac:dyDescent="0.2">
      <c r="A3308" s="2">
        <v>40006693</v>
      </c>
      <c r="B3308" s="2" t="s">
        <v>2011</v>
      </c>
      <c r="C3308" s="5" t="s">
        <v>7720</v>
      </c>
      <c r="D3308" s="21">
        <v>1</v>
      </c>
      <c r="E3308" s="21"/>
      <c r="F3308" s="21" t="s">
        <v>10438</v>
      </c>
      <c r="G3308" s="21"/>
      <c r="H3308" s="54">
        <v>67</v>
      </c>
      <c r="I3308" s="51"/>
      <c r="J3308" s="27"/>
      <c r="K3308" s="27"/>
      <c r="L3308" s="15"/>
      <c r="M3308" s="15"/>
      <c r="N3308" s="4"/>
      <c r="O3308" s="4" t="s">
        <v>10096</v>
      </c>
    </row>
    <row r="3309" spans="1:15" x14ac:dyDescent="0.2">
      <c r="A3309" s="2">
        <v>40006136</v>
      </c>
      <c r="B3309" s="2" t="s">
        <v>1527</v>
      </c>
      <c r="C3309" s="5" t="s">
        <v>7231</v>
      </c>
      <c r="D3309" s="21">
        <v>5</v>
      </c>
      <c r="E3309" s="21"/>
      <c r="F3309" s="21" t="s">
        <v>10438</v>
      </c>
      <c r="G3309" s="21"/>
      <c r="H3309" s="54">
        <v>19</v>
      </c>
      <c r="I3309" s="51"/>
      <c r="J3309" s="27"/>
      <c r="K3309" s="27"/>
      <c r="L3309" s="15"/>
      <c r="M3309" s="15"/>
      <c r="N3309" s="4"/>
      <c r="O3309" s="4" t="s">
        <v>10221</v>
      </c>
    </row>
    <row r="3310" spans="1:15" x14ac:dyDescent="0.2">
      <c r="A3310" s="2">
        <v>40010785</v>
      </c>
      <c r="B3310" s="2" t="s">
        <v>3566</v>
      </c>
      <c r="C3310" s="5" t="s">
        <v>9286</v>
      </c>
      <c r="D3310" s="21">
        <v>18</v>
      </c>
      <c r="E3310" s="21"/>
      <c r="F3310" s="21" t="s">
        <v>10438</v>
      </c>
      <c r="G3310" s="21"/>
      <c r="H3310" s="54">
        <v>11</v>
      </c>
      <c r="I3310" s="51"/>
      <c r="J3310" s="27"/>
      <c r="K3310" s="27"/>
      <c r="L3310" s="15"/>
      <c r="M3310" s="15"/>
      <c r="N3310" s="4" t="s">
        <v>5277</v>
      </c>
      <c r="O3310" s="4"/>
    </row>
    <row r="3311" spans="1:15" x14ac:dyDescent="0.2">
      <c r="A3311" s="2">
        <v>40011148</v>
      </c>
      <c r="B3311" s="2" t="s">
        <v>3595</v>
      </c>
      <c r="C3311" s="5" t="s">
        <v>9328</v>
      </c>
      <c r="D3311" s="21">
        <v>25</v>
      </c>
      <c r="E3311" s="21"/>
      <c r="F3311" s="21" t="s">
        <v>10438</v>
      </c>
      <c r="G3311" s="21"/>
      <c r="H3311" s="54">
        <v>35</v>
      </c>
      <c r="I3311" s="51"/>
      <c r="J3311" s="27"/>
      <c r="K3311" s="27"/>
      <c r="L3311" s="15"/>
      <c r="M3311" s="15"/>
      <c r="N3311" s="4" t="s">
        <v>4633</v>
      </c>
      <c r="O3311" s="4"/>
    </row>
    <row r="3312" spans="1:15" x14ac:dyDescent="0.2">
      <c r="A3312" s="2">
        <v>40005429</v>
      </c>
      <c r="B3312" s="2" t="s">
        <v>904</v>
      </c>
      <c r="C3312" s="5" t="s">
        <v>6626</v>
      </c>
      <c r="D3312" s="21">
        <v>1</v>
      </c>
      <c r="E3312" s="21"/>
      <c r="F3312" s="21" t="s">
        <v>10438</v>
      </c>
      <c r="G3312" s="21"/>
      <c r="H3312" s="54">
        <v>17</v>
      </c>
      <c r="I3312" s="51"/>
      <c r="J3312" s="27"/>
      <c r="K3312" s="27"/>
      <c r="L3312" s="15"/>
      <c r="M3312" s="15"/>
      <c r="N3312" s="4"/>
      <c r="O3312" s="4" t="s">
        <v>10096</v>
      </c>
    </row>
    <row r="3313" spans="1:15" x14ac:dyDescent="0.2">
      <c r="A3313" s="2">
        <v>40006086</v>
      </c>
      <c r="B3313" s="2" t="s">
        <v>1478</v>
      </c>
      <c r="C3313" s="5" t="s">
        <v>7183</v>
      </c>
      <c r="D3313" s="21">
        <v>1</v>
      </c>
      <c r="E3313" s="21"/>
      <c r="F3313" s="21" t="s">
        <v>10438</v>
      </c>
      <c r="G3313" s="21"/>
      <c r="H3313" s="54">
        <v>31</v>
      </c>
      <c r="I3313" s="51"/>
      <c r="J3313" s="27"/>
      <c r="K3313" s="27"/>
      <c r="L3313" s="15"/>
      <c r="M3313" s="15"/>
      <c r="N3313" s="4" t="s">
        <v>4535</v>
      </c>
      <c r="O3313" s="4"/>
    </row>
    <row r="3314" spans="1:15" x14ac:dyDescent="0.2">
      <c r="A3314" s="2">
        <v>40005400</v>
      </c>
      <c r="B3314" s="2" t="s">
        <v>877</v>
      </c>
      <c r="C3314" s="5" t="s">
        <v>6599</v>
      </c>
      <c r="D3314" s="21">
        <v>5</v>
      </c>
      <c r="E3314" s="21"/>
      <c r="F3314" s="21" t="s">
        <v>10438</v>
      </c>
      <c r="G3314" s="21"/>
      <c r="H3314" s="54">
        <v>38</v>
      </c>
      <c r="I3314" s="51"/>
      <c r="J3314" s="27"/>
      <c r="K3314" s="27"/>
      <c r="L3314" s="15"/>
      <c r="M3314" s="15"/>
      <c r="N3314" s="4" t="s">
        <v>4102</v>
      </c>
      <c r="O3314" s="4"/>
    </row>
    <row r="3315" spans="1:15" x14ac:dyDescent="0.2">
      <c r="A3315" s="2">
        <v>40006752</v>
      </c>
      <c r="B3315" s="2" t="s">
        <v>2055</v>
      </c>
      <c r="C3315" s="5" t="s">
        <v>7767</v>
      </c>
      <c r="D3315" s="21">
        <v>5</v>
      </c>
      <c r="E3315" s="21"/>
      <c r="F3315" s="21" t="s">
        <v>10438</v>
      </c>
      <c r="G3315" s="21"/>
      <c r="H3315" s="54">
        <v>30</v>
      </c>
      <c r="I3315" s="51"/>
      <c r="J3315" s="27"/>
      <c r="K3315" s="27"/>
      <c r="L3315" s="15"/>
      <c r="M3315" s="15"/>
      <c r="N3315" s="4" t="s">
        <v>4667</v>
      </c>
      <c r="O3315" s="4"/>
    </row>
    <row r="3316" spans="1:15" x14ac:dyDescent="0.2">
      <c r="A3316" s="2">
        <v>40006814</v>
      </c>
      <c r="B3316" s="2" t="s">
        <v>2113</v>
      </c>
      <c r="C3316" s="5" t="s">
        <v>7822</v>
      </c>
      <c r="D3316" s="21">
        <v>4</v>
      </c>
      <c r="E3316" s="21"/>
      <c r="F3316" s="21" t="s">
        <v>10438</v>
      </c>
      <c r="G3316" s="21"/>
      <c r="H3316" s="54">
        <v>28</v>
      </c>
      <c r="I3316" s="51"/>
      <c r="J3316" s="27"/>
      <c r="K3316" s="27"/>
      <c r="L3316" s="15"/>
      <c r="M3316" s="15"/>
      <c r="N3316" s="4" t="s">
        <v>4693</v>
      </c>
      <c r="O3316" s="4"/>
    </row>
    <row r="3317" spans="1:15" x14ac:dyDescent="0.2">
      <c r="A3317" s="2">
        <v>40006183</v>
      </c>
      <c r="B3317" s="2" t="s">
        <v>1568</v>
      </c>
      <c r="C3317" s="5" t="s">
        <v>7275</v>
      </c>
      <c r="D3317" s="21">
        <v>1</v>
      </c>
      <c r="E3317" s="21"/>
      <c r="F3317" s="21" t="s">
        <v>10438</v>
      </c>
      <c r="G3317" s="21"/>
      <c r="H3317" s="54">
        <v>28</v>
      </c>
      <c r="I3317" s="51"/>
      <c r="J3317" s="27"/>
      <c r="K3317" s="27"/>
      <c r="L3317" s="15"/>
      <c r="M3317" s="15"/>
      <c r="N3317" s="4" t="s">
        <v>4458</v>
      </c>
      <c r="O3317" s="4"/>
    </row>
    <row r="3318" spans="1:15" x14ac:dyDescent="0.2">
      <c r="A3318" s="2">
        <v>40005413</v>
      </c>
      <c r="B3318" s="2" t="s">
        <v>889</v>
      </c>
      <c r="C3318" s="5" t="s">
        <v>6612</v>
      </c>
      <c r="D3318" s="21">
        <v>14</v>
      </c>
      <c r="E3318" s="21"/>
      <c r="F3318" s="21" t="s">
        <v>10438</v>
      </c>
      <c r="G3318" s="21"/>
      <c r="H3318" s="54">
        <v>14</v>
      </c>
      <c r="I3318" s="51"/>
      <c r="J3318" s="27"/>
      <c r="K3318" s="27"/>
      <c r="L3318" s="15"/>
      <c r="M3318" s="15"/>
      <c r="N3318" s="4"/>
      <c r="O3318" s="4" t="s">
        <v>10096</v>
      </c>
    </row>
    <row r="3319" spans="1:15" x14ac:dyDescent="0.2">
      <c r="A3319" s="2">
        <v>40006700</v>
      </c>
      <c r="B3319" s="2" t="s">
        <v>5431</v>
      </c>
      <c r="C3319" s="5" t="s">
        <v>7724</v>
      </c>
      <c r="D3319" s="21">
        <v>1</v>
      </c>
      <c r="E3319" s="21"/>
      <c r="F3319" s="21" t="s">
        <v>10438</v>
      </c>
      <c r="G3319" s="21"/>
      <c r="H3319" s="54">
        <v>25</v>
      </c>
      <c r="I3319" s="51"/>
      <c r="J3319" s="27"/>
      <c r="K3319" s="27"/>
      <c r="L3319" s="15"/>
      <c r="M3319" s="15"/>
      <c r="N3319" s="4" t="s">
        <v>4651</v>
      </c>
      <c r="O3319" s="4"/>
    </row>
    <row r="3320" spans="1:15" x14ac:dyDescent="0.2">
      <c r="A3320" s="2">
        <v>40005863</v>
      </c>
      <c r="B3320" s="2" t="s">
        <v>1279</v>
      </c>
      <c r="C3320" s="5" t="s">
        <v>6990</v>
      </c>
      <c r="D3320" s="21">
        <v>6</v>
      </c>
      <c r="E3320" s="21"/>
      <c r="F3320" s="30">
        <v>1</v>
      </c>
      <c r="G3320" s="21"/>
      <c r="H3320" s="54">
        <v>26</v>
      </c>
      <c r="I3320" s="51"/>
      <c r="J3320" s="27"/>
      <c r="K3320" s="27"/>
      <c r="L3320" s="15">
        <v>2</v>
      </c>
      <c r="M3320" s="15">
        <v>3</v>
      </c>
      <c r="N3320" s="4" t="s">
        <v>4295</v>
      </c>
      <c r="O3320" s="4"/>
    </row>
    <row r="3321" spans="1:15" x14ac:dyDescent="0.2">
      <c r="A3321" s="2">
        <v>10019684</v>
      </c>
      <c r="B3321" s="2" t="s">
        <v>5372</v>
      </c>
      <c r="C3321" s="5" t="s">
        <v>6198</v>
      </c>
      <c r="D3321" s="21">
        <v>3</v>
      </c>
      <c r="E3321" s="21">
        <v>3</v>
      </c>
      <c r="F3321" s="21" t="s">
        <v>10438</v>
      </c>
      <c r="G3321" s="21">
        <v>2</v>
      </c>
      <c r="H3321" s="54">
        <v>11455</v>
      </c>
      <c r="I3321" s="51">
        <v>10540</v>
      </c>
      <c r="J3321" s="27">
        <v>18</v>
      </c>
      <c r="K3321" s="27">
        <v>18</v>
      </c>
      <c r="L3321" s="15">
        <v>20</v>
      </c>
      <c r="M3321" s="15">
        <v>20</v>
      </c>
      <c r="N3321" s="4"/>
      <c r="O3321" s="4" t="s">
        <v>10462</v>
      </c>
    </row>
    <row r="3322" spans="1:15" x14ac:dyDescent="0.2">
      <c r="A3322" s="2">
        <v>10018630</v>
      </c>
      <c r="B3322" s="2" t="s">
        <v>240</v>
      </c>
      <c r="C3322" s="5" t="s">
        <v>5805</v>
      </c>
      <c r="D3322" s="21">
        <v>3</v>
      </c>
      <c r="E3322" s="21"/>
      <c r="F3322" s="21" t="s">
        <v>10438</v>
      </c>
      <c r="G3322" s="21"/>
      <c r="H3322" s="54">
        <v>18015</v>
      </c>
      <c r="I3322" s="51">
        <v>16215</v>
      </c>
      <c r="J3322" s="27"/>
      <c r="K3322" s="27"/>
      <c r="L3322" s="15">
        <v>8</v>
      </c>
      <c r="M3322" s="15"/>
      <c r="N3322" s="4"/>
      <c r="O3322" s="4" t="s">
        <v>10462</v>
      </c>
    </row>
    <row r="3323" spans="1:15" x14ac:dyDescent="0.2">
      <c r="A3323" s="2">
        <v>10020106</v>
      </c>
      <c r="B3323" s="2" t="s">
        <v>674</v>
      </c>
      <c r="C3323" s="5" t="s">
        <v>6328</v>
      </c>
      <c r="D3323" s="21">
        <v>4</v>
      </c>
      <c r="E3323" s="21"/>
      <c r="F3323" s="21" t="s">
        <v>10438</v>
      </c>
      <c r="G3323" s="21"/>
      <c r="H3323" s="54">
        <v>11345</v>
      </c>
      <c r="I3323" s="51">
        <v>9985</v>
      </c>
      <c r="J3323" s="27">
        <v>7</v>
      </c>
      <c r="K3323" s="27"/>
      <c r="L3323" s="15"/>
      <c r="M3323" s="15">
        <v>5</v>
      </c>
      <c r="N3323" s="4"/>
      <c r="O3323" s="4" t="s">
        <v>10462</v>
      </c>
    </row>
    <row r="3324" spans="1:15" x14ac:dyDescent="0.2">
      <c r="A3324" s="2">
        <v>10018593</v>
      </c>
      <c r="B3324" s="2" t="s">
        <v>227</v>
      </c>
      <c r="C3324" s="5" t="s">
        <v>5788</v>
      </c>
      <c r="D3324" s="21">
        <v>4</v>
      </c>
      <c r="E3324" s="21"/>
      <c r="F3324" s="21" t="s">
        <v>10438</v>
      </c>
      <c r="G3324" s="21"/>
      <c r="H3324" s="54">
        <v>16000</v>
      </c>
      <c r="I3324" s="51">
        <v>13600</v>
      </c>
      <c r="J3324" s="27">
        <v>7</v>
      </c>
      <c r="K3324" s="27"/>
      <c r="L3324" s="15">
        <v>14</v>
      </c>
      <c r="M3324" s="15">
        <v>5</v>
      </c>
      <c r="N3324" s="4"/>
      <c r="O3324" s="4" t="s">
        <v>10462</v>
      </c>
    </row>
    <row r="3325" spans="1:15" x14ac:dyDescent="0.2">
      <c r="A3325" s="2">
        <v>10017966</v>
      </c>
      <c r="B3325" s="2" t="s">
        <v>33</v>
      </c>
      <c r="C3325" s="5" t="s">
        <v>5564</v>
      </c>
      <c r="D3325" s="21">
        <v>1</v>
      </c>
      <c r="E3325" s="21"/>
      <c r="F3325" s="21" t="s">
        <v>10438</v>
      </c>
      <c r="G3325" s="21"/>
      <c r="H3325" s="54">
        <v>17760</v>
      </c>
      <c r="I3325" s="51">
        <v>12435</v>
      </c>
      <c r="J3325" s="27"/>
      <c r="K3325" s="27"/>
      <c r="L3325" s="15"/>
      <c r="M3325" s="15"/>
      <c r="N3325" s="4"/>
      <c r="O3325" s="4"/>
    </row>
    <row r="3326" spans="1:15" x14ac:dyDescent="0.2">
      <c r="A3326" s="2">
        <v>40006287</v>
      </c>
      <c r="B3326" s="2" t="s">
        <v>1660</v>
      </c>
      <c r="C3326" s="5" t="s">
        <v>7368</v>
      </c>
      <c r="D3326" s="21">
        <v>1</v>
      </c>
      <c r="E3326" s="21"/>
      <c r="F3326" s="21" t="s">
        <v>10438</v>
      </c>
      <c r="G3326" s="21"/>
      <c r="H3326" s="54">
        <v>6</v>
      </c>
      <c r="I3326" s="51"/>
      <c r="J3326" s="27"/>
      <c r="K3326" s="27"/>
      <c r="L3326" s="15"/>
      <c r="M3326" s="15"/>
      <c r="N3326" s="4" t="s">
        <v>4509</v>
      </c>
      <c r="O3326" s="4"/>
    </row>
    <row r="3327" spans="1:15" x14ac:dyDescent="0.2">
      <c r="A3327" s="2">
        <v>40006391</v>
      </c>
      <c r="B3327" s="2" t="s">
        <v>1751</v>
      </c>
      <c r="C3327" s="5" t="s">
        <v>7462</v>
      </c>
      <c r="D3327" s="21">
        <v>1</v>
      </c>
      <c r="E3327" s="21"/>
      <c r="F3327" s="21" t="s">
        <v>10438</v>
      </c>
      <c r="G3327" s="21"/>
      <c r="H3327" s="54">
        <v>33</v>
      </c>
      <c r="I3327" s="51"/>
      <c r="J3327" s="27"/>
      <c r="K3327" s="27"/>
      <c r="L3327" s="15"/>
      <c r="M3327" s="15"/>
      <c r="N3327" s="4" t="s">
        <v>4565</v>
      </c>
      <c r="O3327" s="4"/>
    </row>
    <row r="3328" spans="1:15" x14ac:dyDescent="0.2">
      <c r="A3328" s="2">
        <v>40010313</v>
      </c>
      <c r="B3328" s="2" t="s">
        <v>3499</v>
      </c>
      <c r="C3328" s="5" t="s">
        <v>9194</v>
      </c>
      <c r="D3328" s="21">
        <v>11</v>
      </c>
      <c r="E3328" s="21"/>
      <c r="F3328" s="21" t="s">
        <v>10438</v>
      </c>
      <c r="G3328" s="21"/>
      <c r="H3328" s="54">
        <v>48</v>
      </c>
      <c r="I3328" s="51"/>
      <c r="J3328" s="27"/>
      <c r="K3328" s="27"/>
      <c r="L3328" s="15"/>
      <c r="M3328" s="15"/>
      <c r="N3328" s="4" t="s">
        <v>5265</v>
      </c>
      <c r="O3328" s="4"/>
    </row>
    <row r="3329" spans="1:15" x14ac:dyDescent="0.2">
      <c r="A3329" s="2">
        <v>40008172</v>
      </c>
      <c r="B3329" s="2" t="s">
        <v>3295</v>
      </c>
      <c r="C3329" s="5" t="s">
        <v>8988</v>
      </c>
      <c r="D3329" s="21">
        <v>18</v>
      </c>
      <c r="E3329" s="21"/>
      <c r="F3329" s="21" t="s">
        <v>10438</v>
      </c>
      <c r="G3329" s="21"/>
      <c r="H3329" s="54">
        <v>8</v>
      </c>
      <c r="I3329" s="51"/>
      <c r="J3329" s="27"/>
      <c r="K3329" s="27"/>
      <c r="L3329" s="15"/>
      <c r="M3329" s="15"/>
      <c r="N3329" s="4" t="s">
        <v>5210</v>
      </c>
      <c r="O3329" s="4"/>
    </row>
    <row r="3330" spans="1:15" x14ac:dyDescent="0.2">
      <c r="A3330" s="2">
        <v>40008115</v>
      </c>
      <c r="B3330" s="2" t="s">
        <v>3240</v>
      </c>
      <c r="C3330" s="5" t="s">
        <v>8935</v>
      </c>
      <c r="D3330" s="21">
        <v>10</v>
      </c>
      <c r="E3330" s="21"/>
      <c r="F3330" s="21" t="s">
        <v>10438</v>
      </c>
      <c r="G3330" s="21"/>
      <c r="H3330" s="54">
        <v>72</v>
      </c>
      <c r="I3330" s="51"/>
      <c r="J3330" s="27"/>
      <c r="K3330" s="27"/>
      <c r="L3330" s="15"/>
      <c r="M3330" s="15"/>
      <c r="N3330" s="4" t="s">
        <v>4458</v>
      </c>
      <c r="O3330" s="4"/>
    </row>
    <row r="3331" spans="1:15" x14ac:dyDescent="0.2">
      <c r="A3331" s="2">
        <v>40007194</v>
      </c>
      <c r="B3331" s="2" t="s">
        <v>2460</v>
      </c>
      <c r="C3331" s="5" t="s">
        <v>8163</v>
      </c>
      <c r="D3331" s="21">
        <v>11</v>
      </c>
      <c r="E3331" s="21"/>
      <c r="F3331" s="21" t="s">
        <v>10438</v>
      </c>
      <c r="G3331" s="21"/>
      <c r="H3331" s="54">
        <v>199</v>
      </c>
      <c r="I3331" s="51"/>
      <c r="J3331" s="27"/>
      <c r="K3331" s="27"/>
      <c r="L3331" s="15"/>
      <c r="M3331" s="15"/>
      <c r="N3331" s="4" t="s">
        <v>4869</v>
      </c>
      <c r="O3331" s="4"/>
    </row>
    <row r="3332" spans="1:15" x14ac:dyDescent="0.2">
      <c r="A3332" s="2">
        <v>40006906</v>
      </c>
      <c r="B3332" s="2" t="s">
        <v>2201</v>
      </c>
      <c r="C3332" s="5" t="s">
        <v>7910</v>
      </c>
      <c r="D3332" s="21">
        <v>8</v>
      </c>
      <c r="E3332" s="21"/>
      <c r="F3332" s="21" t="s">
        <v>10438</v>
      </c>
      <c r="G3332" s="21"/>
      <c r="H3332" s="54">
        <v>107</v>
      </c>
      <c r="I3332" s="51"/>
      <c r="J3332" s="27"/>
      <c r="K3332" s="27"/>
      <c r="L3332" s="15"/>
      <c r="M3332" s="15"/>
      <c r="N3332" s="4"/>
      <c r="O3332" s="4" t="s">
        <v>10229</v>
      </c>
    </row>
    <row r="3333" spans="1:15" x14ac:dyDescent="0.2">
      <c r="A3333" s="2">
        <v>40005322</v>
      </c>
      <c r="B3333" s="2" t="s">
        <v>812</v>
      </c>
      <c r="C3333" s="5" t="s">
        <v>6529</v>
      </c>
      <c r="D3333" s="21">
        <v>1</v>
      </c>
      <c r="E3333" s="21"/>
      <c r="F3333" s="21" t="s">
        <v>10438</v>
      </c>
      <c r="G3333" s="21"/>
      <c r="H3333" s="54">
        <v>364</v>
      </c>
      <c r="I3333" s="51"/>
      <c r="J3333" s="27"/>
      <c r="K3333" s="27"/>
      <c r="L3333" s="15"/>
      <c r="M3333" s="15"/>
      <c r="N3333" s="4" t="s">
        <v>4051</v>
      </c>
      <c r="O3333" s="4"/>
    </row>
    <row r="3334" spans="1:15" x14ac:dyDescent="0.2">
      <c r="A3334" s="2">
        <v>40006554</v>
      </c>
      <c r="B3334" s="2" t="s">
        <v>1894</v>
      </c>
      <c r="C3334" s="5" t="s">
        <v>7602</v>
      </c>
      <c r="D3334" s="21">
        <v>1</v>
      </c>
      <c r="E3334" s="21"/>
      <c r="F3334" s="21" t="s">
        <v>10438</v>
      </c>
      <c r="G3334" s="21"/>
      <c r="H3334" s="54">
        <v>421</v>
      </c>
      <c r="I3334" s="51"/>
      <c r="J3334" s="27"/>
      <c r="K3334" s="27"/>
      <c r="L3334" s="15"/>
      <c r="M3334" s="15"/>
      <c r="N3334" s="4"/>
      <c r="O3334" s="4" t="s">
        <v>10095</v>
      </c>
    </row>
    <row r="3335" spans="1:15" x14ac:dyDescent="0.2">
      <c r="A3335" s="2">
        <v>40005253</v>
      </c>
      <c r="B3335" s="2" t="s">
        <v>772</v>
      </c>
      <c r="C3335" s="5" t="s">
        <v>6487</v>
      </c>
      <c r="D3335" s="21">
        <v>5</v>
      </c>
      <c r="E3335" s="21"/>
      <c r="F3335" s="30">
        <v>1</v>
      </c>
      <c r="G3335" s="21"/>
      <c r="H3335" s="54">
        <v>275</v>
      </c>
      <c r="I3335" s="51"/>
      <c r="J3335" s="27"/>
      <c r="K3335" s="27"/>
      <c r="L3335" s="15"/>
      <c r="M3335" s="15"/>
      <c r="N3335" s="4" t="s">
        <v>4022</v>
      </c>
      <c r="O3335" s="4"/>
    </row>
    <row r="3336" spans="1:15" x14ac:dyDescent="0.2">
      <c r="A3336" s="2">
        <v>40006299</v>
      </c>
      <c r="B3336" s="2" t="s">
        <v>1671</v>
      </c>
      <c r="C3336" s="5" t="s">
        <v>7379</v>
      </c>
      <c r="D3336" s="21">
        <v>5</v>
      </c>
      <c r="E3336" s="21"/>
      <c r="F3336" s="30">
        <v>1</v>
      </c>
      <c r="G3336" s="21"/>
      <c r="H3336" s="54">
        <v>14</v>
      </c>
      <c r="I3336" s="51"/>
      <c r="J3336" s="27"/>
      <c r="K3336" s="27"/>
      <c r="L3336" s="15"/>
      <c r="M3336" s="15"/>
      <c r="N3336" s="4" t="s">
        <v>4457</v>
      </c>
      <c r="O3336" s="4"/>
    </row>
    <row r="3337" spans="1:15" x14ac:dyDescent="0.2">
      <c r="A3337" s="2">
        <v>40005193</v>
      </c>
      <c r="B3337" s="2" t="s">
        <v>735</v>
      </c>
      <c r="C3337" s="5" t="s">
        <v>6448</v>
      </c>
      <c r="D3337" s="21">
        <v>3</v>
      </c>
      <c r="E3337" s="21"/>
      <c r="F3337" s="21" t="s">
        <v>10438</v>
      </c>
      <c r="G3337" s="21"/>
      <c r="H3337" s="54">
        <v>10</v>
      </c>
      <c r="I3337" s="51"/>
      <c r="J3337" s="27"/>
      <c r="K3337" s="27"/>
      <c r="L3337" s="15"/>
      <c r="M3337" s="15"/>
      <c r="N3337" s="4" t="s">
        <v>4001</v>
      </c>
      <c r="O3337" s="4"/>
    </row>
    <row r="3338" spans="1:15" x14ac:dyDescent="0.2">
      <c r="A3338" s="2">
        <v>40007027</v>
      </c>
      <c r="B3338" s="2" t="s">
        <v>2306</v>
      </c>
      <c r="C3338" s="5" t="s">
        <v>8016</v>
      </c>
      <c r="D3338" s="21">
        <v>1</v>
      </c>
      <c r="E3338" s="21"/>
      <c r="F3338" s="21" t="s">
        <v>10438</v>
      </c>
      <c r="G3338" s="21"/>
      <c r="H3338" s="54">
        <v>8</v>
      </c>
      <c r="I3338" s="51"/>
      <c r="J3338" s="27"/>
      <c r="K3338" s="27"/>
      <c r="L3338" s="15"/>
      <c r="M3338" s="15">
        <v>3</v>
      </c>
      <c r="N3338" s="4" t="s">
        <v>4082</v>
      </c>
      <c r="O3338" s="4"/>
    </row>
    <row r="3339" spans="1:15" x14ac:dyDescent="0.2">
      <c r="A3339" s="2">
        <v>10019816</v>
      </c>
      <c r="B3339" s="2" t="s">
        <v>590</v>
      </c>
      <c r="C3339" s="5" t="s">
        <v>6223</v>
      </c>
      <c r="D3339" s="21">
        <v>6</v>
      </c>
      <c r="E3339" s="21"/>
      <c r="F3339" s="21" t="s">
        <v>10438</v>
      </c>
      <c r="G3339" s="21"/>
      <c r="H3339" s="54">
        <v>55</v>
      </c>
      <c r="I3339" s="51"/>
      <c r="J3339" s="27"/>
      <c r="K3339" s="27"/>
      <c r="L3339" s="15"/>
      <c r="M3339" s="15"/>
      <c r="N3339" s="4">
        <v>65</v>
      </c>
      <c r="O3339" s="4"/>
    </row>
    <row r="3340" spans="1:15" x14ac:dyDescent="0.2">
      <c r="A3340" s="2">
        <v>10019868</v>
      </c>
      <c r="B3340" s="2" t="s">
        <v>606</v>
      </c>
      <c r="C3340" s="5" t="s">
        <v>6243</v>
      </c>
      <c r="D3340" s="21">
        <v>6</v>
      </c>
      <c r="E3340" s="21"/>
      <c r="F3340" s="21" t="s">
        <v>10438</v>
      </c>
      <c r="G3340" s="21"/>
      <c r="H3340" s="54">
        <v>35</v>
      </c>
      <c r="I3340" s="51"/>
      <c r="J3340" s="27"/>
      <c r="K3340" s="27"/>
      <c r="L3340" s="15"/>
      <c r="M3340" s="15"/>
      <c r="N3340" s="4">
        <v>65</v>
      </c>
      <c r="O3340" s="4"/>
    </row>
    <row r="3341" spans="1:15" x14ac:dyDescent="0.2">
      <c r="A3341" s="2">
        <v>10019838</v>
      </c>
      <c r="B3341" s="2" t="s">
        <v>594</v>
      </c>
      <c r="C3341" s="5" t="s">
        <v>6228</v>
      </c>
      <c r="D3341" s="21">
        <v>18</v>
      </c>
      <c r="E3341" s="21"/>
      <c r="F3341" s="21" t="s">
        <v>10438</v>
      </c>
      <c r="G3341" s="21"/>
      <c r="H3341" s="54">
        <v>44</v>
      </c>
      <c r="I3341" s="51"/>
      <c r="J3341" s="27"/>
      <c r="K3341" s="27"/>
      <c r="L3341" s="15"/>
      <c r="M3341" s="15"/>
      <c r="N3341" s="4">
        <v>65</v>
      </c>
      <c r="O3341" s="4"/>
    </row>
    <row r="3342" spans="1:15" x14ac:dyDescent="0.2">
      <c r="A3342" s="2">
        <v>10019902</v>
      </c>
      <c r="B3342" s="2" t="s">
        <v>5375</v>
      </c>
      <c r="C3342" s="5" t="s">
        <v>6259</v>
      </c>
      <c r="D3342" s="21">
        <v>9</v>
      </c>
      <c r="E3342" s="21"/>
      <c r="F3342" s="21" t="s">
        <v>10438</v>
      </c>
      <c r="G3342" s="21"/>
      <c r="H3342" s="54">
        <v>111</v>
      </c>
      <c r="I3342" s="51"/>
      <c r="J3342" s="27"/>
      <c r="K3342" s="27"/>
      <c r="L3342" s="15"/>
      <c r="M3342" s="15"/>
      <c r="N3342" s="4">
        <v>65</v>
      </c>
      <c r="O3342" s="4"/>
    </row>
    <row r="3343" spans="1:15" x14ac:dyDescent="0.2">
      <c r="A3343" s="2">
        <v>40010960</v>
      </c>
      <c r="B3343" s="2" t="s">
        <v>3579</v>
      </c>
      <c r="C3343" s="5" t="s">
        <v>9299</v>
      </c>
      <c r="D3343" s="21">
        <v>4</v>
      </c>
      <c r="E3343" s="21"/>
      <c r="F3343" s="21" t="s">
        <v>10438</v>
      </c>
      <c r="G3343" s="21"/>
      <c r="H3343" s="54">
        <v>9</v>
      </c>
      <c r="I3343" s="51"/>
      <c r="J3343" s="27"/>
      <c r="K3343" s="27"/>
      <c r="L3343" s="15"/>
      <c r="M3343" s="15"/>
      <c r="N3343" s="4" t="s">
        <v>4095</v>
      </c>
      <c r="O3343" s="4"/>
    </row>
    <row r="3344" spans="1:15" x14ac:dyDescent="0.2">
      <c r="A3344" s="2">
        <v>40005891</v>
      </c>
      <c r="B3344" s="2" t="s">
        <v>1307</v>
      </c>
      <c r="C3344" s="5" t="s">
        <v>7017</v>
      </c>
      <c r="D3344" s="21">
        <v>5</v>
      </c>
      <c r="E3344" s="21"/>
      <c r="F3344" s="21" t="s">
        <v>10438</v>
      </c>
      <c r="G3344" s="21"/>
      <c r="H3344" s="54">
        <v>170</v>
      </c>
      <c r="I3344" s="51"/>
      <c r="J3344" s="27"/>
      <c r="K3344" s="27"/>
      <c r="L3344" s="15"/>
      <c r="M3344" s="15"/>
      <c r="N3344" s="4" t="s">
        <v>4308</v>
      </c>
      <c r="O3344" s="4"/>
    </row>
    <row r="3345" spans="1:15" x14ac:dyDescent="0.2">
      <c r="A3345" s="2">
        <v>40007556</v>
      </c>
      <c r="B3345" s="2" t="s">
        <v>3838</v>
      </c>
      <c r="C3345" s="5" t="s">
        <v>8456</v>
      </c>
      <c r="D3345" s="21">
        <v>3</v>
      </c>
      <c r="E3345" s="21"/>
      <c r="F3345" s="21" t="s">
        <v>10438</v>
      </c>
      <c r="G3345" s="21"/>
      <c r="H3345" s="54">
        <v>317</v>
      </c>
      <c r="I3345" s="51"/>
      <c r="J3345" s="27"/>
      <c r="K3345" s="27"/>
      <c r="L3345" s="15">
        <v>2</v>
      </c>
      <c r="M3345" s="15"/>
      <c r="N3345" s="4" t="s">
        <v>4997</v>
      </c>
      <c r="O3345" s="4"/>
    </row>
    <row r="3346" spans="1:15" x14ac:dyDescent="0.2">
      <c r="A3346" s="2">
        <v>10019627</v>
      </c>
      <c r="B3346" s="2" t="s">
        <v>3842</v>
      </c>
      <c r="C3346" s="5">
        <v>445050455</v>
      </c>
      <c r="D3346" s="21">
        <v>5</v>
      </c>
      <c r="E3346" s="21"/>
      <c r="F3346" s="21" t="s">
        <v>10438</v>
      </c>
      <c r="G3346" s="21"/>
      <c r="H3346" s="54">
        <v>1215</v>
      </c>
      <c r="I3346" s="51"/>
      <c r="J3346" s="27"/>
      <c r="K3346" s="27"/>
      <c r="L3346" s="15"/>
      <c r="M3346" s="15"/>
      <c r="N3346" s="4">
        <v>79</v>
      </c>
      <c r="O3346" s="4"/>
    </row>
    <row r="3347" spans="1:15" x14ac:dyDescent="0.2">
      <c r="A3347" s="2">
        <v>10040638</v>
      </c>
      <c r="B3347" s="2" t="s">
        <v>5473</v>
      </c>
      <c r="C3347" s="5" t="s">
        <v>6399</v>
      </c>
      <c r="D3347" s="21">
        <v>6</v>
      </c>
      <c r="E3347" s="21"/>
      <c r="F3347" s="21" t="s">
        <v>10438</v>
      </c>
      <c r="G3347" s="21"/>
      <c r="H3347" s="54">
        <v>10780</v>
      </c>
      <c r="I3347" s="51">
        <v>9702</v>
      </c>
      <c r="J3347" s="27"/>
      <c r="K3347" s="27"/>
      <c r="L3347" s="15"/>
      <c r="M3347" s="15"/>
      <c r="N3347" s="4"/>
      <c r="O3347" s="4" t="s">
        <v>10457</v>
      </c>
    </row>
    <row r="3348" spans="1:15" x14ac:dyDescent="0.2">
      <c r="A3348" s="2">
        <v>40005467</v>
      </c>
      <c r="B3348" s="2" t="s">
        <v>938</v>
      </c>
      <c r="C3348" s="5" t="s">
        <v>6660</v>
      </c>
      <c r="D3348" s="21">
        <v>2</v>
      </c>
      <c r="E3348" s="21"/>
      <c r="F3348" s="21" t="s">
        <v>10438</v>
      </c>
      <c r="G3348" s="21"/>
      <c r="H3348" s="54">
        <v>14</v>
      </c>
      <c r="I3348" s="51"/>
      <c r="J3348" s="27"/>
      <c r="K3348" s="27"/>
      <c r="L3348" s="15"/>
      <c r="M3348" s="15"/>
      <c r="N3348" s="4" t="s">
        <v>4125</v>
      </c>
      <c r="O3348" s="4"/>
    </row>
    <row r="3349" spans="1:15" x14ac:dyDescent="0.2">
      <c r="A3349" s="2">
        <v>40006953</v>
      </c>
      <c r="B3349" s="2" t="s">
        <v>2244</v>
      </c>
      <c r="C3349" s="5" t="s">
        <v>7950</v>
      </c>
      <c r="D3349" s="21">
        <v>7</v>
      </c>
      <c r="E3349" s="21"/>
      <c r="F3349" s="21" t="s">
        <v>10438</v>
      </c>
      <c r="G3349" s="21"/>
      <c r="H3349" s="54">
        <v>5</v>
      </c>
      <c r="I3349" s="51"/>
      <c r="J3349" s="27"/>
      <c r="K3349" s="27"/>
      <c r="L3349" s="15"/>
      <c r="M3349" s="15"/>
      <c r="N3349" s="4" t="s">
        <v>4644</v>
      </c>
      <c r="O3349" s="4"/>
    </row>
    <row r="3350" spans="1:15" x14ac:dyDescent="0.2">
      <c r="A3350" s="2">
        <v>40006124</v>
      </c>
      <c r="B3350" s="2" t="s">
        <v>1515</v>
      </c>
      <c r="C3350" s="5" t="s">
        <v>7220</v>
      </c>
      <c r="D3350" s="21">
        <v>1</v>
      </c>
      <c r="E3350" s="21"/>
      <c r="F3350" s="21" t="s">
        <v>10438</v>
      </c>
      <c r="G3350" s="21"/>
      <c r="H3350" s="54">
        <v>30</v>
      </c>
      <c r="I3350" s="51"/>
      <c r="J3350" s="27"/>
      <c r="K3350" s="27"/>
      <c r="L3350" s="15"/>
      <c r="M3350" s="15"/>
      <c r="N3350" s="4" t="s">
        <v>4377</v>
      </c>
      <c r="O3350" s="4"/>
    </row>
    <row r="3351" spans="1:15" x14ac:dyDescent="0.2">
      <c r="A3351" s="2">
        <v>40007916</v>
      </c>
      <c r="B3351" s="2" t="s">
        <v>3071</v>
      </c>
      <c r="C3351" s="5" t="s">
        <v>8762</v>
      </c>
      <c r="D3351" s="21">
        <v>5</v>
      </c>
      <c r="E3351" s="21"/>
      <c r="F3351" s="21" t="s">
        <v>10438</v>
      </c>
      <c r="G3351" s="21"/>
      <c r="H3351" s="54">
        <v>24</v>
      </c>
      <c r="I3351" s="51"/>
      <c r="J3351" s="27"/>
      <c r="K3351" s="27"/>
      <c r="L3351" s="15"/>
      <c r="M3351" s="15"/>
      <c r="N3351" s="4" t="s">
        <v>4920</v>
      </c>
      <c r="O3351" s="4"/>
    </row>
    <row r="3352" spans="1:15" x14ac:dyDescent="0.2">
      <c r="A3352" s="2">
        <v>40011215</v>
      </c>
      <c r="B3352" s="2" t="s">
        <v>3782</v>
      </c>
      <c r="C3352" s="5" t="s">
        <v>9359</v>
      </c>
      <c r="D3352" s="21">
        <v>3</v>
      </c>
      <c r="E3352" s="21"/>
      <c r="F3352" s="21" t="s">
        <v>10438</v>
      </c>
      <c r="G3352" s="21"/>
      <c r="H3352" s="54">
        <v>18</v>
      </c>
      <c r="I3352" s="51"/>
      <c r="J3352" s="27"/>
      <c r="K3352" s="27"/>
      <c r="L3352" s="15"/>
      <c r="M3352" s="15"/>
      <c r="N3352" s="4" t="s">
        <v>5287</v>
      </c>
      <c r="O3352" s="4"/>
    </row>
    <row r="3353" spans="1:15" x14ac:dyDescent="0.2">
      <c r="A3353" s="2">
        <v>40007376</v>
      </c>
      <c r="B3353" s="7" t="s">
        <v>2604</v>
      </c>
      <c r="C3353" s="5">
        <v>965603018</v>
      </c>
      <c r="D3353" s="21">
        <v>23</v>
      </c>
      <c r="E3353" s="21"/>
      <c r="F3353" s="21" t="s">
        <v>10438</v>
      </c>
      <c r="G3353" s="21"/>
      <c r="H3353" s="54">
        <v>46</v>
      </c>
      <c r="I3353" s="51"/>
      <c r="J3353" s="27"/>
      <c r="K3353" s="27"/>
      <c r="L3353" s="15"/>
      <c r="M3353" s="15"/>
      <c r="N3353" s="4" t="s">
        <v>10047</v>
      </c>
      <c r="O3353" s="4"/>
    </row>
    <row r="3354" spans="1:15" x14ac:dyDescent="0.2">
      <c r="A3354" s="2">
        <v>40006722</v>
      </c>
      <c r="B3354" s="2" t="s">
        <v>2030</v>
      </c>
      <c r="C3354" s="5" t="s">
        <v>7740</v>
      </c>
      <c r="D3354" s="21">
        <v>1</v>
      </c>
      <c r="E3354" s="21"/>
      <c r="F3354" s="21" t="s">
        <v>10438</v>
      </c>
      <c r="G3354" s="21"/>
      <c r="H3354" s="54">
        <v>121</v>
      </c>
      <c r="I3354" s="51"/>
      <c r="J3354" s="27"/>
      <c r="K3354" s="27"/>
      <c r="L3354" s="15"/>
      <c r="M3354" s="15"/>
      <c r="N3354" s="4" t="s">
        <v>4659</v>
      </c>
      <c r="O3354" s="4"/>
    </row>
    <row r="3355" spans="1:15" x14ac:dyDescent="0.2">
      <c r="A3355" s="2">
        <v>40006938</v>
      </c>
      <c r="B3355" s="2" t="s">
        <v>3684</v>
      </c>
      <c r="C3355" s="5" t="s">
        <v>7936</v>
      </c>
      <c r="D3355" s="21"/>
      <c r="E3355" s="21"/>
      <c r="F3355" s="21" t="s">
        <v>10438</v>
      </c>
      <c r="G3355" s="21"/>
      <c r="H3355" s="54">
        <v>143</v>
      </c>
      <c r="I3355" s="51"/>
      <c r="J3355" s="27"/>
      <c r="K3355" s="27"/>
      <c r="L3355" s="15">
        <v>10</v>
      </c>
      <c r="M3355" s="15"/>
      <c r="N3355" s="4" t="s">
        <v>4385</v>
      </c>
      <c r="O3355" s="4"/>
    </row>
    <row r="3356" spans="1:15" x14ac:dyDescent="0.2">
      <c r="A3356" s="2">
        <v>40005858</v>
      </c>
      <c r="B3356" s="2" t="s">
        <v>1274</v>
      </c>
      <c r="C3356" s="5" t="s">
        <v>6985</v>
      </c>
      <c r="D3356" s="21">
        <v>13</v>
      </c>
      <c r="E3356" s="21"/>
      <c r="F3356" s="21" t="s">
        <v>10438</v>
      </c>
      <c r="G3356" s="21"/>
      <c r="H3356" s="54">
        <v>54</v>
      </c>
      <c r="I3356" s="51"/>
      <c r="J3356" s="27"/>
      <c r="K3356" s="27"/>
      <c r="L3356" s="15">
        <v>3</v>
      </c>
      <c r="M3356" s="15"/>
      <c r="N3356" s="4" t="s">
        <v>4291</v>
      </c>
      <c r="O3356" s="4"/>
    </row>
    <row r="3357" spans="1:15" x14ac:dyDescent="0.2">
      <c r="A3357" s="2">
        <v>40005871</v>
      </c>
      <c r="B3357" s="2" t="s">
        <v>1287</v>
      </c>
      <c r="C3357" s="5" t="s">
        <v>6998</v>
      </c>
      <c r="D3357" s="21">
        <v>5</v>
      </c>
      <c r="E3357" s="21"/>
      <c r="F3357" s="21" t="s">
        <v>10438</v>
      </c>
      <c r="G3357" s="21"/>
      <c r="H3357" s="54">
        <v>276</v>
      </c>
      <c r="I3357" s="51"/>
      <c r="J3357" s="27"/>
      <c r="K3357" s="27"/>
      <c r="L3357" s="15"/>
      <c r="M3357" s="15"/>
      <c r="N3357" s="4" t="s">
        <v>4135</v>
      </c>
      <c r="O3357" s="4"/>
    </row>
    <row r="3358" spans="1:15" x14ac:dyDescent="0.2">
      <c r="A3358" s="2">
        <v>40006046</v>
      </c>
      <c r="B3358" s="2" t="s">
        <v>1445</v>
      </c>
      <c r="C3358" s="5" t="s">
        <v>7148</v>
      </c>
      <c r="D3358" s="21">
        <v>7</v>
      </c>
      <c r="E3358" s="21"/>
      <c r="F3358" s="21" t="s">
        <v>10438</v>
      </c>
      <c r="G3358" s="21"/>
      <c r="H3358" s="54">
        <v>240</v>
      </c>
      <c r="I3358" s="51"/>
      <c r="J3358" s="27"/>
      <c r="K3358" s="27"/>
      <c r="L3358" s="15"/>
      <c r="M3358" s="15"/>
      <c r="N3358" s="4" t="s">
        <v>4291</v>
      </c>
      <c r="O3358" s="4"/>
    </row>
    <row r="3359" spans="1:15" x14ac:dyDescent="0.2">
      <c r="A3359" s="2">
        <v>40006714</v>
      </c>
      <c r="B3359" s="2" t="s">
        <v>2024</v>
      </c>
      <c r="C3359" s="5" t="s">
        <v>7735</v>
      </c>
      <c r="D3359" s="21">
        <v>21</v>
      </c>
      <c r="E3359" s="21"/>
      <c r="F3359" s="21" t="s">
        <v>10438</v>
      </c>
      <c r="G3359" s="21"/>
      <c r="H3359" s="54">
        <v>141</v>
      </c>
      <c r="I3359" s="51"/>
      <c r="J3359" s="27"/>
      <c r="K3359" s="27"/>
      <c r="L3359" s="15">
        <v>5</v>
      </c>
      <c r="M3359" s="15"/>
      <c r="N3359" s="4" t="s">
        <v>4291</v>
      </c>
      <c r="O3359" s="4"/>
    </row>
    <row r="3360" spans="1:15" x14ac:dyDescent="0.2">
      <c r="A3360" s="2">
        <v>40007936</v>
      </c>
      <c r="B3360" s="2" t="s">
        <v>3089</v>
      </c>
      <c r="C3360" s="5" t="s">
        <v>8782</v>
      </c>
      <c r="D3360" s="21">
        <v>6</v>
      </c>
      <c r="E3360" s="21"/>
      <c r="F3360" s="21" t="s">
        <v>10438</v>
      </c>
      <c r="G3360" s="21"/>
      <c r="H3360" s="54">
        <v>15</v>
      </c>
      <c r="I3360" s="51"/>
      <c r="J3360" s="27"/>
      <c r="K3360" s="27"/>
      <c r="L3360" s="15"/>
      <c r="M3360" s="15"/>
      <c r="N3360" s="4" t="s">
        <v>4313</v>
      </c>
      <c r="O3360" s="4"/>
    </row>
    <row r="3361" spans="1:15" x14ac:dyDescent="0.2">
      <c r="A3361" s="2">
        <v>40005625</v>
      </c>
      <c r="B3361" s="2" t="s">
        <v>1068</v>
      </c>
      <c r="C3361" s="5" t="s">
        <v>6796</v>
      </c>
      <c r="D3361" s="21">
        <v>43</v>
      </c>
      <c r="E3361" s="21"/>
      <c r="F3361" s="21" t="s">
        <v>10438</v>
      </c>
      <c r="G3361" s="21"/>
      <c r="H3361" s="54">
        <v>11</v>
      </c>
      <c r="I3361" s="51"/>
      <c r="J3361" s="27"/>
      <c r="K3361" s="27"/>
      <c r="L3361" s="15"/>
      <c r="M3361" s="15"/>
      <c r="N3361" s="4" t="s">
        <v>4179</v>
      </c>
      <c r="O3361" s="4"/>
    </row>
    <row r="3362" spans="1:15" x14ac:dyDescent="0.2">
      <c r="A3362" s="2">
        <v>40006547</v>
      </c>
      <c r="B3362" s="2" t="s">
        <v>1887</v>
      </c>
      <c r="C3362" s="5" t="s">
        <v>7595</v>
      </c>
      <c r="D3362" s="21">
        <v>4</v>
      </c>
      <c r="E3362" s="21"/>
      <c r="F3362" s="21" t="s">
        <v>10438</v>
      </c>
      <c r="G3362" s="21"/>
      <c r="H3362" s="54">
        <v>20</v>
      </c>
      <c r="I3362" s="51"/>
      <c r="J3362" s="27"/>
      <c r="K3362" s="27"/>
      <c r="L3362" s="15"/>
      <c r="M3362" s="15"/>
      <c r="N3362" s="4"/>
      <c r="O3362" s="4" t="s">
        <v>10107</v>
      </c>
    </row>
    <row r="3363" spans="1:15" x14ac:dyDescent="0.2">
      <c r="A3363" s="2">
        <v>40008293</v>
      </c>
      <c r="B3363" s="2" t="s">
        <v>3404</v>
      </c>
      <c r="C3363" s="5" t="s">
        <v>9096</v>
      </c>
      <c r="D3363" s="21">
        <v>6</v>
      </c>
      <c r="E3363" s="21"/>
      <c r="F3363" s="21" t="s">
        <v>10438</v>
      </c>
      <c r="G3363" s="21"/>
      <c r="H3363" s="54">
        <v>10</v>
      </c>
      <c r="I3363" s="51"/>
      <c r="J3363" s="27"/>
      <c r="K3363" s="27"/>
      <c r="L3363" s="15"/>
      <c r="M3363" s="15"/>
      <c r="N3363" s="4" t="s">
        <v>5227</v>
      </c>
      <c r="O3363" s="4"/>
    </row>
    <row r="3364" spans="1:15" x14ac:dyDescent="0.2">
      <c r="A3364" s="2">
        <v>40011214</v>
      </c>
      <c r="B3364" s="2" t="s">
        <v>3781</v>
      </c>
      <c r="C3364" s="5" t="s">
        <v>9358</v>
      </c>
      <c r="D3364" s="21">
        <v>4</v>
      </c>
      <c r="E3364" s="21"/>
      <c r="F3364" s="21" t="s">
        <v>10438</v>
      </c>
      <c r="G3364" s="21"/>
      <c r="H3364" s="54">
        <v>10</v>
      </c>
      <c r="I3364" s="51"/>
      <c r="J3364" s="27"/>
      <c r="K3364" s="27"/>
      <c r="L3364" s="15"/>
      <c r="M3364" s="15"/>
      <c r="N3364" s="4" t="s">
        <v>5287</v>
      </c>
      <c r="O3364" s="4"/>
    </row>
    <row r="3365" spans="1:15" x14ac:dyDescent="0.2">
      <c r="A3365" s="2">
        <v>40006120</v>
      </c>
      <c r="B3365" s="2" t="s">
        <v>1511</v>
      </c>
      <c r="C3365" s="5" t="s">
        <v>7216</v>
      </c>
      <c r="D3365" s="21">
        <v>6</v>
      </c>
      <c r="E3365" s="21"/>
      <c r="F3365" s="21" t="s">
        <v>10438</v>
      </c>
      <c r="G3365" s="21"/>
      <c r="H3365" s="54">
        <v>4</v>
      </c>
      <c r="I3365" s="51"/>
      <c r="J3365" s="27"/>
      <c r="K3365" s="27"/>
      <c r="L3365" s="15"/>
      <c r="M3365" s="15"/>
      <c r="N3365" s="4" t="s">
        <v>4427</v>
      </c>
      <c r="O3365" s="4"/>
    </row>
    <row r="3366" spans="1:15" x14ac:dyDescent="0.2">
      <c r="A3366" s="2">
        <v>40007526</v>
      </c>
      <c r="B3366" s="2" t="s">
        <v>2731</v>
      </c>
      <c r="C3366" s="5">
        <v>226221020</v>
      </c>
      <c r="D3366" s="21">
        <v>31</v>
      </c>
      <c r="E3366" s="21"/>
      <c r="F3366" s="21" t="s">
        <v>10438</v>
      </c>
      <c r="G3366" s="21"/>
      <c r="H3366" s="54">
        <v>154</v>
      </c>
      <c r="I3366" s="51"/>
      <c r="J3366" s="27"/>
      <c r="K3366" s="27"/>
      <c r="L3366" s="15"/>
      <c r="M3366" s="15"/>
      <c r="N3366" s="4" t="s">
        <v>4987</v>
      </c>
      <c r="O3366" s="4"/>
    </row>
    <row r="3367" spans="1:15" x14ac:dyDescent="0.2">
      <c r="A3367" s="2">
        <v>40006257</v>
      </c>
      <c r="B3367" s="2" t="s">
        <v>1634</v>
      </c>
      <c r="C3367" s="5" t="s">
        <v>7338</v>
      </c>
      <c r="D3367" s="21">
        <v>1</v>
      </c>
      <c r="E3367" s="21"/>
      <c r="F3367" s="21" t="s">
        <v>10438</v>
      </c>
      <c r="G3367" s="21"/>
      <c r="H3367" s="54">
        <v>16</v>
      </c>
      <c r="I3367" s="51"/>
      <c r="J3367" s="27"/>
      <c r="K3367" s="27"/>
      <c r="L3367" s="15"/>
      <c r="M3367" s="15"/>
      <c r="N3367" s="4" t="s">
        <v>4491</v>
      </c>
      <c r="O3367" s="4"/>
    </row>
    <row r="3368" spans="1:15" x14ac:dyDescent="0.2">
      <c r="A3368" s="2">
        <v>40007509</v>
      </c>
      <c r="B3368" s="2" t="s">
        <v>2717</v>
      </c>
      <c r="C3368" s="5" t="s">
        <v>8420</v>
      </c>
      <c r="D3368" s="21">
        <v>2</v>
      </c>
      <c r="E3368" s="21"/>
      <c r="F3368" s="21" t="s">
        <v>10438</v>
      </c>
      <c r="G3368" s="21"/>
      <c r="H3368" s="54">
        <v>27</v>
      </c>
      <c r="I3368" s="51"/>
      <c r="J3368" s="27"/>
      <c r="K3368" s="27"/>
      <c r="L3368" s="15"/>
      <c r="M3368" s="15"/>
      <c r="N3368" s="4" t="s">
        <v>4522</v>
      </c>
      <c r="O3368" s="4"/>
    </row>
    <row r="3369" spans="1:15" x14ac:dyDescent="0.2">
      <c r="A3369" s="2">
        <v>40007632</v>
      </c>
      <c r="B3369" s="2" t="s">
        <v>2819</v>
      </c>
      <c r="C3369" s="5" t="s">
        <v>8518</v>
      </c>
      <c r="D3369" s="21">
        <v>13</v>
      </c>
      <c r="E3369" s="21"/>
      <c r="F3369" s="21" t="s">
        <v>10438</v>
      </c>
      <c r="G3369" s="21"/>
      <c r="H3369" s="54">
        <v>41</v>
      </c>
      <c r="I3369" s="51"/>
      <c r="J3369" s="27"/>
      <c r="K3369" s="27"/>
      <c r="L3369" s="15"/>
      <c r="M3369" s="15"/>
      <c r="N3369" s="4"/>
      <c r="O3369" s="4" t="s">
        <v>10230</v>
      </c>
    </row>
    <row r="3370" spans="1:15" x14ac:dyDescent="0.2">
      <c r="A3370" s="2">
        <v>40006804</v>
      </c>
      <c r="B3370" s="2" t="s">
        <v>2103</v>
      </c>
      <c r="C3370" s="5" t="s">
        <v>7812</v>
      </c>
      <c r="D3370" s="21">
        <v>4</v>
      </c>
      <c r="E3370" s="21"/>
      <c r="F3370" s="30">
        <v>1</v>
      </c>
      <c r="G3370" s="21"/>
      <c r="H3370" s="54">
        <v>387</v>
      </c>
      <c r="I3370" s="51"/>
      <c r="J3370" s="27"/>
      <c r="K3370" s="27"/>
      <c r="L3370" s="15"/>
      <c r="M3370" s="15"/>
      <c r="N3370" s="4" t="s">
        <v>4526</v>
      </c>
      <c r="O3370" s="4"/>
    </row>
    <row r="3371" spans="1:15" x14ac:dyDescent="0.2">
      <c r="A3371" s="2">
        <v>40007270</v>
      </c>
      <c r="B3371" s="2" t="s">
        <v>2518</v>
      </c>
      <c r="C3371" s="5" t="s">
        <v>8215</v>
      </c>
      <c r="D3371" s="21">
        <v>5</v>
      </c>
      <c r="E3371" s="21"/>
      <c r="F3371" s="21" t="s">
        <v>10438</v>
      </c>
      <c r="G3371" s="21"/>
      <c r="H3371" s="54">
        <v>62</v>
      </c>
      <c r="I3371" s="51"/>
      <c r="J3371" s="27"/>
      <c r="K3371" s="27"/>
      <c r="L3371" s="15"/>
      <c r="M3371" s="15"/>
      <c r="N3371" s="4" t="s">
        <v>4403</v>
      </c>
      <c r="O3371" s="4"/>
    </row>
    <row r="3372" spans="1:15" x14ac:dyDescent="0.2">
      <c r="A3372" s="2">
        <v>40008174</v>
      </c>
      <c r="B3372" s="2" t="s">
        <v>3297</v>
      </c>
      <c r="C3372" s="5" t="s">
        <v>8990</v>
      </c>
      <c r="D3372" s="21">
        <v>7</v>
      </c>
      <c r="E3372" s="21"/>
      <c r="F3372" s="21" t="s">
        <v>10438</v>
      </c>
      <c r="G3372" s="21"/>
      <c r="H3372" s="54">
        <v>27</v>
      </c>
      <c r="I3372" s="51"/>
      <c r="J3372" s="27"/>
      <c r="K3372" s="27"/>
      <c r="L3372" s="15"/>
      <c r="M3372" s="15"/>
      <c r="N3372" s="4" t="s">
        <v>4068</v>
      </c>
      <c r="O3372" s="4"/>
    </row>
    <row r="3373" spans="1:15" x14ac:dyDescent="0.2">
      <c r="A3373" s="2">
        <v>40007205</v>
      </c>
      <c r="B3373" s="2" t="s">
        <v>2469</v>
      </c>
      <c r="C3373" s="5" t="s">
        <v>8170</v>
      </c>
      <c r="D3373" s="21">
        <v>6</v>
      </c>
      <c r="E3373" s="21"/>
      <c r="F3373" s="21" t="s">
        <v>10438</v>
      </c>
      <c r="G3373" s="21"/>
      <c r="H3373" s="54">
        <v>61</v>
      </c>
      <c r="I3373" s="51"/>
      <c r="J3373" s="27"/>
      <c r="K3373" s="27"/>
      <c r="L3373" s="15"/>
      <c r="M3373" s="15"/>
      <c r="N3373" s="4" t="s">
        <v>4259</v>
      </c>
      <c r="O3373" s="4"/>
    </row>
    <row r="3374" spans="1:15" x14ac:dyDescent="0.2">
      <c r="A3374" s="2">
        <v>40007187</v>
      </c>
      <c r="B3374" s="2" t="s">
        <v>2453</v>
      </c>
      <c r="C3374" s="5" t="s">
        <v>8156</v>
      </c>
      <c r="D3374" s="21">
        <v>3</v>
      </c>
      <c r="E3374" s="21"/>
      <c r="F3374" s="21" t="s">
        <v>10438</v>
      </c>
      <c r="G3374" s="21"/>
      <c r="H3374" s="54">
        <v>34</v>
      </c>
      <c r="I3374" s="51"/>
      <c r="J3374" s="27"/>
      <c r="K3374" s="27"/>
      <c r="L3374" s="15"/>
      <c r="M3374" s="15"/>
      <c r="N3374" s="4" t="s">
        <v>4865</v>
      </c>
      <c r="O3374" s="4"/>
    </row>
    <row r="3375" spans="1:15" x14ac:dyDescent="0.2">
      <c r="A3375" s="2">
        <v>40007646</v>
      </c>
      <c r="B3375" s="2" t="s">
        <v>2829</v>
      </c>
      <c r="C3375" s="5" t="s">
        <v>8529</v>
      </c>
      <c r="D3375" s="21">
        <v>1</v>
      </c>
      <c r="E3375" s="21"/>
      <c r="F3375" s="21" t="s">
        <v>10438</v>
      </c>
      <c r="G3375" s="21"/>
      <c r="H3375" s="54">
        <v>24</v>
      </c>
      <c r="I3375" s="51"/>
      <c r="J3375" s="27"/>
      <c r="K3375" s="27"/>
      <c r="L3375" s="15"/>
      <c r="M3375" s="15"/>
      <c r="N3375" s="4" t="s">
        <v>4510</v>
      </c>
      <c r="O3375" s="4"/>
    </row>
    <row r="3376" spans="1:15" x14ac:dyDescent="0.2">
      <c r="A3376" s="2">
        <v>40008263</v>
      </c>
      <c r="B3376" s="2" t="s">
        <v>3376</v>
      </c>
      <c r="C3376" s="5" t="s">
        <v>9069</v>
      </c>
      <c r="D3376" s="21">
        <v>25</v>
      </c>
      <c r="E3376" s="21"/>
      <c r="F3376" s="21" t="s">
        <v>10438</v>
      </c>
      <c r="G3376" s="21"/>
      <c r="H3376" s="54">
        <v>17</v>
      </c>
      <c r="I3376" s="51"/>
      <c r="J3376" s="27"/>
      <c r="K3376" s="27"/>
      <c r="L3376" s="15"/>
      <c r="M3376" s="15"/>
      <c r="N3376" s="4" t="s">
        <v>5225</v>
      </c>
      <c r="O3376" s="4"/>
    </row>
    <row r="3377" spans="1:15" x14ac:dyDescent="0.2">
      <c r="A3377" s="2">
        <v>40008017</v>
      </c>
      <c r="B3377" s="2" t="s">
        <v>3157</v>
      </c>
      <c r="C3377" s="5" t="s">
        <v>8851</v>
      </c>
      <c r="D3377" s="21">
        <v>5</v>
      </c>
      <c r="E3377" s="21"/>
      <c r="F3377" s="21" t="s">
        <v>10438</v>
      </c>
      <c r="G3377" s="21"/>
      <c r="H3377" s="54">
        <v>56</v>
      </c>
      <c r="I3377" s="51"/>
      <c r="J3377" s="27"/>
      <c r="K3377" s="27"/>
      <c r="L3377" s="15"/>
      <c r="M3377" s="15"/>
      <c r="N3377" s="4" t="s">
        <v>5162</v>
      </c>
      <c r="O3377" s="4"/>
    </row>
    <row r="3378" spans="1:15" x14ac:dyDescent="0.2">
      <c r="A3378" s="2">
        <v>40007166</v>
      </c>
      <c r="B3378" s="2" t="s">
        <v>2433</v>
      </c>
      <c r="C3378" s="5" t="s">
        <v>8135</v>
      </c>
      <c r="D3378" s="21">
        <v>8</v>
      </c>
      <c r="E3378" s="21"/>
      <c r="F3378" s="21" t="s">
        <v>10438</v>
      </c>
      <c r="G3378" s="21"/>
      <c r="H3378" s="54">
        <v>31</v>
      </c>
      <c r="I3378" s="51"/>
      <c r="J3378" s="27"/>
      <c r="K3378" s="27"/>
      <c r="L3378" s="15"/>
      <c r="M3378" s="15"/>
      <c r="N3378" s="4" t="s">
        <v>4855</v>
      </c>
      <c r="O3378" s="4"/>
    </row>
    <row r="3379" spans="1:15" x14ac:dyDescent="0.2">
      <c r="A3379" s="2">
        <v>40006966</v>
      </c>
      <c r="B3379" s="2" t="s">
        <v>2257</v>
      </c>
      <c r="C3379" s="5" t="s">
        <v>7963</v>
      </c>
      <c r="D3379" s="21">
        <v>18</v>
      </c>
      <c r="E3379" s="21"/>
      <c r="F3379" s="21" t="s">
        <v>10438</v>
      </c>
      <c r="G3379" s="21"/>
      <c r="H3379" s="54">
        <v>36</v>
      </c>
      <c r="I3379" s="51"/>
      <c r="J3379" s="27"/>
      <c r="K3379" s="27"/>
      <c r="L3379" s="15"/>
      <c r="M3379" s="15"/>
      <c r="N3379" s="4" t="s">
        <v>4572</v>
      </c>
      <c r="O3379" s="4" t="s">
        <v>10082</v>
      </c>
    </row>
    <row r="3380" spans="1:15" x14ac:dyDescent="0.2">
      <c r="A3380" s="2">
        <v>40006437</v>
      </c>
      <c r="B3380" s="2" t="s">
        <v>1795</v>
      </c>
      <c r="C3380" s="5" t="s">
        <v>7502</v>
      </c>
      <c r="D3380" s="21">
        <v>2</v>
      </c>
      <c r="E3380" s="21"/>
      <c r="F3380" s="21" t="s">
        <v>10438</v>
      </c>
      <c r="G3380" s="21"/>
      <c r="H3380" s="54">
        <v>48</v>
      </c>
      <c r="I3380" s="51"/>
      <c r="J3380" s="27"/>
      <c r="K3380" s="27"/>
      <c r="L3380" s="15"/>
      <c r="M3380" s="15"/>
      <c r="N3380" s="4" t="s">
        <v>4592</v>
      </c>
      <c r="O3380" s="4"/>
    </row>
    <row r="3381" spans="1:15" x14ac:dyDescent="0.2">
      <c r="A3381" s="2">
        <v>40006822</v>
      </c>
      <c r="B3381" s="2" t="s">
        <v>2121</v>
      </c>
      <c r="C3381" s="5" t="s">
        <v>7830</v>
      </c>
      <c r="D3381" s="21">
        <v>4</v>
      </c>
      <c r="E3381" s="21"/>
      <c r="F3381" s="21" t="s">
        <v>10438</v>
      </c>
      <c r="G3381" s="21"/>
      <c r="H3381" s="54">
        <v>268</v>
      </c>
      <c r="I3381" s="51"/>
      <c r="J3381" s="27"/>
      <c r="K3381" s="27"/>
      <c r="L3381" s="15"/>
      <c r="M3381" s="15"/>
      <c r="N3381" s="4" t="s">
        <v>4270</v>
      </c>
      <c r="O3381" s="4"/>
    </row>
    <row r="3382" spans="1:15" x14ac:dyDescent="0.2">
      <c r="A3382" s="2">
        <v>40008262</v>
      </c>
      <c r="B3382" s="2" t="s">
        <v>3691</v>
      </c>
      <c r="C3382" s="5" t="s">
        <v>9068</v>
      </c>
      <c r="D3382" s="21"/>
      <c r="E3382" s="21"/>
      <c r="F3382" s="21" t="s">
        <v>10438</v>
      </c>
      <c r="G3382" s="21"/>
      <c r="H3382" s="54">
        <v>141</v>
      </c>
      <c r="I3382" s="51"/>
      <c r="J3382" s="27"/>
      <c r="K3382" s="27"/>
      <c r="L3382" s="15">
        <v>5</v>
      </c>
      <c r="M3382" s="15"/>
      <c r="N3382" s="4" t="s">
        <v>10479</v>
      </c>
      <c r="O3382" s="4"/>
    </row>
    <row r="3383" spans="1:15" x14ac:dyDescent="0.2">
      <c r="A3383" s="2">
        <v>40008167</v>
      </c>
      <c r="B3383" s="2" t="s">
        <v>3290</v>
      </c>
      <c r="C3383" s="5" t="s">
        <v>8983</v>
      </c>
      <c r="D3383" s="21">
        <v>17</v>
      </c>
      <c r="E3383" s="21"/>
      <c r="F3383" s="21" t="s">
        <v>10438</v>
      </c>
      <c r="G3383" s="21"/>
      <c r="H3383" s="54">
        <v>62</v>
      </c>
      <c r="I3383" s="51"/>
      <c r="J3383" s="27"/>
      <c r="K3383" s="27"/>
      <c r="L3383" s="15"/>
      <c r="M3383" s="15"/>
      <c r="N3383" s="4" t="s">
        <v>5208</v>
      </c>
      <c r="O3383" s="4"/>
    </row>
    <row r="3384" spans="1:15" x14ac:dyDescent="0.2">
      <c r="A3384" s="2">
        <v>40006096</v>
      </c>
      <c r="B3384" s="2" t="s">
        <v>1487</v>
      </c>
      <c r="C3384" s="5" t="s">
        <v>7193</v>
      </c>
      <c r="D3384" s="21">
        <v>13</v>
      </c>
      <c r="E3384" s="21"/>
      <c r="F3384" s="21" t="s">
        <v>10438</v>
      </c>
      <c r="G3384" s="21"/>
      <c r="H3384" s="54">
        <v>41</v>
      </c>
      <c r="I3384" s="51"/>
      <c r="J3384" s="27"/>
      <c r="K3384" s="27"/>
      <c r="L3384" s="15"/>
      <c r="M3384" s="15"/>
      <c r="N3384" s="4" t="s">
        <v>4368</v>
      </c>
      <c r="O3384" s="4"/>
    </row>
    <row r="3385" spans="1:15" x14ac:dyDescent="0.2">
      <c r="A3385" s="2">
        <v>40008134</v>
      </c>
      <c r="B3385" s="2" t="s">
        <v>3257</v>
      </c>
      <c r="C3385" s="5" t="s">
        <v>8953</v>
      </c>
      <c r="D3385" s="21">
        <v>5</v>
      </c>
      <c r="E3385" s="21"/>
      <c r="F3385" s="21" t="s">
        <v>10438</v>
      </c>
      <c r="G3385" s="21"/>
      <c r="H3385" s="54">
        <v>334</v>
      </c>
      <c r="I3385" s="51"/>
      <c r="J3385" s="27"/>
      <c r="K3385" s="27"/>
      <c r="L3385" s="15"/>
      <c r="M3385" s="15"/>
      <c r="N3385" s="4" t="s">
        <v>3936</v>
      </c>
      <c r="O3385" s="4"/>
    </row>
    <row r="3386" spans="1:15" x14ac:dyDescent="0.2">
      <c r="A3386" s="2">
        <v>40006795</v>
      </c>
      <c r="B3386" s="2" t="s">
        <v>2094</v>
      </c>
      <c r="C3386" s="5" t="s">
        <v>7803</v>
      </c>
      <c r="D3386" s="21">
        <v>8</v>
      </c>
      <c r="E3386" s="21"/>
      <c r="F3386" s="21" t="s">
        <v>10438</v>
      </c>
      <c r="G3386" s="21"/>
      <c r="H3386" s="54">
        <v>31</v>
      </c>
      <c r="I3386" s="51"/>
      <c r="J3386" s="27"/>
      <c r="K3386" s="27"/>
      <c r="L3386" s="15"/>
      <c r="M3386" s="15"/>
      <c r="N3386" s="4" t="s">
        <v>4688</v>
      </c>
      <c r="O3386" s="4"/>
    </row>
    <row r="3387" spans="1:15" x14ac:dyDescent="0.2">
      <c r="A3387" s="2">
        <v>40005971</v>
      </c>
      <c r="B3387" s="2" t="s">
        <v>1376</v>
      </c>
      <c r="C3387" s="5" t="s">
        <v>7082</v>
      </c>
      <c r="D3387" s="21">
        <v>3</v>
      </c>
      <c r="E3387" s="21"/>
      <c r="F3387" s="21" t="s">
        <v>10438</v>
      </c>
      <c r="G3387" s="21"/>
      <c r="H3387" s="54">
        <v>42</v>
      </c>
      <c r="I3387" s="51"/>
      <c r="J3387" s="27"/>
      <c r="K3387" s="27"/>
      <c r="L3387" s="15"/>
      <c r="M3387" s="15"/>
      <c r="N3387" s="4" t="s">
        <v>4342</v>
      </c>
      <c r="O3387" s="4"/>
    </row>
    <row r="3388" spans="1:15" x14ac:dyDescent="0.2">
      <c r="A3388" s="2">
        <v>40005535</v>
      </c>
      <c r="B3388" s="2" t="s">
        <v>3692</v>
      </c>
      <c r="C3388" s="5" t="s">
        <v>6720</v>
      </c>
      <c r="D3388" s="21"/>
      <c r="E3388" s="21"/>
      <c r="F3388" s="21" t="s">
        <v>10438</v>
      </c>
      <c r="G3388" s="21"/>
      <c r="H3388" s="54">
        <v>45</v>
      </c>
      <c r="I3388" s="51"/>
      <c r="J3388" s="27"/>
      <c r="K3388" s="27"/>
      <c r="L3388" s="15">
        <v>10</v>
      </c>
      <c r="M3388" s="15">
        <v>3</v>
      </c>
      <c r="N3388" s="4" t="s">
        <v>4139</v>
      </c>
      <c r="O3388" s="4"/>
    </row>
    <row r="3389" spans="1:15" x14ac:dyDescent="0.2">
      <c r="A3389" s="2">
        <v>40005972</v>
      </c>
      <c r="B3389" s="2" t="s">
        <v>1377</v>
      </c>
      <c r="C3389" s="5" t="s">
        <v>7083</v>
      </c>
      <c r="D3389" s="21">
        <v>3</v>
      </c>
      <c r="E3389" s="21"/>
      <c r="F3389" s="21" t="s">
        <v>10438</v>
      </c>
      <c r="G3389" s="21"/>
      <c r="H3389" s="54">
        <v>23</v>
      </c>
      <c r="I3389" s="51"/>
      <c r="J3389" s="27"/>
      <c r="K3389" s="27"/>
      <c r="L3389" s="15"/>
      <c r="M3389" s="15"/>
      <c r="N3389" s="4" t="s">
        <v>4237</v>
      </c>
      <c r="O3389" s="4"/>
    </row>
    <row r="3390" spans="1:15" x14ac:dyDescent="0.2">
      <c r="A3390" s="2">
        <v>40005211</v>
      </c>
      <c r="B3390" s="2" t="s">
        <v>749</v>
      </c>
      <c r="C3390" s="5" t="s">
        <v>6462</v>
      </c>
      <c r="D3390" s="21">
        <v>4</v>
      </c>
      <c r="E3390" s="21"/>
      <c r="F3390" s="21" t="s">
        <v>10438</v>
      </c>
      <c r="G3390" s="21"/>
      <c r="H3390" s="54">
        <v>441</v>
      </c>
      <c r="I3390" s="51"/>
      <c r="J3390" s="27"/>
      <c r="K3390" s="27"/>
      <c r="L3390" s="15"/>
      <c r="M3390" s="15"/>
      <c r="N3390" s="4" t="s">
        <v>4011</v>
      </c>
      <c r="O3390" s="4"/>
    </row>
    <row r="3391" spans="1:15" x14ac:dyDescent="0.2">
      <c r="A3391" s="2">
        <v>40005415</v>
      </c>
      <c r="B3391" s="2" t="s">
        <v>891</v>
      </c>
      <c r="C3391" s="5" t="s">
        <v>6614</v>
      </c>
      <c r="D3391" s="21">
        <v>2</v>
      </c>
      <c r="E3391" s="21"/>
      <c r="F3391" s="21" t="s">
        <v>10438</v>
      </c>
      <c r="G3391" s="21"/>
      <c r="H3391" s="54">
        <v>427</v>
      </c>
      <c r="I3391" s="51"/>
      <c r="J3391" s="27"/>
      <c r="K3391" s="27"/>
      <c r="L3391" s="15"/>
      <c r="M3391" s="15"/>
      <c r="N3391" s="4" t="s">
        <v>4108</v>
      </c>
      <c r="O3391" s="4"/>
    </row>
    <row r="3392" spans="1:15" x14ac:dyDescent="0.2">
      <c r="A3392" s="2">
        <v>40005421</v>
      </c>
      <c r="B3392" s="2" t="s">
        <v>897</v>
      </c>
      <c r="C3392" s="5" t="s">
        <v>6620</v>
      </c>
      <c r="D3392" s="21">
        <v>2</v>
      </c>
      <c r="E3392" s="21"/>
      <c r="F3392" s="21" t="s">
        <v>10438</v>
      </c>
      <c r="G3392" s="21"/>
      <c r="H3392" s="54">
        <v>411</v>
      </c>
      <c r="I3392" s="51"/>
      <c r="J3392" s="27"/>
      <c r="K3392" s="27"/>
      <c r="L3392" s="15"/>
      <c r="M3392" s="15"/>
      <c r="N3392" s="4" t="s">
        <v>4113</v>
      </c>
      <c r="O3392" s="4"/>
    </row>
    <row r="3393" spans="1:15" x14ac:dyDescent="0.2">
      <c r="A3393" s="2">
        <v>40011626</v>
      </c>
      <c r="B3393" s="2" t="s">
        <v>5498</v>
      </c>
      <c r="C3393" s="5" t="s">
        <v>9444</v>
      </c>
      <c r="D3393" s="21">
        <v>3</v>
      </c>
      <c r="E3393" s="21"/>
      <c r="F3393" s="21" t="s">
        <v>10438</v>
      </c>
      <c r="G3393" s="21"/>
      <c r="H3393" s="54">
        <v>28</v>
      </c>
      <c r="I3393" s="51"/>
      <c r="J3393" s="27"/>
      <c r="K3393" s="27"/>
      <c r="L3393" s="15"/>
      <c r="M3393" s="15"/>
      <c r="N3393" s="4" t="s">
        <v>4451</v>
      </c>
      <c r="O3393" s="4"/>
    </row>
    <row r="3394" spans="1:15" x14ac:dyDescent="0.2">
      <c r="A3394" s="2">
        <v>40006223</v>
      </c>
      <c r="B3394" s="2" t="s">
        <v>1604</v>
      </c>
      <c r="C3394" s="5" t="s">
        <v>7309</v>
      </c>
      <c r="D3394" s="21">
        <v>1</v>
      </c>
      <c r="E3394" s="21"/>
      <c r="F3394" s="21" t="s">
        <v>10438</v>
      </c>
      <c r="G3394" s="21"/>
      <c r="H3394" s="54">
        <v>34</v>
      </c>
      <c r="I3394" s="51"/>
      <c r="J3394" s="27"/>
      <c r="K3394" s="27"/>
      <c r="L3394" s="15"/>
      <c r="M3394" s="15"/>
      <c r="N3394" s="4" t="s">
        <v>4190</v>
      </c>
      <c r="O3394" s="4"/>
    </row>
    <row r="3395" spans="1:15" x14ac:dyDescent="0.2">
      <c r="A3395" s="2">
        <v>40005185</v>
      </c>
      <c r="B3395" s="2" t="s">
        <v>729</v>
      </c>
      <c r="C3395" s="5" t="s">
        <v>6442</v>
      </c>
      <c r="D3395" s="21">
        <v>1</v>
      </c>
      <c r="E3395" s="21"/>
      <c r="F3395" s="21" t="s">
        <v>10438</v>
      </c>
      <c r="G3395" s="21"/>
      <c r="H3395" s="54">
        <v>650</v>
      </c>
      <c r="I3395" s="51"/>
      <c r="J3395" s="27"/>
      <c r="K3395" s="27"/>
      <c r="L3395" s="15"/>
      <c r="M3395" s="15"/>
      <c r="N3395" s="4" t="s">
        <v>3996</v>
      </c>
      <c r="O3395" s="4"/>
    </row>
    <row r="3396" spans="1:15" x14ac:dyDescent="0.2">
      <c r="A3396" s="2">
        <v>40008148</v>
      </c>
      <c r="B3396" s="2" t="s">
        <v>3271</v>
      </c>
      <c r="C3396" s="5" t="s">
        <v>8966</v>
      </c>
      <c r="D3396" s="21"/>
      <c r="E3396" s="21"/>
      <c r="F3396" s="21" t="s">
        <v>10438</v>
      </c>
      <c r="G3396" s="21"/>
      <c r="H3396" s="54">
        <v>139</v>
      </c>
      <c r="I3396" s="51"/>
      <c r="J3396" s="27"/>
      <c r="K3396" s="27"/>
      <c r="L3396" s="15"/>
      <c r="M3396" s="15"/>
      <c r="N3396" s="4" t="s">
        <v>4832</v>
      </c>
      <c r="O3396" s="4"/>
    </row>
    <row r="3397" spans="1:15" x14ac:dyDescent="0.2">
      <c r="A3397" s="2">
        <v>40010411</v>
      </c>
      <c r="B3397" s="2" t="s">
        <v>3825</v>
      </c>
      <c r="C3397" s="5" t="s">
        <v>9249</v>
      </c>
      <c r="D3397" s="21">
        <v>1</v>
      </c>
      <c r="E3397" s="21"/>
      <c r="F3397" s="21" t="s">
        <v>10438</v>
      </c>
      <c r="G3397" s="21"/>
      <c r="H3397" s="54">
        <v>56</v>
      </c>
      <c r="I3397" s="51"/>
      <c r="J3397" s="27"/>
      <c r="K3397" s="27"/>
      <c r="L3397" s="15"/>
      <c r="M3397" s="15"/>
      <c r="N3397" s="4" t="s">
        <v>5020</v>
      </c>
      <c r="O3397" s="4"/>
    </row>
    <row r="3398" spans="1:15" x14ac:dyDescent="0.2">
      <c r="A3398" s="2">
        <v>40005941</v>
      </c>
      <c r="B3398" s="2" t="s">
        <v>1348</v>
      </c>
      <c r="C3398" s="5" t="s">
        <v>7054</v>
      </c>
      <c r="D3398" s="21">
        <v>5</v>
      </c>
      <c r="E3398" s="21"/>
      <c r="F3398" s="21" t="s">
        <v>10438</v>
      </c>
      <c r="G3398" s="21"/>
      <c r="H3398" s="54">
        <v>24</v>
      </c>
      <c r="I3398" s="51"/>
      <c r="J3398" s="27"/>
      <c r="K3398" s="27"/>
      <c r="L3398" s="15"/>
      <c r="M3398" s="15"/>
      <c r="N3398" s="4" t="s">
        <v>4329</v>
      </c>
      <c r="O3398" s="4"/>
    </row>
    <row r="3399" spans="1:15" x14ac:dyDescent="0.2">
      <c r="A3399" s="2">
        <v>40005187</v>
      </c>
      <c r="B3399" s="2" t="s">
        <v>731</v>
      </c>
      <c r="C3399" s="5" t="s">
        <v>6444</v>
      </c>
      <c r="D3399" s="21">
        <v>1</v>
      </c>
      <c r="E3399" s="21"/>
      <c r="F3399" s="21" t="s">
        <v>10438</v>
      </c>
      <c r="G3399" s="21"/>
      <c r="H3399" s="54">
        <v>54</v>
      </c>
      <c r="I3399" s="51"/>
      <c r="J3399" s="27"/>
      <c r="K3399" s="27"/>
      <c r="L3399" s="15"/>
      <c r="M3399" s="15"/>
      <c r="N3399" s="4" t="s">
        <v>3998</v>
      </c>
      <c r="O3399" s="4"/>
    </row>
    <row r="3400" spans="1:15" x14ac:dyDescent="0.2">
      <c r="A3400" s="2">
        <v>40005407</v>
      </c>
      <c r="B3400" s="2" t="s">
        <v>5427</v>
      </c>
      <c r="C3400" s="5" t="s">
        <v>6606</v>
      </c>
      <c r="D3400" s="21">
        <v>3</v>
      </c>
      <c r="E3400" s="21"/>
      <c r="F3400" s="21" t="s">
        <v>10438</v>
      </c>
      <c r="G3400" s="21"/>
      <c r="H3400" s="54">
        <v>92</v>
      </c>
      <c r="I3400" s="51"/>
      <c r="J3400" s="27"/>
      <c r="K3400" s="27"/>
      <c r="L3400" s="15"/>
      <c r="M3400" s="15"/>
      <c r="N3400" s="4" t="s">
        <v>4108</v>
      </c>
      <c r="O3400" s="4"/>
    </row>
    <row r="3401" spans="1:15" x14ac:dyDescent="0.2">
      <c r="A3401" s="2">
        <v>40005888</v>
      </c>
      <c r="B3401" s="2" t="s">
        <v>1304</v>
      </c>
      <c r="C3401" s="5" t="s">
        <v>7014</v>
      </c>
      <c r="D3401" s="21">
        <v>2</v>
      </c>
      <c r="E3401" s="21"/>
      <c r="F3401" s="21" t="s">
        <v>10438</v>
      </c>
      <c r="G3401" s="21"/>
      <c r="H3401" s="54">
        <v>22</v>
      </c>
      <c r="I3401" s="51"/>
      <c r="J3401" s="27"/>
      <c r="K3401" s="27"/>
      <c r="L3401" s="15"/>
      <c r="M3401" s="15"/>
      <c r="N3401" s="4" t="s">
        <v>4103</v>
      </c>
      <c r="O3401" s="4" t="s">
        <v>10361</v>
      </c>
    </row>
    <row r="3402" spans="1:15" x14ac:dyDescent="0.2">
      <c r="A3402" s="2">
        <v>40006321</v>
      </c>
      <c r="B3402" s="2" t="s">
        <v>1688</v>
      </c>
      <c r="C3402" s="5" t="s">
        <v>7398</v>
      </c>
      <c r="D3402" s="21">
        <v>3</v>
      </c>
      <c r="E3402" s="21"/>
      <c r="F3402" s="21" t="s">
        <v>10438</v>
      </c>
      <c r="G3402" s="21"/>
      <c r="H3402" s="54">
        <v>32</v>
      </c>
      <c r="I3402" s="51"/>
      <c r="J3402" s="27"/>
      <c r="K3402" s="27"/>
      <c r="L3402" s="15"/>
      <c r="M3402" s="15"/>
      <c r="N3402" s="4" t="s">
        <v>4525</v>
      </c>
      <c r="O3402" s="4"/>
    </row>
    <row r="3403" spans="1:15" x14ac:dyDescent="0.2">
      <c r="A3403" s="2">
        <v>40006022</v>
      </c>
      <c r="B3403" s="2" t="s">
        <v>1424</v>
      </c>
      <c r="C3403" s="5" t="s">
        <v>7126</v>
      </c>
      <c r="D3403" s="21">
        <v>3</v>
      </c>
      <c r="E3403" s="21"/>
      <c r="F3403" s="21" t="s">
        <v>10438</v>
      </c>
      <c r="G3403" s="21"/>
      <c r="H3403" s="54">
        <v>40</v>
      </c>
      <c r="I3403" s="51"/>
      <c r="J3403" s="27"/>
      <c r="K3403" s="27"/>
      <c r="L3403" s="15"/>
      <c r="M3403" s="15"/>
      <c r="N3403" s="4" t="s">
        <v>4486</v>
      </c>
      <c r="O3403" s="4"/>
    </row>
    <row r="3404" spans="1:15" x14ac:dyDescent="0.2">
      <c r="A3404" s="2">
        <v>40005883</v>
      </c>
      <c r="B3404" s="2" t="s">
        <v>1299</v>
      </c>
      <c r="C3404" s="5" t="s">
        <v>7009</v>
      </c>
      <c r="D3404" s="21">
        <v>4</v>
      </c>
      <c r="E3404" s="21"/>
      <c r="F3404" s="21" t="s">
        <v>10438</v>
      </c>
      <c r="G3404" s="21"/>
      <c r="H3404" s="54">
        <v>17</v>
      </c>
      <c r="I3404" s="51"/>
      <c r="J3404" s="27"/>
      <c r="K3404" s="27"/>
      <c r="L3404" s="15"/>
      <c r="M3404" s="15"/>
      <c r="N3404" s="4" t="s">
        <v>4304</v>
      </c>
      <c r="O3404" s="4"/>
    </row>
    <row r="3405" spans="1:15" x14ac:dyDescent="0.2">
      <c r="A3405" s="2">
        <v>40007350</v>
      </c>
      <c r="B3405" s="2" t="s">
        <v>2583</v>
      </c>
      <c r="C3405" s="5" t="s">
        <v>8281</v>
      </c>
      <c r="D3405" s="21">
        <v>4</v>
      </c>
      <c r="E3405" s="21"/>
      <c r="F3405" s="21" t="s">
        <v>10438</v>
      </c>
      <c r="G3405" s="21"/>
      <c r="H3405" s="54">
        <v>352</v>
      </c>
      <c r="I3405" s="51"/>
      <c r="J3405" s="27"/>
      <c r="K3405" s="27"/>
      <c r="L3405" s="15"/>
      <c r="M3405" s="15"/>
      <c r="N3405" s="4" t="s">
        <v>4925</v>
      </c>
      <c r="O3405" s="4"/>
    </row>
    <row r="3406" spans="1:15" x14ac:dyDescent="0.2">
      <c r="A3406" s="2">
        <v>40005884</v>
      </c>
      <c r="B3406" s="2" t="s">
        <v>1300</v>
      </c>
      <c r="C3406" s="5" t="s">
        <v>7010</v>
      </c>
      <c r="D3406" s="21">
        <v>11</v>
      </c>
      <c r="E3406" s="21"/>
      <c r="F3406" s="21" t="s">
        <v>10438</v>
      </c>
      <c r="G3406" s="21"/>
      <c r="H3406" s="54">
        <v>32</v>
      </c>
      <c r="I3406" s="51"/>
      <c r="J3406" s="27"/>
      <c r="K3406" s="27"/>
      <c r="L3406" s="15"/>
      <c r="M3406" s="15"/>
      <c r="N3406" s="4" t="s">
        <v>4305</v>
      </c>
      <c r="O3406" s="4"/>
    </row>
    <row r="3407" spans="1:15" x14ac:dyDescent="0.2">
      <c r="A3407" s="2">
        <v>40006206</v>
      </c>
      <c r="B3407" s="2" t="s">
        <v>1589</v>
      </c>
      <c r="C3407" s="5" t="s">
        <v>7296</v>
      </c>
      <c r="D3407" s="21">
        <v>1</v>
      </c>
      <c r="E3407" s="21"/>
      <c r="F3407" s="21" t="s">
        <v>10438</v>
      </c>
      <c r="G3407" s="21"/>
      <c r="H3407" s="54">
        <v>311</v>
      </c>
      <c r="I3407" s="51"/>
      <c r="J3407" s="27"/>
      <c r="K3407" s="27"/>
      <c r="L3407" s="15"/>
      <c r="M3407" s="15"/>
      <c r="N3407" s="4" t="s">
        <v>4473</v>
      </c>
      <c r="O3407" s="4"/>
    </row>
    <row r="3408" spans="1:15" x14ac:dyDescent="0.2">
      <c r="A3408" s="2">
        <v>40005978</v>
      </c>
      <c r="B3408" s="2" t="s">
        <v>1383</v>
      </c>
      <c r="C3408" s="5" t="s">
        <v>7089</v>
      </c>
      <c r="D3408" s="21">
        <v>3</v>
      </c>
      <c r="E3408" s="21"/>
      <c r="F3408" s="21" t="s">
        <v>10438</v>
      </c>
      <c r="G3408" s="21"/>
      <c r="H3408" s="54">
        <v>58</v>
      </c>
      <c r="I3408" s="51"/>
      <c r="J3408" s="27"/>
      <c r="K3408" s="27"/>
      <c r="L3408" s="15"/>
      <c r="M3408" s="15"/>
      <c r="N3408" s="4" t="s">
        <v>4347</v>
      </c>
      <c r="O3408" s="4"/>
    </row>
    <row r="3409" spans="1:15" x14ac:dyDescent="0.2">
      <c r="A3409" s="2">
        <v>40007684</v>
      </c>
      <c r="B3409" s="2" t="s">
        <v>2862</v>
      </c>
      <c r="C3409" s="5" t="s">
        <v>8561</v>
      </c>
      <c r="D3409" s="21">
        <v>5</v>
      </c>
      <c r="E3409" s="21"/>
      <c r="F3409" s="21" t="s">
        <v>10438</v>
      </c>
      <c r="G3409" s="21"/>
      <c r="H3409" s="54">
        <v>188</v>
      </c>
      <c r="I3409" s="51"/>
      <c r="J3409" s="27"/>
      <c r="K3409" s="27"/>
      <c r="L3409" s="15"/>
      <c r="M3409" s="15"/>
      <c r="N3409" s="4" t="s">
        <v>4173</v>
      </c>
      <c r="O3409" s="4"/>
    </row>
    <row r="3410" spans="1:15" x14ac:dyDescent="0.2">
      <c r="A3410" s="2">
        <v>40006611</v>
      </c>
      <c r="B3410" s="2" t="s">
        <v>1947</v>
      </c>
      <c r="C3410" s="5" t="s">
        <v>7656</v>
      </c>
      <c r="D3410" s="21">
        <v>7</v>
      </c>
      <c r="E3410" s="21"/>
      <c r="F3410" s="21" t="s">
        <v>10438</v>
      </c>
      <c r="G3410" s="21"/>
      <c r="H3410" s="54">
        <v>61</v>
      </c>
      <c r="I3410" s="51"/>
      <c r="J3410" s="27"/>
      <c r="K3410" s="27"/>
      <c r="L3410" s="15"/>
      <c r="M3410" s="15"/>
      <c r="N3410" s="4" t="s">
        <v>4108</v>
      </c>
      <c r="O3410" s="4"/>
    </row>
    <row r="3411" spans="1:15" x14ac:dyDescent="0.2">
      <c r="A3411" s="2">
        <v>40008210</v>
      </c>
      <c r="B3411" s="2" t="s">
        <v>3330</v>
      </c>
      <c r="C3411" s="5" t="s">
        <v>9022</v>
      </c>
      <c r="D3411" s="21"/>
      <c r="E3411" s="21"/>
      <c r="F3411" s="30">
        <v>1</v>
      </c>
      <c r="G3411" s="21"/>
      <c r="H3411" s="54">
        <v>23</v>
      </c>
      <c r="I3411" s="51"/>
      <c r="J3411" s="27"/>
      <c r="K3411" s="27"/>
      <c r="L3411" s="15"/>
      <c r="M3411" s="15"/>
      <c r="N3411" s="4" t="s">
        <v>4366</v>
      </c>
      <c r="O3411" s="4"/>
    </row>
    <row r="3412" spans="1:15" x14ac:dyDescent="0.2">
      <c r="A3412" s="2">
        <v>40006578</v>
      </c>
      <c r="B3412" s="2" t="s">
        <v>1915</v>
      </c>
      <c r="C3412" s="5" t="s">
        <v>7623</v>
      </c>
      <c r="D3412" s="21">
        <v>12</v>
      </c>
      <c r="E3412" s="21"/>
      <c r="F3412" s="21" t="s">
        <v>10438</v>
      </c>
      <c r="G3412" s="21"/>
      <c r="H3412" s="54">
        <v>78</v>
      </c>
      <c r="I3412" s="51"/>
      <c r="J3412" s="27"/>
      <c r="K3412" s="27"/>
      <c r="L3412" s="15"/>
      <c r="M3412" s="15"/>
      <c r="N3412" s="4" t="s">
        <v>4629</v>
      </c>
      <c r="O3412" s="4"/>
    </row>
    <row r="3413" spans="1:15" x14ac:dyDescent="0.2">
      <c r="A3413" s="2">
        <v>40007404</v>
      </c>
      <c r="B3413" s="2" t="s">
        <v>2629</v>
      </c>
      <c r="C3413" s="5" t="s">
        <v>8328</v>
      </c>
      <c r="D3413" s="21">
        <v>10</v>
      </c>
      <c r="E3413" s="21"/>
      <c r="F3413" s="21" t="s">
        <v>10438</v>
      </c>
      <c r="G3413" s="21"/>
      <c r="H3413" s="54">
        <v>84</v>
      </c>
      <c r="I3413" s="51"/>
      <c r="J3413" s="27"/>
      <c r="K3413" s="27"/>
      <c r="L3413" s="15"/>
      <c r="M3413" s="15"/>
      <c r="N3413" s="4"/>
      <c r="O3413" s="4" t="s">
        <v>10226</v>
      </c>
    </row>
    <row r="3414" spans="1:15" x14ac:dyDescent="0.2">
      <c r="A3414" s="2">
        <v>40007691</v>
      </c>
      <c r="B3414" s="2" t="s">
        <v>2869</v>
      </c>
      <c r="C3414" s="5" t="s">
        <v>8568</v>
      </c>
      <c r="D3414" s="21">
        <v>10</v>
      </c>
      <c r="E3414" s="21"/>
      <c r="F3414" s="21" t="s">
        <v>10438</v>
      </c>
      <c r="G3414" s="21"/>
      <c r="H3414" s="54">
        <v>57</v>
      </c>
      <c r="I3414" s="51"/>
      <c r="J3414" s="27"/>
      <c r="K3414" s="27"/>
      <c r="L3414" s="15"/>
      <c r="M3414" s="15"/>
      <c r="N3414" s="4" t="s">
        <v>5036</v>
      </c>
      <c r="O3414" s="4"/>
    </row>
    <row r="3415" spans="1:15" x14ac:dyDescent="0.2">
      <c r="A3415" s="2">
        <v>40007689</v>
      </c>
      <c r="B3415" s="2" t="s">
        <v>2867</v>
      </c>
      <c r="C3415" s="5" t="s">
        <v>8566</v>
      </c>
      <c r="D3415" s="21">
        <v>7</v>
      </c>
      <c r="E3415" s="21"/>
      <c r="F3415" s="21" t="s">
        <v>10438</v>
      </c>
      <c r="G3415" s="21"/>
      <c r="H3415" s="54">
        <v>31</v>
      </c>
      <c r="I3415" s="51"/>
      <c r="J3415" s="27"/>
      <c r="K3415" s="27"/>
      <c r="L3415" s="15"/>
      <c r="M3415" s="15"/>
      <c r="N3415" s="4"/>
      <c r="O3415" s="4" t="s">
        <v>10186</v>
      </c>
    </row>
    <row r="3416" spans="1:15" x14ac:dyDescent="0.2">
      <c r="A3416" s="2">
        <v>40007542</v>
      </c>
      <c r="B3416" s="2" t="s">
        <v>2743</v>
      </c>
      <c r="C3416" s="5" t="s">
        <v>8444</v>
      </c>
      <c r="D3416" s="21">
        <v>14</v>
      </c>
      <c r="E3416" s="21"/>
      <c r="F3416" s="21" t="s">
        <v>10438</v>
      </c>
      <c r="G3416" s="21"/>
      <c r="H3416" s="54">
        <v>75</v>
      </c>
      <c r="I3416" s="51"/>
      <c r="J3416" s="27"/>
      <c r="K3416" s="27"/>
      <c r="L3416" s="15"/>
      <c r="M3416" s="15"/>
      <c r="N3416" s="4" t="s">
        <v>4596</v>
      </c>
      <c r="O3416" s="4" t="s">
        <v>10135</v>
      </c>
    </row>
    <row r="3417" spans="1:15" x14ac:dyDescent="0.2">
      <c r="A3417" s="2">
        <v>40008245</v>
      </c>
      <c r="B3417" s="2" t="s">
        <v>3362</v>
      </c>
      <c r="C3417" s="5" t="s">
        <v>9054</v>
      </c>
      <c r="D3417" s="21">
        <v>23</v>
      </c>
      <c r="E3417" s="21"/>
      <c r="F3417" s="30">
        <v>1</v>
      </c>
      <c r="G3417" s="21"/>
      <c r="H3417" s="54">
        <v>113</v>
      </c>
      <c r="I3417" s="51"/>
      <c r="J3417" s="27"/>
      <c r="K3417" s="27"/>
      <c r="L3417" s="15"/>
      <c r="M3417" s="15"/>
      <c r="N3417" s="4" t="s">
        <v>5218</v>
      </c>
      <c r="O3417" s="4"/>
    </row>
    <row r="3418" spans="1:15" x14ac:dyDescent="0.2">
      <c r="A3418" s="2">
        <v>40008286</v>
      </c>
      <c r="B3418" s="2" t="s">
        <v>3397</v>
      </c>
      <c r="C3418" s="5" t="s">
        <v>9089</v>
      </c>
      <c r="D3418" s="21">
        <v>6</v>
      </c>
      <c r="E3418" s="21"/>
      <c r="F3418" s="21" t="s">
        <v>10438</v>
      </c>
      <c r="G3418" s="21"/>
      <c r="H3418" s="54">
        <v>408</v>
      </c>
      <c r="I3418" s="51"/>
      <c r="J3418" s="27"/>
      <c r="K3418" s="27"/>
      <c r="L3418" s="15"/>
      <c r="M3418" s="15"/>
      <c r="N3418" s="4"/>
      <c r="O3418" s="4" t="s">
        <v>4136</v>
      </c>
    </row>
    <row r="3419" spans="1:15" x14ac:dyDescent="0.2">
      <c r="A3419" s="2">
        <v>40008287</v>
      </c>
      <c r="B3419" s="2" t="s">
        <v>3398</v>
      </c>
      <c r="C3419" s="5" t="s">
        <v>9090</v>
      </c>
      <c r="D3419" s="21">
        <v>10</v>
      </c>
      <c r="E3419" s="21"/>
      <c r="F3419" s="21" t="s">
        <v>10438</v>
      </c>
      <c r="G3419" s="21"/>
      <c r="H3419" s="54">
        <v>144</v>
      </c>
      <c r="I3419" s="51"/>
      <c r="J3419" s="27"/>
      <c r="K3419" s="27"/>
      <c r="L3419" s="15"/>
      <c r="M3419" s="15"/>
      <c r="N3419" s="4" t="s">
        <v>10480</v>
      </c>
      <c r="O3419" s="4"/>
    </row>
    <row r="3420" spans="1:15" x14ac:dyDescent="0.2">
      <c r="A3420" s="2">
        <v>40005974</v>
      </c>
      <c r="B3420" s="2" t="s">
        <v>1379</v>
      </c>
      <c r="C3420" s="5" t="s">
        <v>7085</v>
      </c>
      <c r="D3420" s="21">
        <v>3</v>
      </c>
      <c r="E3420" s="21"/>
      <c r="F3420" s="21" t="s">
        <v>10438</v>
      </c>
      <c r="G3420" s="21"/>
      <c r="H3420" s="54">
        <v>193</v>
      </c>
      <c r="I3420" s="51"/>
      <c r="J3420" s="27"/>
      <c r="K3420" s="27"/>
      <c r="L3420" s="15"/>
      <c r="M3420" s="15"/>
      <c r="N3420" s="4" t="s">
        <v>4344</v>
      </c>
      <c r="O3420" s="4"/>
    </row>
    <row r="3421" spans="1:15" x14ac:dyDescent="0.2">
      <c r="A3421" s="2">
        <v>40005973</v>
      </c>
      <c r="B3421" s="2" t="s">
        <v>1378</v>
      </c>
      <c r="C3421" s="5" t="s">
        <v>7084</v>
      </c>
      <c r="D3421" s="21">
        <v>3</v>
      </c>
      <c r="E3421" s="21"/>
      <c r="F3421" s="21" t="s">
        <v>10438</v>
      </c>
      <c r="G3421" s="21"/>
      <c r="H3421" s="54">
        <v>556</v>
      </c>
      <c r="I3421" s="51"/>
      <c r="J3421" s="27"/>
      <c r="K3421" s="27"/>
      <c r="L3421" s="15"/>
      <c r="M3421" s="15"/>
      <c r="N3421" s="4" t="s">
        <v>4343</v>
      </c>
      <c r="O3421" s="4"/>
    </row>
    <row r="3422" spans="1:15" x14ac:dyDescent="0.2">
      <c r="A3422" s="2">
        <v>40005661</v>
      </c>
      <c r="B3422" s="2" t="s">
        <v>1099</v>
      </c>
      <c r="C3422" s="5" t="s">
        <v>6817</v>
      </c>
      <c r="D3422" s="21">
        <v>4</v>
      </c>
      <c r="E3422" s="21"/>
      <c r="F3422" s="21" t="s">
        <v>10438</v>
      </c>
      <c r="G3422" s="21"/>
      <c r="H3422" s="54">
        <v>59</v>
      </c>
      <c r="I3422" s="51"/>
      <c r="J3422" s="27"/>
      <c r="K3422" s="27"/>
      <c r="L3422" s="15"/>
      <c r="M3422" s="15"/>
      <c r="N3422" s="4" t="s">
        <v>4200</v>
      </c>
      <c r="O3422" s="4"/>
    </row>
    <row r="3423" spans="1:15" x14ac:dyDescent="0.2">
      <c r="A3423" s="2">
        <v>40005662</v>
      </c>
      <c r="B3423" s="2" t="s">
        <v>1100</v>
      </c>
      <c r="C3423" s="5" t="s">
        <v>6818</v>
      </c>
      <c r="D3423" s="21">
        <v>3</v>
      </c>
      <c r="E3423" s="21"/>
      <c r="F3423" s="21" t="s">
        <v>10438</v>
      </c>
      <c r="G3423" s="21"/>
      <c r="H3423" s="54">
        <v>117</v>
      </c>
      <c r="I3423" s="51"/>
      <c r="J3423" s="27"/>
      <c r="K3423" s="27"/>
      <c r="L3423" s="15"/>
      <c r="M3423" s="15"/>
      <c r="N3423" s="4" t="s">
        <v>4201</v>
      </c>
      <c r="O3423" s="4"/>
    </row>
    <row r="3424" spans="1:15" x14ac:dyDescent="0.2">
      <c r="A3424" s="2">
        <v>40006176</v>
      </c>
      <c r="B3424" s="2" t="s">
        <v>1561</v>
      </c>
      <c r="C3424" s="5" t="s">
        <v>7268</v>
      </c>
      <c r="D3424" s="21">
        <v>1</v>
      </c>
      <c r="E3424" s="21"/>
      <c r="F3424" s="21" t="s">
        <v>10438</v>
      </c>
      <c r="G3424" s="21"/>
      <c r="H3424" s="54">
        <v>1483</v>
      </c>
      <c r="I3424" s="51"/>
      <c r="J3424" s="27"/>
      <c r="K3424" s="27"/>
      <c r="L3424" s="15"/>
      <c r="M3424" s="15"/>
      <c r="N3424" s="4" t="s">
        <v>4452</v>
      </c>
      <c r="O3424" s="4"/>
    </row>
    <row r="3425" spans="1:15" x14ac:dyDescent="0.2">
      <c r="A3425" s="2">
        <v>40006185</v>
      </c>
      <c r="B3425" s="2" t="s">
        <v>1570</v>
      </c>
      <c r="C3425" s="5" t="s">
        <v>7277</v>
      </c>
      <c r="D3425" s="21">
        <v>4</v>
      </c>
      <c r="E3425" s="21"/>
      <c r="F3425" s="21" t="s">
        <v>10438</v>
      </c>
      <c r="G3425" s="21"/>
      <c r="H3425" s="54">
        <v>487</v>
      </c>
      <c r="I3425" s="51"/>
      <c r="J3425" s="27"/>
      <c r="K3425" s="27"/>
      <c r="L3425" s="15"/>
      <c r="M3425" s="15"/>
      <c r="N3425" s="4" t="s">
        <v>4094</v>
      </c>
      <c r="O3425" s="4"/>
    </row>
    <row r="3426" spans="1:15" x14ac:dyDescent="0.2">
      <c r="A3426" s="2">
        <v>40005624</v>
      </c>
      <c r="B3426" s="2" t="s">
        <v>1067</v>
      </c>
      <c r="C3426" s="5" t="s">
        <v>6795</v>
      </c>
      <c r="D3426" s="21">
        <v>15</v>
      </c>
      <c r="E3426" s="21"/>
      <c r="F3426" s="21" t="s">
        <v>10438</v>
      </c>
      <c r="G3426" s="21"/>
      <c r="H3426" s="54">
        <v>52</v>
      </c>
      <c r="I3426" s="51"/>
      <c r="J3426" s="27"/>
      <c r="K3426" s="27"/>
      <c r="L3426" s="15"/>
      <c r="M3426" s="15"/>
      <c r="N3426" s="4" t="s">
        <v>4095</v>
      </c>
      <c r="O3426" s="4" t="s">
        <v>10210</v>
      </c>
    </row>
    <row r="3427" spans="1:15" x14ac:dyDescent="0.2">
      <c r="A3427" s="2">
        <v>40005620</v>
      </c>
      <c r="B3427" s="2" t="s">
        <v>1063</v>
      </c>
      <c r="C3427" s="5" t="s">
        <v>6791</v>
      </c>
      <c r="D3427" s="21">
        <v>10</v>
      </c>
      <c r="E3427" s="21"/>
      <c r="F3427" s="21" t="s">
        <v>10438</v>
      </c>
      <c r="G3427" s="21"/>
      <c r="H3427" s="54">
        <v>13</v>
      </c>
      <c r="I3427" s="51"/>
      <c r="J3427" s="27"/>
      <c r="K3427" s="27"/>
      <c r="L3427" s="15"/>
      <c r="M3427" s="15"/>
      <c r="N3427" s="4"/>
      <c r="O3427" s="4" t="s">
        <v>10195</v>
      </c>
    </row>
    <row r="3428" spans="1:15" x14ac:dyDescent="0.2">
      <c r="A3428" s="2">
        <v>40006419</v>
      </c>
      <c r="B3428" s="2" t="s">
        <v>1778</v>
      </c>
      <c r="C3428" s="5" t="s">
        <v>7488</v>
      </c>
      <c r="D3428" s="21">
        <v>2</v>
      </c>
      <c r="E3428" s="21"/>
      <c r="F3428" s="21" t="s">
        <v>10438</v>
      </c>
      <c r="G3428" s="21"/>
      <c r="H3428" s="54">
        <v>276</v>
      </c>
      <c r="I3428" s="51"/>
      <c r="J3428" s="27"/>
      <c r="K3428" s="27"/>
      <c r="L3428" s="15"/>
      <c r="M3428" s="15"/>
      <c r="N3428" s="4" t="s">
        <v>4453</v>
      </c>
      <c r="O3428" s="4"/>
    </row>
    <row r="3429" spans="1:15" x14ac:dyDescent="0.2">
      <c r="A3429" s="2">
        <v>40006357</v>
      </c>
      <c r="B3429" s="2" t="s">
        <v>1720</v>
      </c>
      <c r="C3429" s="5" t="s">
        <v>7430</v>
      </c>
      <c r="D3429" s="21">
        <v>6</v>
      </c>
      <c r="E3429" s="21"/>
      <c r="F3429" s="21" t="s">
        <v>10438</v>
      </c>
      <c r="G3429" s="21"/>
      <c r="H3429" s="54">
        <v>34</v>
      </c>
      <c r="I3429" s="51"/>
      <c r="J3429" s="27"/>
      <c r="K3429" s="27"/>
      <c r="L3429" s="15"/>
      <c r="M3429" s="15"/>
      <c r="N3429" s="4" t="s">
        <v>4544</v>
      </c>
      <c r="O3429" s="4"/>
    </row>
    <row r="3430" spans="1:15" x14ac:dyDescent="0.2">
      <c r="A3430" s="2">
        <v>40006038</v>
      </c>
      <c r="B3430" s="2" t="s">
        <v>1439</v>
      </c>
      <c r="C3430" s="5" t="s">
        <v>7141</v>
      </c>
      <c r="D3430" s="21">
        <v>5</v>
      </c>
      <c r="E3430" s="21"/>
      <c r="F3430" s="21" t="s">
        <v>10438</v>
      </c>
      <c r="G3430" s="21"/>
      <c r="H3430" s="54">
        <v>90</v>
      </c>
      <c r="I3430" s="51"/>
      <c r="J3430" s="27"/>
      <c r="K3430" s="27"/>
      <c r="L3430" s="15"/>
      <c r="M3430" s="15"/>
      <c r="N3430" s="4" t="s">
        <v>4381</v>
      </c>
      <c r="O3430" s="4"/>
    </row>
    <row r="3431" spans="1:15" x14ac:dyDescent="0.2">
      <c r="A3431" s="2">
        <v>40007686</v>
      </c>
      <c r="B3431" s="2" t="s">
        <v>2864</v>
      </c>
      <c r="C3431" s="5" t="s">
        <v>8563</v>
      </c>
      <c r="D3431" s="21">
        <v>1</v>
      </c>
      <c r="E3431" s="21"/>
      <c r="F3431" s="21" t="s">
        <v>10438</v>
      </c>
      <c r="G3431" s="21"/>
      <c r="H3431" s="54">
        <v>408</v>
      </c>
      <c r="I3431" s="51"/>
      <c r="J3431" s="27"/>
      <c r="K3431" s="27"/>
      <c r="L3431" s="15"/>
      <c r="M3431" s="15"/>
      <c r="N3431" s="4" t="s">
        <v>4551</v>
      </c>
      <c r="O3431" s="4"/>
    </row>
    <row r="3432" spans="1:15" x14ac:dyDescent="0.2">
      <c r="A3432" s="2">
        <v>40007113</v>
      </c>
      <c r="B3432" s="2" t="s">
        <v>2383</v>
      </c>
      <c r="C3432" s="5" t="s">
        <v>8089</v>
      </c>
      <c r="D3432" s="21">
        <v>10</v>
      </c>
      <c r="E3432" s="21"/>
      <c r="F3432" s="21" t="s">
        <v>10438</v>
      </c>
      <c r="G3432" s="21"/>
      <c r="H3432" s="54">
        <v>30</v>
      </c>
      <c r="I3432" s="51"/>
      <c r="J3432" s="27"/>
      <c r="K3432" s="27"/>
      <c r="L3432" s="15"/>
      <c r="M3432" s="15"/>
      <c r="N3432" s="4" t="s">
        <v>4834</v>
      </c>
      <c r="O3432" s="4" t="s">
        <v>10131</v>
      </c>
    </row>
    <row r="3433" spans="1:15" x14ac:dyDescent="0.2">
      <c r="A3433" s="2">
        <v>40007541</v>
      </c>
      <c r="B3433" s="2" t="s">
        <v>2742</v>
      </c>
      <c r="C3433" s="5" t="s">
        <v>8443</v>
      </c>
      <c r="D3433" s="21">
        <v>16</v>
      </c>
      <c r="E3433" s="21"/>
      <c r="F3433" s="21" t="s">
        <v>10438</v>
      </c>
      <c r="G3433" s="21"/>
      <c r="H3433" s="54">
        <v>62</v>
      </c>
      <c r="I3433" s="51"/>
      <c r="J3433" s="27"/>
      <c r="K3433" s="27"/>
      <c r="L3433" s="15"/>
      <c r="M3433" s="15"/>
      <c r="N3433" s="4" t="s">
        <v>4992</v>
      </c>
      <c r="O3433" s="4" t="s">
        <v>4709</v>
      </c>
    </row>
    <row r="3434" spans="1:15" x14ac:dyDescent="0.2">
      <c r="A3434" s="2">
        <v>40006608</v>
      </c>
      <c r="B3434" s="2" t="s">
        <v>1944</v>
      </c>
      <c r="C3434" s="5" t="s">
        <v>7653</v>
      </c>
      <c r="D3434" s="21">
        <v>7</v>
      </c>
      <c r="E3434" s="21"/>
      <c r="F3434" s="21" t="s">
        <v>10438</v>
      </c>
      <c r="G3434" s="21"/>
      <c r="H3434" s="54">
        <v>61</v>
      </c>
      <c r="I3434" s="51"/>
      <c r="J3434" s="27"/>
      <c r="K3434" s="27"/>
      <c r="L3434" s="15"/>
      <c r="M3434" s="15"/>
      <c r="N3434" s="4" t="s">
        <v>4108</v>
      </c>
      <c r="O3434" s="4"/>
    </row>
    <row r="3435" spans="1:15" x14ac:dyDescent="0.2">
      <c r="A3435" s="2">
        <v>40005967</v>
      </c>
      <c r="B3435" s="2" t="s">
        <v>1372</v>
      </c>
      <c r="C3435" s="5" t="s">
        <v>7078</v>
      </c>
      <c r="D3435" s="21">
        <v>7</v>
      </c>
      <c r="E3435" s="21"/>
      <c r="F3435" s="21" t="s">
        <v>10438</v>
      </c>
      <c r="G3435" s="21"/>
      <c r="H3435" s="54">
        <v>65</v>
      </c>
      <c r="I3435" s="51"/>
      <c r="J3435" s="27"/>
      <c r="K3435" s="27"/>
      <c r="L3435" s="15"/>
      <c r="M3435" s="15"/>
      <c r="N3435" s="4" t="s">
        <v>4339</v>
      </c>
      <c r="O3435" s="4"/>
    </row>
    <row r="3436" spans="1:15" x14ac:dyDescent="0.2">
      <c r="A3436" s="2">
        <v>40006617</v>
      </c>
      <c r="B3436" s="2" t="s">
        <v>1953</v>
      </c>
      <c r="C3436" s="5" t="s">
        <v>7662</v>
      </c>
      <c r="D3436" s="21">
        <v>1</v>
      </c>
      <c r="E3436" s="21"/>
      <c r="F3436" s="21" t="s">
        <v>10438</v>
      </c>
      <c r="G3436" s="21"/>
      <c r="H3436" s="54">
        <v>98</v>
      </c>
      <c r="I3436" s="51"/>
      <c r="J3436" s="27"/>
      <c r="K3436" s="27"/>
      <c r="L3436" s="15"/>
      <c r="M3436" s="15"/>
      <c r="N3436" s="4" t="s">
        <v>4625</v>
      </c>
      <c r="O3436" s="4"/>
    </row>
    <row r="3437" spans="1:15" x14ac:dyDescent="0.2">
      <c r="A3437" s="2">
        <v>40007358</v>
      </c>
      <c r="B3437" s="2" t="s">
        <v>2590</v>
      </c>
      <c r="C3437" s="5" t="s">
        <v>8289</v>
      </c>
      <c r="D3437" s="21">
        <v>26</v>
      </c>
      <c r="E3437" s="21"/>
      <c r="F3437" s="21" t="s">
        <v>10438</v>
      </c>
      <c r="G3437" s="21"/>
      <c r="H3437" s="54">
        <v>312</v>
      </c>
      <c r="I3437" s="51"/>
      <c r="J3437" s="27"/>
      <c r="K3437" s="27"/>
      <c r="L3437" s="15"/>
      <c r="M3437" s="15"/>
      <c r="N3437" s="4" t="s">
        <v>4802</v>
      </c>
      <c r="O3437" s="4" t="s">
        <v>10137</v>
      </c>
    </row>
    <row r="3438" spans="1:15" x14ac:dyDescent="0.2">
      <c r="A3438" s="2">
        <v>40008152</v>
      </c>
      <c r="B3438" s="2" t="s">
        <v>3275</v>
      </c>
      <c r="C3438" s="5" t="s">
        <v>8970</v>
      </c>
      <c r="D3438" s="21">
        <v>3</v>
      </c>
      <c r="E3438" s="21"/>
      <c r="F3438" s="30">
        <v>1</v>
      </c>
      <c r="G3438" s="21"/>
      <c r="H3438" s="54">
        <v>4</v>
      </c>
      <c r="I3438" s="51"/>
      <c r="J3438" s="27"/>
      <c r="K3438" s="27"/>
      <c r="L3438" s="15"/>
      <c r="M3438" s="15"/>
      <c r="N3438" s="4" t="s">
        <v>4824</v>
      </c>
      <c r="O3438" s="4"/>
    </row>
    <row r="3439" spans="1:15" x14ac:dyDescent="0.2">
      <c r="A3439" s="2">
        <v>10018946</v>
      </c>
      <c r="B3439" s="2" t="s">
        <v>377</v>
      </c>
      <c r="C3439" s="5" t="s">
        <v>5973</v>
      </c>
      <c r="D3439" s="21">
        <v>1</v>
      </c>
      <c r="E3439" s="21"/>
      <c r="F3439" s="21" t="s">
        <v>10438</v>
      </c>
      <c r="G3439" s="21"/>
      <c r="H3439" s="54">
        <v>43</v>
      </c>
      <c r="I3439" s="51"/>
      <c r="J3439" s="27"/>
      <c r="K3439" s="27"/>
      <c r="L3439" s="15"/>
      <c r="M3439" s="15"/>
      <c r="N3439" s="4" t="s">
        <v>3951</v>
      </c>
      <c r="O3439" s="4"/>
    </row>
    <row r="3440" spans="1:15" x14ac:dyDescent="0.2">
      <c r="A3440" s="2">
        <v>40005687</v>
      </c>
      <c r="B3440" s="2" t="s">
        <v>1121</v>
      </c>
      <c r="C3440" s="5" t="s">
        <v>6839</v>
      </c>
      <c r="D3440" s="21">
        <v>10</v>
      </c>
      <c r="E3440" s="21"/>
      <c r="F3440" s="21" t="s">
        <v>10438</v>
      </c>
      <c r="G3440" s="21"/>
      <c r="H3440" s="54">
        <v>476</v>
      </c>
      <c r="I3440" s="51"/>
      <c r="J3440" s="27"/>
      <c r="K3440" s="27"/>
      <c r="L3440" s="15"/>
      <c r="M3440" s="15"/>
      <c r="N3440" s="4"/>
      <c r="O3440" s="4" t="s">
        <v>10201</v>
      </c>
    </row>
    <row r="3441" spans="1:15" x14ac:dyDescent="0.2">
      <c r="A3441" s="2">
        <v>40010253</v>
      </c>
      <c r="B3441" s="2" t="s">
        <v>3447</v>
      </c>
      <c r="C3441" s="5" t="s">
        <v>9141</v>
      </c>
      <c r="D3441" s="21">
        <v>4</v>
      </c>
      <c r="E3441" s="21"/>
      <c r="F3441" s="21" t="s">
        <v>10438</v>
      </c>
      <c r="G3441" s="21"/>
      <c r="H3441" s="54">
        <v>43</v>
      </c>
      <c r="I3441" s="51"/>
      <c r="J3441" s="27"/>
      <c r="K3441" s="27"/>
      <c r="L3441" s="15"/>
      <c r="M3441" s="15"/>
      <c r="N3441" s="4" t="s">
        <v>4329</v>
      </c>
      <c r="O3441" s="4"/>
    </row>
    <row r="3442" spans="1:15" x14ac:dyDescent="0.2">
      <c r="A3442" s="2">
        <v>40006944</v>
      </c>
      <c r="B3442" s="2" t="s">
        <v>2235</v>
      </c>
      <c r="C3442" s="5" t="s">
        <v>7942</v>
      </c>
      <c r="D3442" s="21">
        <v>9</v>
      </c>
      <c r="E3442" s="21"/>
      <c r="F3442" s="21" t="s">
        <v>10438</v>
      </c>
      <c r="G3442" s="21"/>
      <c r="H3442" s="54">
        <v>3</v>
      </c>
      <c r="I3442" s="51"/>
      <c r="J3442" s="27"/>
      <c r="K3442" s="27"/>
      <c r="L3442" s="15"/>
      <c r="M3442" s="15"/>
      <c r="N3442" s="4" t="s">
        <v>4595</v>
      </c>
      <c r="O3442" s="4"/>
    </row>
    <row r="3443" spans="1:15" x14ac:dyDescent="0.2">
      <c r="A3443" s="2">
        <v>40005436</v>
      </c>
      <c r="B3443" s="2" t="s">
        <v>910</v>
      </c>
      <c r="C3443" s="5" t="s">
        <v>5318</v>
      </c>
      <c r="D3443" s="21"/>
      <c r="E3443" s="21"/>
      <c r="F3443" s="21" t="s">
        <v>10438</v>
      </c>
      <c r="G3443" s="21"/>
      <c r="H3443" s="54">
        <v>109</v>
      </c>
      <c r="I3443" s="51"/>
      <c r="J3443" s="27"/>
      <c r="K3443" s="27"/>
      <c r="L3443" s="15"/>
      <c r="M3443" s="15"/>
      <c r="N3443" s="4" t="s">
        <v>4107</v>
      </c>
      <c r="O3443" s="4"/>
    </row>
    <row r="3444" spans="1:15" x14ac:dyDescent="0.2">
      <c r="A3444" s="2">
        <v>40005485</v>
      </c>
      <c r="B3444" s="2" t="s">
        <v>955</v>
      </c>
      <c r="C3444" s="5" t="s">
        <v>6677</v>
      </c>
      <c r="D3444" s="21">
        <v>1</v>
      </c>
      <c r="E3444" s="21"/>
      <c r="F3444" s="21" t="s">
        <v>10438</v>
      </c>
      <c r="G3444" s="21"/>
      <c r="H3444" s="54">
        <v>14</v>
      </c>
      <c r="I3444" s="51"/>
      <c r="J3444" s="27"/>
      <c r="K3444" s="27"/>
      <c r="L3444" s="15"/>
      <c r="M3444" s="15"/>
      <c r="N3444" s="4" t="s">
        <v>4131</v>
      </c>
      <c r="O3444" s="4"/>
    </row>
    <row r="3445" spans="1:15" x14ac:dyDescent="0.2">
      <c r="A3445" s="2">
        <v>40005487</v>
      </c>
      <c r="B3445" s="2" t="s">
        <v>957</v>
      </c>
      <c r="C3445" s="5" t="s">
        <v>6679</v>
      </c>
      <c r="D3445" s="21">
        <v>4</v>
      </c>
      <c r="E3445" s="21"/>
      <c r="F3445" s="21" t="s">
        <v>10438</v>
      </c>
      <c r="G3445" s="21"/>
      <c r="H3445" s="54">
        <v>26</v>
      </c>
      <c r="I3445" s="51"/>
      <c r="J3445" s="27"/>
      <c r="K3445" s="27"/>
      <c r="L3445" s="15"/>
      <c r="M3445" s="15"/>
      <c r="N3445" s="4" t="s">
        <v>4116</v>
      </c>
      <c r="O3445" s="4"/>
    </row>
    <row r="3446" spans="1:15" x14ac:dyDescent="0.2">
      <c r="A3446" s="2">
        <v>40006998</v>
      </c>
      <c r="B3446" s="2" t="s">
        <v>2284</v>
      </c>
      <c r="C3446" s="5" t="s">
        <v>7992</v>
      </c>
      <c r="D3446" s="21">
        <v>62</v>
      </c>
      <c r="E3446" s="21"/>
      <c r="F3446" s="21" t="s">
        <v>10438</v>
      </c>
      <c r="G3446" s="21"/>
      <c r="H3446" s="54">
        <v>2</v>
      </c>
      <c r="I3446" s="51"/>
      <c r="J3446" s="27"/>
      <c r="K3446" s="27"/>
      <c r="L3446" s="15"/>
      <c r="M3446" s="15"/>
      <c r="N3446" s="4" t="s">
        <v>3988</v>
      </c>
      <c r="O3446" s="4"/>
    </row>
    <row r="3447" spans="1:15" x14ac:dyDescent="0.2">
      <c r="A3447" s="2">
        <v>40005379</v>
      </c>
      <c r="B3447" s="2" t="s">
        <v>857</v>
      </c>
      <c r="C3447" s="5" t="s">
        <v>6579</v>
      </c>
      <c r="D3447" s="21">
        <v>6</v>
      </c>
      <c r="E3447" s="21"/>
      <c r="F3447" s="21" t="s">
        <v>10438</v>
      </c>
      <c r="G3447" s="21"/>
      <c r="H3447" s="54">
        <v>8</v>
      </c>
      <c r="I3447" s="51"/>
      <c r="J3447" s="27"/>
      <c r="K3447" s="27"/>
      <c r="L3447" s="15"/>
      <c r="M3447" s="15"/>
      <c r="N3447" s="4" t="s">
        <v>4085</v>
      </c>
      <c r="O3447" s="4"/>
    </row>
    <row r="3448" spans="1:15" x14ac:dyDescent="0.2">
      <c r="A3448" s="2">
        <v>40008043</v>
      </c>
      <c r="B3448" s="2" t="s">
        <v>3687</v>
      </c>
      <c r="C3448" s="5" t="s">
        <v>8874</v>
      </c>
      <c r="D3448" s="21">
        <v>10</v>
      </c>
      <c r="E3448" s="21"/>
      <c r="F3448" s="21" t="s">
        <v>10438</v>
      </c>
      <c r="G3448" s="21"/>
      <c r="H3448" s="54">
        <v>2</v>
      </c>
      <c r="I3448" s="51"/>
      <c r="J3448" s="27"/>
      <c r="K3448" s="27"/>
      <c r="L3448" s="15"/>
      <c r="M3448" s="15">
        <v>1</v>
      </c>
      <c r="N3448" s="4" t="s">
        <v>4428</v>
      </c>
      <c r="O3448" s="4"/>
    </row>
    <row r="3449" spans="1:15" x14ac:dyDescent="0.2">
      <c r="A3449" s="2">
        <v>40007230</v>
      </c>
      <c r="B3449" s="2" t="s">
        <v>2486</v>
      </c>
      <c r="C3449" s="5">
        <v>170213690</v>
      </c>
      <c r="D3449" s="21">
        <v>10</v>
      </c>
      <c r="E3449" s="21"/>
      <c r="F3449" s="21" t="s">
        <v>10438</v>
      </c>
      <c r="G3449" s="21"/>
      <c r="H3449" s="54">
        <v>4</v>
      </c>
      <c r="I3449" s="51"/>
      <c r="J3449" s="27"/>
      <c r="K3449" s="27"/>
      <c r="L3449" s="15"/>
      <c r="M3449" s="15"/>
      <c r="N3449" s="4" t="s">
        <v>4242</v>
      </c>
      <c r="O3449" s="4"/>
    </row>
    <row r="3450" spans="1:15" x14ac:dyDescent="0.2">
      <c r="A3450" s="2">
        <v>40008180</v>
      </c>
      <c r="B3450" s="2" t="s">
        <v>3303</v>
      </c>
      <c r="C3450" s="5">
        <v>170213730</v>
      </c>
      <c r="D3450" s="21">
        <v>10</v>
      </c>
      <c r="E3450" s="21"/>
      <c r="F3450" s="21" t="s">
        <v>10438</v>
      </c>
      <c r="G3450" s="21"/>
      <c r="H3450" s="54">
        <v>4</v>
      </c>
      <c r="I3450" s="51"/>
      <c r="J3450" s="27"/>
      <c r="K3450" s="27"/>
      <c r="L3450" s="15"/>
      <c r="M3450" s="15"/>
      <c r="N3450" s="4" t="s">
        <v>4571</v>
      </c>
      <c r="O3450" s="4"/>
    </row>
    <row r="3451" spans="1:15" x14ac:dyDescent="0.2">
      <c r="A3451" s="2">
        <v>40006821</v>
      </c>
      <c r="B3451" s="2" t="s">
        <v>2120</v>
      </c>
      <c r="C3451" s="5" t="s">
        <v>7829</v>
      </c>
      <c r="D3451" s="21">
        <v>2</v>
      </c>
      <c r="E3451" s="21"/>
      <c r="F3451" s="21" t="s">
        <v>10438</v>
      </c>
      <c r="G3451" s="21"/>
      <c r="H3451" s="54">
        <v>4</v>
      </c>
      <c r="I3451" s="51"/>
      <c r="J3451" s="27"/>
      <c r="K3451" s="27"/>
      <c r="L3451" s="15"/>
      <c r="M3451" s="15"/>
      <c r="N3451" s="4" t="s">
        <v>4261</v>
      </c>
      <c r="O3451" s="4"/>
    </row>
    <row r="3452" spans="1:15" x14ac:dyDescent="0.2">
      <c r="A3452" s="2">
        <v>40006288</v>
      </c>
      <c r="B3452" s="2" t="s">
        <v>1661</v>
      </c>
      <c r="C3452" s="5" t="s">
        <v>7369</v>
      </c>
      <c r="D3452" s="21">
        <v>10</v>
      </c>
      <c r="E3452" s="21"/>
      <c r="F3452" s="21" t="s">
        <v>10438</v>
      </c>
      <c r="G3452" s="21"/>
      <c r="H3452" s="54">
        <v>14</v>
      </c>
      <c r="I3452" s="51"/>
      <c r="J3452" s="27"/>
      <c r="K3452" s="27"/>
      <c r="L3452" s="15"/>
      <c r="M3452" s="15"/>
      <c r="N3452" s="4" t="s">
        <v>4510</v>
      </c>
      <c r="O3452" s="4"/>
    </row>
    <row r="3453" spans="1:15" x14ac:dyDescent="0.2">
      <c r="A3453" s="2">
        <v>40007911</v>
      </c>
      <c r="B3453" s="2" t="s">
        <v>3066</v>
      </c>
      <c r="C3453" s="5" t="s">
        <v>8757</v>
      </c>
      <c r="D3453" s="21">
        <v>5</v>
      </c>
      <c r="E3453" s="21"/>
      <c r="F3453" s="21" t="s">
        <v>10438</v>
      </c>
      <c r="G3453" s="21"/>
      <c r="H3453" s="54">
        <v>8</v>
      </c>
      <c r="I3453" s="51"/>
      <c r="J3453" s="27"/>
      <c r="K3453" s="27"/>
      <c r="L3453" s="15"/>
      <c r="M3453" s="15"/>
      <c r="N3453" s="4" t="s">
        <v>4944</v>
      </c>
      <c r="O3453" s="4"/>
    </row>
    <row r="3454" spans="1:15" x14ac:dyDescent="0.2">
      <c r="A3454" s="2">
        <v>40007539</v>
      </c>
      <c r="B3454" s="2" t="s">
        <v>2740</v>
      </c>
      <c r="C3454" s="5" t="s">
        <v>8441</v>
      </c>
      <c r="D3454" s="21">
        <v>2</v>
      </c>
      <c r="E3454" s="21"/>
      <c r="F3454" s="21" t="s">
        <v>10438</v>
      </c>
      <c r="G3454" s="21"/>
      <c r="H3454" s="54">
        <v>154</v>
      </c>
      <c r="I3454" s="51"/>
      <c r="J3454" s="27"/>
      <c r="K3454" s="27"/>
      <c r="L3454" s="15"/>
      <c r="M3454" s="15"/>
      <c r="N3454" s="4" t="s">
        <v>4519</v>
      </c>
      <c r="O3454" s="4"/>
    </row>
    <row r="3455" spans="1:15" x14ac:dyDescent="0.2">
      <c r="A3455" s="2">
        <v>40011416</v>
      </c>
      <c r="B3455" s="2" t="s">
        <v>5310</v>
      </c>
      <c r="C3455" s="5" t="s">
        <v>9394</v>
      </c>
      <c r="D3455" s="21">
        <v>4</v>
      </c>
      <c r="E3455" s="21"/>
      <c r="F3455" s="21" t="s">
        <v>10438</v>
      </c>
      <c r="G3455" s="21"/>
      <c r="H3455" s="54">
        <v>2</v>
      </c>
      <c r="I3455" s="51"/>
      <c r="J3455" s="27"/>
      <c r="K3455" s="27"/>
      <c r="L3455" s="15"/>
      <c r="M3455" s="15"/>
      <c r="N3455" s="4" t="s">
        <v>5053</v>
      </c>
      <c r="O3455" s="4"/>
    </row>
    <row r="3456" spans="1:15" x14ac:dyDescent="0.2">
      <c r="A3456" s="2">
        <v>40008200</v>
      </c>
      <c r="B3456" s="2" t="s">
        <v>3320</v>
      </c>
      <c r="C3456" s="5" t="s">
        <v>9012</v>
      </c>
      <c r="D3456" s="21">
        <v>6</v>
      </c>
      <c r="E3456" s="21"/>
      <c r="F3456" s="21" t="s">
        <v>10438</v>
      </c>
      <c r="G3456" s="21"/>
      <c r="H3456" s="54">
        <v>17</v>
      </c>
      <c r="I3456" s="51"/>
      <c r="J3456" s="27"/>
      <c r="K3456" s="27"/>
      <c r="L3456" s="15"/>
      <c r="M3456" s="15"/>
      <c r="N3456" s="4" t="s">
        <v>4611</v>
      </c>
      <c r="O3456" s="4"/>
    </row>
    <row r="3457" spans="1:15" x14ac:dyDescent="0.2">
      <c r="A3457" s="2">
        <v>40008012</v>
      </c>
      <c r="B3457" s="2" t="s">
        <v>3152</v>
      </c>
      <c r="C3457" s="5" t="s">
        <v>8847</v>
      </c>
      <c r="D3457" s="21">
        <v>49</v>
      </c>
      <c r="E3457" s="21"/>
      <c r="F3457" s="21" t="s">
        <v>10438</v>
      </c>
      <c r="G3457" s="21"/>
      <c r="H3457" s="54">
        <v>5</v>
      </c>
      <c r="I3457" s="51"/>
      <c r="J3457" s="27"/>
      <c r="K3457" s="27"/>
      <c r="L3457" s="15"/>
      <c r="M3457" s="15"/>
      <c r="N3457" s="4" t="s">
        <v>4250</v>
      </c>
      <c r="O3457" s="4"/>
    </row>
    <row r="3458" spans="1:15" x14ac:dyDescent="0.2">
      <c r="A3458" s="2">
        <v>40005433</v>
      </c>
      <c r="B3458" s="2" t="s">
        <v>908</v>
      </c>
      <c r="C3458" s="5" t="s">
        <v>6630</v>
      </c>
      <c r="D3458" s="21">
        <v>2</v>
      </c>
      <c r="E3458" s="21"/>
      <c r="F3458" s="21" t="s">
        <v>10438</v>
      </c>
      <c r="G3458" s="21"/>
      <c r="H3458" s="54">
        <v>14</v>
      </c>
      <c r="I3458" s="51"/>
      <c r="J3458" s="27"/>
      <c r="K3458" s="27"/>
      <c r="L3458" s="15"/>
      <c r="M3458" s="15"/>
      <c r="N3458" s="4" t="s">
        <v>4116</v>
      </c>
      <c r="O3458" s="4"/>
    </row>
    <row r="3459" spans="1:15" x14ac:dyDescent="0.2">
      <c r="A3459" s="2">
        <v>40007086</v>
      </c>
      <c r="B3459" s="2" t="s">
        <v>2359</v>
      </c>
      <c r="C3459" s="5">
        <v>225213060</v>
      </c>
      <c r="D3459" s="21">
        <v>21</v>
      </c>
      <c r="E3459" s="21"/>
      <c r="F3459" s="21" t="s">
        <v>10438</v>
      </c>
      <c r="G3459" s="21"/>
      <c r="H3459" s="54">
        <v>21</v>
      </c>
      <c r="I3459" s="51"/>
      <c r="J3459" s="27"/>
      <c r="K3459" s="27"/>
      <c r="L3459" s="15"/>
      <c r="M3459" s="15"/>
      <c r="N3459" s="4" t="s">
        <v>4201</v>
      </c>
      <c r="O3459" s="4"/>
    </row>
    <row r="3460" spans="1:15" x14ac:dyDescent="0.2">
      <c r="A3460" s="2">
        <v>40007152</v>
      </c>
      <c r="B3460" s="2" t="s">
        <v>2420</v>
      </c>
      <c r="C3460" s="5" t="s">
        <v>8122</v>
      </c>
      <c r="D3460" s="21">
        <v>5</v>
      </c>
      <c r="E3460" s="21"/>
      <c r="F3460" s="21" t="s">
        <v>10438</v>
      </c>
      <c r="G3460" s="21"/>
      <c r="H3460" s="54">
        <v>12</v>
      </c>
      <c r="I3460" s="51"/>
      <c r="J3460" s="27"/>
      <c r="K3460" s="27"/>
      <c r="L3460" s="15"/>
      <c r="M3460" s="15"/>
      <c r="N3460" s="4" t="s">
        <v>4030</v>
      </c>
      <c r="O3460" s="4"/>
    </row>
    <row r="3461" spans="1:15" x14ac:dyDescent="0.2">
      <c r="A3461" s="2">
        <v>40006555</v>
      </c>
      <c r="B3461" s="2" t="s">
        <v>1895</v>
      </c>
      <c r="C3461" s="5" t="s">
        <v>7603</v>
      </c>
      <c r="D3461" s="21">
        <v>1</v>
      </c>
      <c r="E3461" s="21"/>
      <c r="F3461" s="21" t="s">
        <v>10438</v>
      </c>
      <c r="G3461" s="21"/>
      <c r="H3461" s="54">
        <v>64</v>
      </c>
      <c r="I3461" s="51"/>
      <c r="J3461" s="27"/>
      <c r="K3461" s="27"/>
      <c r="L3461" s="15"/>
      <c r="M3461" s="15"/>
      <c r="N3461" s="4" t="s">
        <v>4108</v>
      </c>
      <c r="O3461" s="4"/>
    </row>
    <row r="3462" spans="1:15" x14ac:dyDescent="0.2">
      <c r="A3462" s="2">
        <v>40006401</v>
      </c>
      <c r="B3462" s="2" t="s">
        <v>1761</v>
      </c>
      <c r="C3462" s="5" t="s">
        <v>7472</v>
      </c>
      <c r="D3462" s="21">
        <v>12</v>
      </c>
      <c r="E3462" s="21"/>
      <c r="F3462" s="21" t="s">
        <v>10438</v>
      </c>
      <c r="G3462" s="21"/>
      <c r="H3462" s="54">
        <v>79</v>
      </c>
      <c r="I3462" s="51"/>
      <c r="J3462" s="27"/>
      <c r="K3462" s="27"/>
      <c r="L3462" s="15"/>
      <c r="M3462" s="15"/>
      <c r="N3462" s="4" t="s">
        <v>4002</v>
      </c>
      <c r="O3462" s="4"/>
    </row>
    <row r="3463" spans="1:15" x14ac:dyDescent="0.2">
      <c r="A3463" s="2">
        <v>40007034</v>
      </c>
      <c r="B3463" s="2" t="s">
        <v>2313</v>
      </c>
      <c r="C3463" s="5" t="s">
        <v>8023</v>
      </c>
      <c r="D3463" s="21">
        <v>5</v>
      </c>
      <c r="E3463" s="21"/>
      <c r="F3463" s="21" t="s">
        <v>10438</v>
      </c>
      <c r="G3463" s="21"/>
      <c r="H3463" s="54">
        <v>8</v>
      </c>
      <c r="I3463" s="51"/>
      <c r="J3463" s="27"/>
      <c r="K3463" s="27"/>
      <c r="L3463" s="15"/>
      <c r="M3463" s="15"/>
      <c r="N3463" s="4" t="s">
        <v>4798</v>
      </c>
      <c r="O3463" s="4"/>
    </row>
    <row r="3464" spans="1:15" x14ac:dyDescent="0.2">
      <c r="A3464" s="2">
        <v>40007587</v>
      </c>
      <c r="B3464" s="2" t="s">
        <v>2782</v>
      </c>
      <c r="C3464" s="5" t="s">
        <v>8481</v>
      </c>
      <c r="D3464" s="21">
        <v>1</v>
      </c>
      <c r="E3464" s="21"/>
      <c r="F3464" s="21" t="s">
        <v>10438</v>
      </c>
      <c r="G3464" s="21"/>
      <c r="H3464" s="54">
        <v>7</v>
      </c>
      <c r="I3464" s="51"/>
      <c r="J3464" s="27"/>
      <c r="K3464" s="27"/>
      <c r="L3464" s="15"/>
      <c r="M3464" s="15"/>
      <c r="N3464" s="4" t="s">
        <v>4268</v>
      </c>
      <c r="O3464" s="4"/>
    </row>
    <row r="3465" spans="1:15" x14ac:dyDescent="0.2">
      <c r="A3465" s="2">
        <v>40006817</v>
      </c>
      <c r="B3465" s="2" t="s">
        <v>2116</v>
      </c>
      <c r="C3465" s="5" t="s">
        <v>7825</v>
      </c>
      <c r="D3465" s="21">
        <v>12</v>
      </c>
      <c r="E3465" s="21"/>
      <c r="F3465" s="21" t="s">
        <v>10438</v>
      </c>
      <c r="G3465" s="21"/>
      <c r="H3465" s="54">
        <v>5</v>
      </c>
      <c r="I3465" s="51"/>
      <c r="J3465" s="27"/>
      <c r="K3465" s="27"/>
      <c r="L3465" s="15"/>
      <c r="M3465" s="15"/>
      <c r="N3465" s="4" t="s">
        <v>4694</v>
      </c>
      <c r="O3465" s="4"/>
    </row>
    <row r="3466" spans="1:15" x14ac:dyDescent="0.2">
      <c r="A3466" s="2">
        <v>40007311</v>
      </c>
      <c r="B3466" s="2" t="s">
        <v>2553</v>
      </c>
      <c r="C3466" s="5" t="s">
        <v>8250</v>
      </c>
      <c r="D3466" s="21">
        <v>9</v>
      </c>
      <c r="E3466" s="21"/>
      <c r="F3466" s="21" t="s">
        <v>10438</v>
      </c>
      <c r="G3466" s="21"/>
      <c r="H3466" s="54">
        <v>36</v>
      </c>
      <c r="I3466" s="51"/>
      <c r="J3466" s="27"/>
      <c r="K3466" s="27"/>
      <c r="L3466" s="15"/>
      <c r="M3466" s="15"/>
      <c r="N3466" s="4" t="s">
        <v>4565</v>
      </c>
      <c r="O3466" s="4"/>
    </row>
    <row r="3467" spans="1:15" x14ac:dyDescent="0.2">
      <c r="A3467" s="2">
        <v>40007312</v>
      </c>
      <c r="B3467" s="2" t="s">
        <v>2554</v>
      </c>
      <c r="C3467" s="5" t="s">
        <v>8251</v>
      </c>
      <c r="D3467" s="21">
        <v>28</v>
      </c>
      <c r="E3467" s="21"/>
      <c r="F3467" s="21" t="s">
        <v>10438</v>
      </c>
      <c r="G3467" s="21"/>
      <c r="H3467" s="54">
        <v>30</v>
      </c>
      <c r="I3467" s="51"/>
      <c r="J3467" s="27"/>
      <c r="K3467" s="27"/>
      <c r="L3467" s="15"/>
      <c r="M3467" s="15"/>
      <c r="N3467" s="4" t="s">
        <v>4825</v>
      </c>
      <c r="O3467" s="4"/>
    </row>
    <row r="3468" spans="1:15" x14ac:dyDescent="0.2">
      <c r="A3468" s="2">
        <v>40008164</v>
      </c>
      <c r="B3468" s="2" t="s">
        <v>3287</v>
      </c>
      <c r="C3468" s="5" t="s">
        <v>8980</v>
      </c>
      <c r="D3468" s="21">
        <v>9</v>
      </c>
      <c r="E3468" s="21"/>
      <c r="F3468" s="21" t="s">
        <v>10438</v>
      </c>
      <c r="G3468" s="21"/>
      <c r="H3468" s="54">
        <v>12</v>
      </c>
      <c r="I3468" s="51"/>
      <c r="J3468" s="27"/>
      <c r="K3468" s="27"/>
      <c r="L3468" s="15"/>
      <c r="M3468" s="15"/>
      <c r="N3468" s="4" t="s">
        <v>4183</v>
      </c>
      <c r="O3468" s="4"/>
    </row>
    <row r="3469" spans="1:15" x14ac:dyDescent="0.2">
      <c r="A3469" s="2">
        <v>40007389</v>
      </c>
      <c r="B3469" s="2" t="s">
        <v>2616</v>
      </c>
      <c r="C3469" s="5" t="s">
        <v>8314</v>
      </c>
      <c r="D3469" s="21">
        <v>8</v>
      </c>
      <c r="E3469" s="21"/>
      <c r="F3469" s="21" t="s">
        <v>10438</v>
      </c>
      <c r="G3469" s="21"/>
      <c r="H3469" s="54">
        <v>4</v>
      </c>
      <c r="I3469" s="51"/>
      <c r="J3469" s="27"/>
      <c r="K3469" s="27"/>
      <c r="L3469" s="15"/>
      <c r="M3469" s="15"/>
      <c r="N3469" s="4" t="s">
        <v>4938</v>
      </c>
      <c r="O3469" s="4"/>
    </row>
    <row r="3470" spans="1:15" x14ac:dyDescent="0.2">
      <c r="A3470" s="2">
        <v>40005336</v>
      </c>
      <c r="B3470" s="2" t="s">
        <v>823</v>
      </c>
      <c r="C3470" s="5" t="s">
        <v>6540</v>
      </c>
      <c r="D3470" s="21">
        <v>2</v>
      </c>
      <c r="E3470" s="21"/>
      <c r="F3470" s="21" t="s">
        <v>10438</v>
      </c>
      <c r="G3470" s="21"/>
      <c r="H3470" s="54">
        <v>7</v>
      </c>
      <c r="I3470" s="51"/>
      <c r="J3470" s="27"/>
      <c r="K3470" s="27"/>
      <c r="L3470" s="15"/>
      <c r="M3470" s="15"/>
      <c r="N3470" s="4" t="s">
        <v>4058</v>
      </c>
      <c r="O3470" s="4"/>
    </row>
    <row r="3471" spans="1:15" x14ac:dyDescent="0.2">
      <c r="A3471" s="2">
        <v>40006792</v>
      </c>
      <c r="B3471" s="2" t="s">
        <v>2091</v>
      </c>
      <c r="C3471" s="5" t="s">
        <v>7800</v>
      </c>
      <c r="D3471" s="21"/>
      <c r="E3471" s="21"/>
      <c r="F3471" s="21" t="s">
        <v>10438</v>
      </c>
      <c r="G3471" s="21"/>
      <c r="H3471" s="54">
        <v>5</v>
      </c>
      <c r="I3471" s="51"/>
      <c r="J3471" s="27"/>
      <c r="K3471" s="27"/>
      <c r="L3471" s="15"/>
      <c r="M3471" s="15"/>
      <c r="N3471" s="4" t="s">
        <v>4632</v>
      </c>
      <c r="O3471" s="4"/>
    </row>
    <row r="3472" spans="1:15" x14ac:dyDescent="0.2">
      <c r="A3472" s="2">
        <v>40010369</v>
      </c>
      <c r="B3472" s="2" t="s">
        <v>3515</v>
      </c>
      <c r="C3472" s="5" t="s">
        <v>9216</v>
      </c>
      <c r="D3472" s="21"/>
      <c r="E3472" s="21"/>
      <c r="F3472" s="21" t="s">
        <v>10438</v>
      </c>
      <c r="G3472" s="21"/>
      <c r="H3472" s="54">
        <v>6</v>
      </c>
      <c r="I3472" s="51"/>
      <c r="J3472" s="27"/>
      <c r="K3472" s="27"/>
      <c r="L3472" s="15"/>
      <c r="M3472" s="15"/>
      <c r="N3472" s="4" t="s">
        <v>4042</v>
      </c>
      <c r="O3472" s="4"/>
    </row>
    <row r="3473" spans="1:15" x14ac:dyDescent="0.2">
      <c r="A3473" s="2">
        <v>40007401</v>
      </c>
      <c r="B3473" s="2" t="s">
        <v>2627</v>
      </c>
      <c r="C3473" s="5" t="s">
        <v>8325</v>
      </c>
      <c r="D3473" s="21">
        <v>14</v>
      </c>
      <c r="E3473" s="21"/>
      <c r="F3473" s="21" t="s">
        <v>10438</v>
      </c>
      <c r="G3473" s="21"/>
      <c r="H3473" s="54">
        <v>4</v>
      </c>
      <c r="I3473" s="51"/>
      <c r="J3473" s="27"/>
      <c r="K3473" s="27"/>
      <c r="L3473" s="15"/>
      <c r="M3473" s="15"/>
      <c r="N3473" s="4" t="s">
        <v>4944</v>
      </c>
      <c r="O3473" s="4"/>
    </row>
    <row r="3474" spans="1:15" x14ac:dyDescent="0.2">
      <c r="A3474" s="2">
        <v>40007515</v>
      </c>
      <c r="B3474" s="2" t="s">
        <v>2721</v>
      </c>
      <c r="C3474" s="5" t="s">
        <v>8424</v>
      </c>
      <c r="D3474" s="21"/>
      <c r="E3474" s="21"/>
      <c r="F3474" s="21" t="s">
        <v>10438</v>
      </c>
      <c r="G3474" s="21"/>
      <c r="H3474" s="54">
        <v>96</v>
      </c>
      <c r="I3474" s="51"/>
      <c r="J3474" s="27"/>
      <c r="K3474" s="27"/>
      <c r="L3474" s="15"/>
      <c r="M3474" s="15"/>
      <c r="N3474" s="4" t="s">
        <v>4359</v>
      </c>
      <c r="O3474" s="4"/>
    </row>
    <row r="3475" spans="1:15" x14ac:dyDescent="0.2">
      <c r="A3475" s="2">
        <v>40008236</v>
      </c>
      <c r="B3475" s="2" t="s">
        <v>3819</v>
      </c>
      <c r="C3475" s="5" t="s">
        <v>9045</v>
      </c>
      <c r="D3475" s="21">
        <v>22</v>
      </c>
      <c r="E3475" s="21"/>
      <c r="F3475" s="21" t="s">
        <v>10438</v>
      </c>
      <c r="G3475" s="21"/>
      <c r="H3475" s="54">
        <v>8</v>
      </c>
      <c r="I3475" s="51"/>
      <c r="J3475" s="27"/>
      <c r="K3475" s="27"/>
      <c r="L3475" s="15"/>
      <c r="M3475" s="15"/>
      <c r="N3475" s="4" t="s">
        <v>5215</v>
      </c>
      <c r="O3475" s="4"/>
    </row>
    <row r="3476" spans="1:15" x14ac:dyDescent="0.2">
      <c r="A3476" s="2">
        <v>40005610</v>
      </c>
      <c r="B3476" s="2" t="s">
        <v>1054</v>
      </c>
      <c r="C3476" s="5" t="s">
        <v>6782</v>
      </c>
      <c r="D3476" s="21">
        <v>28</v>
      </c>
      <c r="E3476" s="21"/>
      <c r="F3476" s="21" t="s">
        <v>10438</v>
      </c>
      <c r="G3476" s="21"/>
      <c r="H3476" s="54">
        <v>36</v>
      </c>
      <c r="I3476" s="51"/>
      <c r="J3476" s="27"/>
      <c r="K3476" s="27"/>
      <c r="L3476" s="15"/>
      <c r="M3476" s="15"/>
      <c r="N3476" s="4" t="s">
        <v>4174</v>
      </c>
      <c r="O3476" s="4"/>
    </row>
    <row r="3477" spans="1:15" x14ac:dyDescent="0.2">
      <c r="A3477" s="2">
        <v>40003875</v>
      </c>
      <c r="B3477" s="2" t="s">
        <v>704</v>
      </c>
      <c r="C3477" s="5" t="s">
        <v>6418</v>
      </c>
      <c r="D3477" s="21"/>
      <c r="E3477" s="21"/>
      <c r="F3477" s="21" t="s">
        <v>10438</v>
      </c>
      <c r="G3477" s="21"/>
      <c r="H3477" s="54">
        <v>77</v>
      </c>
      <c r="I3477" s="51"/>
      <c r="J3477" s="27"/>
      <c r="K3477" s="27"/>
      <c r="L3477" s="15"/>
      <c r="M3477" s="15">
        <v>3</v>
      </c>
      <c r="N3477" s="4" t="s">
        <v>3979</v>
      </c>
      <c r="O3477" s="4"/>
    </row>
    <row r="3478" spans="1:15" x14ac:dyDescent="0.2">
      <c r="A3478" s="2">
        <v>40005267</v>
      </c>
      <c r="B3478" s="2" t="s">
        <v>3734</v>
      </c>
      <c r="C3478" s="5" t="s">
        <v>6495</v>
      </c>
      <c r="D3478" s="21"/>
      <c r="E3478" s="21"/>
      <c r="F3478" s="21" t="s">
        <v>10438</v>
      </c>
      <c r="G3478" s="21"/>
      <c r="H3478" s="54">
        <v>310</v>
      </c>
      <c r="I3478" s="51"/>
      <c r="J3478" s="27"/>
      <c r="K3478" s="27"/>
      <c r="L3478" s="15"/>
      <c r="M3478" s="15"/>
      <c r="N3478" s="4"/>
      <c r="O3478" s="4">
        <v>64</v>
      </c>
    </row>
    <row r="3479" spans="1:15" x14ac:dyDescent="0.2">
      <c r="A3479" s="2">
        <v>40008246</v>
      </c>
      <c r="B3479" s="2" t="s">
        <v>3363</v>
      </c>
      <c r="C3479" s="5">
        <v>225213102</v>
      </c>
      <c r="D3479" s="21">
        <v>51</v>
      </c>
      <c r="E3479" s="21"/>
      <c r="F3479" s="21" t="s">
        <v>10438</v>
      </c>
      <c r="G3479" s="21"/>
      <c r="H3479" s="54">
        <v>92</v>
      </c>
      <c r="I3479" s="51"/>
      <c r="J3479" s="27"/>
      <c r="K3479" s="27"/>
      <c r="L3479" s="15"/>
      <c r="M3479" s="15"/>
      <c r="N3479" s="4"/>
      <c r="O3479" s="4">
        <v>90</v>
      </c>
    </row>
    <row r="3480" spans="1:15" x14ac:dyDescent="0.2">
      <c r="A3480" s="2">
        <v>40006929</v>
      </c>
      <c r="B3480" s="2" t="s">
        <v>2222</v>
      </c>
      <c r="C3480" s="5" t="s">
        <v>7931</v>
      </c>
      <c r="D3480" s="21">
        <v>4</v>
      </c>
      <c r="E3480" s="21"/>
      <c r="F3480" s="21" t="s">
        <v>10438</v>
      </c>
      <c r="G3480" s="21"/>
      <c r="H3480" s="54">
        <v>306</v>
      </c>
      <c r="I3480" s="51"/>
      <c r="J3480" s="27"/>
      <c r="K3480" s="27"/>
      <c r="L3480" s="15"/>
      <c r="M3480" s="15"/>
      <c r="N3480" s="4"/>
      <c r="O3480" s="4">
        <v>78</v>
      </c>
    </row>
    <row r="3481" spans="1:15" x14ac:dyDescent="0.2">
      <c r="A3481" s="2">
        <v>40006583</v>
      </c>
      <c r="B3481" s="2" t="s">
        <v>1920</v>
      </c>
      <c r="C3481" s="5" t="s">
        <v>7628</v>
      </c>
      <c r="D3481" s="21">
        <v>6</v>
      </c>
      <c r="E3481" s="21"/>
      <c r="F3481" s="21" t="s">
        <v>10438</v>
      </c>
      <c r="G3481" s="21"/>
      <c r="H3481" s="54">
        <v>274</v>
      </c>
      <c r="I3481" s="51"/>
      <c r="J3481" s="27"/>
      <c r="K3481" s="27"/>
      <c r="L3481" s="15"/>
      <c r="M3481" s="15"/>
      <c r="N3481" s="4" t="s">
        <v>3943</v>
      </c>
      <c r="O3481" s="4">
        <v>92</v>
      </c>
    </row>
    <row r="3482" spans="1:15" x14ac:dyDescent="0.2">
      <c r="A3482" s="2">
        <v>40007287</v>
      </c>
      <c r="B3482" s="2" t="s">
        <v>2532</v>
      </c>
      <c r="C3482" s="5">
        <v>170213780</v>
      </c>
      <c r="D3482" s="21">
        <v>2</v>
      </c>
      <c r="E3482" s="21"/>
      <c r="F3482" s="21" t="s">
        <v>10438</v>
      </c>
      <c r="G3482" s="21"/>
      <c r="H3482" s="54">
        <v>26</v>
      </c>
      <c r="I3482" s="51"/>
      <c r="J3482" s="27"/>
      <c r="K3482" s="27"/>
      <c r="L3482" s="15"/>
      <c r="M3482" s="15"/>
      <c r="N3482" s="4" t="s">
        <v>4250</v>
      </c>
      <c r="O3482" s="4"/>
    </row>
    <row r="3483" spans="1:15" x14ac:dyDescent="0.2">
      <c r="A3483" s="2">
        <v>40005916</v>
      </c>
      <c r="B3483" s="2" t="s">
        <v>1327</v>
      </c>
      <c r="C3483" s="5">
        <v>445045651</v>
      </c>
      <c r="D3483" s="21">
        <v>5</v>
      </c>
      <c r="E3483" s="21"/>
      <c r="F3483" s="21" t="s">
        <v>10438</v>
      </c>
      <c r="G3483" s="21"/>
      <c r="H3483" s="54">
        <v>619</v>
      </c>
      <c r="I3483" s="51"/>
      <c r="J3483" s="27"/>
      <c r="K3483" s="27"/>
      <c r="L3483" s="15"/>
      <c r="M3483" s="15"/>
      <c r="N3483" s="4">
        <v>79</v>
      </c>
      <c r="O3483" s="4"/>
    </row>
    <row r="3484" spans="1:15" x14ac:dyDescent="0.2">
      <c r="A3484" s="2">
        <v>40006173</v>
      </c>
      <c r="B3484" s="2" t="s">
        <v>5477</v>
      </c>
      <c r="C3484" s="5" t="s">
        <v>7265</v>
      </c>
      <c r="D3484" s="21">
        <v>7</v>
      </c>
      <c r="E3484" s="21"/>
      <c r="F3484" s="30">
        <v>1</v>
      </c>
      <c r="G3484" s="21"/>
      <c r="H3484" s="54">
        <v>297</v>
      </c>
      <c r="I3484" s="51"/>
      <c r="J3484" s="27"/>
      <c r="K3484" s="27"/>
      <c r="L3484" s="15"/>
      <c r="M3484" s="15"/>
      <c r="N3484" s="4" t="s">
        <v>5500</v>
      </c>
      <c r="O3484" s="4"/>
    </row>
    <row r="3485" spans="1:15" x14ac:dyDescent="0.2">
      <c r="A3485" s="2">
        <v>40006472</v>
      </c>
      <c r="B3485" s="2" t="s">
        <v>1825</v>
      </c>
      <c r="C3485" s="5" t="s">
        <v>7533</v>
      </c>
      <c r="D3485" s="21">
        <v>5</v>
      </c>
      <c r="E3485" s="21"/>
      <c r="F3485" s="21" t="s">
        <v>10438</v>
      </c>
      <c r="G3485" s="21"/>
      <c r="H3485" s="54">
        <v>279</v>
      </c>
      <c r="I3485" s="51"/>
      <c r="J3485" s="27"/>
      <c r="K3485" s="27"/>
      <c r="L3485" s="15"/>
      <c r="M3485" s="15"/>
      <c r="N3485" s="4" t="s">
        <v>4611</v>
      </c>
      <c r="O3485" s="4"/>
    </row>
    <row r="3486" spans="1:15" x14ac:dyDescent="0.2">
      <c r="A3486" s="2">
        <v>40006613</v>
      </c>
      <c r="B3486" s="2" t="s">
        <v>1949</v>
      </c>
      <c r="C3486" s="5" t="s">
        <v>7658</v>
      </c>
      <c r="D3486" s="21">
        <v>2</v>
      </c>
      <c r="E3486" s="21"/>
      <c r="F3486" s="21" t="s">
        <v>10438</v>
      </c>
      <c r="G3486" s="21"/>
      <c r="H3486" s="54">
        <v>54</v>
      </c>
      <c r="I3486" s="51"/>
      <c r="J3486" s="27"/>
      <c r="K3486" s="27"/>
      <c r="L3486" s="15"/>
      <c r="M3486" s="15"/>
      <c r="N3486" s="4" t="s">
        <v>4113</v>
      </c>
      <c r="O3486" s="4"/>
    </row>
    <row r="3487" spans="1:15" x14ac:dyDescent="0.2">
      <c r="A3487" s="2">
        <v>40005601</v>
      </c>
      <c r="B3487" s="2" t="s">
        <v>1045</v>
      </c>
      <c r="C3487" s="5" t="s">
        <v>6773</v>
      </c>
      <c r="D3487" s="21">
        <v>25</v>
      </c>
      <c r="E3487" s="21"/>
      <c r="F3487" s="21" t="s">
        <v>10438</v>
      </c>
      <c r="G3487" s="21"/>
      <c r="H3487" s="54">
        <v>7</v>
      </c>
      <c r="I3487" s="51"/>
      <c r="J3487" s="27"/>
      <c r="K3487" s="27"/>
      <c r="L3487" s="15"/>
      <c r="M3487" s="15"/>
      <c r="N3487" s="4" t="s">
        <v>4166</v>
      </c>
      <c r="O3487" s="4" t="s">
        <v>10196</v>
      </c>
    </row>
    <row r="3488" spans="1:15" x14ac:dyDescent="0.2">
      <c r="A3488" s="2">
        <v>40006612</v>
      </c>
      <c r="B3488" s="2" t="s">
        <v>1948</v>
      </c>
      <c r="C3488" s="5" t="s">
        <v>7657</v>
      </c>
      <c r="D3488" s="21">
        <v>2</v>
      </c>
      <c r="E3488" s="21"/>
      <c r="F3488" s="21" t="s">
        <v>10438</v>
      </c>
      <c r="G3488" s="21"/>
      <c r="H3488" s="54">
        <v>48</v>
      </c>
      <c r="I3488" s="51"/>
      <c r="J3488" s="27"/>
      <c r="K3488" s="27"/>
      <c r="L3488" s="15"/>
      <c r="M3488" s="15"/>
      <c r="N3488" s="4" t="s">
        <v>4595</v>
      </c>
      <c r="O3488" s="4"/>
    </row>
    <row r="3489" spans="1:15" x14ac:dyDescent="0.2">
      <c r="A3489" s="2">
        <v>40006207</v>
      </c>
      <c r="B3489" s="2" t="s">
        <v>1590</v>
      </c>
      <c r="C3489" s="5" t="s">
        <v>7297</v>
      </c>
      <c r="D3489" s="21">
        <v>8</v>
      </c>
      <c r="E3489" s="21"/>
      <c r="F3489" s="21" t="s">
        <v>10438</v>
      </c>
      <c r="G3489" s="21"/>
      <c r="H3489" s="54">
        <v>7</v>
      </c>
      <c r="I3489" s="51"/>
      <c r="J3489" s="27"/>
      <c r="K3489" s="27"/>
      <c r="L3489" s="15"/>
      <c r="M3489" s="15"/>
      <c r="N3489" s="4" t="s">
        <v>4473</v>
      </c>
      <c r="O3489" s="4"/>
    </row>
    <row r="3490" spans="1:15" x14ac:dyDescent="0.2">
      <c r="A3490" s="2">
        <v>40006820</v>
      </c>
      <c r="B3490" s="2" t="s">
        <v>2119</v>
      </c>
      <c r="C3490" s="5" t="s">
        <v>7828</v>
      </c>
      <c r="D3490" s="21">
        <v>19</v>
      </c>
      <c r="E3490" s="21"/>
      <c r="F3490" s="21" t="s">
        <v>10438</v>
      </c>
      <c r="G3490" s="21"/>
      <c r="H3490" s="54">
        <v>78</v>
      </c>
      <c r="I3490" s="51"/>
      <c r="J3490" s="27"/>
      <c r="K3490" s="27"/>
      <c r="L3490" s="15"/>
      <c r="M3490" s="15"/>
      <c r="N3490" s="4" t="s">
        <v>4696</v>
      </c>
      <c r="O3490" s="4"/>
    </row>
    <row r="3491" spans="1:15" x14ac:dyDescent="0.2">
      <c r="A3491" s="2">
        <v>40006616</v>
      </c>
      <c r="B3491" s="2" t="s">
        <v>1952</v>
      </c>
      <c r="C3491" s="5" t="s">
        <v>7661</v>
      </c>
      <c r="D3491" s="21">
        <v>6</v>
      </c>
      <c r="E3491" s="21"/>
      <c r="F3491" s="21" t="s">
        <v>10438</v>
      </c>
      <c r="G3491" s="21"/>
      <c r="H3491" s="54">
        <v>38</v>
      </c>
      <c r="I3491" s="51"/>
      <c r="J3491" s="27"/>
      <c r="K3491" s="27"/>
      <c r="L3491" s="15"/>
      <c r="M3491" s="15"/>
      <c r="N3491" s="4" t="s">
        <v>4108</v>
      </c>
      <c r="O3491" s="4"/>
    </row>
    <row r="3492" spans="1:15" x14ac:dyDescent="0.2">
      <c r="A3492" s="2">
        <v>40008072</v>
      </c>
      <c r="B3492" s="2" t="s">
        <v>3203</v>
      </c>
      <c r="C3492" s="5" t="s">
        <v>8899</v>
      </c>
      <c r="D3492" s="21">
        <v>4</v>
      </c>
      <c r="E3492" s="21"/>
      <c r="F3492" s="21" t="s">
        <v>10438</v>
      </c>
      <c r="G3492" s="21"/>
      <c r="H3492" s="54">
        <v>164</v>
      </c>
      <c r="I3492" s="51"/>
      <c r="J3492" s="27"/>
      <c r="K3492" s="27"/>
      <c r="L3492" s="15"/>
      <c r="M3492" s="15"/>
      <c r="N3492" s="4" t="s">
        <v>4515</v>
      </c>
      <c r="O3492" s="4"/>
    </row>
    <row r="3493" spans="1:15" x14ac:dyDescent="0.2">
      <c r="A3493" s="2">
        <v>40007486</v>
      </c>
      <c r="B3493" s="2" t="s">
        <v>2697</v>
      </c>
      <c r="C3493" s="5" t="s">
        <v>8398</v>
      </c>
      <c r="D3493" s="21">
        <v>19</v>
      </c>
      <c r="E3493" s="21"/>
      <c r="F3493" s="21" t="s">
        <v>10438</v>
      </c>
      <c r="G3493" s="21"/>
      <c r="H3493" s="54">
        <v>56</v>
      </c>
      <c r="I3493" s="51"/>
      <c r="J3493" s="27"/>
      <c r="K3493" s="27"/>
      <c r="L3493" s="15"/>
      <c r="M3493" s="15"/>
      <c r="N3493" s="4"/>
      <c r="O3493" s="4" t="s">
        <v>10165</v>
      </c>
    </row>
    <row r="3494" spans="1:15" x14ac:dyDescent="0.2">
      <c r="A3494" s="2">
        <v>40006609</v>
      </c>
      <c r="B3494" s="2" t="s">
        <v>1945</v>
      </c>
      <c r="C3494" s="5" t="s">
        <v>7654</v>
      </c>
      <c r="D3494" s="21">
        <v>10</v>
      </c>
      <c r="E3494" s="21"/>
      <c r="F3494" s="21" t="s">
        <v>10438</v>
      </c>
      <c r="G3494" s="21"/>
      <c r="H3494" s="54">
        <v>29</v>
      </c>
      <c r="I3494" s="51"/>
      <c r="J3494" s="27"/>
      <c r="K3494" s="27"/>
      <c r="L3494" s="15"/>
      <c r="M3494" s="15"/>
      <c r="N3494" s="4" t="s">
        <v>4113</v>
      </c>
      <c r="O3494" s="4"/>
    </row>
    <row r="3495" spans="1:15" x14ac:dyDescent="0.2">
      <c r="A3495" s="2">
        <v>40007089</v>
      </c>
      <c r="B3495" s="2" t="s">
        <v>2362</v>
      </c>
      <c r="C3495" s="5" t="s">
        <v>8068</v>
      </c>
      <c r="D3495" s="21">
        <v>1</v>
      </c>
      <c r="E3495" s="21"/>
      <c r="F3495" s="21" t="s">
        <v>10438</v>
      </c>
      <c r="G3495" s="21"/>
      <c r="H3495" s="54">
        <v>125</v>
      </c>
      <c r="I3495" s="51"/>
      <c r="J3495" s="27"/>
      <c r="K3495" s="27"/>
      <c r="L3495" s="15"/>
      <c r="M3495" s="15"/>
      <c r="N3495" s="4" t="s">
        <v>3936</v>
      </c>
      <c r="O3495" s="4"/>
    </row>
    <row r="3496" spans="1:15" x14ac:dyDescent="0.2">
      <c r="A3496" s="2">
        <v>40006969</v>
      </c>
      <c r="B3496" s="2" t="s">
        <v>2259</v>
      </c>
      <c r="C3496" s="5" t="s">
        <v>7965</v>
      </c>
      <c r="D3496" s="21">
        <v>2</v>
      </c>
      <c r="E3496" s="21"/>
      <c r="F3496" s="21" t="s">
        <v>10438</v>
      </c>
      <c r="G3496" s="21"/>
      <c r="H3496" s="54">
        <v>65</v>
      </c>
      <c r="I3496" s="51"/>
      <c r="J3496" s="27"/>
      <c r="K3496" s="27"/>
      <c r="L3496" s="15"/>
      <c r="M3496" s="15"/>
      <c r="N3496" s="4" t="s">
        <v>4768</v>
      </c>
      <c r="O3496" s="4"/>
    </row>
    <row r="3497" spans="1:15" x14ac:dyDescent="0.2">
      <c r="A3497" s="2">
        <v>40006238</v>
      </c>
      <c r="B3497" s="2" t="s">
        <v>1616</v>
      </c>
      <c r="C3497" s="5" t="s">
        <v>7320</v>
      </c>
      <c r="D3497" s="21">
        <v>10</v>
      </c>
      <c r="E3497" s="21"/>
      <c r="F3497" s="21" t="s">
        <v>10438</v>
      </c>
      <c r="G3497" s="21"/>
      <c r="H3497" s="54">
        <v>22</v>
      </c>
      <c r="I3497" s="51"/>
      <c r="J3497" s="27"/>
      <c r="K3497" s="27"/>
      <c r="L3497" s="15"/>
      <c r="M3497" s="15"/>
      <c r="N3497" s="4"/>
      <c r="O3497" s="4" t="s">
        <v>10171</v>
      </c>
    </row>
    <row r="3498" spans="1:15" x14ac:dyDescent="0.2">
      <c r="A3498" s="2">
        <v>40007685</v>
      </c>
      <c r="B3498" s="2" t="s">
        <v>2863</v>
      </c>
      <c r="C3498" s="5" t="s">
        <v>8562</v>
      </c>
      <c r="D3498" s="21">
        <v>31</v>
      </c>
      <c r="E3498" s="21"/>
      <c r="F3498" s="30">
        <v>1</v>
      </c>
      <c r="G3498" s="21"/>
      <c r="H3498" s="54">
        <v>77</v>
      </c>
      <c r="I3498" s="51"/>
      <c r="J3498" s="27"/>
      <c r="K3498" s="27"/>
      <c r="L3498" s="15"/>
      <c r="M3498" s="15"/>
      <c r="N3498" s="4" t="s">
        <v>5034</v>
      </c>
      <c r="O3498" s="4"/>
    </row>
    <row r="3499" spans="1:15" x14ac:dyDescent="0.2">
      <c r="A3499" s="2">
        <v>40006474</v>
      </c>
      <c r="B3499" s="2" t="s">
        <v>1827</v>
      </c>
      <c r="C3499" s="5" t="s">
        <v>7535</v>
      </c>
      <c r="D3499" s="21">
        <v>10</v>
      </c>
      <c r="E3499" s="21"/>
      <c r="F3499" s="21" t="s">
        <v>10438</v>
      </c>
      <c r="G3499" s="21"/>
      <c r="H3499" s="54">
        <v>79</v>
      </c>
      <c r="I3499" s="51"/>
      <c r="J3499" s="27"/>
      <c r="K3499" s="27"/>
      <c r="L3499" s="15"/>
      <c r="M3499" s="15"/>
      <c r="N3499" s="4" t="s">
        <v>4069</v>
      </c>
      <c r="O3499" s="4"/>
    </row>
    <row r="3500" spans="1:15" x14ac:dyDescent="0.2">
      <c r="A3500" s="2">
        <v>40005615</v>
      </c>
      <c r="B3500" s="2" t="s">
        <v>1058</v>
      </c>
      <c r="C3500" s="5" t="s">
        <v>6786</v>
      </c>
      <c r="D3500" s="21">
        <v>8</v>
      </c>
      <c r="E3500" s="21"/>
      <c r="F3500" s="21" t="s">
        <v>10438</v>
      </c>
      <c r="G3500" s="21"/>
      <c r="H3500" s="54">
        <v>7</v>
      </c>
      <c r="I3500" s="51"/>
      <c r="J3500" s="27"/>
      <c r="K3500" s="27"/>
      <c r="L3500" s="15"/>
      <c r="M3500" s="15"/>
      <c r="N3500" s="4" t="s">
        <v>4018</v>
      </c>
      <c r="O3500" s="4"/>
    </row>
    <row r="3501" spans="1:15" x14ac:dyDescent="0.2">
      <c r="A3501" s="2">
        <v>40006011</v>
      </c>
      <c r="B3501" s="2" t="s">
        <v>1416</v>
      </c>
      <c r="C3501" s="5" t="s">
        <v>5320</v>
      </c>
      <c r="D3501" s="21">
        <v>3</v>
      </c>
      <c r="E3501" s="21"/>
      <c r="F3501" s="21" t="s">
        <v>10438</v>
      </c>
      <c r="G3501" s="21"/>
      <c r="H3501" s="54">
        <v>10</v>
      </c>
      <c r="I3501" s="51"/>
      <c r="J3501" s="27"/>
      <c r="K3501" s="27"/>
      <c r="L3501" s="15"/>
      <c r="M3501" s="15"/>
      <c r="N3501" s="4" t="s">
        <v>4368</v>
      </c>
      <c r="O3501" s="4"/>
    </row>
    <row r="3502" spans="1:15" x14ac:dyDescent="0.2">
      <c r="A3502" s="2">
        <v>40005852</v>
      </c>
      <c r="B3502" s="2" t="s">
        <v>1268</v>
      </c>
      <c r="C3502" s="5">
        <v>1213020</v>
      </c>
      <c r="D3502" s="21">
        <v>1</v>
      </c>
      <c r="E3502" s="21"/>
      <c r="F3502" s="21" t="s">
        <v>10438</v>
      </c>
      <c r="G3502" s="21"/>
      <c r="H3502" s="54">
        <v>41</v>
      </c>
      <c r="I3502" s="51"/>
      <c r="J3502" s="27"/>
      <c r="K3502" s="27"/>
      <c r="L3502" s="15"/>
      <c r="M3502" s="15"/>
      <c r="N3502" s="4" t="s">
        <v>4290</v>
      </c>
      <c r="O3502" s="4"/>
    </row>
    <row r="3503" spans="1:15" x14ac:dyDescent="0.2">
      <c r="A3503" s="2">
        <v>40005800</v>
      </c>
      <c r="B3503" s="2" t="s">
        <v>1222</v>
      </c>
      <c r="C3503" s="5" t="s">
        <v>6935</v>
      </c>
      <c r="D3503" s="21">
        <v>5</v>
      </c>
      <c r="E3503" s="21"/>
      <c r="F3503" s="21" t="s">
        <v>10438</v>
      </c>
      <c r="G3503" s="21"/>
      <c r="H3503" s="54">
        <v>5</v>
      </c>
      <c r="I3503" s="51"/>
      <c r="J3503" s="27"/>
      <c r="K3503" s="27"/>
      <c r="L3503" s="15"/>
      <c r="M3503" s="15"/>
      <c r="N3503" s="4" t="s">
        <v>4267</v>
      </c>
      <c r="O3503" s="4"/>
    </row>
    <row r="3504" spans="1:15" x14ac:dyDescent="0.2">
      <c r="A3504" s="2">
        <v>40007059</v>
      </c>
      <c r="B3504" s="2" t="s">
        <v>2336</v>
      </c>
      <c r="C3504" s="5" t="s">
        <v>8045</v>
      </c>
      <c r="D3504" s="21">
        <v>24</v>
      </c>
      <c r="E3504" s="21"/>
      <c r="F3504" s="21" t="s">
        <v>10438</v>
      </c>
      <c r="G3504" s="21"/>
      <c r="H3504" s="54">
        <v>82</v>
      </c>
      <c r="I3504" s="51"/>
      <c r="J3504" s="27"/>
      <c r="K3504" s="27"/>
      <c r="L3504" s="15"/>
      <c r="M3504" s="15"/>
      <c r="N3504" s="4" t="s">
        <v>4812</v>
      </c>
      <c r="O3504" s="4" t="s">
        <v>10133</v>
      </c>
    </row>
    <row r="3505" spans="1:15" x14ac:dyDescent="0.2">
      <c r="A3505" s="2">
        <v>10018674</v>
      </c>
      <c r="B3505" s="2" t="s">
        <v>3890</v>
      </c>
      <c r="C3505" s="5" t="s">
        <v>5833</v>
      </c>
      <c r="D3505" s="21">
        <v>15</v>
      </c>
      <c r="E3505" s="21"/>
      <c r="F3505" s="21" t="s">
        <v>10438</v>
      </c>
      <c r="G3505" s="21"/>
      <c r="H3505" s="54">
        <v>158</v>
      </c>
      <c r="I3505" s="51"/>
      <c r="J3505" s="27"/>
      <c r="K3505" s="27"/>
      <c r="L3505" s="15"/>
      <c r="M3505" s="15">
        <v>5</v>
      </c>
      <c r="N3505" s="4">
        <v>78</v>
      </c>
      <c r="O3505" s="4"/>
    </row>
    <row r="3506" spans="1:15" x14ac:dyDescent="0.2">
      <c r="A3506" s="2">
        <v>40006295</v>
      </c>
      <c r="B3506" s="2" t="s">
        <v>1668</v>
      </c>
      <c r="C3506" s="5" t="s">
        <v>7376</v>
      </c>
      <c r="D3506" s="21">
        <v>2</v>
      </c>
      <c r="E3506" s="21"/>
      <c r="F3506" s="21" t="s">
        <v>10438</v>
      </c>
      <c r="G3506" s="21"/>
      <c r="H3506" s="54">
        <v>242</v>
      </c>
      <c r="I3506" s="51"/>
      <c r="J3506" s="27"/>
      <c r="K3506" s="27"/>
      <c r="L3506" s="15"/>
      <c r="M3506" s="15"/>
      <c r="N3506" s="4">
        <v>111</v>
      </c>
      <c r="O3506" s="4"/>
    </row>
    <row r="3507" spans="1:15" x14ac:dyDescent="0.2">
      <c r="A3507" s="2">
        <v>10018908</v>
      </c>
      <c r="B3507" s="2" t="s">
        <v>3643</v>
      </c>
      <c r="C3507" s="5" t="s">
        <v>5954</v>
      </c>
      <c r="D3507" s="21">
        <v>21</v>
      </c>
      <c r="E3507" s="21"/>
      <c r="F3507" s="21" t="s">
        <v>10438</v>
      </c>
      <c r="G3507" s="21"/>
      <c r="H3507" s="54">
        <v>178</v>
      </c>
      <c r="I3507" s="51"/>
      <c r="J3507" s="27"/>
      <c r="K3507" s="27"/>
      <c r="L3507" s="15">
        <v>6</v>
      </c>
      <c r="M3507" s="15"/>
      <c r="N3507" s="4">
        <v>71</v>
      </c>
      <c r="O3507" s="4"/>
    </row>
    <row r="3508" spans="1:15" x14ac:dyDescent="0.2">
      <c r="A3508" s="2">
        <v>10018910</v>
      </c>
      <c r="B3508" s="2" t="s">
        <v>3644</v>
      </c>
      <c r="C3508" s="5" t="s">
        <v>5956</v>
      </c>
      <c r="D3508" s="21"/>
      <c r="E3508" s="21"/>
      <c r="F3508" s="21" t="s">
        <v>10438</v>
      </c>
      <c r="G3508" s="21"/>
      <c r="H3508" s="54">
        <v>240</v>
      </c>
      <c r="I3508" s="51"/>
      <c r="J3508" s="27"/>
      <c r="K3508" s="27"/>
      <c r="L3508" s="15"/>
      <c r="M3508" s="15"/>
      <c r="N3508" s="4">
        <v>71</v>
      </c>
      <c r="O3508" s="4"/>
    </row>
    <row r="3509" spans="1:15" x14ac:dyDescent="0.2">
      <c r="A3509" s="2">
        <v>40007314</v>
      </c>
      <c r="B3509" s="7" t="s">
        <v>2556</v>
      </c>
      <c r="C3509" s="5" t="s">
        <v>8252</v>
      </c>
      <c r="D3509" s="21">
        <v>8</v>
      </c>
      <c r="E3509" s="21"/>
      <c r="F3509" s="21" t="s">
        <v>10438</v>
      </c>
      <c r="G3509" s="21"/>
      <c r="H3509" s="54">
        <v>770</v>
      </c>
      <c r="I3509" s="51"/>
      <c r="J3509" s="27"/>
      <c r="K3509" s="27"/>
      <c r="L3509" s="15"/>
      <c r="M3509" s="15"/>
      <c r="N3509" s="4" t="s">
        <v>4282</v>
      </c>
      <c r="O3509" s="4">
        <v>86</v>
      </c>
    </row>
    <row r="3510" spans="1:15" x14ac:dyDescent="0.2">
      <c r="A3510" s="2">
        <v>40005730</v>
      </c>
      <c r="B3510" s="2" t="s">
        <v>1158</v>
      </c>
      <c r="C3510" s="5">
        <v>195160600</v>
      </c>
      <c r="D3510" s="21">
        <v>5</v>
      </c>
      <c r="E3510" s="21"/>
      <c r="F3510" s="21" t="s">
        <v>10438</v>
      </c>
      <c r="G3510" s="21"/>
      <c r="H3510" s="54">
        <v>786</v>
      </c>
      <c r="I3510" s="51"/>
      <c r="J3510" s="27"/>
      <c r="K3510" s="27"/>
      <c r="L3510" s="15"/>
      <c r="M3510" s="15"/>
      <c r="N3510" s="4"/>
      <c r="O3510" s="4">
        <v>91</v>
      </c>
    </row>
    <row r="3511" spans="1:15" x14ac:dyDescent="0.2">
      <c r="A3511" s="2">
        <v>40006720</v>
      </c>
      <c r="B3511" s="7" t="s">
        <v>2028</v>
      </c>
      <c r="C3511" s="5">
        <v>195160601</v>
      </c>
      <c r="D3511" s="21">
        <v>10</v>
      </c>
      <c r="E3511" s="21"/>
      <c r="F3511" s="21" t="s">
        <v>10438</v>
      </c>
      <c r="G3511" s="21"/>
      <c r="H3511" s="54">
        <v>521</v>
      </c>
      <c r="I3511" s="51"/>
      <c r="J3511" s="27"/>
      <c r="K3511" s="27"/>
      <c r="L3511" s="15"/>
      <c r="M3511" s="15"/>
      <c r="N3511" s="4"/>
      <c r="O3511" s="4">
        <v>91</v>
      </c>
    </row>
    <row r="3512" spans="1:15" x14ac:dyDescent="0.2">
      <c r="A3512" s="2">
        <v>40006713</v>
      </c>
      <c r="B3512" s="2" t="s">
        <v>2023</v>
      </c>
      <c r="C3512" s="5" t="s">
        <v>7734</v>
      </c>
      <c r="D3512" s="21">
        <v>1</v>
      </c>
      <c r="E3512" s="21"/>
      <c r="F3512" s="21" t="s">
        <v>10438</v>
      </c>
      <c r="G3512" s="21"/>
      <c r="H3512" s="54">
        <v>230</v>
      </c>
      <c r="I3512" s="51"/>
      <c r="J3512" s="27"/>
      <c r="K3512" s="27"/>
      <c r="L3512" s="15">
        <v>3</v>
      </c>
      <c r="M3512" s="15">
        <v>1</v>
      </c>
      <c r="N3512" s="4">
        <v>28</v>
      </c>
      <c r="O3512" s="4"/>
    </row>
    <row r="3513" spans="1:15" x14ac:dyDescent="0.2">
      <c r="A3513" s="2">
        <v>40005861</v>
      </c>
      <c r="B3513" s="2" t="s">
        <v>1277</v>
      </c>
      <c r="C3513" s="5" t="s">
        <v>6988</v>
      </c>
      <c r="D3513" s="21">
        <v>6</v>
      </c>
      <c r="E3513" s="21"/>
      <c r="F3513" s="21" t="s">
        <v>10438</v>
      </c>
      <c r="G3513" s="21"/>
      <c r="H3513" s="54">
        <v>306</v>
      </c>
      <c r="I3513" s="51"/>
      <c r="J3513" s="27"/>
      <c r="K3513" s="27"/>
      <c r="L3513" s="15"/>
      <c r="M3513" s="15"/>
      <c r="N3513" s="4" t="s">
        <v>4293</v>
      </c>
      <c r="O3513" s="4">
        <v>88</v>
      </c>
    </row>
    <row r="3514" spans="1:15" x14ac:dyDescent="0.2">
      <c r="A3514" s="2">
        <v>40008276</v>
      </c>
      <c r="B3514" s="2" t="s">
        <v>3388</v>
      </c>
      <c r="C3514" s="5">
        <v>28166030</v>
      </c>
      <c r="D3514" s="21">
        <v>1</v>
      </c>
      <c r="E3514" s="21"/>
      <c r="F3514" s="21" t="s">
        <v>10438</v>
      </c>
      <c r="G3514" s="21"/>
      <c r="H3514" s="54">
        <v>50</v>
      </c>
      <c r="I3514" s="51"/>
      <c r="J3514" s="27"/>
      <c r="K3514" s="27"/>
      <c r="L3514" s="15"/>
      <c r="M3514" s="15"/>
      <c r="N3514" s="4" t="s">
        <v>5030</v>
      </c>
      <c r="O3514" s="4"/>
    </row>
    <row r="3515" spans="1:15" x14ac:dyDescent="0.2">
      <c r="A3515" s="2">
        <v>40005839</v>
      </c>
      <c r="B3515" s="2" t="s">
        <v>1258</v>
      </c>
      <c r="C3515" s="5" t="s">
        <v>6970</v>
      </c>
      <c r="D3515" s="21">
        <v>6</v>
      </c>
      <c r="E3515" s="21"/>
      <c r="F3515" s="21" t="s">
        <v>10438</v>
      </c>
      <c r="G3515" s="21"/>
      <c r="H3515" s="54">
        <v>1780</v>
      </c>
      <c r="I3515" s="51"/>
      <c r="J3515" s="27"/>
      <c r="K3515" s="27"/>
      <c r="L3515" s="15"/>
      <c r="M3515" s="15"/>
      <c r="N3515" s="4"/>
      <c r="O3515" s="4">
        <v>69</v>
      </c>
    </row>
    <row r="3516" spans="1:15" x14ac:dyDescent="0.2">
      <c r="A3516" s="2">
        <v>40006052</v>
      </c>
      <c r="B3516" s="2" t="s">
        <v>1451</v>
      </c>
      <c r="C3516" s="5">
        <v>195160020</v>
      </c>
      <c r="D3516" s="21">
        <v>1</v>
      </c>
      <c r="E3516" s="21"/>
      <c r="F3516" s="21" t="s">
        <v>10438</v>
      </c>
      <c r="G3516" s="21"/>
      <c r="H3516" s="54">
        <v>35</v>
      </c>
      <c r="I3516" s="51"/>
      <c r="J3516" s="27"/>
      <c r="K3516" s="27"/>
      <c r="L3516" s="15"/>
      <c r="M3516" s="15"/>
      <c r="N3516" s="4" t="s">
        <v>4270</v>
      </c>
      <c r="O3516" s="4"/>
    </row>
    <row r="3517" spans="1:15" x14ac:dyDescent="0.2">
      <c r="A3517" s="2">
        <v>40007046</v>
      </c>
      <c r="B3517" s="2" t="s">
        <v>2325</v>
      </c>
      <c r="C3517" s="5">
        <v>21160001</v>
      </c>
      <c r="D3517" s="21">
        <v>3</v>
      </c>
      <c r="E3517" s="21"/>
      <c r="F3517" s="21" t="s">
        <v>10438</v>
      </c>
      <c r="G3517" s="21"/>
      <c r="H3517" s="54">
        <v>154</v>
      </c>
      <c r="I3517" s="51"/>
      <c r="J3517" s="27"/>
      <c r="K3517" s="27"/>
      <c r="L3517" s="15"/>
      <c r="M3517" s="15"/>
      <c r="N3517" s="4" t="s">
        <v>4805</v>
      </c>
      <c r="O3517" s="4"/>
    </row>
    <row r="3518" spans="1:15" x14ac:dyDescent="0.2">
      <c r="A3518" s="2">
        <v>40005928</v>
      </c>
      <c r="B3518" s="2" t="s">
        <v>1337</v>
      </c>
      <c r="C3518" s="5" t="s">
        <v>7043</v>
      </c>
      <c r="D3518" s="21">
        <v>1</v>
      </c>
      <c r="E3518" s="21"/>
      <c r="F3518" s="21" t="s">
        <v>10438</v>
      </c>
      <c r="G3518" s="21"/>
      <c r="H3518" s="54">
        <v>600</v>
      </c>
      <c r="I3518" s="51"/>
      <c r="J3518" s="27"/>
      <c r="K3518" s="27"/>
      <c r="L3518" s="15"/>
      <c r="M3518" s="15"/>
      <c r="N3518" s="4"/>
      <c r="O3518" s="4">
        <v>39</v>
      </c>
    </row>
    <row r="3519" spans="1:15" x14ac:dyDescent="0.2">
      <c r="A3519" s="2">
        <v>40006326</v>
      </c>
      <c r="B3519" s="2" t="s">
        <v>1693</v>
      </c>
      <c r="C3519" s="5" t="s">
        <v>7403</v>
      </c>
      <c r="D3519" s="21">
        <v>14</v>
      </c>
      <c r="E3519" s="21"/>
      <c r="F3519" s="30">
        <v>2</v>
      </c>
      <c r="G3519" s="21"/>
      <c r="H3519" s="54">
        <v>1244</v>
      </c>
      <c r="I3519" s="51"/>
      <c r="J3519" s="27"/>
      <c r="K3519" s="27"/>
      <c r="L3519" s="15">
        <v>7</v>
      </c>
      <c r="M3519" s="15"/>
      <c r="N3519" s="4" t="s">
        <v>4530</v>
      </c>
      <c r="O3519" s="4">
        <v>28</v>
      </c>
    </row>
    <row r="3520" spans="1:15" x14ac:dyDescent="0.2">
      <c r="A3520" s="2">
        <v>40005754</v>
      </c>
      <c r="B3520" s="2" t="s">
        <v>1180</v>
      </c>
      <c r="C3520" s="5" t="s">
        <v>6892</v>
      </c>
      <c r="D3520" s="21">
        <v>5</v>
      </c>
      <c r="E3520" s="21"/>
      <c r="F3520" s="21" t="s">
        <v>10438</v>
      </c>
      <c r="G3520" s="21"/>
      <c r="H3520" s="54">
        <v>2514</v>
      </c>
      <c r="I3520" s="51"/>
      <c r="J3520" s="27"/>
      <c r="K3520" s="27"/>
      <c r="L3520" s="15"/>
      <c r="M3520" s="15"/>
      <c r="N3520" s="4" t="s">
        <v>4254</v>
      </c>
      <c r="O3520" s="4"/>
    </row>
    <row r="3521" spans="1:15" x14ac:dyDescent="0.2">
      <c r="A3521" s="2">
        <v>40005288</v>
      </c>
      <c r="B3521" s="2" t="s">
        <v>788</v>
      </c>
      <c r="C3521" s="5" t="s">
        <v>6505</v>
      </c>
      <c r="D3521" s="21"/>
      <c r="E3521" s="21"/>
      <c r="F3521" s="30">
        <v>4</v>
      </c>
      <c r="G3521" s="21"/>
      <c r="H3521" s="54">
        <v>163</v>
      </c>
      <c r="I3521" s="51"/>
      <c r="J3521" s="27"/>
      <c r="K3521" s="27"/>
      <c r="L3521" s="15">
        <v>5</v>
      </c>
      <c r="M3521" s="15">
        <v>5</v>
      </c>
      <c r="N3521" s="4" t="s">
        <v>4031</v>
      </c>
      <c r="O3521" s="4"/>
    </row>
    <row r="3522" spans="1:15" x14ac:dyDescent="0.2">
      <c r="A3522" s="2">
        <v>40006211</v>
      </c>
      <c r="B3522" s="2" t="s">
        <v>1594</v>
      </c>
      <c r="C3522" s="5" t="s">
        <v>7301</v>
      </c>
      <c r="D3522" s="21">
        <v>11</v>
      </c>
      <c r="E3522" s="21"/>
      <c r="F3522" s="21" t="s">
        <v>10438</v>
      </c>
      <c r="G3522" s="21"/>
      <c r="H3522" s="54">
        <v>135</v>
      </c>
      <c r="I3522" s="51"/>
      <c r="J3522" s="27"/>
      <c r="K3522" s="27"/>
      <c r="L3522" s="15"/>
      <c r="M3522" s="15"/>
      <c r="N3522" s="4"/>
      <c r="O3522" s="4">
        <v>66</v>
      </c>
    </row>
    <row r="3523" spans="1:15" x14ac:dyDescent="0.2">
      <c r="A3523" s="2">
        <v>40006497</v>
      </c>
      <c r="B3523" s="2" t="s">
        <v>1848</v>
      </c>
      <c r="C3523" s="5" t="s">
        <v>7555</v>
      </c>
      <c r="D3523" s="21">
        <v>16</v>
      </c>
      <c r="E3523" s="21"/>
      <c r="F3523" s="21" t="s">
        <v>10438</v>
      </c>
      <c r="G3523" s="21"/>
      <c r="H3523" s="54">
        <v>107</v>
      </c>
      <c r="I3523" s="51"/>
      <c r="J3523" s="27"/>
      <c r="K3523" s="27"/>
      <c r="L3523" s="15"/>
      <c r="M3523" s="15"/>
      <c r="N3523" s="4" t="s">
        <v>4622</v>
      </c>
      <c r="O3523" s="4">
        <v>41</v>
      </c>
    </row>
    <row r="3524" spans="1:15" x14ac:dyDescent="0.2">
      <c r="A3524" s="2">
        <v>40005887</v>
      </c>
      <c r="B3524" s="2" t="s">
        <v>1303</v>
      </c>
      <c r="C3524" s="5" t="s">
        <v>7013</v>
      </c>
      <c r="D3524" s="21">
        <v>7</v>
      </c>
      <c r="E3524" s="21"/>
      <c r="F3524" s="21" t="s">
        <v>10438</v>
      </c>
      <c r="G3524" s="21"/>
      <c r="H3524" s="54">
        <v>88</v>
      </c>
      <c r="I3524" s="51"/>
      <c r="J3524" s="27"/>
      <c r="K3524" s="27"/>
      <c r="L3524" s="15"/>
      <c r="M3524" s="15"/>
      <c r="N3524" s="4" t="s">
        <v>4306</v>
      </c>
      <c r="O3524" s="4">
        <v>72</v>
      </c>
    </row>
    <row r="3525" spans="1:15" x14ac:dyDescent="0.2">
      <c r="A3525" s="2">
        <v>40005755</v>
      </c>
      <c r="B3525" s="2" t="s">
        <v>1181</v>
      </c>
      <c r="C3525" s="5" t="s">
        <v>6893</v>
      </c>
      <c r="D3525" s="21">
        <v>4</v>
      </c>
      <c r="E3525" s="21"/>
      <c r="F3525" s="21" t="s">
        <v>10438</v>
      </c>
      <c r="G3525" s="21"/>
      <c r="H3525" s="54">
        <v>111</v>
      </c>
      <c r="I3525" s="51"/>
      <c r="J3525" s="27"/>
      <c r="K3525" s="27"/>
      <c r="L3525" s="15"/>
      <c r="M3525" s="15"/>
      <c r="N3525" s="4"/>
      <c r="O3525" s="4">
        <v>42</v>
      </c>
    </row>
    <row r="3526" spans="1:15" x14ac:dyDescent="0.2">
      <c r="A3526" s="2">
        <v>40005760</v>
      </c>
      <c r="B3526" s="2" t="s">
        <v>1185</v>
      </c>
      <c r="C3526" s="5" t="s">
        <v>6897</v>
      </c>
      <c r="D3526" s="21">
        <v>2</v>
      </c>
      <c r="E3526" s="21"/>
      <c r="F3526" s="21" t="s">
        <v>10438</v>
      </c>
      <c r="G3526" s="21"/>
      <c r="H3526" s="54">
        <v>101</v>
      </c>
      <c r="I3526" s="51"/>
      <c r="J3526" s="27"/>
      <c r="K3526" s="27"/>
      <c r="L3526" s="15"/>
      <c r="M3526" s="15"/>
      <c r="N3526" s="4"/>
      <c r="O3526" s="4">
        <v>41</v>
      </c>
    </row>
    <row r="3527" spans="1:15" x14ac:dyDescent="0.2">
      <c r="A3527" s="2">
        <v>40011205</v>
      </c>
      <c r="B3527" s="2" t="s">
        <v>3774</v>
      </c>
      <c r="C3527" s="5" t="s">
        <v>9350</v>
      </c>
      <c r="D3527" s="21">
        <v>5</v>
      </c>
      <c r="E3527" s="21"/>
      <c r="F3527" s="21" t="s">
        <v>10438</v>
      </c>
      <c r="G3527" s="21"/>
      <c r="H3527" s="54">
        <v>116</v>
      </c>
      <c r="I3527" s="51"/>
      <c r="J3527" s="27"/>
      <c r="K3527" s="27"/>
      <c r="L3527" s="15"/>
      <c r="M3527" s="15"/>
      <c r="N3527" s="4" t="s">
        <v>5057</v>
      </c>
      <c r="O3527" s="4"/>
    </row>
    <row r="3528" spans="1:15" x14ac:dyDescent="0.2">
      <c r="A3528" s="2">
        <v>40006741</v>
      </c>
      <c r="B3528" s="2" t="s">
        <v>2046</v>
      </c>
      <c r="C3528" s="5" t="s">
        <v>7756</v>
      </c>
      <c r="D3528" s="21">
        <v>3</v>
      </c>
      <c r="E3528" s="21"/>
      <c r="F3528" s="21" t="s">
        <v>10438</v>
      </c>
      <c r="G3528" s="21"/>
      <c r="H3528" s="54">
        <v>780</v>
      </c>
      <c r="I3528" s="51"/>
      <c r="J3528" s="27"/>
      <c r="K3528" s="27"/>
      <c r="L3528" s="15"/>
      <c r="M3528" s="15"/>
      <c r="N3528" s="4"/>
      <c r="O3528" s="4">
        <v>93</v>
      </c>
    </row>
    <row r="3529" spans="1:15" x14ac:dyDescent="0.2">
      <c r="A3529" s="2">
        <v>40005757</v>
      </c>
      <c r="B3529" s="2" t="s">
        <v>1183</v>
      </c>
      <c r="C3529" s="5" t="s">
        <v>6895</v>
      </c>
      <c r="D3529" s="21">
        <v>3</v>
      </c>
      <c r="E3529" s="21"/>
      <c r="F3529" s="21" t="s">
        <v>10438</v>
      </c>
      <c r="G3529" s="21"/>
      <c r="H3529" s="54">
        <v>2504</v>
      </c>
      <c r="I3529" s="51"/>
      <c r="J3529" s="27"/>
      <c r="K3529" s="27"/>
      <c r="L3529" s="15"/>
      <c r="M3529" s="15">
        <v>2</v>
      </c>
      <c r="N3529" s="4" t="s">
        <v>4255</v>
      </c>
      <c r="O3529" s="4"/>
    </row>
    <row r="3530" spans="1:15" x14ac:dyDescent="0.2">
      <c r="A3530" s="2">
        <v>40005759</v>
      </c>
      <c r="B3530" s="2" t="s">
        <v>1184</v>
      </c>
      <c r="C3530" s="5" t="s">
        <v>6896</v>
      </c>
      <c r="D3530" s="21">
        <v>1</v>
      </c>
      <c r="E3530" s="21"/>
      <c r="F3530" s="21" t="s">
        <v>10438</v>
      </c>
      <c r="G3530" s="21"/>
      <c r="H3530" s="54">
        <v>2686</v>
      </c>
      <c r="I3530" s="51"/>
      <c r="J3530" s="27"/>
      <c r="K3530" s="27"/>
      <c r="L3530" s="15"/>
      <c r="M3530" s="15"/>
      <c r="N3530" s="4"/>
      <c r="O3530" s="4">
        <v>31</v>
      </c>
    </row>
    <row r="3531" spans="1:15" x14ac:dyDescent="0.2">
      <c r="A3531" s="2">
        <v>40005420</v>
      </c>
      <c r="B3531" s="2" t="s">
        <v>896</v>
      </c>
      <c r="C3531" s="5" t="s">
        <v>6619</v>
      </c>
      <c r="D3531" s="21">
        <v>12</v>
      </c>
      <c r="E3531" s="21"/>
      <c r="F3531" s="30">
        <v>3</v>
      </c>
      <c r="G3531" s="21"/>
      <c r="H3531" s="54">
        <v>1123</v>
      </c>
      <c r="I3531" s="51"/>
      <c r="J3531" s="27"/>
      <c r="K3531" s="27"/>
      <c r="L3531" s="15"/>
      <c r="M3531" s="15">
        <v>10</v>
      </c>
      <c r="N3531" s="4" t="s">
        <v>4112</v>
      </c>
      <c r="O3531" s="4">
        <v>26</v>
      </c>
    </row>
    <row r="3532" spans="1:15" x14ac:dyDescent="0.2">
      <c r="A3532" s="2">
        <v>40006192</v>
      </c>
      <c r="B3532" s="2" t="s">
        <v>1575</v>
      </c>
      <c r="C3532" s="5" t="s">
        <v>7282</v>
      </c>
      <c r="D3532" s="21">
        <v>18</v>
      </c>
      <c r="E3532" s="21"/>
      <c r="F3532" s="21" t="s">
        <v>10438</v>
      </c>
      <c r="G3532" s="21"/>
      <c r="H3532" s="54">
        <v>153</v>
      </c>
      <c r="I3532" s="51"/>
      <c r="J3532" s="27"/>
      <c r="K3532" s="27"/>
      <c r="L3532" s="15"/>
      <c r="M3532" s="15"/>
      <c r="N3532" s="4" t="s">
        <v>4462</v>
      </c>
      <c r="O3532" s="4"/>
    </row>
    <row r="3533" spans="1:15" x14ac:dyDescent="0.2">
      <c r="A3533" s="2">
        <v>40005762</v>
      </c>
      <c r="B3533" s="2" t="s">
        <v>1187</v>
      </c>
      <c r="C3533" s="5" t="s">
        <v>6899</v>
      </c>
      <c r="D3533" s="21">
        <v>4</v>
      </c>
      <c r="E3533" s="21"/>
      <c r="F3533" s="21" t="s">
        <v>10438</v>
      </c>
      <c r="G3533" s="21"/>
      <c r="H3533" s="54">
        <v>104</v>
      </c>
      <c r="I3533" s="51"/>
      <c r="J3533" s="27"/>
      <c r="K3533" s="27"/>
      <c r="L3533" s="15"/>
      <c r="M3533" s="15"/>
      <c r="N3533" s="4"/>
      <c r="O3533" s="4">
        <v>54</v>
      </c>
    </row>
    <row r="3534" spans="1:15" x14ac:dyDescent="0.2">
      <c r="A3534" s="2">
        <v>40005761</v>
      </c>
      <c r="B3534" s="2" t="s">
        <v>1186</v>
      </c>
      <c r="C3534" s="5" t="s">
        <v>6898</v>
      </c>
      <c r="D3534" s="21">
        <v>1</v>
      </c>
      <c r="E3534" s="21"/>
      <c r="F3534" s="21" t="s">
        <v>10438</v>
      </c>
      <c r="G3534" s="21"/>
      <c r="H3534" s="54">
        <v>471</v>
      </c>
      <c r="I3534" s="51"/>
      <c r="J3534" s="27"/>
      <c r="K3534" s="27"/>
      <c r="L3534" s="15"/>
      <c r="M3534" s="15"/>
      <c r="N3534" s="4"/>
      <c r="O3534" s="4">
        <v>31</v>
      </c>
    </row>
    <row r="3535" spans="1:15" x14ac:dyDescent="0.2">
      <c r="A3535" s="2">
        <v>40005353</v>
      </c>
      <c r="B3535" s="2" t="s">
        <v>838</v>
      </c>
      <c r="C3535" s="5" t="s">
        <v>6556</v>
      </c>
      <c r="D3535" s="21">
        <v>1</v>
      </c>
      <c r="E3535" s="21"/>
      <c r="F3535" s="21" t="s">
        <v>10438</v>
      </c>
      <c r="G3535" s="21"/>
      <c r="H3535" s="54">
        <v>301</v>
      </c>
      <c r="I3535" s="51"/>
      <c r="J3535" s="27"/>
      <c r="K3535" s="27"/>
      <c r="L3535" s="15"/>
      <c r="M3535" s="15"/>
      <c r="N3535" s="4" t="s">
        <v>4067</v>
      </c>
      <c r="O3535" s="4"/>
    </row>
    <row r="3536" spans="1:15" x14ac:dyDescent="0.2">
      <c r="A3536" s="2">
        <v>40011247</v>
      </c>
      <c r="B3536" s="2" t="s">
        <v>3729</v>
      </c>
      <c r="C3536" s="5" t="s">
        <v>9372</v>
      </c>
      <c r="D3536" s="21">
        <v>4</v>
      </c>
      <c r="E3536" s="21"/>
      <c r="F3536" s="21" t="s">
        <v>10438</v>
      </c>
      <c r="G3536" s="21"/>
      <c r="H3536" s="54">
        <v>1758</v>
      </c>
      <c r="I3536" s="51"/>
      <c r="J3536" s="27"/>
      <c r="K3536" s="27"/>
      <c r="L3536" s="15"/>
      <c r="M3536" s="15"/>
      <c r="N3536" s="4" t="s">
        <v>3986</v>
      </c>
      <c r="O3536" s="4"/>
    </row>
    <row r="3537" spans="1:15" x14ac:dyDescent="0.2">
      <c r="A3537" s="2">
        <v>40005368</v>
      </c>
      <c r="B3537" s="2" t="s">
        <v>849</v>
      </c>
      <c r="C3537" s="5" t="s">
        <v>6569</v>
      </c>
      <c r="D3537" s="21">
        <v>5</v>
      </c>
      <c r="E3537" s="21"/>
      <c r="F3537" s="21" t="s">
        <v>10438</v>
      </c>
      <c r="G3537" s="21"/>
      <c r="H3537" s="54">
        <v>144</v>
      </c>
      <c r="I3537" s="51"/>
      <c r="J3537" s="27"/>
      <c r="K3537" s="27"/>
      <c r="L3537" s="15"/>
      <c r="M3537" s="15"/>
      <c r="N3537" s="4" t="s">
        <v>4078</v>
      </c>
      <c r="O3537" s="4"/>
    </row>
    <row r="3538" spans="1:15" x14ac:dyDescent="0.2">
      <c r="A3538" s="2">
        <v>40005406</v>
      </c>
      <c r="B3538" s="2" t="s">
        <v>883</v>
      </c>
      <c r="C3538" s="5" t="s">
        <v>6605</v>
      </c>
      <c r="D3538" s="21">
        <v>5</v>
      </c>
      <c r="E3538" s="21"/>
      <c r="F3538" s="21" t="s">
        <v>10438</v>
      </c>
      <c r="G3538" s="21"/>
      <c r="H3538" s="54">
        <v>104</v>
      </c>
      <c r="I3538" s="51"/>
      <c r="J3538" s="27"/>
      <c r="K3538" s="27"/>
      <c r="L3538" s="15"/>
      <c r="M3538" s="15"/>
      <c r="N3538" s="4"/>
      <c r="O3538" s="4">
        <v>70</v>
      </c>
    </row>
    <row r="3539" spans="1:15" x14ac:dyDescent="0.2">
      <c r="A3539" s="2">
        <v>40005250</v>
      </c>
      <c r="B3539" s="2" t="s">
        <v>770</v>
      </c>
      <c r="C3539" s="5" t="s">
        <v>6485</v>
      </c>
      <c r="D3539" s="21">
        <v>4</v>
      </c>
      <c r="E3539" s="21"/>
      <c r="F3539" s="21" t="s">
        <v>10438</v>
      </c>
      <c r="G3539" s="21"/>
      <c r="H3539" s="54">
        <v>206</v>
      </c>
      <c r="I3539" s="51"/>
      <c r="J3539" s="27"/>
      <c r="K3539" s="27"/>
      <c r="L3539" s="15"/>
      <c r="M3539" s="15"/>
      <c r="N3539" s="4" t="s">
        <v>4014</v>
      </c>
      <c r="O3539" s="4"/>
    </row>
    <row r="3540" spans="1:15" x14ac:dyDescent="0.2">
      <c r="A3540" s="2">
        <v>40010565</v>
      </c>
      <c r="B3540" s="2" t="s">
        <v>3551</v>
      </c>
      <c r="C3540" s="5" t="s">
        <v>9263</v>
      </c>
      <c r="D3540" s="21">
        <v>1</v>
      </c>
      <c r="E3540" s="21"/>
      <c r="F3540" s="21" t="s">
        <v>10438</v>
      </c>
      <c r="G3540" s="21"/>
      <c r="H3540" s="54">
        <v>158</v>
      </c>
      <c r="I3540" s="51"/>
      <c r="J3540" s="27"/>
      <c r="K3540" s="27"/>
      <c r="L3540" s="15"/>
      <c r="M3540" s="15"/>
      <c r="N3540" s="4"/>
      <c r="O3540" s="4">
        <v>51</v>
      </c>
    </row>
    <row r="3541" spans="1:15" x14ac:dyDescent="0.2">
      <c r="A3541" s="2">
        <v>40005438</v>
      </c>
      <c r="B3541" s="2" t="s">
        <v>912</v>
      </c>
      <c r="C3541" s="5" t="s">
        <v>6634</v>
      </c>
      <c r="D3541" s="21">
        <v>1</v>
      </c>
      <c r="E3541" s="21"/>
      <c r="F3541" s="21" t="s">
        <v>10438</v>
      </c>
      <c r="G3541" s="21"/>
      <c r="H3541" s="54">
        <v>217</v>
      </c>
      <c r="I3541" s="51"/>
      <c r="J3541" s="27"/>
      <c r="K3541" s="27"/>
      <c r="L3541" s="15"/>
      <c r="M3541" s="15"/>
      <c r="N3541" s="4"/>
      <c r="O3541" s="4">
        <v>51</v>
      </c>
    </row>
    <row r="3542" spans="1:15" x14ac:dyDescent="0.2">
      <c r="A3542" s="2">
        <v>40005404</v>
      </c>
      <c r="B3542" s="2" t="s">
        <v>881</v>
      </c>
      <c r="C3542" s="5" t="s">
        <v>6603</v>
      </c>
      <c r="D3542" s="21">
        <v>4</v>
      </c>
      <c r="E3542" s="21"/>
      <c r="F3542" s="21" t="s">
        <v>10438</v>
      </c>
      <c r="G3542" s="21"/>
      <c r="H3542" s="54">
        <v>105</v>
      </c>
      <c r="I3542" s="51"/>
      <c r="J3542" s="27"/>
      <c r="K3542" s="27"/>
      <c r="L3542" s="15"/>
      <c r="M3542" s="15"/>
      <c r="N3542" s="4" t="s">
        <v>4103</v>
      </c>
      <c r="O3542" s="4"/>
    </row>
    <row r="3543" spans="1:15" x14ac:dyDescent="0.2">
      <c r="A3543" s="2">
        <v>40010231</v>
      </c>
      <c r="B3543" s="2" t="s">
        <v>3429</v>
      </c>
      <c r="C3543" s="5" t="s">
        <v>9123</v>
      </c>
      <c r="D3543" s="21">
        <v>1</v>
      </c>
      <c r="E3543" s="21"/>
      <c r="F3543" s="21" t="s">
        <v>10438</v>
      </c>
      <c r="G3543" s="21"/>
      <c r="H3543" s="54">
        <v>233</v>
      </c>
      <c r="I3543" s="51"/>
      <c r="J3543" s="27"/>
      <c r="K3543" s="27"/>
      <c r="L3543" s="15"/>
      <c r="M3543" s="15"/>
      <c r="N3543" s="4" t="s">
        <v>5242</v>
      </c>
      <c r="O3543" s="4"/>
    </row>
    <row r="3544" spans="1:15" x14ac:dyDescent="0.2">
      <c r="A3544" s="2">
        <v>40011408</v>
      </c>
      <c r="B3544" s="2" t="s">
        <v>5413</v>
      </c>
      <c r="C3544" s="5" t="s">
        <v>9390</v>
      </c>
      <c r="D3544" s="21">
        <v>1</v>
      </c>
      <c r="E3544" s="21"/>
      <c r="F3544" s="21" t="s">
        <v>10438</v>
      </c>
      <c r="G3544" s="21"/>
      <c r="H3544" s="54">
        <v>138</v>
      </c>
      <c r="I3544" s="51"/>
      <c r="J3544" s="27"/>
      <c r="K3544" s="27"/>
      <c r="L3544" s="15"/>
      <c r="M3544" s="15"/>
      <c r="N3544" s="4"/>
      <c r="O3544" s="4">
        <v>52</v>
      </c>
    </row>
    <row r="3545" spans="1:15" x14ac:dyDescent="0.2">
      <c r="A3545" s="2">
        <v>40005912</v>
      </c>
      <c r="B3545" s="2" t="s">
        <v>1323</v>
      </c>
      <c r="C3545" s="5" t="s">
        <v>7030</v>
      </c>
      <c r="D3545" s="21">
        <v>9</v>
      </c>
      <c r="E3545" s="21"/>
      <c r="F3545" s="21" t="s">
        <v>10438</v>
      </c>
      <c r="G3545" s="21"/>
      <c r="H3545" s="54">
        <v>156</v>
      </c>
      <c r="I3545" s="51"/>
      <c r="J3545" s="27"/>
      <c r="K3545" s="27"/>
      <c r="L3545" s="15"/>
      <c r="M3545" s="15"/>
      <c r="N3545" s="4" t="s">
        <v>4316</v>
      </c>
      <c r="O3545" s="4">
        <v>72</v>
      </c>
    </row>
    <row r="3546" spans="1:15" x14ac:dyDescent="0.2">
      <c r="A3546" s="2">
        <v>40005787</v>
      </c>
      <c r="B3546" s="2" t="s">
        <v>1211</v>
      </c>
      <c r="C3546" s="5" t="s">
        <v>6924</v>
      </c>
      <c r="D3546" s="21">
        <v>2</v>
      </c>
      <c r="E3546" s="21"/>
      <c r="F3546" s="21" t="s">
        <v>10438</v>
      </c>
      <c r="G3546" s="21"/>
      <c r="H3546" s="54">
        <v>189</v>
      </c>
      <c r="I3546" s="51"/>
      <c r="J3546" s="27"/>
      <c r="K3546" s="27"/>
      <c r="L3546" s="15"/>
      <c r="M3546" s="15"/>
      <c r="N3546" s="4" t="s">
        <v>4260</v>
      </c>
      <c r="O3546" s="4"/>
    </row>
    <row r="3547" spans="1:15" x14ac:dyDescent="0.2">
      <c r="A3547" s="2">
        <v>40005753</v>
      </c>
      <c r="B3547" s="2" t="s">
        <v>1179</v>
      </c>
      <c r="C3547" s="5" t="s">
        <v>6891</v>
      </c>
      <c r="D3547" s="21">
        <v>1</v>
      </c>
      <c r="E3547" s="21"/>
      <c r="F3547" s="21" t="s">
        <v>10438</v>
      </c>
      <c r="G3547" s="21"/>
      <c r="H3547" s="54">
        <v>702</v>
      </c>
      <c r="I3547" s="51"/>
      <c r="J3547" s="27"/>
      <c r="K3547" s="27"/>
      <c r="L3547" s="15"/>
      <c r="M3547" s="15"/>
      <c r="N3547" s="4"/>
      <c r="O3547" s="4">
        <v>31</v>
      </c>
    </row>
    <row r="3548" spans="1:15" x14ac:dyDescent="0.2">
      <c r="A3548" s="2">
        <v>40005756</v>
      </c>
      <c r="B3548" s="2" t="s">
        <v>1182</v>
      </c>
      <c r="C3548" s="5" t="s">
        <v>6894</v>
      </c>
      <c r="D3548" s="21">
        <v>1</v>
      </c>
      <c r="E3548" s="21"/>
      <c r="F3548" s="21" t="s">
        <v>10438</v>
      </c>
      <c r="G3548" s="21"/>
      <c r="H3548" s="54">
        <v>459</v>
      </c>
      <c r="I3548" s="51"/>
      <c r="J3548" s="27"/>
      <c r="K3548" s="27"/>
      <c r="L3548" s="15"/>
      <c r="M3548" s="15"/>
      <c r="N3548" s="4"/>
      <c r="O3548" s="4">
        <v>13</v>
      </c>
    </row>
    <row r="3549" spans="1:15" x14ac:dyDescent="0.2">
      <c r="A3549" s="2">
        <v>40010587</v>
      </c>
      <c r="B3549" s="2" t="s">
        <v>5482</v>
      </c>
      <c r="C3549" s="5" t="s">
        <v>9279</v>
      </c>
      <c r="D3549" s="21">
        <v>7</v>
      </c>
      <c r="E3549" s="21"/>
      <c r="F3549" s="21" t="s">
        <v>10438</v>
      </c>
      <c r="G3549" s="21"/>
      <c r="H3549" s="54">
        <v>764</v>
      </c>
      <c r="I3549" s="51"/>
      <c r="J3549" s="27"/>
      <c r="K3549" s="27"/>
      <c r="L3549" s="15"/>
      <c r="M3549" s="15">
        <v>3</v>
      </c>
      <c r="N3549" s="4">
        <v>34</v>
      </c>
      <c r="O3549" s="4"/>
    </row>
    <row r="3550" spans="1:15" x14ac:dyDescent="0.2">
      <c r="A3550" s="2">
        <v>40005409</v>
      </c>
      <c r="B3550" s="2" t="s">
        <v>885</v>
      </c>
      <c r="C3550" s="5" t="s">
        <v>6608</v>
      </c>
      <c r="D3550" s="21">
        <v>5</v>
      </c>
      <c r="E3550" s="21"/>
      <c r="F3550" s="21" t="s">
        <v>10438</v>
      </c>
      <c r="G3550" s="21"/>
      <c r="H3550" s="54">
        <v>3577</v>
      </c>
      <c r="I3550" s="51"/>
      <c r="J3550" s="27"/>
      <c r="K3550" s="27"/>
      <c r="L3550" s="15"/>
      <c r="M3550" s="15"/>
      <c r="N3550" s="4" t="s">
        <v>4105</v>
      </c>
      <c r="O3550" s="4"/>
    </row>
    <row r="3551" spans="1:15" x14ac:dyDescent="0.2">
      <c r="A3551" s="2">
        <v>40005200</v>
      </c>
      <c r="B3551" s="2" t="s">
        <v>741</v>
      </c>
      <c r="C3551" s="5" t="s">
        <v>6454</v>
      </c>
      <c r="D3551" s="21">
        <v>2</v>
      </c>
      <c r="E3551" s="21"/>
      <c r="F3551" s="21" t="s">
        <v>10438</v>
      </c>
      <c r="G3551" s="21"/>
      <c r="H3551" s="54">
        <v>810</v>
      </c>
      <c r="I3551" s="51"/>
      <c r="J3551" s="27"/>
      <c r="K3551" s="27"/>
      <c r="L3551" s="15"/>
      <c r="M3551" s="15"/>
      <c r="N3551" s="4"/>
      <c r="O3551" s="4">
        <v>65</v>
      </c>
    </row>
    <row r="3552" spans="1:15" x14ac:dyDescent="0.2">
      <c r="A3552" s="2">
        <v>40006372</v>
      </c>
      <c r="B3552" s="2" t="s">
        <v>1732</v>
      </c>
      <c r="C3552" s="5" t="s">
        <v>7443</v>
      </c>
      <c r="D3552" s="21">
        <v>3</v>
      </c>
      <c r="E3552" s="21"/>
      <c r="F3552" s="21" t="s">
        <v>10438</v>
      </c>
      <c r="G3552" s="21"/>
      <c r="H3552" s="54">
        <v>857</v>
      </c>
      <c r="I3552" s="51"/>
      <c r="J3552" s="27"/>
      <c r="K3552" s="27"/>
      <c r="L3552" s="15"/>
      <c r="M3552" s="15"/>
      <c r="N3552" s="4" t="s">
        <v>4204</v>
      </c>
      <c r="O3552" s="4">
        <v>48</v>
      </c>
    </row>
    <row r="3553" spans="1:15" x14ac:dyDescent="0.2">
      <c r="A3553" s="2">
        <v>40008295</v>
      </c>
      <c r="B3553" s="2" t="s">
        <v>3406</v>
      </c>
      <c r="C3553" s="5" t="s">
        <v>9098</v>
      </c>
      <c r="D3553" s="21">
        <v>11</v>
      </c>
      <c r="E3553" s="21"/>
      <c r="F3553" s="21" t="s">
        <v>10438</v>
      </c>
      <c r="G3553" s="21"/>
      <c r="H3553" s="54">
        <v>31</v>
      </c>
      <c r="I3553" s="51"/>
      <c r="J3553" s="27"/>
      <c r="K3553" s="27"/>
      <c r="L3553" s="15"/>
      <c r="M3553" s="15"/>
      <c r="N3553" s="4" t="s">
        <v>4461</v>
      </c>
      <c r="O3553" s="4"/>
    </row>
    <row r="3554" spans="1:15" x14ac:dyDescent="0.2">
      <c r="A3554" s="2">
        <v>40005519</v>
      </c>
      <c r="B3554" s="2" t="s">
        <v>983</v>
      </c>
      <c r="C3554" s="5" t="s">
        <v>6705</v>
      </c>
      <c r="D3554" s="21">
        <v>10</v>
      </c>
      <c r="E3554" s="21"/>
      <c r="F3554" s="21" t="s">
        <v>10438</v>
      </c>
      <c r="G3554" s="21"/>
      <c r="H3554" s="54">
        <v>14</v>
      </c>
      <c r="I3554" s="51"/>
      <c r="J3554" s="27"/>
      <c r="K3554" s="27"/>
      <c r="L3554" s="15"/>
      <c r="M3554" s="15"/>
      <c r="N3554" s="4"/>
      <c r="O3554" s="4" t="s">
        <v>10183</v>
      </c>
    </row>
    <row r="3555" spans="1:15" x14ac:dyDescent="0.2">
      <c r="A3555" s="2">
        <v>40007384</v>
      </c>
      <c r="B3555" s="2" t="s">
        <v>2611</v>
      </c>
      <c r="C3555" s="5" t="s">
        <v>8309</v>
      </c>
      <c r="D3555" s="21">
        <v>117</v>
      </c>
      <c r="E3555" s="21"/>
      <c r="F3555" s="21" t="s">
        <v>10438</v>
      </c>
      <c r="G3555" s="21"/>
      <c r="H3555" s="54">
        <v>4</v>
      </c>
      <c r="I3555" s="51"/>
      <c r="J3555" s="27"/>
      <c r="K3555" s="27"/>
      <c r="L3555" s="15"/>
      <c r="M3555" s="15"/>
      <c r="N3555" s="4" t="s">
        <v>4357</v>
      </c>
      <c r="O3555" s="4"/>
    </row>
    <row r="3556" spans="1:15" x14ac:dyDescent="0.2">
      <c r="A3556" s="2">
        <v>40008040</v>
      </c>
      <c r="B3556" s="2" t="s">
        <v>3818</v>
      </c>
      <c r="C3556" s="5" t="s">
        <v>8872</v>
      </c>
      <c r="D3556" s="21">
        <v>32</v>
      </c>
      <c r="E3556" s="21"/>
      <c r="F3556" s="21" t="s">
        <v>10438</v>
      </c>
      <c r="G3556" s="21"/>
      <c r="H3556" s="54">
        <v>2</v>
      </c>
      <c r="I3556" s="51"/>
      <c r="J3556" s="27"/>
      <c r="K3556" s="27"/>
      <c r="L3556" s="15"/>
      <c r="M3556" s="15"/>
      <c r="N3556" s="4" t="s">
        <v>4583</v>
      </c>
      <c r="O3556" s="4"/>
    </row>
    <row r="3557" spans="1:15" x14ac:dyDescent="0.2">
      <c r="A3557" s="2">
        <v>40003870</v>
      </c>
      <c r="B3557" s="2" t="s">
        <v>699</v>
      </c>
      <c r="C3557" s="5" t="s">
        <v>6413</v>
      </c>
      <c r="D3557" s="21">
        <v>6</v>
      </c>
      <c r="E3557" s="21"/>
      <c r="F3557" s="21" t="s">
        <v>10438</v>
      </c>
      <c r="G3557" s="21"/>
      <c r="H3557" s="54">
        <v>7</v>
      </c>
      <c r="I3557" s="51"/>
      <c r="J3557" s="27"/>
      <c r="K3557" s="27"/>
      <c r="L3557" s="15"/>
      <c r="M3557" s="15"/>
      <c r="N3557" s="4" t="s">
        <v>3975</v>
      </c>
      <c r="O3557" s="4"/>
    </row>
    <row r="3558" spans="1:15" x14ac:dyDescent="0.2">
      <c r="A3558" s="2">
        <v>40006815</v>
      </c>
      <c r="B3558" s="2" t="s">
        <v>2114</v>
      </c>
      <c r="C3558" s="5" t="s">
        <v>7823</v>
      </c>
      <c r="D3558" s="21">
        <v>177</v>
      </c>
      <c r="E3558" s="21"/>
      <c r="F3558" s="21" t="s">
        <v>10438</v>
      </c>
      <c r="G3558" s="21"/>
      <c r="H3558" s="54">
        <v>1</v>
      </c>
      <c r="I3558" s="51"/>
      <c r="J3558" s="27"/>
      <c r="K3558" s="27"/>
      <c r="L3558" s="15"/>
      <c r="M3558" s="15"/>
      <c r="N3558" s="4" t="s">
        <v>4179</v>
      </c>
      <c r="O3558" s="4"/>
    </row>
    <row r="3559" spans="1:15" x14ac:dyDescent="0.2">
      <c r="A3559" s="2">
        <v>40005354</v>
      </c>
      <c r="B3559" s="2" t="s">
        <v>839</v>
      </c>
      <c r="C3559" s="5" t="s">
        <v>6557</v>
      </c>
      <c r="D3559" s="21">
        <v>6</v>
      </c>
      <c r="E3559" s="21"/>
      <c r="F3559" s="21" t="s">
        <v>10438</v>
      </c>
      <c r="G3559" s="21"/>
      <c r="H3559" s="54">
        <v>4</v>
      </c>
      <c r="I3559" s="51"/>
      <c r="J3559" s="27"/>
      <c r="K3559" s="27"/>
      <c r="L3559" s="15"/>
      <c r="M3559" s="15"/>
      <c r="N3559" s="4" t="s">
        <v>4068</v>
      </c>
      <c r="O3559" s="4"/>
    </row>
    <row r="3560" spans="1:15" x14ac:dyDescent="0.2">
      <c r="A3560" s="2">
        <v>40006785</v>
      </c>
      <c r="B3560" s="2" t="s">
        <v>2085</v>
      </c>
      <c r="C3560" s="5" t="s">
        <v>7795</v>
      </c>
      <c r="D3560" s="21">
        <v>20</v>
      </c>
      <c r="E3560" s="21"/>
      <c r="F3560" s="21" t="s">
        <v>10438</v>
      </c>
      <c r="G3560" s="21"/>
      <c r="H3560" s="54">
        <v>6</v>
      </c>
      <c r="I3560" s="51"/>
      <c r="J3560" s="27"/>
      <c r="K3560" s="27"/>
      <c r="L3560" s="15"/>
      <c r="M3560" s="15"/>
      <c r="N3560" s="4" t="s">
        <v>4682</v>
      </c>
      <c r="O3560" s="4"/>
    </row>
    <row r="3561" spans="1:15" x14ac:dyDescent="0.2">
      <c r="A3561" s="2">
        <v>40006962</v>
      </c>
      <c r="B3561" s="2" t="s">
        <v>2253</v>
      </c>
      <c r="C3561" s="5" t="s">
        <v>7959</v>
      </c>
      <c r="D3561" s="21">
        <v>10</v>
      </c>
      <c r="E3561" s="21"/>
      <c r="F3561" s="21" t="s">
        <v>10438</v>
      </c>
      <c r="G3561" s="21"/>
      <c r="H3561" s="54">
        <v>4</v>
      </c>
      <c r="I3561" s="51"/>
      <c r="J3561" s="27"/>
      <c r="K3561" s="27"/>
      <c r="L3561" s="15"/>
      <c r="M3561" s="15"/>
      <c r="N3561" s="4" t="s">
        <v>4383</v>
      </c>
      <c r="O3561" s="4"/>
    </row>
    <row r="3562" spans="1:15" x14ac:dyDescent="0.2">
      <c r="A3562" s="2">
        <v>40006604</v>
      </c>
      <c r="B3562" s="2" t="s">
        <v>1941</v>
      </c>
      <c r="C3562" s="5" t="s">
        <v>7649</v>
      </c>
      <c r="D3562" s="21">
        <v>6</v>
      </c>
      <c r="E3562" s="21"/>
      <c r="F3562" s="21" t="s">
        <v>10438</v>
      </c>
      <c r="G3562" s="21"/>
      <c r="H3562" s="54">
        <v>4</v>
      </c>
      <c r="I3562" s="51"/>
      <c r="J3562" s="27"/>
      <c r="K3562" s="27"/>
      <c r="L3562" s="15"/>
      <c r="M3562" s="15"/>
      <c r="N3562" s="4" t="s">
        <v>4009</v>
      </c>
      <c r="O3562" s="4"/>
    </row>
    <row r="3563" spans="1:15" x14ac:dyDescent="0.2">
      <c r="A3563" s="2">
        <v>40006605</v>
      </c>
      <c r="B3563" s="2" t="s">
        <v>1942</v>
      </c>
      <c r="C3563" s="5" t="s">
        <v>7650</v>
      </c>
      <c r="D3563" s="21">
        <v>14</v>
      </c>
      <c r="E3563" s="21"/>
      <c r="F3563" s="21" t="s">
        <v>10438</v>
      </c>
      <c r="G3563" s="21"/>
      <c r="H3563" s="54">
        <v>4</v>
      </c>
      <c r="I3563" s="51"/>
      <c r="J3563" s="27"/>
      <c r="K3563" s="27"/>
      <c r="L3563" s="15"/>
      <c r="M3563" s="15"/>
      <c r="N3563" s="4"/>
      <c r="O3563" s="4" t="s">
        <v>10145</v>
      </c>
    </row>
    <row r="3564" spans="1:15" x14ac:dyDescent="0.2">
      <c r="A3564" s="2">
        <v>40006948</v>
      </c>
      <c r="B3564" s="2" t="s">
        <v>2239</v>
      </c>
      <c r="C3564" s="56" t="s">
        <v>7946</v>
      </c>
      <c r="D3564" s="21">
        <v>-3</v>
      </c>
      <c r="E3564" s="21"/>
      <c r="F3564" s="21" t="s">
        <v>10438</v>
      </c>
      <c r="G3564" s="21"/>
      <c r="H3564" s="54">
        <v>2</v>
      </c>
      <c r="I3564" s="51"/>
      <c r="J3564" s="27"/>
      <c r="K3564" s="27"/>
      <c r="L3564" s="15">
        <v>10</v>
      </c>
      <c r="M3564" s="15">
        <v>5</v>
      </c>
      <c r="N3564" s="4" t="s">
        <v>4757</v>
      </c>
      <c r="O3564" s="4"/>
    </row>
    <row r="3565" spans="1:15" x14ac:dyDescent="0.2">
      <c r="A3565" s="2">
        <v>40005985</v>
      </c>
      <c r="B3565" s="2" t="s">
        <v>1390</v>
      </c>
      <c r="C3565" s="5" t="s">
        <v>7096</v>
      </c>
      <c r="D3565" s="21">
        <v>13</v>
      </c>
      <c r="E3565" s="21"/>
      <c r="F3565" s="21" t="s">
        <v>10438</v>
      </c>
      <c r="G3565" s="21"/>
      <c r="H3565" s="54">
        <v>7</v>
      </c>
      <c r="I3565" s="51"/>
      <c r="J3565" s="27"/>
      <c r="K3565" s="27"/>
      <c r="L3565" s="15"/>
      <c r="M3565" s="15"/>
      <c r="N3565" s="4" t="s">
        <v>4351</v>
      </c>
      <c r="O3565" s="4"/>
    </row>
    <row r="3566" spans="1:15" x14ac:dyDescent="0.2">
      <c r="A3566" s="2">
        <v>40006942</v>
      </c>
      <c r="B3566" s="2" t="s">
        <v>2233</v>
      </c>
      <c r="C3566" s="5" t="s">
        <v>7940</v>
      </c>
      <c r="D3566" s="21">
        <v>2</v>
      </c>
      <c r="E3566" s="21"/>
      <c r="F3566" s="21" t="s">
        <v>10438</v>
      </c>
      <c r="G3566" s="21"/>
      <c r="H3566" s="54">
        <v>72</v>
      </c>
      <c r="I3566" s="51"/>
      <c r="J3566" s="27"/>
      <c r="K3566" s="27"/>
      <c r="L3566" s="15"/>
      <c r="M3566" s="15"/>
      <c r="N3566" s="4" t="s">
        <v>4754</v>
      </c>
      <c r="O3566" s="4"/>
    </row>
    <row r="3567" spans="1:15" x14ac:dyDescent="0.2">
      <c r="A3567" s="2">
        <v>10018569</v>
      </c>
      <c r="B3567" s="2" t="s">
        <v>3804</v>
      </c>
      <c r="C3567" s="5" t="s">
        <v>5779</v>
      </c>
      <c r="D3567" s="21">
        <v>2</v>
      </c>
      <c r="E3567" s="21"/>
      <c r="F3567" s="21" t="s">
        <v>10438</v>
      </c>
      <c r="G3567" s="21"/>
      <c r="H3567" s="54">
        <v>889</v>
      </c>
      <c r="I3567" s="51"/>
      <c r="J3567" s="27"/>
      <c r="K3567" s="27"/>
      <c r="L3567" s="15"/>
      <c r="M3567" s="15"/>
      <c r="N3567" s="4">
        <v>107</v>
      </c>
      <c r="O3567" s="4"/>
    </row>
    <row r="3568" spans="1:15" x14ac:dyDescent="0.2">
      <c r="A3568" s="2">
        <v>40008068</v>
      </c>
      <c r="B3568" s="2" t="s">
        <v>3200</v>
      </c>
      <c r="C3568" s="5" t="s">
        <v>8895</v>
      </c>
      <c r="D3568" s="21">
        <v>2</v>
      </c>
      <c r="E3568" s="21"/>
      <c r="F3568" s="21" t="s">
        <v>10438</v>
      </c>
      <c r="G3568" s="21"/>
      <c r="H3568" s="54">
        <v>41</v>
      </c>
      <c r="I3568" s="51"/>
      <c r="J3568" s="27"/>
      <c r="K3568" s="27"/>
      <c r="L3568" s="15"/>
      <c r="M3568" s="15"/>
      <c r="N3568" s="4" t="s">
        <v>5185</v>
      </c>
      <c r="O3568" s="4"/>
    </row>
    <row r="3569" spans="1:15" x14ac:dyDescent="0.2">
      <c r="A3569" s="2">
        <v>40008123</v>
      </c>
      <c r="B3569" s="2" t="s">
        <v>3247</v>
      </c>
      <c r="C3569" s="5" t="s">
        <v>8942</v>
      </c>
      <c r="D3569" s="21">
        <v>7</v>
      </c>
      <c r="E3569" s="21"/>
      <c r="F3569" s="30">
        <v>2</v>
      </c>
      <c r="G3569" s="21"/>
      <c r="H3569" s="54">
        <v>2</v>
      </c>
      <c r="I3569" s="51"/>
      <c r="J3569" s="27"/>
      <c r="K3569" s="27"/>
      <c r="L3569" s="15">
        <v>15</v>
      </c>
      <c r="M3569" s="15"/>
      <c r="N3569" s="4" t="s">
        <v>4334</v>
      </c>
      <c r="O3569" s="4"/>
    </row>
    <row r="3570" spans="1:15" x14ac:dyDescent="0.2">
      <c r="A3570" s="2">
        <v>40007227</v>
      </c>
      <c r="B3570" s="2" t="s">
        <v>2484</v>
      </c>
      <c r="C3570" s="5" t="s">
        <v>5507</v>
      </c>
      <c r="D3570" s="21">
        <v>9</v>
      </c>
      <c r="E3570" s="21"/>
      <c r="F3570" s="21" t="s">
        <v>10438</v>
      </c>
      <c r="G3570" s="21"/>
      <c r="H3570" s="54">
        <v>8</v>
      </c>
      <c r="I3570" s="51"/>
      <c r="J3570" s="27"/>
      <c r="K3570" s="27"/>
      <c r="L3570" s="15"/>
      <c r="M3570" s="15"/>
      <c r="N3570" s="4" t="s">
        <v>4882</v>
      </c>
      <c r="O3570" s="4"/>
    </row>
    <row r="3571" spans="1:15" x14ac:dyDescent="0.2">
      <c r="A3571" s="2">
        <v>40006242</v>
      </c>
      <c r="B3571" s="2" t="s">
        <v>1619</v>
      </c>
      <c r="C3571" s="5" t="s">
        <v>7323</v>
      </c>
      <c r="D3571" s="21">
        <v>32</v>
      </c>
      <c r="E3571" s="21"/>
      <c r="F3571" s="21" t="s">
        <v>10438</v>
      </c>
      <c r="G3571" s="21"/>
      <c r="H3571" s="54">
        <v>6</v>
      </c>
      <c r="I3571" s="51"/>
      <c r="J3571" s="27"/>
      <c r="K3571" s="27"/>
      <c r="L3571" s="15"/>
      <c r="M3571" s="15"/>
      <c r="N3571" s="4" t="s">
        <v>4484</v>
      </c>
      <c r="O3571" s="4"/>
    </row>
    <row r="3572" spans="1:15" x14ac:dyDescent="0.2">
      <c r="A3572" s="2">
        <v>40007424</v>
      </c>
      <c r="B3572" s="2" t="s">
        <v>2647</v>
      </c>
      <c r="C3572" s="5" t="s">
        <v>8345</v>
      </c>
      <c r="D3572" s="21">
        <v>6</v>
      </c>
      <c r="E3572" s="21"/>
      <c r="F3572" s="21" t="s">
        <v>10438</v>
      </c>
      <c r="G3572" s="21"/>
      <c r="H3572" s="54">
        <v>4</v>
      </c>
      <c r="I3572" s="51"/>
      <c r="J3572" s="27"/>
      <c r="K3572" s="27"/>
      <c r="L3572" s="15"/>
      <c r="M3572" s="15"/>
      <c r="N3572" s="4" t="s">
        <v>4030</v>
      </c>
      <c r="O3572" s="4"/>
    </row>
    <row r="3573" spans="1:15" x14ac:dyDescent="0.2">
      <c r="A3573" s="2">
        <v>40006304</v>
      </c>
      <c r="B3573" s="2" t="s">
        <v>1674</v>
      </c>
      <c r="C3573" s="5" t="s">
        <v>7384</v>
      </c>
      <c r="D3573" s="21">
        <v>17</v>
      </c>
      <c r="E3573" s="21"/>
      <c r="F3573" s="21" t="s">
        <v>10438</v>
      </c>
      <c r="G3573" s="21"/>
      <c r="H3573" s="54">
        <v>4</v>
      </c>
      <c r="I3573" s="51"/>
      <c r="J3573" s="27"/>
      <c r="K3573" s="27"/>
      <c r="L3573" s="15"/>
      <c r="M3573" s="15"/>
      <c r="N3573" s="4" t="s">
        <v>4517</v>
      </c>
      <c r="O3573" s="4"/>
    </row>
    <row r="3574" spans="1:15" x14ac:dyDescent="0.2">
      <c r="A3574" s="2">
        <v>40006538</v>
      </c>
      <c r="B3574" s="2" t="s">
        <v>1878</v>
      </c>
      <c r="C3574" s="5" t="s">
        <v>7586</v>
      </c>
      <c r="D3574" s="21">
        <v>1</v>
      </c>
      <c r="E3574" s="21"/>
      <c r="F3574" s="21" t="s">
        <v>10438</v>
      </c>
      <c r="G3574" s="21"/>
      <c r="H3574" s="54">
        <v>270</v>
      </c>
      <c r="I3574" s="51"/>
      <c r="J3574" s="27"/>
      <c r="K3574" s="27"/>
      <c r="L3574" s="15"/>
      <c r="M3574" s="15"/>
      <c r="N3574" s="4"/>
      <c r="O3574" s="4" t="s">
        <v>10145</v>
      </c>
    </row>
    <row r="3575" spans="1:15" x14ac:dyDescent="0.2">
      <c r="A3575" s="2">
        <v>40007699</v>
      </c>
      <c r="B3575" s="2" t="s">
        <v>2876</v>
      </c>
      <c r="C3575" s="5" t="s">
        <v>8574</v>
      </c>
      <c r="D3575" s="21">
        <v>5</v>
      </c>
      <c r="E3575" s="21"/>
      <c r="F3575" s="21" t="s">
        <v>10438</v>
      </c>
      <c r="G3575" s="21"/>
      <c r="H3575" s="54">
        <v>31</v>
      </c>
      <c r="I3575" s="51"/>
      <c r="J3575" s="27"/>
      <c r="K3575" s="27"/>
      <c r="L3575" s="15"/>
      <c r="M3575" s="15"/>
      <c r="N3575" s="4" t="s">
        <v>5038</v>
      </c>
      <c r="O3575" s="4"/>
    </row>
    <row r="3576" spans="1:15" x14ac:dyDescent="0.2">
      <c r="A3576" s="2">
        <v>40007136</v>
      </c>
      <c r="B3576" s="2" t="s">
        <v>2404</v>
      </c>
      <c r="C3576" s="5" t="s">
        <v>8107</v>
      </c>
      <c r="D3576" s="21">
        <v>7</v>
      </c>
      <c r="E3576" s="21"/>
      <c r="F3576" s="21" t="s">
        <v>10438</v>
      </c>
      <c r="G3576" s="21"/>
      <c r="H3576" s="54">
        <v>5</v>
      </c>
      <c r="I3576" s="51"/>
      <c r="J3576" s="27"/>
      <c r="K3576" s="27"/>
      <c r="L3576" s="15"/>
      <c r="M3576" s="15"/>
      <c r="N3576" s="4" t="s">
        <v>4843</v>
      </c>
      <c r="O3576" s="4"/>
    </row>
    <row r="3577" spans="1:15" x14ac:dyDescent="0.2">
      <c r="A3577" s="2">
        <v>40005285</v>
      </c>
      <c r="B3577" s="2" t="s">
        <v>786</v>
      </c>
      <c r="C3577" s="5" t="s">
        <v>6503</v>
      </c>
      <c r="D3577" s="21">
        <v>5</v>
      </c>
      <c r="E3577" s="21"/>
      <c r="F3577" s="21" t="s">
        <v>10438</v>
      </c>
      <c r="G3577" s="21"/>
      <c r="H3577" s="54">
        <v>20</v>
      </c>
      <c r="I3577" s="51"/>
      <c r="J3577" s="27"/>
      <c r="K3577" s="27"/>
      <c r="L3577" s="15"/>
      <c r="M3577" s="15"/>
      <c r="N3577" s="4" t="s">
        <v>4029</v>
      </c>
      <c r="O3577" s="4"/>
    </row>
    <row r="3578" spans="1:15" x14ac:dyDescent="0.2">
      <c r="A3578" s="2">
        <v>40006289</v>
      </c>
      <c r="B3578" s="2" t="s">
        <v>1662</v>
      </c>
      <c r="C3578" s="5" t="s">
        <v>7370</v>
      </c>
      <c r="D3578" s="21">
        <v>1</v>
      </c>
      <c r="E3578" s="21"/>
      <c r="F3578" s="21" t="s">
        <v>10438</v>
      </c>
      <c r="G3578" s="21"/>
      <c r="H3578" s="54">
        <v>211</v>
      </c>
      <c r="I3578" s="51"/>
      <c r="J3578" s="27"/>
      <c r="K3578" s="27"/>
      <c r="L3578" s="15"/>
      <c r="M3578" s="15"/>
      <c r="N3578" s="4" t="s">
        <v>4511</v>
      </c>
      <c r="O3578" s="4"/>
    </row>
    <row r="3579" spans="1:15" x14ac:dyDescent="0.2">
      <c r="A3579" s="2">
        <v>40007687</v>
      </c>
      <c r="B3579" s="2" t="s">
        <v>2865</v>
      </c>
      <c r="C3579" s="5" t="s">
        <v>8564</v>
      </c>
      <c r="D3579" s="21">
        <v>1</v>
      </c>
      <c r="E3579" s="21"/>
      <c r="F3579" s="21" t="s">
        <v>10438</v>
      </c>
      <c r="G3579" s="21"/>
      <c r="H3579" s="54">
        <v>939</v>
      </c>
      <c r="I3579" s="51"/>
      <c r="J3579" s="27"/>
      <c r="K3579" s="27"/>
      <c r="L3579" s="15"/>
      <c r="M3579" s="15"/>
      <c r="N3579" s="4" t="s">
        <v>3936</v>
      </c>
      <c r="O3579" s="4"/>
    </row>
    <row r="3580" spans="1:15" x14ac:dyDescent="0.2">
      <c r="A3580" s="2">
        <v>40006200</v>
      </c>
      <c r="B3580" s="2" t="s">
        <v>1583</v>
      </c>
      <c r="C3580" s="5" t="s">
        <v>7290</v>
      </c>
      <c r="D3580" s="21">
        <v>3</v>
      </c>
      <c r="E3580" s="21"/>
      <c r="F3580" s="21" t="s">
        <v>10438</v>
      </c>
      <c r="G3580" s="21"/>
      <c r="H3580" s="54">
        <v>10</v>
      </c>
      <c r="I3580" s="51"/>
      <c r="J3580" s="27"/>
      <c r="K3580" s="27"/>
      <c r="L3580" s="15"/>
      <c r="M3580" s="15"/>
      <c r="N3580" s="4" t="s">
        <v>4470</v>
      </c>
      <c r="O3580" s="4"/>
    </row>
    <row r="3581" spans="1:15" x14ac:dyDescent="0.2">
      <c r="A3581" s="2">
        <v>40007163</v>
      </c>
      <c r="B3581" s="2" t="s">
        <v>2430</v>
      </c>
      <c r="C3581" s="5" t="s">
        <v>8132</v>
      </c>
      <c r="D3581" s="21">
        <v>5</v>
      </c>
      <c r="E3581" s="21"/>
      <c r="F3581" s="21" t="s">
        <v>10438</v>
      </c>
      <c r="G3581" s="21"/>
      <c r="H3581" s="54">
        <v>477</v>
      </c>
      <c r="I3581" s="51"/>
      <c r="J3581" s="27"/>
      <c r="K3581" s="27"/>
      <c r="L3581" s="15"/>
      <c r="M3581" s="15"/>
      <c r="N3581" s="4" t="s">
        <v>4854</v>
      </c>
      <c r="O3581" s="4"/>
    </row>
    <row r="3582" spans="1:15" x14ac:dyDescent="0.2">
      <c r="A3582" s="2">
        <v>10019718</v>
      </c>
      <c r="B3582" s="2" t="s">
        <v>3655</v>
      </c>
      <c r="C3582" s="5" t="s">
        <v>6200</v>
      </c>
      <c r="D3582" s="21">
        <v>16</v>
      </c>
      <c r="E3582" s="21"/>
      <c r="F3582" s="21" t="s">
        <v>10438</v>
      </c>
      <c r="G3582" s="21"/>
      <c r="H3582" s="54">
        <v>192</v>
      </c>
      <c r="I3582" s="51"/>
      <c r="J3582" s="27"/>
      <c r="K3582" s="27"/>
      <c r="L3582" s="15"/>
      <c r="M3582" s="15"/>
      <c r="N3582" s="4">
        <v>82</v>
      </c>
      <c r="O3582" s="4"/>
    </row>
    <row r="3583" spans="1:15" x14ac:dyDescent="0.2">
      <c r="A3583" s="2">
        <v>10019181</v>
      </c>
      <c r="B3583" s="2" t="s">
        <v>452</v>
      </c>
      <c r="C3583" s="5" t="s">
        <v>6059</v>
      </c>
      <c r="D3583" s="21">
        <v>6</v>
      </c>
      <c r="E3583" s="21"/>
      <c r="F3583" s="21" t="s">
        <v>10438</v>
      </c>
      <c r="G3583" s="21"/>
      <c r="H3583" s="54">
        <v>95</v>
      </c>
      <c r="I3583" s="51"/>
      <c r="J3583" s="27"/>
      <c r="K3583" s="27"/>
      <c r="L3583" s="15"/>
      <c r="M3583" s="15"/>
      <c r="N3583" s="4">
        <v>75</v>
      </c>
      <c r="O3583" s="4"/>
    </row>
    <row r="3584" spans="1:15" x14ac:dyDescent="0.2">
      <c r="A3584" s="2">
        <v>10019518</v>
      </c>
      <c r="B3584" s="2" t="s">
        <v>533</v>
      </c>
      <c r="C3584" s="5" t="s">
        <v>6155</v>
      </c>
      <c r="D3584" s="21">
        <v>8</v>
      </c>
      <c r="E3584" s="21"/>
      <c r="F3584" s="21" t="s">
        <v>10438</v>
      </c>
      <c r="G3584" s="21"/>
      <c r="H3584" s="54">
        <v>207</v>
      </c>
      <c r="I3584" s="51"/>
      <c r="J3584" s="27"/>
      <c r="K3584" s="27"/>
      <c r="L3584" s="15">
        <v>15</v>
      </c>
      <c r="M3584" s="15"/>
      <c r="N3584" s="4">
        <v>82</v>
      </c>
      <c r="O3584" s="4"/>
    </row>
    <row r="3585" spans="1:15" x14ac:dyDescent="0.2">
      <c r="A3585" s="2">
        <v>10018332</v>
      </c>
      <c r="B3585" s="2" t="s">
        <v>157</v>
      </c>
      <c r="C3585" s="5" t="s">
        <v>5696</v>
      </c>
      <c r="D3585" s="21"/>
      <c r="E3585" s="21"/>
      <c r="F3585" s="21" t="s">
        <v>10438</v>
      </c>
      <c r="G3585" s="21"/>
      <c r="H3585" s="54">
        <v>95</v>
      </c>
      <c r="I3585" s="51"/>
      <c r="J3585" s="27"/>
      <c r="K3585" s="27"/>
      <c r="L3585" s="15"/>
      <c r="M3585" s="15">
        <v>5</v>
      </c>
      <c r="N3585" s="4">
        <v>75</v>
      </c>
      <c r="O3585" s="4"/>
    </row>
    <row r="3586" spans="1:15" x14ac:dyDescent="0.2">
      <c r="A3586" s="2">
        <v>10018419</v>
      </c>
      <c r="B3586" s="2" t="s">
        <v>172</v>
      </c>
      <c r="C3586" s="5" t="s">
        <v>5713</v>
      </c>
      <c r="D3586" s="21"/>
      <c r="E3586" s="21"/>
      <c r="F3586" s="21" t="s">
        <v>10438</v>
      </c>
      <c r="G3586" s="21"/>
      <c r="H3586" s="54">
        <v>243</v>
      </c>
      <c r="I3586" s="51"/>
      <c r="J3586" s="27"/>
      <c r="K3586" s="27"/>
      <c r="L3586" s="15"/>
      <c r="M3586" s="15">
        <v>10</v>
      </c>
      <c r="N3586" s="4">
        <v>76</v>
      </c>
      <c r="O3586" s="4"/>
    </row>
    <row r="3587" spans="1:15" x14ac:dyDescent="0.2">
      <c r="A3587" s="2">
        <v>10019521</v>
      </c>
      <c r="B3587" s="2" t="s">
        <v>535</v>
      </c>
      <c r="C3587" s="5" t="s">
        <v>6157</v>
      </c>
      <c r="D3587" s="21">
        <v>49</v>
      </c>
      <c r="E3587" s="21"/>
      <c r="F3587" s="21" t="s">
        <v>10438</v>
      </c>
      <c r="G3587" s="21"/>
      <c r="H3587" s="54">
        <v>163</v>
      </c>
      <c r="I3587" s="51"/>
      <c r="J3587" s="27"/>
      <c r="K3587" s="27"/>
      <c r="L3587" s="15"/>
      <c r="M3587" s="15">
        <v>20</v>
      </c>
      <c r="N3587" s="4">
        <v>78</v>
      </c>
      <c r="O3587" s="4"/>
    </row>
    <row r="3588" spans="1:15" x14ac:dyDescent="0.2">
      <c r="A3588" s="2">
        <v>10019317</v>
      </c>
      <c r="B3588" s="2" t="s">
        <v>495</v>
      </c>
      <c r="C3588" s="5" t="s">
        <v>6111</v>
      </c>
      <c r="D3588" s="21">
        <v>37</v>
      </c>
      <c r="E3588" s="21"/>
      <c r="F3588" s="21" t="s">
        <v>10438</v>
      </c>
      <c r="G3588" s="21"/>
      <c r="H3588" s="54">
        <v>150</v>
      </c>
      <c r="I3588" s="51"/>
      <c r="J3588" s="27"/>
      <c r="K3588" s="27"/>
      <c r="L3588" s="15"/>
      <c r="M3588" s="15">
        <v>10</v>
      </c>
      <c r="N3588" s="4">
        <v>78</v>
      </c>
      <c r="O3588" s="4"/>
    </row>
    <row r="3589" spans="1:15" x14ac:dyDescent="0.2">
      <c r="A3589" s="2">
        <v>40007249</v>
      </c>
      <c r="B3589" s="2" t="s">
        <v>3652</v>
      </c>
      <c r="C3589" s="5" t="s">
        <v>8198</v>
      </c>
      <c r="D3589" s="21">
        <v>6</v>
      </c>
      <c r="E3589" s="21"/>
      <c r="F3589" s="21" t="s">
        <v>10438</v>
      </c>
      <c r="G3589" s="21"/>
      <c r="H3589" s="54">
        <v>145</v>
      </c>
      <c r="I3589" s="51"/>
      <c r="J3589" s="27"/>
      <c r="K3589" s="27"/>
      <c r="L3589" s="15">
        <v>10</v>
      </c>
      <c r="M3589" s="15"/>
      <c r="N3589" s="4">
        <v>78</v>
      </c>
      <c r="O3589" s="4"/>
    </row>
    <row r="3590" spans="1:15" x14ac:dyDescent="0.2">
      <c r="A3590" s="2">
        <v>10019516</v>
      </c>
      <c r="B3590" s="2" t="s">
        <v>3800</v>
      </c>
      <c r="C3590" s="5" t="s">
        <v>6154</v>
      </c>
      <c r="D3590" s="21">
        <v>4</v>
      </c>
      <c r="E3590" s="21"/>
      <c r="F3590" s="21" t="s">
        <v>10438</v>
      </c>
      <c r="G3590" s="21"/>
      <c r="H3590" s="54">
        <v>217</v>
      </c>
      <c r="I3590" s="51"/>
      <c r="J3590" s="27"/>
      <c r="K3590" s="27"/>
      <c r="L3590" s="15"/>
      <c r="M3590" s="15"/>
      <c r="N3590" s="4">
        <v>78</v>
      </c>
      <c r="O3590" s="4"/>
    </row>
    <row r="3591" spans="1:15" x14ac:dyDescent="0.2">
      <c r="A3591" s="2">
        <v>10019063</v>
      </c>
      <c r="B3591" s="2" t="s">
        <v>419</v>
      </c>
      <c r="C3591" s="5" t="s">
        <v>6022</v>
      </c>
      <c r="D3591" s="21">
        <v>14</v>
      </c>
      <c r="E3591" s="21"/>
      <c r="F3591" s="21" t="s">
        <v>10438</v>
      </c>
      <c r="G3591" s="21"/>
      <c r="H3591" s="54">
        <v>189</v>
      </c>
      <c r="I3591" s="51"/>
      <c r="J3591" s="27"/>
      <c r="K3591" s="27"/>
      <c r="L3591" s="15"/>
      <c r="M3591" s="15"/>
      <c r="N3591" s="4">
        <v>81</v>
      </c>
      <c r="O3591" s="4"/>
    </row>
    <row r="3592" spans="1:15" x14ac:dyDescent="0.2">
      <c r="A3592" s="2">
        <v>10019185</v>
      </c>
      <c r="B3592" s="2" t="s">
        <v>453</v>
      </c>
      <c r="C3592" s="5" t="s">
        <v>6061</v>
      </c>
      <c r="D3592" s="21">
        <v>34</v>
      </c>
      <c r="E3592" s="21"/>
      <c r="F3592" s="21" t="s">
        <v>10438</v>
      </c>
      <c r="G3592" s="21"/>
      <c r="H3592" s="54">
        <v>109</v>
      </c>
      <c r="I3592" s="51"/>
      <c r="J3592" s="27"/>
      <c r="K3592" s="27"/>
      <c r="L3592" s="15"/>
      <c r="M3592" s="15">
        <v>20</v>
      </c>
      <c r="N3592" s="4">
        <v>75</v>
      </c>
      <c r="O3592" s="4"/>
    </row>
    <row r="3593" spans="1:15" x14ac:dyDescent="0.2">
      <c r="A3593" s="2">
        <v>40007568</v>
      </c>
      <c r="B3593" s="2" t="s">
        <v>2764</v>
      </c>
      <c r="C3593" s="5" t="s">
        <v>8465</v>
      </c>
      <c r="D3593" s="21">
        <v>1</v>
      </c>
      <c r="E3593" s="21"/>
      <c r="F3593" s="21" t="s">
        <v>10438</v>
      </c>
      <c r="G3593" s="21"/>
      <c r="H3593" s="54">
        <v>334</v>
      </c>
      <c r="I3593" s="51"/>
      <c r="J3593" s="27"/>
      <c r="K3593" s="27"/>
      <c r="L3593" s="15"/>
      <c r="M3593" s="15"/>
      <c r="N3593" s="4" t="s">
        <v>4259</v>
      </c>
      <c r="O3593" s="4"/>
    </row>
    <row r="3594" spans="1:15" x14ac:dyDescent="0.2">
      <c r="A3594" s="2">
        <v>10019280</v>
      </c>
      <c r="B3594" s="2" t="s">
        <v>485</v>
      </c>
      <c r="C3594" s="5" t="s">
        <v>6099</v>
      </c>
      <c r="D3594" s="21">
        <v>1</v>
      </c>
      <c r="E3594" s="21"/>
      <c r="F3594" s="21" t="s">
        <v>10438</v>
      </c>
      <c r="G3594" s="21"/>
      <c r="H3594" s="54">
        <v>143</v>
      </c>
      <c r="I3594" s="51"/>
      <c r="J3594" s="27"/>
      <c r="K3594" s="27"/>
      <c r="L3594" s="15"/>
      <c r="M3594" s="15"/>
      <c r="N3594" s="4"/>
      <c r="O3594" s="4">
        <v>88</v>
      </c>
    </row>
    <row r="3595" spans="1:15" x14ac:dyDescent="0.2">
      <c r="A3595" s="2">
        <v>40011414</v>
      </c>
      <c r="B3595" s="2" t="s">
        <v>5308</v>
      </c>
      <c r="C3595" s="5" t="s">
        <v>9392</v>
      </c>
      <c r="D3595" s="21">
        <v>2</v>
      </c>
      <c r="E3595" s="21"/>
      <c r="F3595" s="21" t="s">
        <v>10438</v>
      </c>
      <c r="G3595" s="21"/>
      <c r="H3595" s="54">
        <v>85</v>
      </c>
      <c r="I3595" s="51"/>
      <c r="J3595" s="27"/>
      <c r="K3595" s="27"/>
      <c r="L3595" s="15"/>
      <c r="M3595" s="15"/>
      <c r="N3595" s="4"/>
      <c r="O3595" s="4" t="s">
        <v>4943</v>
      </c>
    </row>
    <row r="3596" spans="1:15" x14ac:dyDescent="0.2">
      <c r="A3596" s="2">
        <v>10018193</v>
      </c>
      <c r="B3596" s="2" t="s">
        <v>95</v>
      </c>
      <c r="C3596" s="5" t="s">
        <v>5632</v>
      </c>
      <c r="D3596" s="21">
        <v>3</v>
      </c>
      <c r="E3596" s="21"/>
      <c r="F3596" s="21" t="s">
        <v>10438</v>
      </c>
      <c r="G3596" s="21"/>
      <c r="H3596" s="54">
        <v>1580</v>
      </c>
      <c r="I3596" s="51"/>
      <c r="J3596" s="27"/>
      <c r="K3596" s="27"/>
      <c r="L3596" s="15"/>
      <c r="M3596" s="15"/>
      <c r="N3596" s="4"/>
      <c r="O3596" s="4">
        <v>106</v>
      </c>
    </row>
    <row r="3597" spans="1:15" x14ac:dyDescent="0.2">
      <c r="A3597" s="2">
        <v>10018578</v>
      </c>
      <c r="B3597" s="2" t="s">
        <v>221</v>
      </c>
      <c r="C3597" s="5" t="s">
        <v>5781</v>
      </c>
      <c r="D3597" s="21"/>
      <c r="E3597" s="21"/>
      <c r="F3597" s="21" t="s">
        <v>10438</v>
      </c>
      <c r="G3597" s="21"/>
      <c r="H3597" s="54">
        <v>363</v>
      </c>
      <c r="I3597" s="51"/>
      <c r="J3597" s="27"/>
      <c r="K3597" s="27"/>
      <c r="L3597" s="15"/>
      <c r="M3597" s="15"/>
      <c r="N3597" s="4">
        <v>107</v>
      </c>
      <c r="O3597" s="4"/>
    </row>
    <row r="3598" spans="1:15" x14ac:dyDescent="0.2">
      <c r="A3598" s="2">
        <v>40010396</v>
      </c>
      <c r="B3598" s="2" t="s">
        <v>3535</v>
      </c>
      <c r="C3598" s="5" t="s">
        <v>9238</v>
      </c>
      <c r="D3598" s="21">
        <v>7</v>
      </c>
      <c r="E3598" s="21"/>
      <c r="F3598" s="21" t="s">
        <v>10438</v>
      </c>
      <c r="G3598" s="21"/>
      <c r="H3598" s="54">
        <v>7</v>
      </c>
      <c r="I3598" s="51"/>
      <c r="J3598" s="27"/>
      <c r="K3598" s="27"/>
      <c r="L3598" s="15"/>
      <c r="M3598" s="15"/>
      <c r="N3598" s="4" t="s">
        <v>5271</v>
      </c>
      <c r="O3598" s="4"/>
    </row>
    <row r="3599" spans="1:15" x14ac:dyDescent="0.2">
      <c r="A3599" s="2">
        <v>40010397</v>
      </c>
      <c r="B3599" s="2" t="s">
        <v>3536</v>
      </c>
      <c r="C3599" s="5" t="s">
        <v>9239</v>
      </c>
      <c r="D3599" s="21">
        <v>22</v>
      </c>
      <c r="E3599" s="21"/>
      <c r="F3599" s="21" t="s">
        <v>10438</v>
      </c>
      <c r="G3599" s="21"/>
      <c r="H3599" s="54">
        <v>7</v>
      </c>
      <c r="I3599" s="51"/>
      <c r="J3599" s="27"/>
      <c r="K3599" s="27"/>
      <c r="L3599" s="15"/>
      <c r="M3599" s="15"/>
      <c r="N3599" s="4" t="s">
        <v>5271</v>
      </c>
      <c r="O3599" s="4"/>
    </row>
    <row r="3600" spans="1:15" x14ac:dyDescent="0.2">
      <c r="A3600" s="2">
        <v>40005457</v>
      </c>
      <c r="B3600" s="2" t="s">
        <v>930</v>
      </c>
      <c r="C3600" s="5" t="s">
        <v>6652</v>
      </c>
      <c r="D3600" s="21">
        <v>1</v>
      </c>
      <c r="E3600" s="21"/>
      <c r="F3600" s="21" t="s">
        <v>10438</v>
      </c>
      <c r="G3600" s="21"/>
      <c r="H3600" s="54">
        <v>14</v>
      </c>
      <c r="I3600" s="51"/>
      <c r="J3600" s="27"/>
      <c r="K3600" s="27"/>
      <c r="L3600" s="15"/>
      <c r="M3600" s="15"/>
      <c r="N3600" s="4"/>
      <c r="O3600" s="4" t="s">
        <v>10145</v>
      </c>
    </row>
    <row r="3601" spans="1:15" x14ac:dyDescent="0.2">
      <c r="A3601" s="2">
        <v>40007255</v>
      </c>
      <c r="B3601" s="2" t="s">
        <v>2506</v>
      </c>
      <c r="C3601" s="5" t="s">
        <v>8202</v>
      </c>
      <c r="D3601" s="21">
        <v>3</v>
      </c>
      <c r="E3601" s="21"/>
      <c r="F3601" s="21" t="s">
        <v>10438</v>
      </c>
      <c r="G3601" s="21"/>
      <c r="H3601" s="54">
        <v>7</v>
      </c>
      <c r="I3601" s="51"/>
      <c r="J3601" s="27"/>
      <c r="K3601" s="27"/>
      <c r="L3601" s="15"/>
      <c r="M3601" s="15"/>
      <c r="N3601" s="4" t="s">
        <v>4250</v>
      </c>
      <c r="O3601" s="4"/>
    </row>
    <row r="3602" spans="1:15" x14ac:dyDescent="0.2">
      <c r="A3602" s="2">
        <v>40008175</v>
      </c>
      <c r="B3602" s="2" t="s">
        <v>3298</v>
      </c>
      <c r="C3602" s="5" t="s">
        <v>8991</v>
      </c>
      <c r="D3602" s="21">
        <v>1</v>
      </c>
      <c r="E3602" s="21"/>
      <c r="F3602" s="21" t="s">
        <v>10438</v>
      </c>
      <c r="G3602" s="21"/>
      <c r="H3602" s="54">
        <v>40</v>
      </c>
      <c r="I3602" s="51"/>
      <c r="J3602" s="27"/>
      <c r="K3602" s="27"/>
      <c r="L3602" s="15"/>
      <c r="M3602" s="15"/>
      <c r="N3602" s="4" t="s">
        <v>4715</v>
      </c>
      <c r="O3602" s="4"/>
    </row>
    <row r="3603" spans="1:15" x14ac:dyDescent="0.2">
      <c r="A3603" s="2">
        <v>40005346</v>
      </c>
      <c r="B3603" s="2" t="s">
        <v>831</v>
      </c>
      <c r="C3603" s="5" t="s">
        <v>6549</v>
      </c>
      <c r="D3603" s="21">
        <v>4</v>
      </c>
      <c r="E3603" s="21"/>
      <c r="F3603" s="21" t="s">
        <v>10438</v>
      </c>
      <c r="G3603" s="21"/>
      <c r="H3603" s="54">
        <v>68</v>
      </c>
      <c r="I3603" s="51"/>
      <c r="J3603" s="27"/>
      <c r="K3603" s="27"/>
      <c r="L3603" s="15"/>
      <c r="M3603" s="15"/>
      <c r="N3603" s="4" t="s">
        <v>4063</v>
      </c>
      <c r="O3603" s="4"/>
    </row>
    <row r="3604" spans="1:15" x14ac:dyDescent="0.2">
      <c r="A3604" s="2">
        <v>40005864</v>
      </c>
      <c r="B3604" s="2" t="s">
        <v>1280</v>
      </c>
      <c r="C3604" s="5" t="s">
        <v>6991</v>
      </c>
      <c r="D3604" s="21">
        <v>1</v>
      </c>
      <c r="E3604" s="21"/>
      <c r="F3604" s="30">
        <v>2</v>
      </c>
      <c r="G3604" s="21"/>
      <c r="H3604" s="54">
        <v>46</v>
      </c>
      <c r="I3604" s="51"/>
      <c r="J3604" s="27"/>
      <c r="K3604" s="27"/>
      <c r="L3604" s="15">
        <v>8</v>
      </c>
      <c r="M3604" s="15"/>
      <c r="N3604" s="4" t="s">
        <v>4296</v>
      </c>
      <c r="O3604" s="4"/>
    </row>
    <row r="3605" spans="1:15" x14ac:dyDescent="0.2">
      <c r="A3605" s="2">
        <v>40005898</v>
      </c>
      <c r="B3605" s="2" t="s">
        <v>1312</v>
      </c>
      <c r="C3605" s="5" t="s">
        <v>7022</v>
      </c>
      <c r="D3605" s="21">
        <v>2</v>
      </c>
      <c r="E3605" s="21"/>
      <c r="F3605" s="21" t="s">
        <v>10438</v>
      </c>
      <c r="G3605" s="21"/>
      <c r="H3605" s="54">
        <v>26</v>
      </c>
      <c r="I3605" s="51"/>
      <c r="J3605" s="27"/>
      <c r="K3605" s="27"/>
      <c r="L3605" s="15"/>
      <c r="M3605" s="15"/>
      <c r="N3605" s="4" t="s">
        <v>4311</v>
      </c>
      <c r="O3605" s="4"/>
    </row>
    <row r="3606" spans="1:15" x14ac:dyDescent="0.2">
      <c r="A3606" s="2">
        <v>10019114</v>
      </c>
      <c r="B3606" s="2" t="s">
        <v>433</v>
      </c>
      <c r="C3606" s="5" t="s">
        <v>6035</v>
      </c>
      <c r="D3606" s="21">
        <v>1</v>
      </c>
      <c r="E3606" s="21"/>
      <c r="F3606" s="21" t="s">
        <v>10438</v>
      </c>
      <c r="G3606" s="21"/>
      <c r="H3606" s="54">
        <v>391</v>
      </c>
      <c r="I3606" s="51"/>
      <c r="J3606" s="27"/>
      <c r="K3606" s="27"/>
      <c r="L3606" s="15"/>
      <c r="M3606" s="15"/>
      <c r="N3606" s="4"/>
      <c r="O3606" s="4"/>
    </row>
    <row r="3607" spans="1:15" x14ac:dyDescent="0.2">
      <c r="A3607" s="2">
        <v>10019203</v>
      </c>
      <c r="B3607" s="2" t="s">
        <v>458</v>
      </c>
      <c r="C3607" s="5" t="s">
        <v>6066</v>
      </c>
      <c r="D3607" s="21">
        <v>47</v>
      </c>
      <c r="E3607" s="21"/>
      <c r="F3607" s="21" t="s">
        <v>10438</v>
      </c>
      <c r="G3607" s="21"/>
      <c r="H3607" s="54">
        <v>120</v>
      </c>
      <c r="I3607" s="51"/>
      <c r="J3607" s="27"/>
      <c r="K3607" s="27"/>
      <c r="L3607" s="15"/>
      <c r="M3607" s="15"/>
      <c r="N3607" s="4">
        <v>80</v>
      </c>
      <c r="O3607" s="4"/>
    </row>
    <row r="3608" spans="1:15" x14ac:dyDescent="0.2">
      <c r="A3608" s="2">
        <v>40010285</v>
      </c>
      <c r="B3608" s="2" t="s">
        <v>3476</v>
      </c>
      <c r="C3608" s="5" t="s">
        <v>9170</v>
      </c>
      <c r="D3608" s="21">
        <v>1</v>
      </c>
      <c r="E3608" s="21"/>
      <c r="F3608" s="21" t="s">
        <v>10438</v>
      </c>
      <c r="G3608" s="21"/>
      <c r="H3608" s="54">
        <v>107</v>
      </c>
      <c r="I3608" s="51"/>
      <c r="J3608" s="27"/>
      <c r="K3608" s="27"/>
      <c r="L3608" s="15"/>
      <c r="M3608" s="15"/>
      <c r="N3608" s="4" t="s">
        <v>5258</v>
      </c>
      <c r="O3608" s="4"/>
    </row>
    <row r="3609" spans="1:15" x14ac:dyDescent="0.2">
      <c r="A3609" s="2">
        <v>40005716</v>
      </c>
      <c r="B3609" s="2" t="s">
        <v>1145</v>
      </c>
      <c r="C3609" s="5" t="s">
        <v>6864</v>
      </c>
      <c r="D3609" s="21">
        <v>1</v>
      </c>
      <c r="E3609" s="21"/>
      <c r="F3609" s="21" t="s">
        <v>10438</v>
      </c>
      <c r="G3609" s="21"/>
      <c r="H3609" s="54">
        <v>540</v>
      </c>
      <c r="I3609" s="51"/>
      <c r="J3609" s="27"/>
      <c r="K3609" s="27"/>
      <c r="L3609" s="15"/>
      <c r="M3609" s="15"/>
      <c r="N3609" s="4"/>
      <c r="O3609" s="4">
        <v>93</v>
      </c>
    </row>
    <row r="3610" spans="1:15" x14ac:dyDescent="0.2">
      <c r="A3610" s="2">
        <v>40007357</v>
      </c>
      <c r="B3610" s="2" t="s">
        <v>2589</v>
      </c>
      <c r="C3610" s="5" t="s">
        <v>8288</v>
      </c>
      <c r="D3610" s="21">
        <v>2</v>
      </c>
      <c r="E3610" s="21"/>
      <c r="F3610" s="21" t="s">
        <v>10438</v>
      </c>
      <c r="G3610" s="21"/>
      <c r="H3610" s="54">
        <v>93</v>
      </c>
      <c r="I3610" s="51"/>
      <c r="J3610" s="27"/>
      <c r="K3610" s="27"/>
      <c r="L3610" s="15"/>
      <c r="M3610" s="15"/>
      <c r="N3610" s="4"/>
      <c r="O3610" s="4">
        <v>84</v>
      </c>
    </row>
    <row r="3611" spans="1:15" x14ac:dyDescent="0.2">
      <c r="A3611" s="2">
        <v>40005894</v>
      </c>
      <c r="B3611" s="2" t="s">
        <v>1309</v>
      </c>
      <c r="C3611" s="5" t="s">
        <v>7019</v>
      </c>
      <c r="D3611" s="21">
        <v>1</v>
      </c>
      <c r="E3611" s="21"/>
      <c r="F3611" s="21" t="s">
        <v>10438</v>
      </c>
      <c r="G3611" s="21"/>
      <c r="H3611" s="54">
        <v>41</v>
      </c>
      <c r="I3611" s="51"/>
      <c r="J3611" s="27"/>
      <c r="K3611" s="27"/>
      <c r="L3611" s="15"/>
      <c r="M3611" s="15"/>
      <c r="N3611" s="4" t="s">
        <v>4310</v>
      </c>
      <c r="O3611" s="4"/>
    </row>
    <row r="3612" spans="1:15" x14ac:dyDescent="0.2">
      <c r="A3612" s="2">
        <v>40005674</v>
      </c>
      <c r="B3612" s="2" t="s">
        <v>1110</v>
      </c>
      <c r="C3612" s="5" t="s">
        <v>6828</v>
      </c>
      <c r="D3612" s="21">
        <v>2</v>
      </c>
      <c r="E3612" s="21"/>
      <c r="F3612" s="21" t="s">
        <v>10438</v>
      </c>
      <c r="G3612" s="21"/>
      <c r="H3612" s="54">
        <v>1</v>
      </c>
      <c r="I3612" s="51"/>
      <c r="J3612" s="27"/>
      <c r="K3612" s="27"/>
      <c r="L3612" s="15"/>
      <c r="M3612" s="15"/>
      <c r="N3612" s="4" t="s">
        <v>4210</v>
      </c>
      <c r="O3612" s="4"/>
    </row>
    <row r="3613" spans="1:15" x14ac:dyDescent="0.2">
      <c r="A3613" s="2">
        <v>40005721</v>
      </c>
      <c r="B3613" s="2" t="s">
        <v>1149</v>
      </c>
      <c r="C3613" s="5" t="s">
        <v>6867</v>
      </c>
      <c r="D3613" s="21">
        <v>7</v>
      </c>
      <c r="E3613" s="21"/>
      <c r="F3613" s="21" t="s">
        <v>10438</v>
      </c>
      <c r="G3613" s="21"/>
      <c r="H3613" s="54">
        <v>82</v>
      </c>
      <c r="I3613" s="51"/>
      <c r="J3613" s="27"/>
      <c r="K3613" s="27"/>
      <c r="L3613" s="15"/>
      <c r="M3613" s="15"/>
      <c r="N3613" s="4" t="s">
        <v>4233</v>
      </c>
      <c r="O3613" s="4"/>
    </row>
    <row r="3614" spans="1:15" x14ac:dyDescent="0.2">
      <c r="A3614" s="2">
        <v>40007313</v>
      </c>
      <c r="B3614" s="2" t="s">
        <v>2555</v>
      </c>
      <c r="C3614" s="5">
        <v>963601120</v>
      </c>
      <c r="D3614" s="21">
        <v>37</v>
      </c>
      <c r="E3614" s="21"/>
      <c r="F3614" s="21" t="s">
        <v>10438</v>
      </c>
      <c r="G3614" s="21"/>
      <c r="H3614" s="54">
        <v>35</v>
      </c>
      <c r="I3614" s="51"/>
      <c r="J3614" s="27"/>
      <c r="K3614" s="27"/>
      <c r="L3614" s="15"/>
      <c r="M3614" s="15"/>
      <c r="N3614" s="4" t="s">
        <v>4573</v>
      </c>
      <c r="O3614" s="4"/>
    </row>
    <row r="3615" spans="1:15" x14ac:dyDescent="0.2">
      <c r="A3615" s="2">
        <v>40007324</v>
      </c>
      <c r="B3615" s="2" t="s">
        <v>2564</v>
      </c>
      <c r="C3615" s="5" t="s">
        <v>8258</v>
      </c>
      <c r="D3615" s="21">
        <v>1</v>
      </c>
      <c r="E3615" s="21"/>
      <c r="F3615" s="21" t="s">
        <v>10438</v>
      </c>
      <c r="G3615" s="21"/>
      <c r="H3615" s="54">
        <v>217</v>
      </c>
      <c r="I3615" s="51"/>
      <c r="J3615" s="27"/>
      <c r="K3615" s="27"/>
      <c r="L3615" s="15"/>
      <c r="M3615" s="15"/>
      <c r="N3615" s="4" t="s">
        <v>4240</v>
      </c>
      <c r="O3615" s="4"/>
    </row>
    <row r="3616" spans="1:15" x14ac:dyDescent="0.2">
      <c r="A3616" s="2">
        <v>40006308</v>
      </c>
      <c r="B3616" s="2" t="s">
        <v>1676</v>
      </c>
      <c r="C3616" s="5" t="s">
        <v>7386</v>
      </c>
      <c r="D3616" s="21">
        <v>6</v>
      </c>
      <c r="E3616" s="21"/>
      <c r="F3616" s="21" t="s">
        <v>10438</v>
      </c>
      <c r="G3616" s="21"/>
      <c r="H3616" s="54">
        <v>63</v>
      </c>
      <c r="I3616" s="51"/>
      <c r="J3616" s="27"/>
      <c r="K3616" s="27"/>
      <c r="L3616" s="15"/>
      <c r="M3616" s="15"/>
      <c r="N3616" s="4" t="s">
        <v>4519</v>
      </c>
      <c r="O3616" s="4"/>
    </row>
    <row r="3617" spans="1:15" x14ac:dyDescent="0.2">
      <c r="A3617" s="2">
        <v>40007895</v>
      </c>
      <c r="B3617" s="2" t="s">
        <v>3050</v>
      </c>
      <c r="C3617" s="5">
        <v>181245100</v>
      </c>
      <c r="D3617" s="21">
        <v>5</v>
      </c>
      <c r="E3617" s="21"/>
      <c r="F3617" s="21" t="s">
        <v>10438</v>
      </c>
      <c r="G3617" s="21"/>
      <c r="H3617" s="54">
        <v>136</v>
      </c>
      <c r="I3617" s="51"/>
      <c r="J3617" s="27"/>
      <c r="K3617" s="27"/>
      <c r="L3617" s="15"/>
      <c r="M3617" s="15"/>
      <c r="N3617" s="4" t="s">
        <v>4724</v>
      </c>
      <c r="O3617" s="4"/>
    </row>
    <row r="3618" spans="1:15" x14ac:dyDescent="0.2">
      <c r="A3618" s="2">
        <v>40007157</v>
      </c>
      <c r="B3618" s="2" t="s">
        <v>2425</v>
      </c>
      <c r="C3618" s="5" t="s">
        <v>8127</v>
      </c>
      <c r="D3618" s="21">
        <v>5</v>
      </c>
      <c r="E3618" s="21"/>
      <c r="F3618" s="21" t="s">
        <v>10438</v>
      </c>
      <c r="G3618" s="21"/>
      <c r="H3618" s="54">
        <v>240</v>
      </c>
      <c r="I3618" s="51"/>
      <c r="J3618" s="27"/>
      <c r="K3618" s="27"/>
      <c r="L3618" s="15"/>
      <c r="M3618" s="15"/>
      <c r="N3618" s="4" t="s">
        <v>4850</v>
      </c>
      <c r="O3618" s="4"/>
    </row>
    <row r="3619" spans="1:15" x14ac:dyDescent="0.2">
      <c r="A3619" s="2">
        <v>40008128</v>
      </c>
      <c r="B3619" s="2" t="s">
        <v>3251</v>
      </c>
      <c r="C3619" s="5" t="s">
        <v>8947</v>
      </c>
      <c r="D3619" s="21">
        <v>12</v>
      </c>
      <c r="E3619" s="21"/>
      <c r="F3619" s="30">
        <v>3</v>
      </c>
      <c r="G3619" s="21"/>
      <c r="H3619" s="54">
        <v>292</v>
      </c>
      <c r="I3619" s="51"/>
      <c r="J3619" s="27"/>
      <c r="K3619" s="27"/>
      <c r="L3619" s="15"/>
      <c r="M3619" s="15"/>
      <c r="N3619" s="4" t="s">
        <v>10481</v>
      </c>
      <c r="O3619" s="4"/>
    </row>
    <row r="3620" spans="1:15" x14ac:dyDescent="0.2">
      <c r="A3620" s="2">
        <v>40008120</v>
      </c>
      <c r="B3620" s="2" t="s">
        <v>3244</v>
      </c>
      <c r="C3620" s="5" t="s">
        <v>8939</v>
      </c>
      <c r="D3620" s="21">
        <v>32</v>
      </c>
      <c r="E3620" s="21"/>
      <c r="F3620" s="21" t="s">
        <v>10438</v>
      </c>
      <c r="G3620" s="21"/>
      <c r="H3620" s="54">
        <v>78</v>
      </c>
      <c r="I3620" s="51"/>
      <c r="J3620" s="27"/>
      <c r="K3620" s="27"/>
      <c r="L3620" s="15"/>
      <c r="M3620" s="15"/>
      <c r="N3620" s="4" t="s">
        <v>4084</v>
      </c>
      <c r="O3620" s="4" t="s">
        <v>10086</v>
      </c>
    </row>
    <row r="3621" spans="1:15" x14ac:dyDescent="0.2">
      <c r="A3621" s="2">
        <v>40008079</v>
      </c>
      <c r="B3621" s="2" t="s">
        <v>3209</v>
      </c>
      <c r="C3621" s="5" t="s">
        <v>8905</v>
      </c>
      <c r="D3621" s="21">
        <v>1</v>
      </c>
      <c r="E3621" s="21"/>
      <c r="F3621" s="21" t="s">
        <v>10438</v>
      </c>
      <c r="G3621" s="21"/>
      <c r="H3621" s="54">
        <v>165</v>
      </c>
      <c r="I3621" s="51"/>
      <c r="J3621" s="27"/>
      <c r="K3621" s="27"/>
      <c r="L3621" s="15"/>
      <c r="M3621" s="15"/>
      <c r="N3621" s="4" t="s">
        <v>3936</v>
      </c>
      <c r="O3621" s="4"/>
    </row>
    <row r="3622" spans="1:15" x14ac:dyDescent="0.2">
      <c r="A3622" s="2">
        <v>40008165</v>
      </c>
      <c r="B3622" s="2" t="s">
        <v>3288</v>
      </c>
      <c r="C3622" s="5" t="s">
        <v>8981</v>
      </c>
      <c r="D3622" s="21">
        <v>21</v>
      </c>
      <c r="E3622" s="21"/>
      <c r="F3622" s="21" t="s">
        <v>10438</v>
      </c>
      <c r="G3622" s="21"/>
      <c r="H3622" s="54">
        <v>5</v>
      </c>
      <c r="I3622" s="51"/>
      <c r="J3622" s="27"/>
      <c r="K3622" s="27"/>
      <c r="L3622" s="15"/>
      <c r="M3622" s="15"/>
      <c r="N3622" s="4" t="s">
        <v>5207</v>
      </c>
      <c r="O3622" s="4"/>
    </row>
    <row r="3623" spans="1:15" x14ac:dyDescent="0.2">
      <c r="A3623" s="2">
        <v>40007636</v>
      </c>
      <c r="B3623" s="2" t="s">
        <v>2823</v>
      </c>
      <c r="C3623" s="5" t="s">
        <v>8522</v>
      </c>
      <c r="D3623" s="21">
        <v>18</v>
      </c>
      <c r="E3623" s="21"/>
      <c r="F3623" s="30">
        <v>1</v>
      </c>
      <c r="G3623" s="21"/>
      <c r="H3623" s="54">
        <v>39</v>
      </c>
      <c r="I3623" s="51"/>
      <c r="J3623" s="27"/>
      <c r="K3623" s="27"/>
      <c r="L3623" s="15"/>
      <c r="M3623" s="15"/>
      <c r="N3623" s="4" t="s">
        <v>5021</v>
      </c>
      <c r="O3623" s="4"/>
    </row>
    <row r="3624" spans="1:15" x14ac:dyDescent="0.2">
      <c r="A3624" s="2">
        <v>40006175</v>
      </c>
      <c r="B3624" s="2" t="s">
        <v>1560</v>
      </c>
      <c r="C3624" s="5" t="s">
        <v>7267</v>
      </c>
      <c r="D3624" s="21">
        <v>4</v>
      </c>
      <c r="E3624" s="21"/>
      <c r="F3624" s="21" t="s">
        <v>10438</v>
      </c>
      <c r="G3624" s="21"/>
      <c r="H3624" s="54">
        <v>240</v>
      </c>
      <c r="I3624" s="51"/>
      <c r="J3624" s="27"/>
      <c r="K3624" s="27"/>
      <c r="L3624" s="15"/>
      <c r="M3624" s="15"/>
      <c r="N3624" s="4" t="s">
        <v>4451</v>
      </c>
      <c r="O3624" s="4"/>
    </row>
    <row r="3625" spans="1:15" x14ac:dyDescent="0.2">
      <c r="A3625" s="2">
        <v>40008087</v>
      </c>
      <c r="B3625" s="2" t="s">
        <v>3216</v>
      </c>
      <c r="C3625" s="5" t="s">
        <v>8912</v>
      </c>
      <c r="D3625" s="21">
        <v>1</v>
      </c>
      <c r="E3625" s="21"/>
      <c r="F3625" s="21" t="s">
        <v>10438</v>
      </c>
      <c r="G3625" s="21"/>
      <c r="H3625" s="54">
        <v>73</v>
      </c>
      <c r="I3625" s="51"/>
      <c r="J3625" s="27"/>
      <c r="K3625" s="27"/>
      <c r="L3625" s="15"/>
      <c r="M3625" s="15"/>
      <c r="N3625" s="4" t="s">
        <v>4931</v>
      </c>
      <c r="O3625" s="4"/>
    </row>
    <row r="3626" spans="1:15" x14ac:dyDescent="0.2">
      <c r="A3626" s="2">
        <v>40008127</v>
      </c>
      <c r="B3626" s="2" t="s">
        <v>3250</v>
      </c>
      <c r="C3626" s="5" t="s">
        <v>8946</v>
      </c>
      <c r="D3626" s="21">
        <v>19</v>
      </c>
      <c r="E3626" s="21"/>
      <c r="F3626" s="21" t="s">
        <v>10438</v>
      </c>
      <c r="G3626" s="21"/>
      <c r="H3626" s="54">
        <v>179</v>
      </c>
      <c r="I3626" s="51"/>
      <c r="J3626" s="27"/>
      <c r="K3626" s="27"/>
      <c r="L3626" s="15"/>
      <c r="M3626" s="15"/>
      <c r="N3626" s="4" t="s">
        <v>4134</v>
      </c>
      <c r="O3626" s="4"/>
    </row>
    <row r="3627" spans="1:15" x14ac:dyDescent="0.2">
      <c r="A3627" s="2">
        <v>40007867</v>
      </c>
      <c r="B3627" s="2" t="s">
        <v>3024</v>
      </c>
      <c r="C3627" s="5" t="s">
        <v>8723</v>
      </c>
      <c r="D3627" s="21">
        <v>3</v>
      </c>
      <c r="E3627" s="21"/>
      <c r="F3627" s="21" t="s">
        <v>10438</v>
      </c>
      <c r="G3627" s="21"/>
      <c r="H3627" s="54">
        <v>32</v>
      </c>
      <c r="I3627" s="51"/>
      <c r="J3627" s="27"/>
      <c r="K3627" s="27"/>
      <c r="L3627" s="15"/>
      <c r="M3627" s="15"/>
      <c r="N3627" s="4"/>
      <c r="O3627" s="4" t="s">
        <v>10362</v>
      </c>
    </row>
    <row r="3628" spans="1:15" x14ac:dyDescent="0.2">
      <c r="A3628" s="2">
        <v>40005333</v>
      </c>
      <c r="B3628" s="2" t="s">
        <v>820</v>
      </c>
      <c r="C3628" s="5" t="s">
        <v>6537</v>
      </c>
      <c r="D3628" s="21"/>
      <c r="E3628" s="21"/>
      <c r="F3628" s="21" t="s">
        <v>10438</v>
      </c>
      <c r="G3628" s="21"/>
      <c r="H3628" s="54">
        <v>76</v>
      </c>
      <c r="I3628" s="51"/>
      <c r="J3628" s="27"/>
      <c r="K3628" s="27"/>
      <c r="L3628" s="15"/>
      <c r="M3628" s="15"/>
      <c r="N3628" s="4" t="s">
        <v>4056</v>
      </c>
      <c r="O3628" s="4"/>
    </row>
    <row r="3629" spans="1:15" x14ac:dyDescent="0.2">
      <c r="A3629" s="2">
        <v>40007405</v>
      </c>
      <c r="B3629" s="2" t="s">
        <v>2630</v>
      </c>
      <c r="C3629" s="5" t="s">
        <v>8329</v>
      </c>
      <c r="D3629" s="21">
        <v>13</v>
      </c>
      <c r="E3629" s="21"/>
      <c r="F3629" s="21" t="s">
        <v>10438</v>
      </c>
      <c r="G3629" s="21"/>
      <c r="H3629" s="54">
        <v>65</v>
      </c>
      <c r="I3629" s="51"/>
      <c r="J3629" s="27"/>
      <c r="K3629" s="27"/>
      <c r="L3629" s="15"/>
      <c r="M3629" s="15"/>
      <c r="N3629" s="4" t="s">
        <v>4639</v>
      </c>
      <c r="O3629" s="4"/>
    </row>
    <row r="3630" spans="1:15" x14ac:dyDescent="0.2">
      <c r="A3630" s="2">
        <v>40005805</v>
      </c>
      <c r="B3630" s="2" t="s">
        <v>1227</v>
      </c>
      <c r="C3630" s="5" t="s">
        <v>6940</v>
      </c>
      <c r="D3630" s="21">
        <v>1</v>
      </c>
      <c r="E3630" s="21"/>
      <c r="F3630" s="21" t="s">
        <v>10438</v>
      </c>
      <c r="G3630" s="21"/>
      <c r="H3630" s="54">
        <v>15</v>
      </c>
      <c r="I3630" s="51"/>
      <c r="J3630" s="27"/>
      <c r="K3630" s="27"/>
      <c r="L3630" s="15"/>
      <c r="M3630" s="15"/>
      <c r="N3630" s="4" t="s">
        <v>4272</v>
      </c>
      <c r="O3630" s="4" t="s">
        <v>10236</v>
      </c>
    </row>
    <row r="3631" spans="1:15" x14ac:dyDescent="0.2">
      <c r="A3631" s="2">
        <v>40005177</v>
      </c>
      <c r="B3631" s="2" t="s">
        <v>722</v>
      </c>
      <c r="C3631" s="5" t="s">
        <v>6436</v>
      </c>
      <c r="D3631" s="21">
        <v>5</v>
      </c>
      <c r="E3631" s="21"/>
      <c r="F3631" s="21" t="s">
        <v>10438</v>
      </c>
      <c r="G3631" s="21"/>
      <c r="H3631" s="54">
        <v>509</v>
      </c>
      <c r="I3631" s="51"/>
      <c r="J3631" s="27"/>
      <c r="K3631" s="27"/>
      <c r="L3631" s="15"/>
      <c r="M3631" s="15"/>
      <c r="N3631" s="4" t="s">
        <v>3945</v>
      </c>
      <c r="O3631" s="4"/>
    </row>
    <row r="3632" spans="1:15" x14ac:dyDescent="0.2">
      <c r="A3632" s="2">
        <v>40005298</v>
      </c>
      <c r="B3632" s="2" t="s">
        <v>796</v>
      </c>
      <c r="C3632" s="10" t="s">
        <v>6513</v>
      </c>
      <c r="D3632" s="21">
        <v>1</v>
      </c>
      <c r="E3632" s="21"/>
      <c r="F3632" s="21" t="s">
        <v>10438</v>
      </c>
      <c r="G3632" s="21"/>
      <c r="H3632" s="54">
        <v>168</v>
      </c>
      <c r="I3632" s="51"/>
      <c r="J3632" s="27"/>
      <c r="K3632" s="27"/>
      <c r="L3632" s="15">
        <v>10</v>
      </c>
      <c r="M3632" s="15">
        <v>10</v>
      </c>
      <c r="N3632" s="4" t="s">
        <v>5089</v>
      </c>
      <c r="O3632" s="4" t="s">
        <v>10234</v>
      </c>
    </row>
    <row r="3633" spans="1:15" x14ac:dyDescent="0.2">
      <c r="A3633" s="2">
        <v>40005389</v>
      </c>
      <c r="B3633" s="2" t="s">
        <v>866</v>
      </c>
      <c r="C3633" s="5" t="s">
        <v>6588</v>
      </c>
      <c r="D3633" s="21">
        <v>3</v>
      </c>
      <c r="E3633" s="21"/>
      <c r="F3633" s="21" t="s">
        <v>10438</v>
      </c>
      <c r="G3633" s="21"/>
      <c r="H3633" s="54">
        <v>660</v>
      </c>
      <c r="I3633" s="51"/>
      <c r="J3633" s="27"/>
      <c r="K3633" s="27"/>
      <c r="L3633" s="15"/>
      <c r="M3633" s="15"/>
      <c r="N3633" s="4" t="s">
        <v>4092</v>
      </c>
      <c r="O3633" s="4"/>
    </row>
    <row r="3634" spans="1:15" x14ac:dyDescent="0.2">
      <c r="A3634" s="2">
        <v>40010292</v>
      </c>
      <c r="B3634" s="2" t="s">
        <v>3482</v>
      </c>
      <c r="C3634" s="5" t="s">
        <v>9176</v>
      </c>
      <c r="D3634" s="21"/>
      <c r="E3634" s="21"/>
      <c r="F3634" s="21" t="s">
        <v>10438</v>
      </c>
      <c r="G3634" s="21"/>
      <c r="H3634" s="54">
        <v>153</v>
      </c>
      <c r="I3634" s="51"/>
      <c r="J3634" s="27"/>
      <c r="K3634" s="27"/>
      <c r="L3634" s="15"/>
      <c r="M3634" s="15"/>
      <c r="N3634" s="4" t="s">
        <v>5263</v>
      </c>
      <c r="O3634" s="4"/>
    </row>
    <row r="3635" spans="1:15" x14ac:dyDescent="0.2">
      <c r="A3635" s="2">
        <v>40006091</v>
      </c>
      <c r="B3635" s="2" t="s">
        <v>1482</v>
      </c>
      <c r="C3635" s="5" t="s">
        <v>7188</v>
      </c>
      <c r="D3635" s="21"/>
      <c r="E3635" s="21"/>
      <c r="F3635" s="30">
        <v>3</v>
      </c>
      <c r="G3635" s="21"/>
      <c r="H3635" s="54">
        <v>110</v>
      </c>
      <c r="I3635" s="51"/>
      <c r="J3635" s="27"/>
      <c r="K3635" s="27"/>
      <c r="L3635" s="15"/>
      <c r="M3635" s="15"/>
      <c r="N3635" s="4" t="s">
        <v>4408</v>
      </c>
      <c r="O3635" s="4"/>
    </row>
    <row r="3636" spans="1:15" x14ac:dyDescent="0.2">
      <c r="A3636" s="2">
        <v>40005979</v>
      </c>
      <c r="B3636" s="2" t="s">
        <v>1384</v>
      </c>
      <c r="C3636" s="5" t="s">
        <v>7090</v>
      </c>
      <c r="D3636" s="21">
        <v>22</v>
      </c>
      <c r="E3636" s="21"/>
      <c r="F3636" s="21" t="s">
        <v>10438</v>
      </c>
      <c r="G3636" s="21"/>
      <c r="H3636" s="54">
        <v>150</v>
      </c>
      <c r="I3636" s="51"/>
      <c r="J3636" s="27"/>
      <c r="K3636" s="27"/>
      <c r="L3636" s="15"/>
      <c r="M3636" s="15"/>
      <c r="N3636" s="4" t="s">
        <v>4348</v>
      </c>
      <c r="O3636" s="4">
        <v>42</v>
      </c>
    </row>
    <row r="3637" spans="1:15" x14ac:dyDescent="0.2">
      <c r="A3637" s="2">
        <v>40007050</v>
      </c>
      <c r="B3637" s="2" t="s">
        <v>2327</v>
      </c>
      <c r="C3637" s="5" t="s">
        <v>8036</v>
      </c>
      <c r="D3637" s="21">
        <v>7</v>
      </c>
      <c r="E3637" s="21"/>
      <c r="F3637" s="21" t="s">
        <v>10438</v>
      </c>
      <c r="G3637" s="21"/>
      <c r="H3637" s="54">
        <v>75</v>
      </c>
      <c r="I3637" s="51"/>
      <c r="J3637" s="27"/>
      <c r="K3637" s="27"/>
      <c r="L3637" s="15"/>
      <c r="M3637" s="15"/>
      <c r="N3637" s="4" t="s">
        <v>4806</v>
      </c>
      <c r="O3637" s="4"/>
    </row>
    <row r="3638" spans="1:15" x14ac:dyDescent="0.2">
      <c r="A3638" s="2">
        <v>40007036</v>
      </c>
      <c r="B3638" s="2" t="s">
        <v>2315</v>
      </c>
      <c r="C3638" s="5" t="s">
        <v>8025</v>
      </c>
      <c r="D3638" s="21">
        <v>9</v>
      </c>
      <c r="E3638" s="21"/>
      <c r="F3638" s="21" t="s">
        <v>10438</v>
      </c>
      <c r="G3638" s="21"/>
      <c r="H3638" s="54">
        <v>50</v>
      </c>
      <c r="I3638" s="51"/>
      <c r="J3638" s="27"/>
      <c r="K3638" s="27"/>
      <c r="L3638" s="15"/>
      <c r="M3638" s="15"/>
      <c r="N3638" s="4" t="s">
        <v>4799</v>
      </c>
      <c r="O3638" s="4"/>
    </row>
    <row r="3639" spans="1:15" x14ac:dyDescent="0.2">
      <c r="A3639" s="2">
        <v>40007581</v>
      </c>
      <c r="B3639" s="2" t="s">
        <v>2776</v>
      </c>
      <c r="C3639" s="5" t="s">
        <v>8475</v>
      </c>
      <c r="D3639" s="21">
        <v>7</v>
      </c>
      <c r="E3639" s="21"/>
      <c r="F3639" s="21" t="s">
        <v>10438</v>
      </c>
      <c r="G3639" s="21"/>
      <c r="H3639" s="54">
        <v>125</v>
      </c>
      <c r="I3639" s="51"/>
      <c r="J3639" s="27"/>
      <c r="K3639" s="27"/>
      <c r="L3639" s="15"/>
      <c r="M3639" s="15"/>
      <c r="N3639" s="4" t="s">
        <v>4277</v>
      </c>
      <c r="O3639" s="4" t="s">
        <v>10153</v>
      </c>
    </row>
    <row r="3640" spans="1:15" x14ac:dyDescent="0.2">
      <c r="A3640" s="2">
        <v>40005845</v>
      </c>
      <c r="B3640" s="2" t="s">
        <v>3837</v>
      </c>
      <c r="C3640" s="5" t="s">
        <v>6975</v>
      </c>
      <c r="D3640" s="21">
        <v>3</v>
      </c>
      <c r="E3640" s="21"/>
      <c r="F3640" s="21" t="s">
        <v>10438</v>
      </c>
      <c r="G3640" s="21"/>
      <c r="H3640" s="54">
        <v>68</v>
      </c>
      <c r="I3640" s="51"/>
      <c r="J3640" s="27"/>
      <c r="K3640" s="27"/>
      <c r="L3640" s="15"/>
      <c r="M3640" s="15"/>
      <c r="N3640" s="4" t="s">
        <v>10724</v>
      </c>
      <c r="O3640" s="4"/>
    </row>
    <row r="3641" spans="1:15" x14ac:dyDescent="0.2">
      <c r="A3641" s="2">
        <v>40007933</v>
      </c>
      <c r="B3641" s="2" t="s">
        <v>3086</v>
      </c>
      <c r="C3641" s="5" t="s">
        <v>8779</v>
      </c>
      <c r="D3641" s="21">
        <v>5</v>
      </c>
      <c r="E3641" s="21"/>
      <c r="F3641" s="21" t="s">
        <v>10438</v>
      </c>
      <c r="G3641" s="21"/>
      <c r="H3641" s="54">
        <v>151</v>
      </c>
      <c r="I3641" s="51"/>
      <c r="J3641" s="27"/>
      <c r="K3641" s="27"/>
      <c r="L3641" s="15"/>
      <c r="M3641" s="15"/>
      <c r="N3641" s="4" t="s">
        <v>5136</v>
      </c>
      <c r="O3641" s="4"/>
    </row>
    <row r="3642" spans="1:15" x14ac:dyDescent="0.2">
      <c r="A3642" s="2">
        <v>40007846</v>
      </c>
      <c r="B3642" s="2" t="s">
        <v>3004</v>
      </c>
      <c r="C3642" s="5" t="s">
        <v>8704</v>
      </c>
      <c r="D3642" s="21">
        <v>54</v>
      </c>
      <c r="E3642" s="21"/>
      <c r="F3642" s="21" t="s">
        <v>10438</v>
      </c>
      <c r="G3642" s="21"/>
      <c r="H3642" s="54">
        <v>83</v>
      </c>
      <c r="I3642" s="51"/>
      <c r="J3642" s="27"/>
      <c r="K3642" s="27"/>
      <c r="L3642" s="15"/>
      <c r="M3642" s="15"/>
      <c r="N3642" s="4" t="s">
        <v>5105</v>
      </c>
      <c r="O3642" s="4"/>
    </row>
    <row r="3643" spans="1:15" x14ac:dyDescent="0.2">
      <c r="A3643" s="2">
        <v>40007935</v>
      </c>
      <c r="B3643" s="2" t="s">
        <v>3088</v>
      </c>
      <c r="C3643" s="5" t="s">
        <v>8781</v>
      </c>
      <c r="D3643" s="21">
        <v>4</v>
      </c>
      <c r="E3643" s="21"/>
      <c r="F3643" s="21" t="s">
        <v>10438</v>
      </c>
      <c r="G3643" s="21"/>
      <c r="H3643" s="54">
        <v>235</v>
      </c>
      <c r="I3643" s="51"/>
      <c r="J3643" s="27"/>
      <c r="K3643" s="27"/>
      <c r="L3643" s="15"/>
      <c r="M3643" s="15"/>
      <c r="N3643" s="4" t="s">
        <v>5138</v>
      </c>
      <c r="O3643" s="4"/>
    </row>
    <row r="3644" spans="1:15" x14ac:dyDescent="0.2">
      <c r="A3644" s="2">
        <v>40010234</v>
      </c>
      <c r="B3644" s="2" t="s">
        <v>3432</v>
      </c>
      <c r="C3644" s="5" t="s">
        <v>9126</v>
      </c>
      <c r="D3644" s="21">
        <v>4</v>
      </c>
      <c r="E3644" s="21"/>
      <c r="F3644" s="21" t="s">
        <v>10438</v>
      </c>
      <c r="G3644" s="21"/>
      <c r="H3644" s="54">
        <v>42</v>
      </c>
      <c r="I3644" s="51"/>
      <c r="J3644" s="27"/>
      <c r="K3644" s="27"/>
      <c r="L3644" s="15"/>
      <c r="M3644" s="15"/>
      <c r="N3644" s="4" t="s">
        <v>5243</v>
      </c>
      <c r="O3644" s="4"/>
    </row>
    <row r="3645" spans="1:15" x14ac:dyDescent="0.2">
      <c r="A3645" s="2">
        <v>40010244</v>
      </c>
      <c r="B3645" s="2" t="s">
        <v>3442</v>
      </c>
      <c r="C3645" s="5" t="s">
        <v>9136</v>
      </c>
      <c r="D3645" s="21">
        <v>3</v>
      </c>
      <c r="E3645" s="21"/>
      <c r="F3645" s="21" t="s">
        <v>10438</v>
      </c>
      <c r="G3645" s="21"/>
      <c r="H3645" s="54">
        <v>55</v>
      </c>
      <c r="I3645" s="51"/>
      <c r="J3645" s="27"/>
      <c r="K3645" s="27"/>
      <c r="L3645" s="15"/>
      <c r="M3645" s="15"/>
      <c r="N3645" s="4" t="s">
        <v>4866</v>
      </c>
      <c r="O3645" s="4"/>
    </row>
    <row r="3646" spans="1:15" x14ac:dyDescent="0.2">
      <c r="A3646" s="2">
        <v>40007996</v>
      </c>
      <c r="B3646" s="2" t="s">
        <v>3136</v>
      </c>
      <c r="C3646" s="5" t="s">
        <v>8835</v>
      </c>
      <c r="D3646" s="21">
        <v>13</v>
      </c>
      <c r="E3646" s="21"/>
      <c r="F3646" s="21" t="s">
        <v>10438</v>
      </c>
      <c r="G3646" s="21"/>
      <c r="H3646" s="54">
        <v>174</v>
      </c>
      <c r="I3646" s="51"/>
      <c r="J3646" s="27"/>
      <c r="K3646" s="27"/>
      <c r="L3646" s="15"/>
      <c r="M3646" s="15"/>
      <c r="N3646" s="4" t="s">
        <v>5157</v>
      </c>
      <c r="O3646" s="4"/>
    </row>
    <row r="3647" spans="1:15" x14ac:dyDescent="0.2">
      <c r="A3647" s="2">
        <v>40007997</v>
      </c>
      <c r="B3647" s="2" t="s">
        <v>3137</v>
      </c>
      <c r="C3647" s="5" t="s">
        <v>8836</v>
      </c>
      <c r="D3647" s="21">
        <v>6</v>
      </c>
      <c r="E3647" s="21"/>
      <c r="F3647" s="21" t="s">
        <v>10438</v>
      </c>
      <c r="G3647" s="21"/>
      <c r="H3647" s="54">
        <v>182</v>
      </c>
      <c r="I3647" s="51"/>
      <c r="J3647" s="27"/>
      <c r="K3647" s="27"/>
      <c r="L3647" s="15"/>
      <c r="M3647" s="15"/>
      <c r="N3647" s="4" t="s">
        <v>5158</v>
      </c>
      <c r="O3647" s="4"/>
    </row>
    <row r="3648" spans="1:15" x14ac:dyDescent="0.2">
      <c r="A3648" s="2">
        <v>40006138</v>
      </c>
      <c r="B3648" s="2" t="s">
        <v>1529</v>
      </c>
      <c r="C3648" s="5" t="s">
        <v>7233</v>
      </c>
      <c r="D3648" s="21">
        <v>8</v>
      </c>
      <c r="E3648" s="21"/>
      <c r="F3648" s="21" t="s">
        <v>10438</v>
      </c>
      <c r="G3648" s="21"/>
      <c r="H3648" s="54">
        <v>230</v>
      </c>
      <c r="I3648" s="51"/>
      <c r="J3648" s="27"/>
      <c r="K3648" s="27"/>
      <c r="L3648" s="15"/>
      <c r="M3648" s="15"/>
      <c r="N3648" s="4" t="s">
        <v>10048</v>
      </c>
      <c r="O3648" s="4">
        <v>42</v>
      </c>
    </row>
    <row r="3649" spans="1:15" x14ac:dyDescent="0.2">
      <c r="A3649" s="2">
        <v>40007971</v>
      </c>
      <c r="B3649" s="2" t="s">
        <v>3119</v>
      </c>
      <c r="C3649" s="5" t="s">
        <v>8815</v>
      </c>
      <c r="D3649" s="21">
        <v>10</v>
      </c>
      <c r="E3649" s="21"/>
      <c r="F3649" s="21" t="s">
        <v>10438</v>
      </c>
      <c r="G3649" s="21"/>
      <c r="H3649" s="54">
        <v>133</v>
      </c>
      <c r="I3649" s="51"/>
      <c r="J3649" s="27"/>
      <c r="K3649" s="27"/>
      <c r="L3649" s="15"/>
      <c r="M3649" s="15"/>
      <c r="N3649" s="4" t="s">
        <v>5152</v>
      </c>
      <c r="O3649" s="4"/>
    </row>
    <row r="3650" spans="1:15" x14ac:dyDescent="0.2">
      <c r="A3650" s="2">
        <v>40007999</v>
      </c>
      <c r="B3650" s="2" t="s">
        <v>3139</v>
      </c>
      <c r="C3650" s="5" t="s">
        <v>8837</v>
      </c>
      <c r="D3650" s="21">
        <v>13</v>
      </c>
      <c r="E3650" s="21"/>
      <c r="F3650" s="21" t="s">
        <v>10438</v>
      </c>
      <c r="G3650" s="21"/>
      <c r="H3650" s="54">
        <v>59</v>
      </c>
      <c r="I3650" s="51"/>
      <c r="J3650" s="27"/>
      <c r="K3650" s="27"/>
      <c r="L3650" s="15"/>
      <c r="M3650" s="15"/>
      <c r="N3650" s="4" t="s">
        <v>10482</v>
      </c>
      <c r="O3650" s="4"/>
    </row>
    <row r="3651" spans="1:15" x14ac:dyDescent="0.2">
      <c r="A3651" s="2">
        <v>40007216</v>
      </c>
      <c r="B3651" s="2" t="s">
        <v>2475</v>
      </c>
      <c r="C3651" s="5" t="s">
        <v>8176</v>
      </c>
      <c r="D3651" s="21">
        <v>68</v>
      </c>
      <c r="E3651" s="21"/>
      <c r="F3651" s="30">
        <v>6</v>
      </c>
      <c r="G3651" s="21"/>
      <c r="H3651" s="54">
        <v>312</v>
      </c>
      <c r="I3651" s="51"/>
      <c r="J3651" s="27"/>
      <c r="K3651" s="27"/>
      <c r="L3651" s="15">
        <v>30</v>
      </c>
      <c r="M3651" s="15">
        <v>50</v>
      </c>
      <c r="N3651" s="4" t="s">
        <v>4876</v>
      </c>
      <c r="O3651" s="4"/>
    </row>
    <row r="3652" spans="1:15" x14ac:dyDescent="0.2">
      <c r="A3652" s="2">
        <v>40007054</v>
      </c>
      <c r="B3652" s="2" t="s">
        <v>2331</v>
      </c>
      <c r="C3652" s="5" t="s">
        <v>8040</v>
      </c>
      <c r="D3652" s="21">
        <v>2</v>
      </c>
      <c r="E3652" s="21"/>
      <c r="F3652" s="21" t="s">
        <v>10438</v>
      </c>
      <c r="G3652" s="21"/>
      <c r="H3652" s="54">
        <v>353</v>
      </c>
      <c r="I3652" s="51"/>
      <c r="J3652" s="27"/>
      <c r="K3652" s="27"/>
      <c r="L3652" s="15"/>
      <c r="M3652" s="15"/>
      <c r="N3652" s="4" t="s">
        <v>4808</v>
      </c>
      <c r="O3652" s="4"/>
    </row>
    <row r="3653" spans="1:15" x14ac:dyDescent="0.2">
      <c r="A3653" s="2">
        <v>40007304</v>
      </c>
      <c r="B3653" s="2" t="s">
        <v>2546</v>
      </c>
      <c r="C3653" s="5" t="s">
        <v>8243</v>
      </c>
      <c r="D3653" s="21">
        <v>55</v>
      </c>
      <c r="E3653" s="21"/>
      <c r="F3653" s="21" t="s">
        <v>10438</v>
      </c>
      <c r="G3653" s="21"/>
      <c r="H3653" s="54">
        <v>421</v>
      </c>
      <c r="I3653" s="51"/>
      <c r="J3653" s="27"/>
      <c r="K3653" s="27"/>
      <c r="L3653" s="15"/>
      <c r="M3653" s="15"/>
      <c r="N3653" s="4" t="s">
        <v>4271</v>
      </c>
      <c r="O3653" s="4">
        <v>17</v>
      </c>
    </row>
    <row r="3654" spans="1:15" x14ac:dyDescent="0.2">
      <c r="A3654" s="2">
        <v>40007225</v>
      </c>
      <c r="B3654" s="2" t="s">
        <v>2482</v>
      </c>
      <c r="C3654" s="5" t="s">
        <v>8184</v>
      </c>
      <c r="D3654" s="21">
        <v>10</v>
      </c>
      <c r="E3654" s="21"/>
      <c r="F3654" s="21" t="s">
        <v>10438</v>
      </c>
      <c r="G3654" s="21"/>
      <c r="H3654" s="54">
        <v>418</v>
      </c>
      <c r="I3654" s="51"/>
      <c r="J3654" s="27"/>
      <c r="K3654" s="27"/>
      <c r="L3654" s="15"/>
      <c r="M3654" s="15"/>
      <c r="N3654" s="4" t="s">
        <v>4881</v>
      </c>
      <c r="O3654" s="4"/>
    </row>
    <row r="3655" spans="1:15" x14ac:dyDescent="0.2">
      <c r="A3655" s="2">
        <v>40010346</v>
      </c>
      <c r="B3655" s="2" t="s">
        <v>3764</v>
      </c>
      <c r="C3655" s="5" t="s">
        <v>9208</v>
      </c>
      <c r="D3655" s="21">
        <v>3</v>
      </c>
      <c r="E3655" s="21"/>
      <c r="F3655" s="21" t="s">
        <v>10438</v>
      </c>
      <c r="G3655" s="21"/>
      <c r="H3655" s="54">
        <v>110</v>
      </c>
      <c r="I3655" s="51"/>
      <c r="J3655" s="27"/>
      <c r="K3655" s="27"/>
      <c r="L3655" s="15">
        <v>2</v>
      </c>
      <c r="M3655" s="15">
        <v>3</v>
      </c>
      <c r="N3655" s="4" t="s">
        <v>4593</v>
      </c>
      <c r="O3655" s="4"/>
    </row>
    <row r="3656" spans="1:15" x14ac:dyDescent="0.2">
      <c r="A3656" s="2">
        <v>40008097</v>
      </c>
      <c r="B3656" s="2" t="s">
        <v>3224</v>
      </c>
      <c r="C3656" s="5" t="s">
        <v>8920</v>
      </c>
      <c r="D3656" s="21">
        <v>16</v>
      </c>
      <c r="E3656" s="21"/>
      <c r="F3656" s="21" t="s">
        <v>10438</v>
      </c>
      <c r="G3656" s="21"/>
      <c r="H3656" s="54">
        <v>379</v>
      </c>
      <c r="I3656" s="51"/>
      <c r="J3656" s="27"/>
      <c r="K3656" s="27"/>
      <c r="L3656" s="15"/>
      <c r="M3656" s="15"/>
      <c r="N3656" s="4"/>
      <c r="O3656" s="4" t="s">
        <v>10113</v>
      </c>
    </row>
    <row r="3657" spans="1:15" x14ac:dyDescent="0.2">
      <c r="A3657" s="2">
        <v>40006435</v>
      </c>
      <c r="B3657" s="2" t="s">
        <v>1793</v>
      </c>
      <c r="C3657" s="5" t="s">
        <v>7500</v>
      </c>
      <c r="D3657" s="21">
        <v>17</v>
      </c>
      <c r="E3657" s="21"/>
      <c r="F3657" s="21" t="s">
        <v>10438</v>
      </c>
      <c r="G3657" s="21"/>
      <c r="H3657" s="54">
        <v>534</v>
      </c>
      <c r="I3657" s="51"/>
      <c r="J3657" s="27"/>
      <c r="K3657" s="27"/>
      <c r="L3657" s="15"/>
      <c r="M3657" s="15"/>
      <c r="N3657" s="4" t="s">
        <v>4590</v>
      </c>
      <c r="O3657" s="4"/>
    </row>
    <row r="3658" spans="1:15" x14ac:dyDescent="0.2">
      <c r="A3658" s="2">
        <v>40007145</v>
      </c>
      <c r="B3658" s="2" t="s">
        <v>2413</v>
      </c>
      <c r="C3658" s="5" t="s">
        <v>8115</v>
      </c>
      <c r="D3658" s="21">
        <v>8</v>
      </c>
      <c r="E3658" s="21"/>
      <c r="F3658" s="21" t="s">
        <v>10438</v>
      </c>
      <c r="G3658" s="21"/>
      <c r="H3658" s="54">
        <v>451</v>
      </c>
      <c r="I3658" s="51"/>
      <c r="J3658" s="27"/>
      <c r="K3658" s="27"/>
      <c r="L3658" s="15"/>
      <c r="M3658" s="15"/>
      <c r="N3658" s="4" t="s">
        <v>4275</v>
      </c>
      <c r="O3658" s="4"/>
    </row>
    <row r="3659" spans="1:15" x14ac:dyDescent="0.2">
      <c r="A3659" s="2">
        <v>40006041</v>
      </c>
      <c r="B3659" s="2" t="s">
        <v>3916</v>
      </c>
      <c r="C3659" s="5" t="s">
        <v>7144</v>
      </c>
      <c r="D3659" s="21">
        <v>1</v>
      </c>
      <c r="E3659" s="21"/>
      <c r="F3659" s="30">
        <v>2</v>
      </c>
      <c r="G3659" s="21"/>
      <c r="H3659" s="54">
        <v>50</v>
      </c>
      <c r="I3659" s="51"/>
      <c r="J3659" s="27"/>
      <c r="K3659" s="27"/>
      <c r="L3659" s="15"/>
      <c r="M3659" s="15">
        <v>4</v>
      </c>
      <c r="N3659" s="4" t="s">
        <v>5294</v>
      </c>
      <c r="O3659" s="4"/>
    </row>
    <row r="3660" spans="1:15" x14ac:dyDescent="0.2">
      <c r="A3660" s="2">
        <v>40007981</v>
      </c>
      <c r="B3660" s="2" t="s">
        <v>3126</v>
      </c>
      <c r="C3660" s="5" t="s">
        <v>8823</v>
      </c>
      <c r="D3660" s="21">
        <v>23</v>
      </c>
      <c r="E3660" s="21"/>
      <c r="F3660" s="21" t="s">
        <v>10438</v>
      </c>
      <c r="G3660" s="21"/>
      <c r="H3660" s="54">
        <v>288</v>
      </c>
      <c r="I3660" s="51"/>
      <c r="J3660" s="27"/>
      <c r="K3660" s="27"/>
      <c r="L3660" s="15"/>
      <c r="M3660" s="15"/>
      <c r="N3660" s="4" t="s">
        <v>5154</v>
      </c>
      <c r="O3660" s="4">
        <v>43</v>
      </c>
    </row>
    <row r="3661" spans="1:15" x14ac:dyDescent="0.2">
      <c r="A3661" s="2">
        <v>40007590</v>
      </c>
      <c r="B3661" s="2" t="s">
        <v>2785</v>
      </c>
      <c r="C3661" s="5" t="s">
        <v>8484</v>
      </c>
      <c r="D3661" s="21">
        <v>2</v>
      </c>
      <c r="E3661" s="21"/>
      <c r="F3661" s="21" t="s">
        <v>10438</v>
      </c>
      <c r="G3661" s="21"/>
      <c r="H3661" s="54">
        <v>267</v>
      </c>
      <c r="I3661" s="51"/>
      <c r="J3661" s="27"/>
      <c r="K3661" s="27"/>
      <c r="L3661" s="15"/>
      <c r="M3661" s="15">
        <v>1</v>
      </c>
      <c r="N3661" s="4" t="s">
        <v>5008</v>
      </c>
      <c r="O3661" s="4"/>
    </row>
    <row r="3662" spans="1:15" x14ac:dyDescent="0.2">
      <c r="A3662" s="2">
        <v>40008169</v>
      </c>
      <c r="B3662" s="2" t="s">
        <v>3292</v>
      </c>
      <c r="C3662" s="5" t="s">
        <v>8985</v>
      </c>
      <c r="D3662" s="21">
        <v>6</v>
      </c>
      <c r="E3662" s="21"/>
      <c r="F3662" s="30">
        <v>1</v>
      </c>
      <c r="G3662" s="21"/>
      <c r="H3662" s="54">
        <v>216</v>
      </c>
      <c r="I3662" s="51"/>
      <c r="J3662" s="27"/>
      <c r="K3662" s="27"/>
      <c r="L3662" s="15"/>
      <c r="M3662" s="15"/>
      <c r="N3662" s="4" t="s">
        <v>10725</v>
      </c>
      <c r="O3662" s="4"/>
    </row>
    <row r="3663" spans="1:15" x14ac:dyDescent="0.2">
      <c r="A3663" s="2">
        <v>40006383</v>
      </c>
      <c r="B3663" s="2" t="s">
        <v>1743</v>
      </c>
      <c r="C3663" s="5" t="s">
        <v>7454</v>
      </c>
      <c r="D3663" s="21">
        <v>5</v>
      </c>
      <c r="E3663" s="21"/>
      <c r="F3663" s="21" t="s">
        <v>10438</v>
      </c>
      <c r="G3663" s="21"/>
      <c r="H3663" s="54">
        <v>194</v>
      </c>
      <c r="I3663" s="51"/>
      <c r="J3663" s="27"/>
      <c r="K3663" s="27"/>
      <c r="L3663" s="15"/>
      <c r="M3663" s="15"/>
      <c r="N3663" s="4" t="s">
        <v>4559</v>
      </c>
      <c r="O3663" s="4"/>
    </row>
    <row r="3664" spans="1:15" x14ac:dyDescent="0.2">
      <c r="A3664" s="2">
        <v>40007137</v>
      </c>
      <c r="B3664" s="2" t="s">
        <v>2405</v>
      </c>
      <c r="C3664" s="5" t="s">
        <v>8108</v>
      </c>
      <c r="D3664" s="21">
        <v>35</v>
      </c>
      <c r="E3664" s="21"/>
      <c r="F3664" s="21" t="s">
        <v>10438</v>
      </c>
      <c r="G3664" s="21"/>
      <c r="H3664" s="54">
        <v>98</v>
      </c>
      <c r="I3664" s="51"/>
      <c r="J3664" s="27"/>
      <c r="K3664" s="27"/>
      <c r="L3664" s="15"/>
      <c r="M3664" s="15"/>
      <c r="N3664" s="4" t="s">
        <v>4844</v>
      </c>
      <c r="O3664" s="4">
        <v>42</v>
      </c>
    </row>
    <row r="3665" spans="1:15" x14ac:dyDescent="0.2">
      <c r="A3665" s="2">
        <v>40007886</v>
      </c>
      <c r="B3665" s="2" t="s">
        <v>3041</v>
      </c>
      <c r="C3665" s="5" t="s">
        <v>8734</v>
      </c>
      <c r="D3665" s="21">
        <v>7</v>
      </c>
      <c r="E3665" s="21"/>
      <c r="F3665" s="21" t="s">
        <v>10438</v>
      </c>
      <c r="G3665" s="21"/>
      <c r="H3665" s="54">
        <v>47</v>
      </c>
      <c r="I3665" s="51"/>
      <c r="J3665" s="27"/>
      <c r="K3665" s="27"/>
      <c r="L3665" s="15"/>
      <c r="M3665" s="15"/>
      <c r="N3665" s="4" t="s">
        <v>5115</v>
      </c>
      <c r="O3665" s="4"/>
    </row>
    <row r="3666" spans="1:15" x14ac:dyDescent="0.2">
      <c r="A3666" s="2">
        <v>40006951</v>
      </c>
      <c r="B3666" s="2" t="s">
        <v>2242</v>
      </c>
      <c r="C3666" s="5" t="s">
        <v>7948</v>
      </c>
      <c r="D3666" s="21">
        <v>191</v>
      </c>
      <c r="E3666" s="21"/>
      <c r="F3666" s="21" t="s">
        <v>10438</v>
      </c>
      <c r="G3666" s="21"/>
      <c r="H3666" s="54">
        <v>147</v>
      </c>
      <c r="I3666" s="51"/>
      <c r="J3666" s="27"/>
      <c r="K3666" s="27"/>
      <c r="L3666" s="15"/>
      <c r="M3666" s="15"/>
      <c r="N3666" s="4" t="s">
        <v>4759</v>
      </c>
      <c r="O3666" s="4" t="s">
        <v>10483</v>
      </c>
    </row>
    <row r="3667" spans="1:15" x14ac:dyDescent="0.2">
      <c r="A3667" s="2">
        <v>40008096</v>
      </c>
      <c r="B3667" s="2" t="s">
        <v>3223</v>
      </c>
      <c r="C3667" s="5" t="s">
        <v>8919</v>
      </c>
      <c r="D3667" s="21">
        <v>38</v>
      </c>
      <c r="E3667" s="21"/>
      <c r="F3667" s="21" t="s">
        <v>10438</v>
      </c>
      <c r="G3667" s="21"/>
      <c r="H3667" s="54">
        <v>31</v>
      </c>
      <c r="I3667" s="51"/>
      <c r="J3667" s="27"/>
      <c r="K3667" s="27"/>
      <c r="L3667" s="15"/>
      <c r="M3667" s="15"/>
      <c r="N3667" s="4" t="s">
        <v>5192</v>
      </c>
      <c r="O3667" s="4"/>
    </row>
    <row r="3668" spans="1:15" x14ac:dyDescent="0.2">
      <c r="A3668" s="2">
        <v>40007930</v>
      </c>
      <c r="B3668" s="2" t="s">
        <v>3737</v>
      </c>
      <c r="C3668" s="5" t="s">
        <v>8776</v>
      </c>
      <c r="D3668" s="21">
        <v>5</v>
      </c>
      <c r="E3668" s="21"/>
      <c r="F3668" s="21" t="s">
        <v>10438</v>
      </c>
      <c r="G3668" s="21"/>
      <c r="H3668" s="54">
        <v>139</v>
      </c>
      <c r="I3668" s="51"/>
      <c r="J3668" s="27"/>
      <c r="K3668" s="27"/>
      <c r="L3668" s="15"/>
      <c r="M3668" s="15"/>
      <c r="N3668" s="4" t="s">
        <v>4901</v>
      </c>
      <c r="O3668" s="4"/>
    </row>
    <row r="3669" spans="1:15" x14ac:dyDescent="0.2">
      <c r="A3669" s="2">
        <v>40007223</v>
      </c>
      <c r="B3669" s="2" t="s">
        <v>2481</v>
      </c>
      <c r="C3669" s="5" t="s">
        <v>8183</v>
      </c>
      <c r="D3669" s="21">
        <v>9</v>
      </c>
      <c r="E3669" s="21"/>
      <c r="F3669" s="21" t="s">
        <v>10438</v>
      </c>
      <c r="G3669" s="21"/>
      <c r="H3669" s="54">
        <v>484</v>
      </c>
      <c r="I3669" s="51"/>
      <c r="J3669" s="27"/>
      <c r="K3669" s="27"/>
      <c r="L3669" s="15"/>
      <c r="M3669" s="15"/>
      <c r="N3669" s="4" t="s">
        <v>4880</v>
      </c>
      <c r="O3669" s="4"/>
    </row>
    <row r="3670" spans="1:15" x14ac:dyDescent="0.2">
      <c r="A3670" s="2">
        <v>40007221</v>
      </c>
      <c r="B3670" s="2" t="s">
        <v>2479</v>
      </c>
      <c r="C3670" s="5" t="s">
        <v>8181</v>
      </c>
      <c r="D3670" s="21">
        <v>5</v>
      </c>
      <c r="E3670" s="21"/>
      <c r="F3670" s="21" t="s">
        <v>10438</v>
      </c>
      <c r="G3670" s="21"/>
      <c r="H3670" s="54">
        <v>395</v>
      </c>
      <c r="I3670" s="51"/>
      <c r="J3670" s="27"/>
      <c r="K3670" s="27"/>
      <c r="L3670" s="15"/>
      <c r="M3670" s="15"/>
      <c r="N3670" s="4" t="s">
        <v>4879</v>
      </c>
      <c r="O3670" s="4"/>
    </row>
    <row r="3671" spans="1:15" x14ac:dyDescent="0.2">
      <c r="A3671" s="2">
        <v>40008311</v>
      </c>
      <c r="B3671" s="2" t="s">
        <v>3418</v>
      </c>
      <c r="C3671" s="5" t="s">
        <v>9112</v>
      </c>
      <c r="D3671" s="21">
        <v>3</v>
      </c>
      <c r="E3671" s="21"/>
      <c r="F3671" s="21" t="s">
        <v>10438</v>
      </c>
      <c r="G3671" s="21"/>
      <c r="H3671" s="54">
        <v>230</v>
      </c>
      <c r="I3671" s="51"/>
      <c r="J3671" s="27"/>
      <c r="K3671" s="27"/>
      <c r="L3671" s="15"/>
      <c r="M3671" s="15">
        <v>2</v>
      </c>
      <c r="N3671" s="4" t="s">
        <v>5239</v>
      </c>
      <c r="O3671" s="4"/>
    </row>
    <row r="3672" spans="1:15" x14ac:dyDescent="0.2">
      <c r="A3672" s="2">
        <v>40006090</v>
      </c>
      <c r="B3672" s="2" t="s">
        <v>1481</v>
      </c>
      <c r="C3672" s="5" t="s">
        <v>7187</v>
      </c>
      <c r="D3672" s="21">
        <v>7</v>
      </c>
      <c r="E3672" s="21"/>
      <c r="F3672" s="21" t="s">
        <v>10438</v>
      </c>
      <c r="G3672" s="21"/>
      <c r="H3672" s="54">
        <v>218</v>
      </c>
      <c r="I3672" s="51"/>
      <c r="J3672" s="27"/>
      <c r="K3672" s="27"/>
      <c r="L3672" s="15"/>
      <c r="M3672" s="15"/>
      <c r="N3672" s="4" t="s">
        <v>4407</v>
      </c>
      <c r="O3672" s="4"/>
    </row>
    <row r="3673" spans="1:15" x14ac:dyDescent="0.2">
      <c r="A3673" s="2">
        <v>40006155</v>
      </c>
      <c r="B3673" s="2" t="s">
        <v>5393</v>
      </c>
      <c r="C3673" s="5" t="s">
        <v>7248</v>
      </c>
      <c r="D3673" s="21">
        <v>1</v>
      </c>
      <c r="E3673" s="21"/>
      <c r="F3673" s="21" t="s">
        <v>10438</v>
      </c>
      <c r="G3673" s="21"/>
      <c r="H3673" s="54">
        <v>91</v>
      </c>
      <c r="I3673" s="51"/>
      <c r="J3673" s="27"/>
      <c r="K3673" s="27"/>
      <c r="L3673" s="15"/>
      <c r="M3673" s="15">
        <v>5</v>
      </c>
      <c r="N3673" s="4" t="s">
        <v>5201</v>
      </c>
      <c r="O3673" s="4"/>
    </row>
    <row r="3674" spans="1:15" x14ac:dyDescent="0.2">
      <c r="A3674" s="2">
        <v>40005715</v>
      </c>
      <c r="B3674" s="2" t="s">
        <v>1144</v>
      </c>
      <c r="C3674" s="5" t="s">
        <v>6863</v>
      </c>
      <c r="D3674" s="21">
        <v>33</v>
      </c>
      <c r="E3674" s="21"/>
      <c r="F3674" s="21" t="s">
        <v>10438</v>
      </c>
      <c r="G3674" s="21"/>
      <c r="H3674" s="54">
        <v>442</v>
      </c>
      <c r="I3674" s="51"/>
      <c r="J3674" s="27"/>
      <c r="K3674" s="27"/>
      <c r="L3674" s="15"/>
      <c r="M3674" s="15"/>
      <c r="N3674" s="4" t="s">
        <v>4231</v>
      </c>
      <c r="O3674" s="4" t="s">
        <v>4118</v>
      </c>
    </row>
    <row r="3675" spans="1:15" x14ac:dyDescent="0.2">
      <c r="A3675" s="2">
        <v>40006436</v>
      </c>
      <c r="B3675" s="2" t="s">
        <v>1794</v>
      </c>
      <c r="C3675" s="5" t="s">
        <v>7501</v>
      </c>
      <c r="D3675" s="21">
        <v>42</v>
      </c>
      <c r="E3675" s="21"/>
      <c r="F3675" s="30">
        <v>5</v>
      </c>
      <c r="G3675" s="21"/>
      <c r="H3675" s="54">
        <v>416</v>
      </c>
      <c r="I3675" s="51"/>
      <c r="J3675" s="27"/>
      <c r="K3675" s="27"/>
      <c r="L3675" s="15">
        <v>30</v>
      </c>
      <c r="M3675" s="15">
        <v>10</v>
      </c>
      <c r="N3675" s="4" t="s">
        <v>4591</v>
      </c>
      <c r="O3675" s="4"/>
    </row>
    <row r="3676" spans="1:15" x14ac:dyDescent="0.2">
      <c r="A3676" s="2">
        <v>40006753</v>
      </c>
      <c r="B3676" s="2" t="s">
        <v>2056</v>
      </c>
      <c r="C3676" s="5" t="s">
        <v>7768</v>
      </c>
      <c r="D3676" s="21">
        <v>36</v>
      </c>
      <c r="E3676" s="21"/>
      <c r="F3676" s="21" t="s">
        <v>10438</v>
      </c>
      <c r="G3676" s="21"/>
      <c r="H3676" s="54">
        <v>110</v>
      </c>
      <c r="I3676" s="51"/>
      <c r="J3676" s="27"/>
      <c r="K3676" s="27"/>
      <c r="L3676" s="15"/>
      <c r="M3676" s="15"/>
      <c r="N3676" s="4"/>
      <c r="O3676" s="4" t="s">
        <v>5004</v>
      </c>
    </row>
    <row r="3677" spans="1:15" x14ac:dyDescent="0.2">
      <c r="A3677" s="2">
        <v>40010977</v>
      </c>
      <c r="B3677" s="2" t="s">
        <v>3587</v>
      </c>
      <c r="C3677" s="5" t="s">
        <v>9307</v>
      </c>
      <c r="D3677" s="21">
        <v>3</v>
      </c>
      <c r="E3677" s="21"/>
      <c r="F3677" s="21" t="s">
        <v>10438</v>
      </c>
      <c r="G3677" s="21"/>
      <c r="H3677" s="54">
        <v>40</v>
      </c>
      <c r="I3677" s="51"/>
      <c r="J3677" s="27"/>
      <c r="K3677" s="27"/>
      <c r="L3677" s="15"/>
      <c r="M3677" s="15"/>
      <c r="N3677" s="4" t="s">
        <v>5019</v>
      </c>
      <c r="O3677" s="4"/>
    </row>
    <row r="3678" spans="1:15" x14ac:dyDescent="0.2">
      <c r="A3678" s="2">
        <v>40006045</v>
      </c>
      <c r="B3678" s="2" t="s">
        <v>1444</v>
      </c>
      <c r="C3678" s="5" t="s">
        <v>7147</v>
      </c>
      <c r="D3678" s="21">
        <v>1</v>
      </c>
      <c r="E3678" s="21"/>
      <c r="F3678" s="21" t="s">
        <v>10438</v>
      </c>
      <c r="G3678" s="21"/>
      <c r="H3678" s="54">
        <v>339</v>
      </c>
      <c r="I3678" s="51"/>
      <c r="J3678" s="27"/>
      <c r="K3678" s="27"/>
      <c r="L3678" s="15"/>
      <c r="M3678" s="15"/>
      <c r="N3678" s="4" t="s">
        <v>4384</v>
      </c>
      <c r="O3678" s="4"/>
    </row>
    <row r="3679" spans="1:15" x14ac:dyDescent="0.2">
      <c r="A3679" s="2">
        <v>40005725</v>
      </c>
      <c r="B3679" s="2" t="s">
        <v>1153</v>
      </c>
      <c r="C3679" s="5" t="s">
        <v>6871</v>
      </c>
      <c r="D3679" s="21">
        <v>1</v>
      </c>
      <c r="E3679" s="21"/>
      <c r="F3679" s="21" t="s">
        <v>10438</v>
      </c>
      <c r="G3679" s="21"/>
      <c r="H3679" s="54">
        <v>582</v>
      </c>
      <c r="I3679" s="51"/>
      <c r="J3679" s="27"/>
      <c r="K3679" s="27"/>
      <c r="L3679" s="15"/>
      <c r="M3679" s="15"/>
      <c r="N3679" s="4" t="s">
        <v>4237</v>
      </c>
      <c r="O3679" s="4"/>
    </row>
    <row r="3680" spans="1:15" x14ac:dyDescent="0.2">
      <c r="A3680" s="2">
        <v>40006110</v>
      </c>
      <c r="B3680" s="2" t="s">
        <v>1501</v>
      </c>
      <c r="C3680" s="5" t="s">
        <v>7206</v>
      </c>
      <c r="D3680" s="21">
        <v>12</v>
      </c>
      <c r="E3680" s="21"/>
      <c r="F3680" s="21" t="s">
        <v>10438</v>
      </c>
      <c r="G3680" s="21"/>
      <c r="H3680" s="54">
        <v>342</v>
      </c>
      <c r="I3680" s="51"/>
      <c r="J3680" s="27"/>
      <c r="K3680" s="27"/>
      <c r="L3680" s="15"/>
      <c r="M3680" s="15"/>
      <c r="N3680" s="4" t="s">
        <v>4420</v>
      </c>
      <c r="O3680" s="4"/>
    </row>
    <row r="3681" spans="1:15" x14ac:dyDescent="0.2">
      <c r="A3681" s="2">
        <v>40007858</v>
      </c>
      <c r="B3681" s="2" t="s">
        <v>3015</v>
      </c>
      <c r="C3681" s="5" t="s">
        <v>8715</v>
      </c>
      <c r="D3681" s="21">
        <v>73</v>
      </c>
      <c r="E3681" s="21"/>
      <c r="F3681" s="21" t="s">
        <v>10438</v>
      </c>
      <c r="G3681" s="21"/>
      <c r="H3681" s="54">
        <v>67</v>
      </c>
      <c r="I3681" s="51"/>
      <c r="J3681" s="27"/>
      <c r="K3681" s="27"/>
      <c r="L3681" s="15"/>
      <c r="M3681" s="15"/>
      <c r="N3681" s="4" t="s">
        <v>5110</v>
      </c>
      <c r="O3681" s="4">
        <v>42</v>
      </c>
    </row>
    <row r="3682" spans="1:15" x14ac:dyDescent="0.2">
      <c r="A3682" s="2">
        <v>40007891</v>
      </c>
      <c r="B3682" s="2" t="s">
        <v>3046</v>
      </c>
      <c r="C3682" s="5" t="s">
        <v>8738</v>
      </c>
      <c r="D3682" s="21">
        <v>2</v>
      </c>
      <c r="E3682" s="21"/>
      <c r="F3682" s="21" t="s">
        <v>10438</v>
      </c>
      <c r="G3682" s="21"/>
      <c r="H3682" s="54">
        <v>324</v>
      </c>
      <c r="I3682" s="51"/>
      <c r="J3682" s="27"/>
      <c r="K3682" s="27"/>
      <c r="L3682" s="15"/>
      <c r="M3682" s="15"/>
      <c r="N3682" s="4" t="s">
        <v>5118</v>
      </c>
      <c r="O3682" s="4"/>
    </row>
    <row r="3683" spans="1:15" x14ac:dyDescent="0.2">
      <c r="A3683" s="2">
        <v>40006779</v>
      </c>
      <c r="B3683" s="2" t="s">
        <v>2079</v>
      </c>
      <c r="C3683" s="5" t="s">
        <v>7789</v>
      </c>
      <c r="D3683" s="21">
        <v>10</v>
      </c>
      <c r="E3683" s="21"/>
      <c r="F3683" s="21" t="s">
        <v>10438</v>
      </c>
      <c r="G3683" s="21"/>
      <c r="H3683" s="54">
        <v>71</v>
      </c>
      <c r="I3683" s="51"/>
      <c r="J3683" s="27"/>
      <c r="K3683" s="27"/>
      <c r="L3683" s="15"/>
      <c r="M3683" s="15">
        <v>4</v>
      </c>
      <c r="N3683" s="4" t="s">
        <v>4681</v>
      </c>
      <c r="O3683" s="4"/>
    </row>
    <row r="3684" spans="1:15" x14ac:dyDescent="0.2">
      <c r="A3684" s="2">
        <v>40007056</v>
      </c>
      <c r="B3684" s="2" t="s">
        <v>2333</v>
      </c>
      <c r="C3684" s="5" t="s">
        <v>8042</v>
      </c>
      <c r="D3684" s="21">
        <v>5</v>
      </c>
      <c r="E3684" s="21"/>
      <c r="F3684" s="21" t="s">
        <v>10438</v>
      </c>
      <c r="G3684" s="21"/>
      <c r="H3684" s="54">
        <v>303</v>
      </c>
      <c r="I3684" s="51"/>
      <c r="J3684" s="27"/>
      <c r="K3684" s="27"/>
      <c r="L3684" s="15"/>
      <c r="M3684" s="15"/>
      <c r="N3684" s="4" t="s">
        <v>4810</v>
      </c>
      <c r="O3684" s="4"/>
    </row>
    <row r="3685" spans="1:15" x14ac:dyDescent="0.2">
      <c r="A3685" s="2">
        <v>40007994</v>
      </c>
      <c r="B3685" s="2" t="s">
        <v>3134</v>
      </c>
      <c r="C3685" s="5" t="s">
        <v>8833</v>
      </c>
      <c r="D3685" s="21">
        <v>1</v>
      </c>
      <c r="E3685" s="21"/>
      <c r="F3685" s="21" t="s">
        <v>10438</v>
      </c>
      <c r="G3685" s="21"/>
      <c r="H3685" s="54">
        <v>377</v>
      </c>
      <c r="I3685" s="51"/>
      <c r="J3685" s="27"/>
      <c r="K3685" s="27"/>
      <c r="L3685" s="15"/>
      <c r="M3685" s="15"/>
      <c r="N3685" s="4" t="s">
        <v>4238</v>
      </c>
      <c r="O3685" s="4"/>
    </row>
    <row r="3686" spans="1:15" x14ac:dyDescent="0.2">
      <c r="A3686" s="2">
        <v>40008321</v>
      </c>
      <c r="B3686" s="2" t="s">
        <v>3425</v>
      </c>
      <c r="C3686" s="5" t="s">
        <v>9118</v>
      </c>
      <c r="D3686" s="21">
        <v>25</v>
      </c>
      <c r="E3686" s="21"/>
      <c r="F3686" s="30">
        <v>1</v>
      </c>
      <c r="G3686" s="21"/>
      <c r="H3686" s="54">
        <v>97</v>
      </c>
      <c r="I3686" s="51"/>
      <c r="J3686" s="27"/>
      <c r="K3686" s="27"/>
      <c r="L3686" s="15"/>
      <c r="M3686" s="15">
        <v>6</v>
      </c>
      <c r="N3686" s="4" t="s">
        <v>4864</v>
      </c>
      <c r="O3686" s="4"/>
    </row>
    <row r="3687" spans="1:15" x14ac:dyDescent="0.2">
      <c r="A3687" s="2">
        <v>40007927</v>
      </c>
      <c r="B3687" s="2" t="s">
        <v>3081</v>
      </c>
      <c r="C3687" s="5" t="s">
        <v>8773</v>
      </c>
      <c r="D3687" s="21">
        <v>17</v>
      </c>
      <c r="E3687" s="21"/>
      <c r="F3687" s="21" t="s">
        <v>10438</v>
      </c>
      <c r="G3687" s="21"/>
      <c r="H3687" s="54">
        <v>91</v>
      </c>
      <c r="I3687" s="51"/>
      <c r="J3687" s="27"/>
      <c r="K3687" s="27"/>
      <c r="L3687" s="15"/>
      <c r="M3687" s="15"/>
      <c r="N3687" s="4" t="s">
        <v>5132</v>
      </c>
      <c r="O3687" s="4"/>
    </row>
    <row r="3688" spans="1:15" x14ac:dyDescent="0.2">
      <c r="A3688" s="2">
        <v>40007984</v>
      </c>
      <c r="B3688" s="2" t="s">
        <v>3128</v>
      </c>
      <c r="C3688" s="5" t="s">
        <v>8825</v>
      </c>
      <c r="D3688" s="21">
        <v>4</v>
      </c>
      <c r="E3688" s="21"/>
      <c r="F3688" s="21" t="s">
        <v>10438</v>
      </c>
      <c r="G3688" s="21"/>
      <c r="H3688" s="54">
        <v>26</v>
      </c>
      <c r="I3688" s="51"/>
      <c r="J3688" s="27"/>
      <c r="K3688" s="27"/>
      <c r="L3688" s="15"/>
      <c r="M3688" s="15"/>
      <c r="N3688" s="4" t="s">
        <v>5155</v>
      </c>
      <c r="O3688" s="4"/>
    </row>
    <row r="3689" spans="1:15" x14ac:dyDescent="0.2">
      <c r="A3689" s="2">
        <v>40010235</v>
      </c>
      <c r="B3689" s="2" t="s">
        <v>3433</v>
      </c>
      <c r="C3689" s="5" t="s">
        <v>9127</v>
      </c>
      <c r="D3689" s="21">
        <v>3</v>
      </c>
      <c r="E3689" s="21"/>
      <c r="F3689" s="21" t="s">
        <v>10438</v>
      </c>
      <c r="G3689" s="21"/>
      <c r="H3689" s="54">
        <v>262</v>
      </c>
      <c r="I3689" s="51"/>
      <c r="J3689" s="27"/>
      <c r="K3689" s="27"/>
      <c r="L3689" s="15"/>
      <c r="M3689" s="15"/>
      <c r="N3689" s="4" t="s">
        <v>5244</v>
      </c>
      <c r="O3689" s="4"/>
    </row>
    <row r="3690" spans="1:15" x14ac:dyDescent="0.2">
      <c r="A3690" s="2">
        <v>40007836</v>
      </c>
      <c r="B3690" s="2" t="s">
        <v>2996</v>
      </c>
      <c r="C3690" s="5" t="s">
        <v>8696</v>
      </c>
      <c r="D3690" s="21">
        <v>11</v>
      </c>
      <c r="E3690" s="21"/>
      <c r="F3690" s="21" t="s">
        <v>10438</v>
      </c>
      <c r="G3690" s="21"/>
      <c r="H3690" s="54">
        <v>622</v>
      </c>
      <c r="I3690" s="51"/>
      <c r="J3690" s="27"/>
      <c r="K3690" s="27"/>
      <c r="L3690" s="15"/>
      <c r="M3690" s="15"/>
      <c r="N3690" s="4" t="s">
        <v>4850</v>
      </c>
      <c r="O3690" s="4"/>
    </row>
    <row r="3691" spans="1:15" x14ac:dyDescent="0.2">
      <c r="A3691" s="2">
        <v>40008215</v>
      </c>
      <c r="B3691" s="2" t="s">
        <v>3334</v>
      </c>
      <c r="C3691" s="5" t="s">
        <v>9026</v>
      </c>
      <c r="D3691" s="21">
        <v>17</v>
      </c>
      <c r="E3691" s="21"/>
      <c r="F3691" s="21" t="s">
        <v>10438</v>
      </c>
      <c r="G3691" s="21"/>
      <c r="H3691" s="54">
        <v>245</v>
      </c>
      <c r="I3691" s="51"/>
      <c r="J3691" s="27"/>
      <c r="K3691" s="27"/>
      <c r="L3691" s="15"/>
      <c r="M3691" s="15"/>
      <c r="N3691" s="4" t="s">
        <v>5212</v>
      </c>
      <c r="O3691" s="4"/>
    </row>
    <row r="3692" spans="1:15" x14ac:dyDescent="0.2">
      <c r="A3692" s="2">
        <v>40007276</v>
      </c>
      <c r="B3692" s="2" t="s">
        <v>2524</v>
      </c>
      <c r="C3692" s="5" t="s">
        <v>8221</v>
      </c>
      <c r="D3692" s="21">
        <v>3</v>
      </c>
      <c r="E3692" s="21"/>
      <c r="F3692" s="21" t="s">
        <v>10438</v>
      </c>
      <c r="G3692" s="21"/>
      <c r="H3692" s="54">
        <v>263</v>
      </c>
      <c r="I3692" s="51"/>
      <c r="J3692" s="27"/>
      <c r="K3692" s="27"/>
      <c r="L3692" s="15"/>
      <c r="M3692" s="15"/>
      <c r="N3692" s="4" t="s">
        <v>4901</v>
      </c>
      <c r="O3692" s="4"/>
    </row>
    <row r="3693" spans="1:15" x14ac:dyDescent="0.2">
      <c r="A3693" s="2">
        <v>40007835</v>
      </c>
      <c r="B3693" s="2" t="s">
        <v>2995</v>
      </c>
      <c r="C3693" s="5" t="s">
        <v>8695</v>
      </c>
      <c r="D3693" s="21">
        <v>3</v>
      </c>
      <c r="E3693" s="21"/>
      <c r="F3693" s="21" t="s">
        <v>10438</v>
      </c>
      <c r="G3693" s="21"/>
      <c r="H3693" s="54">
        <v>79</v>
      </c>
      <c r="I3693" s="51"/>
      <c r="J3693" s="27"/>
      <c r="K3693" s="27"/>
      <c r="L3693" s="15"/>
      <c r="M3693" s="15"/>
      <c r="N3693" s="4" t="s">
        <v>5098</v>
      </c>
      <c r="O3693" s="4"/>
    </row>
    <row r="3694" spans="1:15" x14ac:dyDescent="0.2">
      <c r="A3694" s="2">
        <v>40003872</v>
      </c>
      <c r="B3694" s="2" t="s">
        <v>701</v>
      </c>
      <c r="C3694" s="5" t="s">
        <v>6415</v>
      </c>
      <c r="D3694" s="21">
        <v>13</v>
      </c>
      <c r="E3694" s="21"/>
      <c r="F3694" s="21" t="s">
        <v>10438</v>
      </c>
      <c r="G3694" s="21"/>
      <c r="H3694" s="54">
        <v>143</v>
      </c>
      <c r="I3694" s="51"/>
      <c r="J3694" s="27"/>
      <c r="K3694" s="27"/>
      <c r="L3694" s="15"/>
      <c r="M3694" s="15"/>
      <c r="N3694" s="4" t="s">
        <v>3977</v>
      </c>
      <c r="O3694" s="4"/>
    </row>
    <row r="3695" spans="1:15" x14ac:dyDescent="0.2">
      <c r="A3695" s="2">
        <v>40008150</v>
      </c>
      <c r="B3695" s="2" t="s">
        <v>3273</v>
      </c>
      <c r="C3695" s="5" t="s">
        <v>8968</v>
      </c>
      <c r="D3695" s="21">
        <v>1</v>
      </c>
      <c r="E3695" s="21"/>
      <c r="F3695" s="21" t="s">
        <v>10438</v>
      </c>
      <c r="G3695" s="21"/>
      <c r="H3695" s="54">
        <v>90</v>
      </c>
      <c r="I3695" s="51"/>
      <c r="J3695" s="27"/>
      <c r="K3695" s="27"/>
      <c r="L3695" s="15"/>
      <c r="M3695" s="15"/>
      <c r="N3695" s="4" t="s">
        <v>4214</v>
      </c>
      <c r="O3695" s="4"/>
    </row>
    <row r="3696" spans="1:15" x14ac:dyDescent="0.2">
      <c r="A3696" s="2">
        <v>40005959</v>
      </c>
      <c r="B3696" s="2" t="s">
        <v>1366</v>
      </c>
      <c r="C3696" s="5" t="s">
        <v>7072</v>
      </c>
      <c r="D3696" s="21">
        <v>1</v>
      </c>
      <c r="E3696" s="21"/>
      <c r="F3696" s="21" t="s">
        <v>10438</v>
      </c>
      <c r="G3696" s="21"/>
      <c r="H3696" s="54">
        <v>74</v>
      </c>
      <c r="I3696" s="51"/>
      <c r="J3696" s="27"/>
      <c r="K3696" s="27"/>
      <c r="L3696" s="15"/>
      <c r="M3696" s="15"/>
      <c r="N3696" s="4" t="s">
        <v>4277</v>
      </c>
      <c r="O3696" s="4"/>
    </row>
    <row r="3697" spans="1:15" x14ac:dyDescent="0.2">
      <c r="A3697" s="2">
        <v>40010576</v>
      </c>
      <c r="B3697" s="2" t="s">
        <v>3555</v>
      </c>
      <c r="C3697" s="5" t="s">
        <v>9272</v>
      </c>
      <c r="D3697" s="21">
        <v>3</v>
      </c>
      <c r="E3697" s="21"/>
      <c r="F3697" s="21" t="s">
        <v>10438</v>
      </c>
      <c r="G3697" s="21"/>
      <c r="H3697" s="54">
        <v>80</v>
      </c>
      <c r="I3697" s="51"/>
      <c r="J3697" s="27"/>
      <c r="K3697" s="27"/>
      <c r="L3697" s="15"/>
      <c r="M3697" s="15"/>
      <c r="N3697" s="4" t="s">
        <v>5276</v>
      </c>
      <c r="O3697" s="4"/>
    </row>
    <row r="3698" spans="1:15" x14ac:dyDescent="0.2">
      <c r="A3698" s="2">
        <v>40006156</v>
      </c>
      <c r="B3698" s="2" t="s">
        <v>5328</v>
      </c>
      <c r="C3698" s="5" t="s">
        <v>7249</v>
      </c>
      <c r="D3698" s="21"/>
      <c r="E3698" s="21"/>
      <c r="F3698" s="21" t="s">
        <v>10438</v>
      </c>
      <c r="G3698" s="21"/>
      <c r="H3698" s="54">
        <v>5</v>
      </c>
      <c r="I3698" s="51"/>
      <c r="J3698" s="27"/>
      <c r="K3698" s="27"/>
      <c r="L3698" s="15"/>
      <c r="M3698" s="15"/>
      <c r="N3698" s="4" t="s">
        <v>4445</v>
      </c>
      <c r="O3698" s="4"/>
    </row>
    <row r="3699" spans="1:15" x14ac:dyDescent="0.2">
      <c r="A3699" s="2">
        <v>40011417</v>
      </c>
      <c r="B3699" s="2" t="s">
        <v>5311</v>
      </c>
      <c r="C3699" s="5" t="s">
        <v>9395</v>
      </c>
      <c r="D3699" s="21">
        <v>3</v>
      </c>
      <c r="E3699" s="21"/>
      <c r="F3699" s="21" t="s">
        <v>10438</v>
      </c>
      <c r="G3699" s="21"/>
      <c r="H3699" s="54">
        <v>15</v>
      </c>
      <c r="I3699" s="51"/>
      <c r="J3699" s="27"/>
      <c r="K3699" s="27"/>
      <c r="L3699" s="15"/>
      <c r="M3699" s="15"/>
      <c r="N3699" s="4" t="s">
        <v>5252</v>
      </c>
      <c r="O3699" s="4"/>
    </row>
    <row r="3700" spans="1:15" x14ac:dyDescent="0.2">
      <c r="A3700" s="2">
        <v>40007038</v>
      </c>
      <c r="B3700" s="2" t="s">
        <v>2317</v>
      </c>
      <c r="C3700" s="5" t="s">
        <v>8027</v>
      </c>
      <c r="D3700" s="21">
        <v>4</v>
      </c>
      <c r="E3700" s="21"/>
      <c r="F3700" s="21" t="s">
        <v>10438</v>
      </c>
      <c r="G3700" s="21"/>
      <c r="H3700" s="54">
        <v>191</v>
      </c>
      <c r="I3700" s="51"/>
      <c r="J3700" s="27"/>
      <c r="K3700" s="27"/>
      <c r="L3700" s="15"/>
      <c r="M3700" s="15"/>
      <c r="N3700" s="4" t="s">
        <v>4801</v>
      </c>
      <c r="O3700" s="4"/>
    </row>
    <row r="3701" spans="1:15" x14ac:dyDescent="0.2">
      <c r="A3701" s="2">
        <v>40006939</v>
      </c>
      <c r="B3701" s="2" t="s">
        <v>2230</v>
      </c>
      <c r="C3701" s="5" t="s">
        <v>7937</v>
      </c>
      <c r="D3701" s="21">
        <v>9</v>
      </c>
      <c r="E3701" s="21"/>
      <c r="F3701" s="21" t="s">
        <v>10438</v>
      </c>
      <c r="G3701" s="21"/>
      <c r="H3701" s="54">
        <v>398</v>
      </c>
      <c r="I3701" s="51"/>
      <c r="J3701" s="27"/>
      <c r="K3701" s="27"/>
      <c r="L3701" s="15"/>
      <c r="M3701" s="15"/>
      <c r="N3701" s="4" t="s">
        <v>4752</v>
      </c>
      <c r="O3701" s="4"/>
    </row>
    <row r="3702" spans="1:15" x14ac:dyDescent="0.2">
      <c r="A3702" s="2">
        <v>40005774</v>
      </c>
      <c r="B3702" s="2" t="s">
        <v>1199</v>
      </c>
      <c r="C3702" s="5" t="s">
        <v>6911</v>
      </c>
      <c r="D3702" s="21">
        <v>2</v>
      </c>
      <c r="E3702" s="21"/>
      <c r="F3702" s="21" t="s">
        <v>10438</v>
      </c>
      <c r="G3702" s="21"/>
      <c r="H3702" s="54">
        <v>207</v>
      </c>
      <c r="I3702" s="51"/>
      <c r="J3702" s="27"/>
      <c r="K3702" s="27"/>
      <c r="L3702" s="15"/>
      <c r="M3702" s="15"/>
      <c r="N3702" s="4" t="s">
        <v>4258</v>
      </c>
      <c r="O3702" s="4" t="s">
        <v>10145</v>
      </c>
    </row>
    <row r="3703" spans="1:15" x14ac:dyDescent="0.2">
      <c r="A3703" s="2">
        <v>40005777</v>
      </c>
      <c r="B3703" s="2" t="s">
        <v>1202</v>
      </c>
      <c r="C3703" s="5" t="s">
        <v>6914</v>
      </c>
      <c r="D3703" s="21">
        <v>1</v>
      </c>
      <c r="E3703" s="21"/>
      <c r="F3703" s="21" t="s">
        <v>10438</v>
      </c>
      <c r="G3703" s="21"/>
      <c r="H3703" s="54">
        <v>224</v>
      </c>
      <c r="I3703" s="51"/>
      <c r="J3703" s="27"/>
      <c r="K3703" s="27"/>
      <c r="L3703" s="15"/>
      <c r="M3703" s="15"/>
      <c r="N3703" s="4"/>
      <c r="O3703" s="4" t="s">
        <v>10145</v>
      </c>
    </row>
    <row r="3704" spans="1:15" x14ac:dyDescent="0.2">
      <c r="A3704" s="2">
        <v>40005775</v>
      </c>
      <c r="B3704" s="2" t="s">
        <v>1200</v>
      </c>
      <c r="C3704" s="5" t="s">
        <v>6912</v>
      </c>
      <c r="D3704" s="21">
        <v>4</v>
      </c>
      <c r="E3704" s="21"/>
      <c r="F3704" s="21" t="s">
        <v>10438</v>
      </c>
      <c r="G3704" s="21"/>
      <c r="H3704" s="54">
        <v>221</v>
      </c>
      <c r="I3704" s="51"/>
      <c r="J3704" s="27"/>
      <c r="K3704" s="27"/>
      <c r="L3704" s="15"/>
      <c r="M3704" s="15"/>
      <c r="N3704" s="4" t="s">
        <v>4259</v>
      </c>
      <c r="O3704" s="4"/>
    </row>
    <row r="3705" spans="1:15" x14ac:dyDescent="0.2">
      <c r="A3705" s="2">
        <v>40005773</v>
      </c>
      <c r="B3705" s="2" t="s">
        <v>1198</v>
      </c>
      <c r="C3705" s="5" t="s">
        <v>6910</v>
      </c>
      <c r="D3705" s="21">
        <v>1</v>
      </c>
      <c r="E3705" s="21"/>
      <c r="F3705" s="21" t="s">
        <v>10438</v>
      </c>
      <c r="G3705" s="21"/>
      <c r="H3705" s="54">
        <v>264</v>
      </c>
      <c r="I3705" s="51"/>
      <c r="J3705" s="27"/>
      <c r="K3705" s="27"/>
      <c r="L3705" s="15"/>
      <c r="M3705" s="15"/>
      <c r="N3705" s="4"/>
      <c r="O3705" s="4" t="s">
        <v>10145</v>
      </c>
    </row>
    <row r="3706" spans="1:15" x14ac:dyDescent="0.2">
      <c r="A3706" s="2">
        <v>40005911</v>
      </c>
      <c r="B3706" s="2" t="s">
        <v>1322</v>
      </c>
      <c r="C3706" s="5" t="s">
        <v>7029</v>
      </c>
      <c r="D3706" s="21">
        <v>8</v>
      </c>
      <c r="E3706" s="21"/>
      <c r="F3706" s="21" t="s">
        <v>10438</v>
      </c>
      <c r="G3706" s="21"/>
      <c r="H3706" s="54">
        <v>81</v>
      </c>
      <c r="I3706" s="51"/>
      <c r="J3706" s="27"/>
      <c r="K3706" s="27"/>
      <c r="L3706" s="15"/>
      <c r="M3706" s="15"/>
      <c r="N3706" s="4" t="s">
        <v>4315</v>
      </c>
      <c r="O3706" s="4"/>
    </row>
    <row r="3707" spans="1:15" x14ac:dyDescent="0.2">
      <c r="A3707" s="2">
        <v>40010348</v>
      </c>
      <c r="B3707" s="2" t="s">
        <v>3509</v>
      </c>
      <c r="C3707" s="5" t="s">
        <v>9209</v>
      </c>
      <c r="D3707" s="21">
        <v>1</v>
      </c>
      <c r="E3707" s="21"/>
      <c r="F3707" s="21" t="s">
        <v>10438</v>
      </c>
      <c r="G3707" s="21"/>
      <c r="H3707" s="54">
        <v>181</v>
      </c>
      <c r="I3707" s="51"/>
      <c r="J3707" s="27"/>
      <c r="K3707" s="27"/>
      <c r="L3707" s="15"/>
      <c r="M3707" s="15"/>
      <c r="N3707" s="4" t="s">
        <v>4966</v>
      </c>
      <c r="O3707" s="4"/>
    </row>
    <row r="3708" spans="1:15" x14ac:dyDescent="0.2">
      <c r="A3708" s="2">
        <v>40005771</v>
      </c>
      <c r="B3708" s="2" t="s">
        <v>1196</v>
      </c>
      <c r="C3708" s="5" t="s">
        <v>6908</v>
      </c>
      <c r="D3708" s="21">
        <v>1</v>
      </c>
      <c r="E3708" s="21"/>
      <c r="F3708" s="21" t="s">
        <v>10438</v>
      </c>
      <c r="G3708" s="21"/>
      <c r="H3708" s="54">
        <v>277</v>
      </c>
      <c r="I3708" s="51"/>
      <c r="J3708" s="27"/>
      <c r="K3708" s="27"/>
      <c r="L3708" s="15"/>
      <c r="M3708" s="15"/>
      <c r="N3708" s="4"/>
      <c r="O3708" s="4" t="s">
        <v>10145</v>
      </c>
    </row>
    <row r="3709" spans="1:15" x14ac:dyDescent="0.2">
      <c r="A3709" s="2">
        <v>40005335</v>
      </c>
      <c r="B3709" s="2" t="s">
        <v>822</v>
      </c>
      <c r="C3709" s="5" t="s">
        <v>6539</v>
      </c>
      <c r="D3709" s="21">
        <v>2</v>
      </c>
      <c r="E3709" s="21"/>
      <c r="F3709" s="21" t="s">
        <v>10438</v>
      </c>
      <c r="G3709" s="21"/>
      <c r="H3709" s="54">
        <v>530</v>
      </c>
      <c r="I3709" s="51"/>
      <c r="J3709" s="27"/>
      <c r="K3709" s="27"/>
      <c r="L3709" s="15"/>
      <c r="M3709" s="15"/>
      <c r="N3709" s="4" t="s">
        <v>4056</v>
      </c>
      <c r="O3709" s="4"/>
    </row>
    <row r="3710" spans="1:15" x14ac:dyDescent="0.2">
      <c r="A3710" s="2">
        <v>40007108</v>
      </c>
      <c r="B3710" s="2" t="s">
        <v>2378</v>
      </c>
      <c r="C3710" s="5" t="s">
        <v>8084</v>
      </c>
      <c r="D3710" s="21">
        <v>4</v>
      </c>
      <c r="E3710" s="21"/>
      <c r="F3710" s="21" t="s">
        <v>10438</v>
      </c>
      <c r="G3710" s="21"/>
      <c r="H3710" s="54">
        <v>544</v>
      </c>
      <c r="I3710" s="51"/>
      <c r="J3710" s="27"/>
      <c r="K3710" s="27"/>
      <c r="L3710" s="15"/>
      <c r="M3710" s="15"/>
      <c r="N3710" s="4" t="s">
        <v>4831</v>
      </c>
      <c r="O3710" s="4"/>
    </row>
    <row r="3711" spans="1:15" x14ac:dyDescent="0.2">
      <c r="A3711" s="2">
        <v>40005242</v>
      </c>
      <c r="B3711" s="2" t="s">
        <v>763</v>
      </c>
      <c r="C3711" s="5" t="s">
        <v>6477</v>
      </c>
      <c r="D3711" s="21">
        <v>1</v>
      </c>
      <c r="E3711" s="21"/>
      <c r="F3711" s="21" t="s">
        <v>10438</v>
      </c>
      <c r="G3711" s="21"/>
      <c r="H3711" s="54">
        <v>183</v>
      </c>
      <c r="I3711" s="51"/>
      <c r="J3711" s="27"/>
      <c r="K3711" s="27"/>
      <c r="L3711" s="15"/>
      <c r="M3711" s="15"/>
      <c r="N3711" s="4" t="s">
        <v>3992</v>
      </c>
      <c r="O3711" s="4"/>
    </row>
    <row r="3712" spans="1:15" x14ac:dyDescent="0.2">
      <c r="A3712" s="2">
        <v>40008181</v>
      </c>
      <c r="B3712" s="2" t="s">
        <v>3697</v>
      </c>
      <c r="C3712" s="5" t="s">
        <v>8996</v>
      </c>
      <c r="D3712" s="21">
        <v>16</v>
      </c>
      <c r="E3712" s="21"/>
      <c r="F3712" s="30">
        <v>2</v>
      </c>
      <c r="G3712" s="21"/>
      <c r="H3712" s="54">
        <v>151</v>
      </c>
      <c r="I3712" s="51"/>
      <c r="J3712" s="27"/>
      <c r="K3712" s="27"/>
      <c r="L3712" s="15"/>
      <c r="M3712" s="15">
        <v>15</v>
      </c>
      <c r="N3712" s="4" t="s">
        <v>5159</v>
      </c>
      <c r="O3712" s="4" t="s">
        <v>10243</v>
      </c>
    </row>
    <row r="3713" spans="1:15" x14ac:dyDescent="0.2">
      <c r="A3713" s="2">
        <v>40005772</v>
      </c>
      <c r="B3713" s="2" t="s">
        <v>1197</v>
      </c>
      <c r="C3713" s="5" t="s">
        <v>6909</v>
      </c>
      <c r="D3713" s="21">
        <v>2</v>
      </c>
      <c r="E3713" s="21"/>
      <c r="F3713" s="21" t="s">
        <v>10438</v>
      </c>
      <c r="G3713" s="21"/>
      <c r="H3713" s="54">
        <v>218</v>
      </c>
      <c r="I3713" s="51"/>
      <c r="J3713" s="27"/>
      <c r="K3713" s="27"/>
      <c r="L3713" s="15"/>
      <c r="M3713" s="15"/>
      <c r="N3713" s="4"/>
      <c r="O3713" s="4" t="s">
        <v>10145</v>
      </c>
    </row>
    <row r="3714" spans="1:15" x14ac:dyDescent="0.2">
      <c r="A3714" s="2">
        <v>40007833</v>
      </c>
      <c r="B3714" s="2" t="s">
        <v>2993</v>
      </c>
      <c r="C3714" s="5" t="s">
        <v>8693</v>
      </c>
      <c r="D3714" s="21">
        <v>16</v>
      </c>
      <c r="E3714" s="21"/>
      <c r="F3714" s="21" t="s">
        <v>10438</v>
      </c>
      <c r="G3714" s="21"/>
      <c r="H3714" s="54">
        <v>164</v>
      </c>
      <c r="I3714" s="51"/>
      <c r="J3714" s="27"/>
      <c r="K3714" s="27"/>
      <c r="L3714" s="15"/>
      <c r="M3714" s="15"/>
      <c r="N3714" s="4" t="s">
        <v>5095</v>
      </c>
      <c r="O3714" s="4" t="s">
        <v>10144</v>
      </c>
    </row>
    <row r="3715" spans="1:15" x14ac:dyDescent="0.2">
      <c r="A3715" s="2">
        <v>40006858</v>
      </c>
      <c r="B3715" s="2" t="s">
        <v>2156</v>
      </c>
      <c r="C3715" s="5" t="s">
        <v>7865</v>
      </c>
      <c r="D3715" s="21">
        <v>2</v>
      </c>
      <c r="E3715" s="21"/>
      <c r="F3715" s="21" t="s">
        <v>10438</v>
      </c>
      <c r="G3715" s="21"/>
      <c r="H3715" s="54">
        <v>80</v>
      </c>
      <c r="I3715" s="51"/>
      <c r="J3715" s="27"/>
      <c r="K3715" s="27"/>
      <c r="L3715" s="15"/>
      <c r="M3715" s="15"/>
      <c r="N3715" s="4" t="s">
        <v>4718</v>
      </c>
      <c r="O3715" s="4"/>
    </row>
    <row r="3716" spans="1:15" x14ac:dyDescent="0.2">
      <c r="A3716" s="2">
        <v>40006360</v>
      </c>
      <c r="B3716" s="2" t="s">
        <v>1723</v>
      </c>
      <c r="C3716" s="5" t="s">
        <v>7433</v>
      </c>
      <c r="D3716" s="21"/>
      <c r="E3716" s="21"/>
      <c r="F3716" s="21" t="s">
        <v>10438</v>
      </c>
      <c r="G3716" s="21"/>
      <c r="H3716" s="54">
        <v>644</v>
      </c>
      <c r="I3716" s="51"/>
      <c r="J3716" s="27"/>
      <c r="K3716" s="27"/>
      <c r="L3716" s="15"/>
      <c r="M3716" s="15"/>
      <c r="N3716" s="4"/>
      <c r="O3716" s="4" t="s">
        <v>10363</v>
      </c>
    </row>
    <row r="3717" spans="1:15" x14ac:dyDescent="0.2">
      <c r="A3717" s="2">
        <v>40005387</v>
      </c>
      <c r="B3717" s="2" t="s">
        <v>864</v>
      </c>
      <c r="C3717" s="5" t="s">
        <v>6586</v>
      </c>
      <c r="D3717" s="21">
        <v>3</v>
      </c>
      <c r="E3717" s="21"/>
      <c r="F3717" s="21" t="s">
        <v>10438</v>
      </c>
      <c r="G3717" s="21"/>
      <c r="H3717" s="54">
        <v>178</v>
      </c>
      <c r="I3717" s="51"/>
      <c r="J3717" s="27"/>
      <c r="K3717" s="27"/>
      <c r="L3717" s="15"/>
      <c r="M3717" s="15"/>
      <c r="N3717" s="4" t="s">
        <v>4091</v>
      </c>
      <c r="O3717" s="4"/>
    </row>
    <row r="3718" spans="1:15" x14ac:dyDescent="0.2">
      <c r="A3718" s="2">
        <v>40010240</v>
      </c>
      <c r="B3718" s="2" t="s">
        <v>3438</v>
      </c>
      <c r="C3718" s="5" t="s">
        <v>9132</v>
      </c>
      <c r="D3718" s="21">
        <v>2</v>
      </c>
      <c r="E3718" s="21"/>
      <c r="F3718" s="21" t="s">
        <v>10438</v>
      </c>
      <c r="G3718" s="21"/>
      <c r="H3718" s="54">
        <v>185</v>
      </c>
      <c r="I3718" s="51"/>
      <c r="J3718" s="27"/>
      <c r="K3718" s="27"/>
      <c r="L3718" s="15"/>
      <c r="M3718" s="15"/>
      <c r="N3718" s="4" t="s">
        <v>4013</v>
      </c>
      <c r="O3718" s="4"/>
    </row>
    <row r="3719" spans="1:15" x14ac:dyDescent="0.2">
      <c r="A3719" s="2">
        <v>40006772</v>
      </c>
      <c r="B3719" s="2" t="s">
        <v>3756</v>
      </c>
      <c r="C3719" s="5" t="s">
        <v>7785</v>
      </c>
      <c r="D3719" s="21">
        <v>22</v>
      </c>
      <c r="E3719" s="21"/>
      <c r="F3719" s="21" t="s">
        <v>10438</v>
      </c>
      <c r="G3719" s="21"/>
      <c r="H3719" s="54">
        <v>9</v>
      </c>
      <c r="I3719" s="51"/>
      <c r="J3719" s="27"/>
      <c r="K3719" s="27"/>
      <c r="L3719" s="15"/>
      <c r="M3719" s="15"/>
      <c r="N3719" s="4" t="s">
        <v>4677</v>
      </c>
      <c r="O3719" s="4"/>
    </row>
    <row r="3720" spans="1:15" x14ac:dyDescent="0.2">
      <c r="A3720" s="2">
        <v>40007847</v>
      </c>
      <c r="B3720" s="2" t="s">
        <v>3005</v>
      </c>
      <c r="C3720" s="5" t="s">
        <v>8705</v>
      </c>
      <c r="D3720" s="21">
        <v>21</v>
      </c>
      <c r="E3720" s="21"/>
      <c r="F3720" s="21" t="s">
        <v>10438</v>
      </c>
      <c r="G3720" s="21"/>
      <c r="H3720" s="54">
        <v>1</v>
      </c>
      <c r="I3720" s="51"/>
      <c r="J3720" s="27"/>
      <c r="K3720" s="27"/>
      <c r="L3720" s="15"/>
      <c r="M3720" s="15"/>
      <c r="N3720" s="4" t="s">
        <v>4955</v>
      </c>
      <c r="O3720" s="4"/>
    </row>
    <row r="3721" spans="1:15" x14ac:dyDescent="0.2">
      <c r="A3721" s="2">
        <v>40008194</v>
      </c>
      <c r="B3721" s="2" t="s">
        <v>3315</v>
      </c>
      <c r="C3721" s="5" t="s">
        <v>9007</v>
      </c>
      <c r="D3721" s="21">
        <v>13</v>
      </c>
      <c r="E3721" s="21"/>
      <c r="F3721" s="30">
        <v>3</v>
      </c>
      <c r="G3721" s="21"/>
      <c r="H3721" s="54">
        <v>149</v>
      </c>
      <c r="I3721" s="51"/>
      <c r="J3721" s="27"/>
      <c r="K3721" s="27"/>
      <c r="L3721" s="15"/>
      <c r="M3721" s="15">
        <v>10</v>
      </c>
      <c r="N3721" s="4" t="s">
        <v>4060</v>
      </c>
      <c r="O3721" s="4"/>
    </row>
    <row r="3722" spans="1:15" x14ac:dyDescent="0.2">
      <c r="A3722" s="2">
        <v>40006024</v>
      </c>
      <c r="B3722" s="2" t="s">
        <v>1426</v>
      </c>
      <c r="C3722" s="5" t="s">
        <v>7128</v>
      </c>
      <c r="D3722" s="21">
        <v>2</v>
      </c>
      <c r="E3722" s="21"/>
      <c r="F3722" s="21" t="s">
        <v>10438</v>
      </c>
      <c r="G3722" s="21"/>
      <c r="H3722" s="54">
        <v>151</v>
      </c>
      <c r="I3722" s="51"/>
      <c r="J3722" s="27"/>
      <c r="K3722" s="27"/>
      <c r="L3722" s="15"/>
      <c r="M3722" s="15"/>
      <c r="N3722" s="4" t="s">
        <v>4123</v>
      </c>
      <c r="O3722" s="4"/>
    </row>
    <row r="3723" spans="1:15" x14ac:dyDescent="0.2">
      <c r="A3723" s="2">
        <v>40006857</v>
      </c>
      <c r="B3723" s="2" t="s">
        <v>2155</v>
      </c>
      <c r="C3723" s="5" t="s">
        <v>7864</v>
      </c>
      <c r="D3723" s="21">
        <v>8</v>
      </c>
      <c r="E3723" s="21"/>
      <c r="F3723" s="21" t="s">
        <v>10438</v>
      </c>
      <c r="G3723" s="21"/>
      <c r="H3723" s="54">
        <v>44</v>
      </c>
      <c r="I3723" s="51"/>
      <c r="J3723" s="27"/>
      <c r="K3723" s="27"/>
      <c r="L3723" s="15"/>
      <c r="M3723" s="15"/>
      <c r="N3723" s="4" t="s">
        <v>4717</v>
      </c>
      <c r="O3723" s="4"/>
    </row>
    <row r="3724" spans="1:15" x14ac:dyDescent="0.2">
      <c r="A3724" s="2">
        <v>40003873</v>
      </c>
      <c r="B3724" s="2" t="s">
        <v>702</v>
      </c>
      <c r="C3724" s="5" t="s">
        <v>6416</v>
      </c>
      <c r="D3724" s="21">
        <v>14</v>
      </c>
      <c r="E3724" s="21"/>
      <c r="F3724" s="21" t="s">
        <v>10438</v>
      </c>
      <c r="G3724" s="21"/>
      <c r="H3724" s="54">
        <v>295</v>
      </c>
      <c r="I3724" s="51"/>
      <c r="J3724" s="27"/>
      <c r="K3724" s="27"/>
      <c r="L3724" s="15"/>
      <c r="M3724" s="15"/>
      <c r="N3724" s="4" t="s">
        <v>3978</v>
      </c>
      <c r="O3724" s="4"/>
    </row>
    <row r="3725" spans="1:15" x14ac:dyDescent="0.2">
      <c r="A3725" s="2">
        <v>40010245</v>
      </c>
      <c r="B3725" s="2" t="s">
        <v>3443</v>
      </c>
      <c r="C3725" s="5" t="s">
        <v>9137</v>
      </c>
      <c r="D3725" s="21">
        <v>2</v>
      </c>
      <c r="E3725" s="21"/>
      <c r="F3725" s="21" t="s">
        <v>10438</v>
      </c>
      <c r="G3725" s="21"/>
      <c r="H3725" s="54">
        <v>254</v>
      </c>
      <c r="I3725" s="51"/>
      <c r="J3725" s="27"/>
      <c r="K3725" s="27"/>
      <c r="L3725" s="15"/>
      <c r="M3725" s="15"/>
      <c r="N3725" s="4" t="s">
        <v>4623</v>
      </c>
      <c r="O3725" s="4"/>
    </row>
    <row r="3726" spans="1:15" x14ac:dyDescent="0.2">
      <c r="A3726" s="2">
        <v>40006682</v>
      </c>
      <c r="B3726" s="2" t="s">
        <v>2002</v>
      </c>
      <c r="C3726" s="5" t="s">
        <v>7711</v>
      </c>
      <c r="D3726" s="21">
        <v>1</v>
      </c>
      <c r="E3726" s="21"/>
      <c r="F3726" s="21" t="s">
        <v>10438</v>
      </c>
      <c r="G3726" s="21"/>
      <c r="H3726" s="54">
        <v>157</v>
      </c>
      <c r="I3726" s="51"/>
      <c r="J3726" s="27"/>
      <c r="K3726" s="27"/>
      <c r="L3726" s="15"/>
      <c r="M3726" s="15"/>
      <c r="N3726" s="4" t="s">
        <v>4642</v>
      </c>
      <c r="O3726" s="4"/>
    </row>
    <row r="3727" spans="1:15" x14ac:dyDescent="0.2">
      <c r="A3727" s="2">
        <v>40006080</v>
      </c>
      <c r="B3727" s="2" t="s">
        <v>1472</v>
      </c>
      <c r="C3727" s="5" t="s">
        <v>7177</v>
      </c>
      <c r="D3727" s="21">
        <v>20</v>
      </c>
      <c r="E3727" s="21"/>
      <c r="F3727" s="21" t="s">
        <v>10438</v>
      </c>
      <c r="G3727" s="21"/>
      <c r="H3727" s="54">
        <v>10</v>
      </c>
      <c r="I3727" s="51"/>
      <c r="J3727" s="27"/>
      <c r="K3727" s="27"/>
      <c r="L3727" s="15"/>
      <c r="M3727" s="15"/>
      <c r="N3727" s="4"/>
      <c r="O3727" s="4" t="s">
        <v>10109</v>
      </c>
    </row>
    <row r="3728" spans="1:15" x14ac:dyDescent="0.2">
      <c r="A3728" s="2">
        <v>40008031</v>
      </c>
      <c r="B3728" s="2" t="s">
        <v>3171</v>
      </c>
      <c r="C3728" s="5" t="s">
        <v>8865</v>
      </c>
      <c r="D3728" s="21">
        <v>12</v>
      </c>
      <c r="E3728" s="21"/>
      <c r="F3728" s="21" t="s">
        <v>10438</v>
      </c>
      <c r="G3728" s="21"/>
      <c r="H3728" s="54">
        <v>133</v>
      </c>
      <c r="I3728" s="51"/>
      <c r="J3728" s="27"/>
      <c r="K3728" s="27"/>
      <c r="L3728" s="15"/>
      <c r="M3728" s="15"/>
      <c r="N3728" s="4" t="s">
        <v>5169</v>
      </c>
      <c r="O3728" s="4"/>
    </row>
    <row r="3729" spans="1:15" x14ac:dyDescent="0.2">
      <c r="A3729" s="2">
        <v>40010398</v>
      </c>
      <c r="B3729" s="2" t="s">
        <v>3537</v>
      </c>
      <c r="C3729" s="5" t="s">
        <v>9240</v>
      </c>
      <c r="D3729" s="21"/>
      <c r="E3729" s="21"/>
      <c r="F3729" s="21" t="s">
        <v>10438</v>
      </c>
      <c r="G3729" s="21"/>
      <c r="H3729" s="54">
        <v>95</v>
      </c>
      <c r="I3729" s="51"/>
      <c r="J3729" s="27"/>
      <c r="K3729" s="27"/>
      <c r="L3729" s="15"/>
      <c r="M3729" s="15">
        <v>3</v>
      </c>
      <c r="N3729" s="4" t="s">
        <v>5272</v>
      </c>
      <c r="O3729" s="4"/>
    </row>
    <row r="3730" spans="1:15" x14ac:dyDescent="0.2">
      <c r="A3730" s="2">
        <v>40007830</v>
      </c>
      <c r="B3730" s="2" t="s">
        <v>5402</v>
      </c>
      <c r="C3730" s="5" t="s">
        <v>8690</v>
      </c>
      <c r="D3730" s="21">
        <v>5</v>
      </c>
      <c r="E3730" s="21"/>
      <c r="F3730" s="21" t="s">
        <v>10438</v>
      </c>
      <c r="G3730" s="21"/>
      <c r="H3730" s="54">
        <v>29</v>
      </c>
      <c r="I3730" s="51"/>
      <c r="J3730" s="27"/>
      <c r="K3730" s="27"/>
      <c r="L3730" s="15"/>
      <c r="M3730" s="15"/>
      <c r="N3730" s="4" t="s">
        <v>5245</v>
      </c>
      <c r="O3730" s="4"/>
    </row>
    <row r="3731" spans="1:15" x14ac:dyDescent="0.2">
      <c r="A3731" s="2">
        <v>40010236</v>
      </c>
      <c r="B3731" s="2" t="s">
        <v>3434</v>
      </c>
      <c r="C3731" s="5" t="s">
        <v>9128</v>
      </c>
      <c r="D3731" s="21">
        <v>1</v>
      </c>
      <c r="E3731" s="21"/>
      <c r="F3731" s="21" t="s">
        <v>10438</v>
      </c>
      <c r="G3731" s="21"/>
      <c r="H3731" s="54">
        <v>429</v>
      </c>
      <c r="I3731" s="51"/>
      <c r="J3731" s="27"/>
      <c r="K3731" s="27"/>
      <c r="L3731" s="15">
        <v>20</v>
      </c>
      <c r="M3731" s="15"/>
      <c r="N3731" s="4" t="s">
        <v>5245</v>
      </c>
      <c r="O3731" s="4"/>
    </row>
    <row r="3732" spans="1:15" x14ac:dyDescent="0.2">
      <c r="A3732" s="2">
        <v>40010239</v>
      </c>
      <c r="B3732" s="2" t="s">
        <v>3437</v>
      </c>
      <c r="C3732" s="5" t="s">
        <v>9131</v>
      </c>
      <c r="D3732" s="21">
        <v>2</v>
      </c>
      <c r="E3732" s="21"/>
      <c r="F3732" s="21" t="s">
        <v>10438</v>
      </c>
      <c r="G3732" s="21"/>
      <c r="H3732" s="54">
        <v>166</v>
      </c>
      <c r="I3732" s="51"/>
      <c r="J3732" s="27"/>
      <c r="K3732" s="27"/>
      <c r="L3732" s="15"/>
      <c r="M3732" s="15"/>
      <c r="N3732" s="4" t="s">
        <v>5248</v>
      </c>
      <c r="O3732" s="4"/>
    </row>
    <row r="3733" spans="1:15" x14ac:dyDescent="0.2">
      <c r="A3733" s="2">
        <v>40005776</v>
      </c>
      <c r="B3733" s="2" t="s">
        <v>1201</v>
      </c>
      <c r="C3733" s="5" t="s">
        <v>6913</v>
      </c>
      <c r="D3733" s="21">
        <v>6</v>
      </c>
      <c r="E3733" s="21"/>
      <c r="F3733" s="21" t="s">
        <v>10438</v>
      </c>
      <c r="G3733" s="21"/>
      <c r="H3733" s="54">
        <v>127</v>
      </c>
      <c r="I3733" s="51"/>
      <c r="J3733" s="27"/>
      <c r="K3733" s="27"/>
      <c r="L3733" s="15"/>
      <c r="M3733" s="15"/>
      <c r="N3733" s="4"/>
      <c r="O3733" s="4" t="s">
        <v>10145</v>
      </c>
    </row>
    <row r="3734" spans="1:15" x14ac:dyDescent="0.2">
      <c r="A3734" s="2">
        <v>40011400</v>
      </c>
      <c r="B3734" s="2" t="s">
        <v>5483</v>
      </c>
      <c r="C3734" s="5" t="s">
        <v>9382</v>
      </c>
      <c r="D3734" s="21">
        <v>3</v>
      </c>
      <c r="E3734" s="21"/>
      <c r="F3734" s="21" t="s">
        <v>10438</v>
      </c>
      <c r="G3734" s="21"/>
      <c r="H3734" s="54">
        <v>204</v>
      </c>
      <c r="I3734" s="51"/>
      <c r="J3734" s="27"/>
      <c r="K3734" s="27"/>
      <c r="L3734" s="15"/>
      <c r="M3734" s="15"/>
      <c r="N3734" s="4" t="s">
        <v>3962</v>
      </c>
      <c r="O3734" s="4"/>
    </row>
    <row r="3735" spans="1:15" x14ac:dyDescent="0.2">
      <c r="A3735" s="2">
        <v>40010238</v>
      </c>
      <c r="B3735" s="2" t="s">
        <v>3436</v>
      </c>
      <c r="C3735" s="5" t="s">
        <v>9130</v>
      </c>
      <c r="D3735" s="21">
        <v>4</v>
      </c>
      <c r="E3735" s="21"/>
      <c r="F3735" s="21" t="s">
        <v>10438</v>
      </c>
      <c r="G3735" s="21"/>
      <c r="H3735" s="54">
        <v>76</v>
      </c>
      <c r="I3735" s="51"/>
      <c r="J3735" s="27"/>
      <c r="K3735" s="27"/>
      <c r="L3735" s="15"/>
      <c r="M3735" s="15"/>
      <c r="N3735" s="4" t="s">
        <v>5247</v>
      </c>
      <c r="O3735" s="4"/>
    </row>
    <row r="3736" spans="1:15" x14ac:dyDescent="0.2">
      <c r="A3736" s="2">
        <v>40007839</v>
      </c>
      <c r="B3736" s="2" t="s">
        <v>2999</v>
      </c>
      <c r="C3736" s="5" t="s">
        <v>8699</v>
      </c>
      <c r="D3736" s="21">
        <v>8</v>
      </c>
      <c r="E3736" s="21"/>
      <c r="F3736" s="21" t="s">
        <v>10438</v>
      </c>
      <c r="G3736" s="21"/>
      <c r="H3736" s="54">
        <v>61</v>
      </c>
      <c r="I3736" s="51"/>
      <c r="J3736" s="27"/>
      <c r="K3736" s="27"/>
      <c r="L3736" s="15"/>
      <c r="M3736" s="15"/>
      <c r="N3736" s="4" t="s">
        <v>5101</v>
      </c>
      <c r="O3736" s="4"/>
    </row>
    <row r="3737" spans="1:15" x14ac:dyDescent="0.2">
      <c r="A3737" s="2">
        <v>40007838</v>
      </c>
      <c r="B3737" s="2" t="s">
        <v>2998</v>
      </c>
      <c r="C3737" s="5" t="s">
        <v>8698</v>
      </c>
      <c r="D3737" s="21">
        <v>4</v>
      </c>
      <c r="E3737" s="21"/>
      <c r="F3737" s="21" t="s">
        <v>10438</v>
      </c>
      <c r="G3737" s="21"/>
      <c r="H3737" s="54">
        <v>199</v>
      </c>
      <c r="I3737" s="51"/>
      <c r="J3737" s="27"/>
      <c r="K3737" s="27"/>
      <c r="L3737" s="15"/>
      <c r="M3737" s="15"/>
      <c r="N3737" s="4" t="s">
        <v>5100</v>
      </c>
      <c r="O3737" s="4"/>
    </row>
    <row r="3738" spans="1:15" x14ac:dyDescent="0.2">
      <c r="A3738" s="2">
        <v>40010242</v>
      </c>
      <c r="B3738" s="2" t="s">
        <v>3440</v>
      </c>
      <c r="C3738" s="5" t="s">
        <v>9134</v>
      </c>
      <c r="D3738" s="21">
        <v>2</v>
      </c>
      <c r="E3738" s="21"/>
      <c r="F3738" s="21" t="s">
        <v>10438</v>
      </c>
      <c r="G3738" s="21"/>
      <c r="H3738" s="54">
        <v>192</v>
      </c>
      <c r="I3738" s="51"/>
      <c r="J3738" s="27"/>
      <c r="K3738" s="27"/>
      <c r="L3738" s="15"/>
      <c r="M3738" s="15"/>
      <c r="N3738" s="4" t="s">
        <v>4556</v>
      </c>
      <c r="O3738" s="4"/>
    </row>
    <row r="3739" spans="1:15" x14ac:dyDescent="0.2">
      <c r="A3739" s="2">
        <v>40007831</v>
      </c>
      <c r="B3739" s="2" t="s">
        <v>2991</v>
      </c>
      <c r="C3739" s="5" t="s">
        <v>8691</v>
      </c>
      <c r="D3739" s="21">
        <v>1</v>
      </c>
      <c r="E3739" s="21"/>
      <c r="F3739" s="21" t="s">
        <v>10438</v>
      </c>
      <c r="G3739" s="21"/>
      <c r="H3739" s="54">
        <v>35</v>
      </c>
      <c r="I3739" s="51"/>
      <c r="J3739" s="27"/>
      <c r="K3739" s="27"/>
      <c r="L3739" s="15"/>
      <c r="M3739" s="15"/>
      <c r="N3739" s="4" t="s">
        <v>5093</v>
      </c>
      <c r="O3739" s="4"/>
    </row>
    <row r="3740" spans="1:15" x14ac:dyDescent="0.2">
      <c r="A3740" s="2">
        <v>40007986</v>
      </c>
      <c r="B3740" s="2" t="s">
        <v>3701</v>
      </c>
      <c r="C3740" s="5" t="s">
        <v>8827</v>
      </c>
      <c r="D3740" s="21">
        <v>4</v>
      </c>
      <c r="E3740" s="21"/>
      <c r="F3740" s="21" t="s">
        <v>10438</v>
      </c>
      <c r="G3740" s="21"/>
      <c r="H3740" s="54">
        <v>225</v>
      </c>
      <c r="I3740" s="51"/>
      <c r="J3740" s="27"/>
      <c r="K3740" s="27"/>
      <c r="L3740" s="15"/>
      <c r="M3740" s="15"/>
      <c r="N3740" s="4" t="s">
        <v>5156</v>
      </c>
      <c r="O3740" s="4"/>
    </row>
    <row r="3741" spans="1:15" x14ac:dyDescent="0.2">
      <c r="A3741" s="2">
        <v>40007850</v>
      </c>
      <c r="B3741" s="2" t="s">
        <v>3007</v>
      </c>
      <c r="C3741" s="5" t="s">
        <v>8708</v>
      </c>
      <c r="D3741" s="21">
        <v>91</v>
      </c>
      <c r="E3741" s="21"/>
      <c r="F3741" s="30">
        <v>3</v>
      </c>
      <c r="G3741" s="21"/>
      <c r="H3741" s="54">
        <v>9</v>
      </c>
      <c r="I3741" s="51"/>
      <c r="J3741" s="27"/>
      <c r="K3741" s="27"/>
      <c r="L3741" s="15"/>
      <c r="M3741" s="15"/>
      <c r="N3741" s="4" t="s">
        <v>5106</v>
      </c>
      <c r="O3741" s="4"/>
    </row>
    <row r="3742" spans="1:15" x14ac:dyDescent="0.2">
      <c r="A3742" s="2">
        <v>40005626</v>
      </c>
      <c r="B3742" s="2" t="s">
        <v>1069</v>
      </c>
      <c r="C3742" s="5" t="s">
        <v>6797</v>
      </c>
      <c r="D3742" s="21">
        <v>10</v>
      </c>
      <c r="E3742" s="21"/>
      <c r="F3742" s="30">
        <v>2</v>
      </c>
      <c r="G3742" s="21"/>
      <c r="H3742" s="54">
        <v>4</v>
      </c>
      <c r="I3742" s="51"/>
      <c r="J3742" s="27"/>
      <c r="K3742" s="27"/>
      <c r="L3742" s="15"/>
      <c r="M3742" s="15"/>
      <c r="N3742" s="4" t="s">
        <v>4180</v>
      </c>
      <c r="O3742" s="4"/>
    </row>
    <row r="3743" spans="1:15" x14ac:dyDescent="0.2">
      <c r="A3743" s="2">
        <v>40006040</v>
      </c>
      <c r="B3743" s="2" t="s">
        <v>1441</v>
      </c>
      <c r="C3743" s="5" t="s">
        <v>7143</v>
      </c>
      <c r="D3743" s="21">
        <v>9</v>
      </c>
      <c r="E3743" s="21"/>
      <c r="F3743" s="21" t="s">
        <v>10438</v>
      </c>
      <c r="G3743" s="21"/>
      <c r="H3743" s="54">
        <v>4</v>
      </c>
      <c r="I3743" s="51"/>
      <c r="J3743" s="27"/>
      <c r="K3743" s="27"/>
      <c r="L3743" s="15"/>
      <c r="M3743" s="15"/>
      <c r="N3743" s="4" t="s">
        <v>4155</v>
      </c>
      <c r="O3743" s="4"/>
    </row>
    <row r="3744" spans="1:15" x14ac:dyDescent="0.2">
      <c r="A3744" s="2">
        <v>40005459</v>
      </c>
      <c r="B3744" s="2" t="s">
        <v>932</v>
      </c>
      <c r="C3744" s="5" t="s">
        <v>6654</v>
      </c>
      <c r="D3744" s="21">
        <v>6</v>
      </c>
      <c r="E3744" s="21"/>
      <c r="F3744" s="21" t="s">
        <v>10438</v>
      </c>
      <c r="G3744" s="21"/>
      <c r="H3744" s="54">
        <v>9</v>
      </c>
      <c r="I3744" s="51"/>
      <c r="J3744" s="27"/>
      <c r="K3744" s="27"/>
      <c r="L3744" s="15"/>
      <c r="M3744" s="15"/>
      <c r="N3744" s="4"/>
      <c r="O3744" s="4" t="s">
        <v>10145</v>
      </c>
    </row>
    <row r="3745" spans="1:15" x14ac:dyDescent="0.2">
      <c r="A3745" s="2">
        <v>40008155</v>
      </c>
      <c r="B3745" s="2" t="s">
        <v>3278</v>
      </c>
      <c r="C3745" s="5" t="s">
        <v>8973</v>
      </c>
      <c r="D3745" s="21">
        <v>3</v>
      </c>
      <c r="E3745" s="21"/>
      <c r="F3745" s="21" t="s">
        <v>10438</v>
      </c>
      <c r="G3745" s="21"/>
      <c r="H3745" s="54">
        <v>4</v>
      </c>
      <c r="I3745" s="51"/>
      <c r="J3745" s="27"/>
      <c r="K3745" s="27"/>
      <c r="L3745" s="15"/>
      <c r="M3745" s="15"/>
      <c r="N3745" s="4" t="s">
        <v>4750</v>
      </c>
      <c r="O3745" s="4"/>
    </row>
    <row r="3746" spans="1:15" x14ac:dyDescent="0.2">
      <c r="A3746" s="2">
        <v>40005167</v>
      </c>
      <c r="B3746" s="2" t="s">
        <v>714</v>
      </c>
      <c r="C3746" s="5" t="s">
        <v>6428</v>
      </c>
      <c r="D3746" s="21">
        <v>10</v>
      </c>
      <c r="E3746" s="21"/>
      <c r="F3746" s="21" t="s">
        <v>10438</v>
      </c>
      <c r="G3746" s="21"/>
      <c r="H3746" s="54">
        <v>10</v>
      </c>
      <c r="I3746" s="51"/>
      <c r="J3746" s="27"/>
      <c r="K3746" s="27"/>
      <c r="L3746" s="15"/>
      <c r="M3746" s="15"/>
      <c r="N3746" s="4" t="s">
        <v>3985</v>
      </c>
      <c r="O3746" s="4"/>
    </row>
    <row r="3747" spans="1:15" x14ac:dyDescent="0.2">
      <c r="A3747" s="2">
        <v>40005627</v>
      </c>
      <c r="B3747" s="2" t="s">
        <v>1070</v>
      </c>
      <c r="C3747" s="5" t="s">
        <v>6798</v>
      </c>
      <c r="D3747" s="21">
        <v>15</v>
      </c>
      <c r="E3747" s="21"/>
      <c r="F3747" s="21" t="s">
        <v>10438</v>
      </c>
      <c r="G3747" s="21"/>
      <c r="H3747" s="54">
        <v>4</v>
      </c>
      <c r="I3747" s="51"/>
      <c r="J3747" s="27"/>
      <c r="K3747" s="27"/>
      <c r="L3747" s="15"/>
      <c r="M3747" s="15"/>
      <c r="N3747" s="4" t="s">
        <v>4181</v>
      </c>
      <c r="O3747" s="4"/>
    </row>
    <row r="3748" spans="1:15" x14ac:dyDescent="0.2">
      <c r="A3748" s="2">
        <v>40005520</v>
      </c>
      <c r="B3748" s="2" t="s">
        <v>984</v>
      </c>
      <c r="C3748" s="5" t="s">
        <v>6706</v>
      </c>
      <c r="D3748" s="21">
        <v>1</v>
      </c>
      <c r="E3748" s="21"/>
      <c r="F3748" s="21" t="s">
        <v>10438</v>
      </c>
      <c r="G3748" s="21"/>
      <c r="H3748" s="54">
        <v>12</v>
      </c>
      <c r="I3748" s="51"/>
      <c r="J3748" s="27"/>
      <c r="K3748" s="27"/>
      <c r="L3748" s="15"/>
      <c r="M3748" s="15"/>
      <c r="N3748" s="4"/>
      <c r="O3748" s="4" t="s">
        <v>10145</v>
      </c>
    </row>
    <row r="3749" spans="1:15" x14ac:dyDescent="0.2">
      <c r="A3749" s="2">
        <v>40005524</v>
      </c>
      <c r="B3749" s="2" t="s">
        <v>988</v>
      </c>
      <c r="C3749" s="5" t="s">
        <v>6710</v>
      </c>
      <c r="D3749" s="21">
        <v>1</v>
      </c>
      <c r="E3749" s="21"/>
      <c r="F3749" s="21" t="s">
        <v>10438</v>
      </c>
      <c r="G3749" s="21"/>
      <c r="H3749" s="54">
        <v>22</v>
      </c>
      <c r="I3749" s="51"/>
      <c r="J3749" s="27"/>
      <c r="K3749" s="27"/>
      <c r="L3749" s="15"/>
      <c r="M3749" s="15"/>
      <c r="N3749" s="4"/>
      <c r="O3749" s="4" t="s">
        <v>10145</v>
      </c>
    </row>
    <row r="3750" spans="1:15" x14ac:dyDescent="0.2">
      <c r="A3750" s="2">
        <v>40007645</v>
      </c>
      <c r="B3750" s="2" t="s">
        <v>2828</v>
      </c>
      <c r="C3750" s="5" t="s">
        <v>5518</v>
      </c>
      <c r="D3750" s="21">
        <v>15</v>
      </c>
      <c r="E3750" s="21"/>
      <c r="F3750" s="21" t="s">
        <v>10438</v>
      </c>
      <c r="G3750" s="21"/>
      <c r="H3750" s="54">
        <v>15</v>
      </c>
      <c r="I3750" s="51"/>
      <c r="J3750" s="27"/>
      <c r="K3750" s="27"/>
      <c r="L3750" s="15"/>
      <c r="M3750" s="15"/>
      <c r="N3750" s="4" t="s">
        <v>4296</v>
      </c>
      <c r="O3750" s="4"/>
    </row>
    <row r="3751" spans="1:15" x14ac:dyDescent="0.2">
      <c r="A3751" s="2">
        <v>40007852</v>
      </c>
      <c r="B3751" s="2" t="s">
        <v>3009</v>
      </c>
      <c r="C3751" s="5" t="s">
        <v>8710</v>
      </c>
      <c r="D3751" s="21">
        <v>48</v>
      </c>
      <c r="E3751" s="21"/>
      <c r="F3751" s="30">
        <v>1</v>
      </c>
      <c r="G3751" s="21"/>
      <c r="H3751" s="54">
        <v>8</v>
      </c>
      <c r="I3751" s="51"/>
      <c r="J3751" s="27"/>
      <c r="K3751" s="27"/>
      <c r="L3751" s="15"/>
      <c r="M3751" s="15"/>
      <c r="N3751" s="4" t="s">
        <v>5108</v>
      </c>
      <c r="O3751" s="4"/>
    </row>
    <row r="3752" spans="1:15" x14ac:dyDescent="0.2">
      <c r="A3752" s="2">
        <v>40006544</v>
      </c>
      <c r="B3752" s="2" t="s">
        <v>1884</v>
      </c>
      <c r="C3752" s="5" t="s">
        <v>7592</v>
      </c>
      <c r="D3752" s="21">
        <v>1</v>
      </c>
      <c r="E3752" s="21"/>
      <c r="F3752" s="21" t="s">
        <v>10438</v>
      </c>
      <c r="G3752" s="21"/>
      <c r="H3752" s="54">
        <v>58</v>
      </c>
      <c r="I3752" s="51"/>
      <c r="J3752" s="27"/>
      <c r="K3752" s="27"/>
      <c r="L3752" s="15"/>
      <c r="M3752" s="15"/>
      <c r="N3752" s="4"/>
      <c r="O3752" s="4" t="s">
        <v>10145</v>
      </c>
    </row>
    <row r="3753" spans="1:15" x14ac:dyDescent="0.2">
      <c r="A3753" s="2">
        <v>40010407</v>
      </c>
      <c r="B3753" s="2" t="s">
        <v>3543</v>
      </c>
      <c r="C3753" s="5" t="s">
        <v>9247</v>
      </c>
      <c r="D3753" s="21">
        <v>2</v>
      </c>
      <c r="E3753" s="21"/>
      <c r="F3753" s="30">
        <v>1</v>
      </c>
      <c r="G3753" s="21"/>
      <c r="H3753" s="54">
        <v>46</v>
      </c>
      <c r="I3753" s="51"/>
      <c r="J3753" s="27"/>
      <c r="K3753" s="27"/>
      <c r="L3753" s="15"/>
      <c r="M3753" s="15"/>
      <c r="N3753" s="4" t="s">
        <v>5273</v>
      </c>
      <c r="O3753" s="4"/>
    </row>
    <row r="3754" spans="1:15" x14ac:dyDescent="0.2">
      <c r="A3754" s="2">
        <v>40005516</v>
      </c>
      <c r="B3754" s="2" t="s">
        <v>980</v>
      </c>
      <c r="C3754" s="5" t="s">
        <v>6702</v>
      </c>
      <c r="D3754" s="21">
        <v>1</v>
      </c>
      <c r="E3754" s="21"/>
      <c r="F3754" s="21" t="s">
        <v>10438</v>
      </c>
      <c r="G3754" s="21"/>
      <c r="H3754" s="54">
        <v>22</v>
      </c>
      <c r="I3754" s="51"/>
      <c r="J3754" s="27"/>
      <c r="K3754" s="27"/>
      <c r="L3754" s="15"/>
      <c r="M3754" s="15"/>
      <c r="N3754" s="4"/>
      <c r="O3754" s="4" t="s">
        <v>10145</v>
      </c>
    </row>
    <row r="3755" spans="1:15" x14ac:dyDescent="0.2">
      <c r="A3755" s="2">
        <v>40005875</v>
      </c>
      <c r="B3755" s="2" t="s">
        <v>1291</v>
      </c>
      <c r="C3755" s="5" t="s">
        <v>7001</v>
      </c>
      <c r="D3755" s="21">
        <v>11</v>
      </c>
      <c r="E3755" s="21"/>
      <c r="F3755" s="21" t="s">
        <v>10438</v>
      </c>
      <c r="G3755" s="21"/>
      <c r="H3755" s="54">
        <v>5</v>
      </c>
      <c r="I3755" s="51"/>
      <c r="J3755" s="27"/>
      <c r="K3755" s="27"/>
      <c r="L3755" s="15"/>
      <c r="M3755" s="15"/>
      <c r="N3755" s="4"/>
      <c r="O3755" s="4" t="s">
        <v>10199</v>
      </c>
    </row>
    <row r="3756" spans="1:15" x14ac:dyDescent="0.2">
      <c r="A3756" s="2">
        <v>40008182</v>
      </c>
      <c r="B3756" s="2" t="s">
        <v>3304</v>
      </c>
      <c r="C3756" s="5" t="s">
        <v>8997</v>
      </c>
      <c r="D3756" s="21">
        <v>8</v>
      </c>
      <c r="E3756" s="21"/>
      <c r="F3756" s="21" t="s">
        <v>10438</v>
      </c>
      <c r="G3756" s="21"/>
      <c r="H3756" s="54">
        <v>10</v>
      </c>
      <c r="I3756" s="51"/>
      <c r="J3756" s="27"/>
      <c r="K3756" s="27"/>
      <c r="L3756" s="15"/>
      <c r="M3756" s="15"/>
      <c r="N3756" s="4" t="s">
        <v>4554</v>
      </c>
      <c r="O3756" s="4"/>
    </row>
    <row r="3757" spans="1:15" x14ac:dyDescent="0.2">
      <c r="A3757" s="2">
        <v>40008159</v>
      </c>
      <c r="B3757" s="2" t="s">
        <v>3282</v>
      </c>
      <c r="C3757" s="5" t="s">
        <v>8977</v>
      </c>
      <c r="D3757" s="21">
        <v>28</v>
      </c>
      <c r="E3757" s="21"/>
      <c r="F3757" s="30">
        <v>1</v>
      </c>
      <c r="G3757" s="21"/>
      <c r="H3757" s="54">
        <v>2</v>
      </c>
      <c r="I3757" s="51"/>
      <c r="J3757" s="27"/>
      <c r="K3757" s="27"/>
      <c r="L3757" s="15"/>
      <c r="M3757" s="15"/>
      <c r="N3757" s="4" t="s">
        <v>4668</v>
      </c>
      <c r="O3757" s="4"/>
    </row>
    <row r="3758" spans="1:15" x14ac:dyDescent="0.2">
      <c r="A3758" s="2">
        <v>40006029</v>
      </c>
      <c r="B3758" s="2" t="s">
        <v>1430</v>
      </c>
      <c r="C3758" s="5" t="s">
        <v>7132</v>
      </c>
      <c r="D3758" s="21">
        <v>3</v>
      </c>
      <c r="E3758" s="21"/>
      <c r="F3758" s="21" t="s">
        <v>10438</v>
      </c>
      <c r="G3758" s="21"/>
      <c r="H3758" s="54">
        <v>34</v>
      </c>
      <c r="I3758" s="51"/>
      <c r="J3758" s="27"/>
      <c r="K3758" s="27"/>
      <c r="L3758" s="15"/>
      <c r="M3758" s="15"/>
      <c r="N3758" s="4" t="s">
        <v>4135</v>
      </c>
      <c r="O3758" s="4" t="s">
        <v>10162</v>
      </c>
    </row>
    <row r="3759" spans="1:15" x14ac:dyDescent="0.2">
      <c r="A3759" s="2">
        <v>40007045</v>
      </c>
      <c r="B3759" s="2" t="s">
        <v>2324</v>
      </c>
      <c r="C3759" s="5" t="s">
        <v>8034</v>
      </c>
      <c r="D3759" s="21">
        <v>4</v>
      </c>
      <c r="E3759" s="21"/>
      <c r="F3759" s="21" t="s">
        <v>10438</v>
      </c>
      <c r="G3759" s="21"/>
      <c r="H3759" s="54">
        <v>150</v>
      </c>
      <c r="I3759" s="51"/>
      <c r="J3759" s="27"/>
      <c r="K3759" s="27"/>
      <c r="L3759" s="15"/>
      <c r="M3759" s="15"/>
      <c r="N3759" s="4" t="s">
        <v>4641</v>
      </c>
      <c r="O3759" s="4"/>
    </row>
    <row r="3760" spans="1:15" x14ac:dyDescent="0.2">
      <c r="A3760" s="2">
        <v>40010776</v>
      </c>
      <c r="B3760" s="2" t="s">
        <v>5306</v>
      </c>
      <c r="C3760" s="5" t="s">
        <v>9280</v>
      </c>
      <c r="D3760" s="21">
        <v>5</v>
      </c>
      <c r="E3760" s="21"/>
      <c r="F3760" s="21" t="s">
        <v>10438</v>
      </c>
      <c r="G3760" s="21"/>
      <c r="H3760" s="54">
        <v>112</v>
      </c>
      <c r="I3760" s="51"/>
      <c r="J3760" s="27"/>
      <c r="K3760" s="27"/>
      <c r="L3760" s="15"/>
      <c r="M3760" s="15"/>
      <c r="N3760" s="4" t="s">
        <v>10044</v>
      </c>
      <c r="O3760" s="4"/>
    </row>
    <row r="3761" spans="1:15" x14ac:dyDescent="0.2">
      <c r="A3761" s="2">
        <v>40006346</v>
      </c>
      <c r="B3761" s="2" t="s">
        <v>1710</v>
      </c>
      <c r="C3761" s="5" t="s">
        <v>7419</v>
      </c>
      <c r="D3761" s="21">
        <v>2</v>
      </c>
      <c r="E3761" s="21"/>
      <c r="F3761" s="21" t="s">
        <v>10438</v>
      </c>
      <c r="G3761" s="21"/>
      <c r="H3761" s="54">
        <v>7</v>
      </c>
      <c r="I3761" s="51"/>
      <c r="J3761" s="27"/>
      <c r="K3761" s="27"/>
      <c r="L3761" s="15"/>
      <c r="M3761" s="15"/>
      <c r="N3761" s="4"/>
      <c r="O3761" s="4">
        <v>79</v>
      </c>
    </row>
    <row r="3762" spans="1:15" x14ac:dyDescent="0.2">
      <c r="A3762" s="2">
        <v>40006590</v>
      </c>
      <c r="B3762" s="2" t="s">
        <v>1927</v>
      </c>
      <c r="C3762" s="5" t="s">
        <v>7635</v>
      </c>
      <c r="D3762" s="21">
        <v>2</v>
      </c>
      <c r="E3762" s="21"/>
      <c r="F3762" s="21" t="s">
        <v>10438</v>
      </c>
      <c r="G3762" s="21"/>
      <c r="H3762" s="54">
        <v>85</v>
      </c>
      <c r="I3762" s="51"/>
      <c r="J3762" s="27"/>
      <c r="K3762" s="27"/>
      <c r="L3762" s="15"/>
      <c r="M3762" s="15"/>
      <c r="N3762" s="4" t="s">
        <v>4125</v>
      </c>
      <c r="O3762" s="4"/>
    </row>
    <row r="3763" spans="1:15" x14ac:dyDescent="0.2">
      <c r="A3763" s="2">
        <v>40006545</v>
      </c>
      <c r="B3763" s="2" t="s">
        <v>1885</v>
      </c>
      <c r="C3763" s="5" t="s">
        <v>7593</v>
      </c>
      <c r="D3763" s="21">
        <v>2</v>
      </c>
      <c r="E3763" s="21"/>
      <c r="F3763" s="21" t="s">
        <v>10438</v>
      </c>
      <c r="G3763" s="21"/>
      <c r="H3763" s="54">
        <v>58</v>
      </c>
      <c r="I3763" s="51"/>
      <c r="J3763" s="27"/>
      <c r="K3763" s="27"/>
      <c r="L3763" s="15"/>
      <c r="M3763" s="15"/>
      <c r="N3763" s="4"/>
      <c r="O3763" s="4" t="s">
        <v>10241</v>
      </c>
    </row>
    <row r="3764" spans="1:15" x14ac:dyDescent="0.2">
      <c r="A3764" s="2">
        <v>40005710</v>
      </c>
      <c r="B3764" s="2" t="s">
        <v>1140</v>
      </c>
      <c r="C3764" s="5" t="s">
        <v>6858</v>
      </c>
      <c r="D3764" s="21">
        <v>3</v>
      </c>
      <c r="E3764" s="21"/>
      <c r="F3764" s="21" t="s">
        <v>10438</v>
      </c>
      <c r="G3764" s="21"/>
      <c r="H3764" s="54">
        <v>13</v>
      </c>
      <c r="I3764" s="51"/>
      <c r="J3764" s="27"/>
      <c r="K3764" s="27"/>
      <c r="L3764" s="15"/>
      <c r="M3764" s="15"/>
      <c r="N3764" s="4" t="s">
        <v>4229</v>
      </c>
      <c r="O3764" s="4"/>
    </row>
    <row r="3765" spans="1:15" x14ac:dyDescent="0.2">
      <c r="A3765" s="2">
        <v>40007842</v>
      </c>
      <c r="B3765" s="2" t="s">
        <v>3001</v>
      </c>
      <c r="C3765" s="5" t="s">
        <v>8701</v>
      </c>
      <c r="D3765" s="21">
        <v>3</v>
      </c>
      <c r="E3765" s="21"/>
      <c r="F3765" s="21" t="s">
        <v>10438</v>
      </c>
      <c r="G3765" s="21"/>
      <c r="H3765" s="54">
        <v>52</v>
      </c>
      <c r="I3765" s="51"/>
      <c r="J3765" s="27"/>
      <c r="K3765" s="27"/>
      <c r="L3765" s="15"/>
      <c r="M3765" s="15"/>
      <c r="N3765" s="4" t="s">
        <v>5102</v>
      </c>
      <c r="O3765" s="4"/>
    </row>
    <row r="3766" spans="1:15" x14ac:dyDescent="0.2">
      <c r="A3766" s="2">
        <v>40007922</v>
      </c>
      <c r="B3766" s="2" t="s">
        <v>3698</v>
      </c>
      <c r="C3766" s="5" t="s">
        <v>8768</v>
      </c>
      <c r="D3766" s="21">
        <v>10</v>
      </c>
      <c r="E3766" s="21"/>
      <c r="F3766" s="21" t="s">
        <v>10438</v>
      </c>
      <c r="G3766" s="21"/>
      <c r="H3766" s="54">
        <v>62</v>
      </c>
      <c r="I3766" s="51"/>
      <c r="J3766" s="27"/>
      <c r="K3766" s="27"/>
      <c r="L3766" s="15"/>
      <c r="M3766" s="15"/>
      <c r="N3766" s="4" t="s">
        <v>5129</v>
      </c>
      <c r="O3766" s="4"/>
    </row>
    <row r="3767" spans="1:15" x14ac:dyDescent="0.2">
      <c r="A3767" s="2">
        <v>40008158</v>
      </c>
      <c r="B3767" s="2" t="s">
        <v>3281</v>
      </c>
      <c r="C3767" s="5" t="s">
        <v>8976</v>
      </c>
      <c r="D3767" s="21">
        <v>33</v>
      </c>
      <c r="E3767" s="21"/>
      <c r="F3767" s="30">
        <v>1</v>
      </c>
      <c r="G3767" s="21"/>
      <c r="H3767" s="54">
        <v>59</v>
      </c>
      <c r="I3767" s="51"/>
      <c r="J3767" s="27"/>
      <c r="K3767" s="27"/>
      <c r="L3767" s="15"/>
      <c r="M3767" s="15">
        <v>10</v>
      </c>
      <c r="N3767" s="4" t="s">
        <v>5205</v>
      </c>
      <c r="O3767" s="4"/>
    </row>
    <row r="3768" spans="1:15" x14ac:dyDescent="0.2">
      <c r="A3768" s="2">
        <v>40005173</v>
      </c>
      <c r="B3768" s="2" t="s">
        <v>720</v>
      </c>
      <c r="C3768" s="5" t="s">
        <v>6434</v>
      </c>
      <c r="D3768" s="21"/>
      <c r="E3768" s="21"/>
      <c r="F3768" s="21" t="s">
        <v>10438</v>
      </c>
      <c r="G3768" s="21"/>
      <c r="H3768" s="54">
        <v>270</v>
      </c>
      <c r="I3768" s="51"/>
      <c r="J3768" s="27"/>
      <c r="K3768" s="27"/>
      <c r="L3768" s="15"/>
      <c r="M3768" s="15"/>
      <c r="N3768" s="4" t="s">
        <v>3990</v>
      </c>
      <c r="O3768" s="4"/>
    </row>
    <row r="3769" spans="1:15" x14ac:dyDescent="0.2">
      <c r="A3769" s="2">
        <v>40007120</v>
      </c>
      <c r="B3769" s="2" t="s">
        <v>2389</v>
      </c>
      <c r="C3769" s="5" t="s">
        <v>8095</v>
      </c>
      <c r="D3769" s="21">
        <v>4</v>
      </c>
      <c r="E3769" s="21"/>
      <c r="F3769" s="21" t="s">
        <v>10438</v>
      </c>
      <c r="G3769" s="21"/>
      <c r="H3769" s="54">
        <v>206</v>
      </c>
      <c r="I3769" s="51"/>
      <c r="J3769" s="27"/>
      <c r="K3769" s="27"/>
      <c r="L3769" s="15"/>
      <c r="M3769" s="15"/>
      <c r="N3769" s="4" t="s">
        <v>4279</v>
      </c>
      <c r="O3769" s="4"/>
    </row>
    <row r="3770" spans="1:15" x14ac:dyDescent="0.2">
      <c r="A3770" s="2">
        <v>40006889</v>
      </c>
      <c r="B3770" s="2" t="s">
        <v>2184</v>
      </c>
      <c r="C3770" s="5" t="s">
        <v>7893</v>
      </c>
      <c r="D3770" s="21">
        <v>10</v>
      </c>
      <c r="E3770" s="21"/>
      <c r="F3770" s="21" t="s">
        <v>10438</v>
      </c>
      <c r="G3770" s="21"/>
      <c r="H3770" s="54">
        <v>52</v>
      </c>
      <c r="I3770" s="51"/>
      <c r="J3770" s="27"/>
      <c r="K3770" s="27"/>
      <c r="L3770" s="15"/>
      <c r="M3770" s="15"/>
      <c r="N3770" s="4" t="s">
        <v>4732</v>
      </c>
      <c r="O3770" s="4"/>
    </row>
    <row r="3771" spans="1:15" x14ac:dyDescent="0.2">
      <c r="A3771" s="2">
        <v>40005960</v>
      </c>
      <c r="B3771" s="2" t="s">
        <v>1367</v>
      </c>
      <c r="C3771" s="5" t="s">
        <v>7073</v>
      </c>
      <c r="D3771" s="21">
        <v>5</v>
      </c>
      <c r="E3771" s="21"/>
      <c r="F3771" s="21" t="s">
        <v>10438</v>
      </c>
      <c r="G3771" s="21"/>
      <c r="H3771" s="54">
        <v>83</v>
      </c>
      <c r="I3771" s="51"/>
      <c r="J3771" s="27"/>
      <c r="K3771" s="27"/>
      <c r="L3771" s="15"/>
      <c r="M3771" s="15"/>
      <c r="N3771" s="4" t="s">
        <v>4337</v>
      </c>
      <c r="O3771" s="4"/>
    </row>
    <row r="3772" spans="1:15" x14ac:dyDescent="0.2">
      <c r="A3772" s="2">
        <v>40007039</v>
      </c>
      <c r="B3772" s="2" t="s">
        <v>2318</v>
      </c>
      <c r="C3772" s="5" t="s">
        <v>8028</v>
      </c>
      <c r="D3772" s="21">
        <v>8</v>
      </c>
      <c r="E3772" s="21"/>
      <c r="F3772" s="21" t="s">
        <v>10438</v>
      </c>
      <c r="G3772" s="21"/>
      <c r="H3772" s="54">
        <v>29</v>
      </c>
      <c r="I3772" s="51"/>
      <c r="J3772" s="27"/>
      <c r="K3772" s="27"/>
      <c r="L3772" s="15"/>
      <c r="M3772" s="15"/>
      <c r="N3772" s="4" t="s">
        <v>4802</v>
      </c>
      <c r="O3772" s="4"/>
    </row>
    <row r="3773" spans="1:15" x14ac:dyDescent="0.2">
      <c r="A3773" s="2">
        <v>40006890</v>
      </c>
      <c r="B3773" s="2" t="s">
        <v>2185</v>
      </c>
      <c r="C3773" s="5" t="s">
        <v>7894</v>
      </c>
      <c r="D3773" s="21">
        <v>13</v>
      </c>
      <c r="E3773" s="21"/>
      <c r="F3773" s="21" t="s">
        <v>10438</v>
      </c>
      <c r="G3773" s="21"/>
      <c r="H3773" s="54">
        <v>486</v>
      </c>
      <c r="I3773" s="51"/>
      <c r="J3773" s="27"/>
      <c r="K3773" s="27"/>
      <c r="L3773" s="15"/>
      <c r="M3773" s="15"/>
      <c r="N3773" s="4" t="s">
        <v>4733</v>
      </c>
      <c r="O3773" s="4"/>
    </row>
    <row r="3774" spans="1:15" x14ac:dyDescent="0.2">
      <c r="A3774" s="2">
        <v>40006706</v>
      </c>
      <c r="B3774" s="2" t="s">
        <v>2019</v>
      </c>
      <c r="C3774" s="5" t="s">
        <v>7730</v>
      </c>
      <c r="D3774" s="21">
        <v>6</v>
      </c>
      <c r="E3774" s="21"/>
      <c r="F3774" s="21" t="s">
        <v>10438</v>
      </c>
      <c r="G3774" s="21"/>
      <c r="H3774" s="54">
        <v>178</v>
      </c>
      <c r="I3774" s="51"/>
      <c r="J3774" s="27"/>
      <c r="K3774" s="27"/>
      <c r="L3774" s="15"/>
      <c r="M3774" s="15"/>
      <c r="N3774" s="4" t="s">
        <v>4653</v>
      </c>
      <c r="O3774" s="4"/>
    </row>
    <row r="3775" spans="1:15" x14ac:dyDescent="0.2">
      <c r="A3775" s="2">
        <v>40005701</v>
      </c>
      <c r="B3775" s="2" t="s">
        <v>1133</v>
      </c>
      <c r="C3775" s="5" t="s">
        <v>6851</v>
      </c>
      <c r="D3775" s="21">
        <v>15</v>
      </c>
      <c r="E3775" s="21"/>
      <c r="F3775" s="21" t="s">
        <v>10438</v>
      </c>
      <c r="G3775" s="21"/>
      <c r="H3775" s="54">
        <v>191</v>
      </c>
      <c r="I3775" s="51"/>
      <c r="J3775" s="27"/>
      <c r="K3775" s="27"/>
      <c r="L3775" s="15"/>
      <c r="M3775" s="15"/>
      <c r="N3775" s="4" t="s">
        <v>4224</v>
      </c>
      <c r="O3775" s="4"/>
    </row>
    <row r="3776" spans="1:15" x14ac:dyDescent="0.2">
      <c r="A3776" s="2">
        <v>40007834</v>
      </c>
      <c r="B3776" s="2" t="s">
        <v>2994</v>
      </c>
      <c r="C3776" s="5" t="s">
        <v>8694</v>
      </c>
      <c r="D3776" s="21">
        <v>15</v>
      </c>
      <c r="E3776" s="21"/>
      <c r="F3776" s="21" t="s">
        <v>10438</v>
      </c>
      <c r="G3776" s="21"/>
      <c r="H3776" s="54">
        <v>335</v>
      </c>
      <c r="I3776" s="51"/>
      <c r="J3776" s="27"/>
      <c r="K3776" s="27"/>
      <c r="L3776" s="15"/>
      <c r="M3776" s="15"/>
      <c r="N3776" s="4" t="s">
        <v>5097</v>
      </c>
      <c r="O3776" s="4"/>
    </row>
    <row r="3777" spans="1:15" x14ac:dyDescent="0.2">
      <c r="A3777" s="2">
        <v>40007114</v>
      </c>
      <c r="B3777" s="2" t="s">
        <v>2384</v>
      </c>
      <c r="C3777" s="5" t="s">
        <v>8090</v>
      </c>
      <c r="D3777" s="21">
        <v>16</v>
      </c>
      <c r="E3777" s="21"/>
      <c r="F3777" s="21" t="s">
        <v>10438</v>
      </c>
      <c r="G3777" s="21"/>
      <c r="H3777" s="54">
        <v>288</v>
      </c>
      <c r="I3777" s="51"/>
      <c r="J3777" s="27"/>
      <c r="K3777" s="27"/>
      <c r="L3777" s="15"/>
      <c r="M3777" s="15"/>
      <c r="N3777" s="4" t="s">
        <v>4836</v>
      </c>
      <c r="O3777" s="4"/>
    </row>
    <row r="3778" spans="1:15" x14ac:dyDescent="0.2">
      <c r="A3778" s="2">
        <v>40005711</v>
      </c>
      <c r="B3778" s="2" t="s">
        <v>1141</v>
      </c>
      <c r="C3778" s="5" t="s">
        <v>6859</v>
      </c>
      <c r="D3778" s="21">
        <v>3</v>
      </c>
      <c r="E3778" s="21"/>
      <c r="F3778" s="21" t="s">
        <v>10438</v>
      </c>
      <c r="G3778" s="21"/>
      <c r="H3778" s="54">
        <v>96</v>
      </c>
      <c r="I3778" s="51"/>
      <c r="J3778" s="27"/>
      <c r="K3778" s="27"/>
      <c r="L3778" s="15"/>
      <c r="M3778" s="15"/>
      <c r="N3778" s="4" t="s">
        <v>4230</v>
      </c>
      <c r="O3778" s="4"/>
    </row>
    <row r="3779" spans="1:15" x14ac:dyDescent="0.2">
      <c r="A3779" s="2">
        <v>40006111</v>
      </c>
      <c r="B3779" s="2" t="s">
        <v>1502</v>
      </c>
      <c r="C3779" s="5" t="s">
        <v>7207</v>
      </c>
      <c r="D3779" s="21">
        <v>11</v>
      </c>
      <c r="E3779" s="21"/>
      <c r="F3779" s="21" t="s">
        <v>10438</v>
      </c>
      <c r="G3779" s="21"/>
      <c r="H3779" s="54">
        <v>277</v>
      </c>
      <c r="I3779" s="51"/>
      <c r="J3779" s="27"/>
      <c r="K3779" s="27"/>
      <c r="L3779" s="15"/>
      <c r="M3779" s="15"/>
      <c r="N3779" s="4" t="s">
        <v>4421</v>
      </c>
      <c r="O3779" s="4"/>
    </row>
    <row r="3780" spans="1:15" x14ac:dyDescent="0.2">
      <c r="A3780" s="2">
        <v>40010243</v>
      </c>
      <c r="B3780" s="2" t="s">
        <v>3441</v>
      </c>
      <c r="C3780" s="5" t="s">
        <v>9135</v>
      </c>
      <c r="D3780" s="21">
        <v>17</v>
      </c>
      <c r="E3780" s="21"/>
      <c r="F3780" s="21" t="s">
        <v>10438</v>
      </c>
      <c r="G3780" s="21"/>
      <c r="H3780" s="54">
        <v>18</v>
      </c>
      <c r="I3780" s="51"/>
      <c r="J3780" s="27"/>
      <c r="K3780" s="27"/>
      <c r="L3780" s="15"/>
      <c r="M3780" s="15"/>
      <c r="N3780" s="4" t="s">
        <v>5250</v>
      </c>
      <c r="O3780" s="4"/>
    </row>
    <row r="3781" spans="1:15" x14ac:dyDescent="0.2">
      <c r="A3781" s="2">
        <v>40007848</v>
      </c>
      <c r="B3781" s="2" t="s">
        <v>3699</v>
      </c>
      <c r="C3781" s="5" t="s">
        <v>8706</v>
      </c>
      <c r="D3781" s="21">
        <v>5</v>
      </c>
      <c r="E3781" s="21"/>
      <c r="F3781" s="21" t="s">
        <v>10438</v>
      </c>
      <c r="G3781" s="21"/>
      <c r="H3781" s="54">
        <v>129</v>
      </c>
      <c r="I3781" s="51"/>
      <c r="J3781" s="27"/>
      <c r="K3781" s="27"/>
      <c r="L3781" s="15"/>
      <c r="M3781" s="15">
        <v>2</v>
      </c>
      <c r="N3781" s="4" t="s">
        <v>4770</v>
      </c>
      <c r="O3781" s="4"/>
    </row>
    <row r="3782" spans="1:15" x14ac:dyDescent="0.2">
      <c r="A3782" s="2">
        <v>40007854</v>
      </c>
      <c r="B3782" s="2" t="s">
        <v>3011</v>
      </c>
      <c r="C3782" s="5">
        <v>970001200</v>
      </c>
      <c r="D3782" s="21">
        <v>2</v>
      </c>
      <c r="E3782" s="21"/>
      <c r="F3782" s="21" t="s">
        <v>10438</v>
      </c>
      <c r="G3782" s="21"/>
      <c r="H3782" s="54">
        <v>43</v>
      </c>
      <c r="I3782" s="51"/>
      <c r="J3782" s="27"/>
      <c r="K3782" s="27"/>
      <c r="L3782" s="15"/>
      <c r="M3782" s="15"/>
      <c r="N3782" s="4" t="s">
        <v>5109</v>
      </c>
      <c r="O3782" s="4"/>
    </row>
    <row r="3783" spans="1:15" x14ac:dyDescent="0.2">
      <c r="A3783" s="2">
        <v>40005765</v>
      </c>
      <c r="B3783" s="2" t="s">
        <v>1190</v>
      </c>
      <c r="C3783" s="5" t="s">
        <v>6902</v>
      </c>
      <c r="D3783" s="21">
        <v>6</v>
      </c>
      <c r="E3783" s="21"/>
      <c r="F3783" s="21" t="s">
        <v>10438</v>
      </c>
      <c r="G3783" s="21"/>
      <c r="H3783" s="54">
        <v>111</v>
      </c>
      <c r="I3783" s="51"/>
      <c r="J3783" s="27"/>
      <c r="K3783" s="27"/>
      <c r="L3783" s="15"/>
      <c r="M3783" s="15"/>
      <c r="N3783" s="4"/>
      <c r="O3783" s="4" t="s">
        <v>10128</v>
      </c>
    </row>
    <row r="3784" spans="1:15" x14ac:dyDescent="0.2">
      <c r="A3784" s="2">
        <v>40006872</v>
      </c>
      <c r="B3784" s="2" t="s">
        <v>2168</v>
      </c>
      <c r="C3784" s="5" t="s">
        <v>7877</v>
      </c>
      <c r="D3784" s="21">
        <v>5</v>
      </c>
      <c r="E3784" s="21"/>
      <c r="F3784" s="21" t="s">
        <v>10438</v>
      </c>
      <c r="G3784" s="21"/>
      <c r="H3784" s="54">
        <v>86</v>
      </c>
      <c r="I3784" s="51"/>
      <c r="J3784" s="27"/>
      <c r="K3784" s="27"/>
      <c r="L3784" s="15"/>
      <c r="M3784" s="15"/>
      <c r="N3784" s="4" t="s">
        <v>4724</v>
      </c>
      <c r="O3784" s="4"/>
    </row>
    <row r="3785" spans="1:15" x14ac:dyDescent="0.2">
      <c r="A3785" s="2">
        <v>40006065</v>
      </c>
      <c r="B3785" s="2" t="s">
        <v>1459</v>
      </c>
      <c r="C3785" s="5" t="s">
        <v>7166</v>
      </c>
      <c r="D3785" s="21">
        <v>15</v>
      </c>
      <c r="E3785" s="21"/>
      <c r="F3785" s="21" t="s">
        <v>10438</v>
      </c>
      <c r="G3785" s="21"/>
      <c r="H3785" s="54">
        <v>89</v>
      </c>
      <c r="I3785" s="51"/>
      <c r="J3785" s="27"/>
      <c r="K3785" s="27"/>
      <c r="L3785" s="15"/>
      <c r="M3785" s="15"/>
      <c r="N3785" s="4" t="s">
        <v>4350</v>
      </c>
      <c r="O3785" s="4">
        <v>42</v>
      </c>
    </row>
    <row r="3786" spans="1:15" x14ac:dyDescent="0.2">
      <c r="A3786" s="2">
        <v>40007979</v>
      </c>
      <c r="B3786" s="2" t="s">
        <v>3915</v>
      </c>
      <c r="C3786" s="5" t="s">
        <v>8821</v>
      </c>
      <c r="D3786" s="21">
        <v>2</v>
      </c>
      <c r="E3786" s="21"/>
      <c r="F3786" s="21" t="s">
        <v>10438</v>
      </c>
      <c r="G3786" s="21"/>
      <c r="H3786" s="54">
        <v>228</v>
      </c>
      <c r="I3786" s="51"/>
      <c r="J3786" s="27"/>
      <c r="K3786" s="27"/>
      <c r="L3786" s="15"/>
      <c r="M3786" s="15">
        <v>2</v>
      </c>
      <c r="N3786" s="4" t="s">
        <v>4184</v>
      </c>
      <c r="O3786" s="4"/>
    </row>
    <row r="3787" spans="1:15" x14ac:dyDescent="0.2">
      <c r="A3787" s="2">
        <v>40010237</v>
      </c>
      <c r="B3787" s="2" t="s">
        <v>3435</v>
      </c>
      <c r="C3787" s="5" t="s">
        <v>9129</v>
      </c>
      <c r="D3787" s="21">
        <v>6</v>
      </c>
      <c r="E3787" s="21"/>
      <c r="F3787" s="21" t="s">
        <v>10438</v>
      </c>
      <c r="G3787" s="21"/>
      <c r="H3787" s="54">
        <v>365</v>
      </c>
      <c r="I3787" s="51"/>
      <c r="J3787" s="27"/>
      <c r="K3787" s="27"/>
      <c r="L3787" s="15"/>
      <c r="M3787" s="15"/>
      <c r="N3787" s="4" t="s">
        <v>5246</v>
      </c>
      <c r="O3787" s="4"/>
    </row>
    <row r="3788" spans="1:15" x14ac:dyDescent="0.2">
      <c r="A3788" s="2">
        <v>40005749</v>
      </c>
      <c r="B3788" s="2" t="s">
        <v>1176</v>
      </c>
      <c r="C3788" s="5" t="s">
        <v>6888</v>
      </c>
      <c r="D3788" s="21">
        <v>1</v>
      </c>
      <c r="E3788" s="21"/>
      <c r="F3788" s="21" t="s">
        <v>10438</v>
      </c>
      <c r="G3788" s="21"/>
      <c r="H3788" s="54">
        <v>44</v>
      </c>
      <c r="I3788" s="51"/>
      <c r="J3788" s="27"/>
      <c r="K3788" s="27"/>
      <c r="L3788" s="15"/>
      <c r="M3788" s="15"/>
      <c r="N3788" s="4"/>
      <c r="O3788" s="4" t="s">
        <v>10128</v>
      </c>
    </row>
    <row r="3789" spans="1:15" x14ac:dyDescent="0.2">
      <c r="A3789" s="2">
        <v>40010399</v>
      </c>
      <c r="B3789" s="2" t="s">
        <v>3538</v>
      </c>
      <c r="C3789" s="5" t="s">
        <v>9241</v>
      </c>
      <c r="D3789" s="21">
        <v>5</v>
      </c>
      <c r="E3789" s="21"/>
      <c r="F3789" s="21" t="s">
        <v>10438</v>
      </c>
      <c r="G3789" s="21"/>
      <c r="H3789" s="54">
        <v>356</v>
      </c>
      <c r="I3789" s="51"/>
      <c r="J3789" s="27"/>
      <c r="K3789" s="27"/>
      <c r="L3789" s="15"/>
      <c r="M3789" s="15"/>
      <c r="N3789" s="4" t="s">
        <v>4348</v>
      </c>
      <c r="O3789" s="4"/>
    </row>
    <row r="3790" spans="1:15" x14ac:dyDescent="0.2">
      <c r="A3790" s="2">
        <v>40010241</v>
      </c>
      <c r="B3790" s="2" t="s">
        <v>3439</v>
      </c>
      <c r="C3790" s="5" t="s">
        <v>9133</v>
      </c>
      <c r="D3790" s="21">
        <v>7</v>
      </c>
      <c r="E3790" s="21"/>
      <c r="F3790" s="21" t="s">
        <v>10438</v>
      </c>
      <c r="G3790" s="21"/>
      <c r="H3790" s="54">
        <v>306</v>
      </c>
      <c r="I3790" s="51"/>
      <c r="J3790" s="27"/>
      <c r="K3790" s="27"/>
      <c r="L3790" s="15"/>
      <c r="M3790" s="15"/>
      <c r="N3790" s="4" t="s">
        <v>5249</v>
      </c>
      <c r="O3790" s="4"/>
    </row>
    <row r="3791" spans="1:15" x14ac:dyDescent="0.2">
      <c r="A3791" s="2">
        <v>40006450</v>
      </c>
      <c r="B3791" s="2" t="s">
        <v>1807</v>
      </c>
      <c r="C3791" s="5" t="s">
        <v>7514</v>
      </c>
      <c r="D3791" s="21">
        <v>19</v>
      </c>
      <c r="E3791" s="21"/>
      <c r="F3791" s="21" t="s">
        <v>10438</v>
      </c>
      <c r="G3791" s="21"/>
      <c r="H3791" s="54">
        <v>280</v>
      </c>
      <c r="I3791" s="51"/>
      <c r="J3791" s="27"/>
      <c r="K3791" s="27"/>
      <c r="L3791" s="15"/>
      <c r="M3791" s="15">
        <v>5</v>
      </c>
      <c r="N3791" s="4" t="s">
        <v>4587</v>
      </c>
      <c r="O3791" s="4"/>
    </row>
    <row r="3792" spans="1:15" x14ac:dyDescent="0.2">
      <c r="A3792" s="2">
        <v>40006844</v>
      </c>
      <c r="B3792" s="2" t="s">
        <v>2142</v>
      </c>
      <c r="C3792" s="5" t="s">
        <v>7851</v>
      </c>
      <c r="D3792" s="21">
        <v>11</v>
      </c>
      <c r="E3792" s="21"/>
      <c r="F3792" s="21" t="s">
        <v>10438</v>
      </c>
      <c r="G3792" s="21"/>
      <c r="H3792" s="54">
        <v>31</v>
      </c>
      <c r="I3792" s="51"/>
      <c r="J3792" s="27"/>
      <c r="K3792" s="27"/>
      <c r="L3792" s="15"/>
      <c r="M3792" s="15"/>
      <c r="N3792" s="4" t="s">
        <v>4708</v>
      </c>
      <c r="O3792" s="4"/>
    </row>
    <row r="3793" spans="1:15" x14ac:dyDescent="0.2">
      <c r="A3793" s="2">
        <v>40007861</v>
      </c>
      <c r="B3793" s="2" t="s">
        <v>3018</v>
      </c>
      <c r="C3793" s="5" t="s">
        <v>8718</v>
      </c>
      <c r="D3793" s="21">
        <v>6</v>
      </c>
      <c r="E3793" s="21"/>
      <c r="F3793" s="21" t="s">
        <v>10438</v>
      </c>
      <c r="G3793" s="21"/>
      <c r="H3793" s="54">
        <v>357</v>
      </c>
      <c r="I3793" s="51"/>
      <c r="J3793" s="27"/>
      <c r="K3793" s="27"/>
      <c r="L3793" s="15"/>
      <c r="M3793" s="15"/>
      <c r="N3793" s="4" t="s">
        <v>5112</v>
      </c>
      <c r="O3793" s="4"/>
    </row>
    <row r="3794" spans="1:15" x14ac:dyDescent="0.2">
      <c r="A3794" s="2">
        <v>40007832</v>
      </c>
      <c r="B3794" s="2" t="s">
        <v>2992</v>
      </c>
      <c r="C3794" s="5" t="s">
        <v>8692</v>
      </c>
      <c r="D3794" s="21">
        <v>6</v>
      </c>
      <c r="E3794" s="21"/>
      <c r="F3794" s="21" t="s">
        <v>10438</v>
      </c>
      <c r="G3794" s="21"/>
      <c r="H3794" s="54">
        <v>281</v>
      </c>
      <c r="I3794" s="51"/>
      <c r="J3794" s="27"/>
      <c r="K3794" s="27"/>
      <c r="L3794" s="15"/>
      <c r="M3794" s="15"/>
      <c r="N3794" s="4" t="s">
        <v>5094</v>
      </c>
      <c r="O3794" s="4" t="s">
        <v>10081</v>
      </c>
    </row>
    <row r="3795" spans="1:15" x14ac:dyDescent="0.2">
      <c r="A3795" s="2">
        <v>10018280</v>
      </c>
      <c r="B3795" s="2" t="s">
        <v>143</v>
      </c>
      <c r="C3795" s="5" t="s">
        <v>5681</v>
      </c>
      <c r="D3795" s="21">
        <v>26</v>
      </c>
      <c r="E3795" s="21"/>
      <c r="F3795" s="21" t="s">
        <v>10438</v>
      </c>
      <c r="G3795" s="21"/>
      <c r="H3795" s="54">
        <v>125</v>
      </c>
      <c r="I3795" s="51"/>
      <c r="J3795" s="27"/>
      <c r="K3795" s="27"/>
      <c r="L3795" s="15"/>
      <c r="M3795" s="15"/>
      <c r="N3795" s="4">
        <v>88</v>
      </c>
      <c r="O3795" s="4"/>
    </row>
    <row r="3796" spans="1:15" x14ac:dyDescent="0.2">
      <c r="A3796" s="2">
        <v>10018615</v>
      </c>
      <c r="B3796" s="2" t="s">
        <v>237</v>
      </c>
      <c r="C3796" s="5" t="s">
        <v>5799</v>
      </c>
      <c r="D3796" s="21">
        <v>1</v>
      </c>
      <c r="E3796" s="21"/>
      <c r="F3796" s="21" t="s">
        <v>10438</v>
      </c>
      <c r="G3796" s="21"/>
      <c r="H3796" s="54">
        <v>540</v>
      </c>
      <c r="I3796" s="51"/>
      <c r="J3796" s="27"/>
      <c r="K3796" s="27"/>
      <c r="L3796" s="15">
        <v>100</v>
      </c>
      <c r="M3796" s="15">
        <v>18</v>
      </c>
      <c r="N3796" s="4">
        <v>96</v>
      </c>
      <c r="O3796" s="4"/>
    </row>
    <row r="3797" spans="1:15" x14ac:dyDescent="0.2">
      <c r="A3797" s="2">
        <v>10017969</v>
      </c>
      <c r="B3797" s="2" t="s">
        <v>34</v>
      </c>
      <c r="C3797" s="5" t="s">
        <v>5565</v>
      </c>
      <c r="D3797" s="21">
        <v>20</v>
      </c>
      <c r="E3797" s="21"/>
      <c r="F3797" s="21" t="s">
        <v>10438</v>
      </c>
      <c r="G3797" s="21"/>
      <c r="H3797" s="54">
        <v>146</v>
      </c>
      <c r="I3797" s="51"/>
      <c r="J3797" s="27"/>
      <c r="K3797" s="27"/>
      <c r="L3797" s="15"/>
      <c r="M3797" s="15"/>
      <c r="N3797" s="4">
        <v>91</v>
      </c>
      <c r="O3797" s="4"/>
    </row>
    <row r="3798" spans="1:15" x14ac:dyDescent="0.2">
      <c r="A3798" s="2">
        <v>10017965</v>
      </c>
      <c r="B3798" s="2" t="s">
        <v>3677</v>
      </c>
      <c r="C3798" s="5" t="s">
        <v>5563</v>
      </c>
      <c r="D3798" s="21">
        <v>20</v>
      </c>
      <c r="E3798" s="21"/>
      <c r="F3798" s="21" t="s">
        <v>10438</v>
      </c>
      <c r="G3798" s="21"/>
      <c r="H3798" s="54">
        <v>148</v>
      </c>
      <c r="I3798" s="51"/>
      <c r="J3798" s="27"/>
      <c r="K3798" s="27"/>
      <c r="L3798" s="15">
        <v>30</v>
      </c>
      <c r="M3798" s="15">
        <v>20</v>
      </c>
      <c r="N3798" s="4">
        <v>116</v>
      </c>
      <c r="O3798" s="4">
        <v>106</v>
      </c>
    </row>
    <row r="3799" spans="1:15" x14ac:dyDescent="0.2">
      <c r="A3799" s="2">
        <v>10017971</v>
      </c>
      <c r="B3799" s="2" t="s">
        <v>35</v>
      </c>
      <c r="C3799" s="5" t="s">
        <v>5566</v>
      </c>
      <c r="D3799" s="21">
        <v>18</v>
      </c>
      <c r="E3799" s="21"/>
      <c r="F3799" s="21" t="s">
        <v>10438</v>
      </c>
      <c r="G3799" s="21"/>
      <c r="H3799" s="54">
        <v>350</v>
      </c>
      <c r="I3799" s="51"/>
      <c r="J3799" s="27"/>
      <c r="K3799" s="27"/>
      <c r="L3799" s="15"/>
      <c r="M3799" s="15"/>
      <c r="N3799" s="4">
        <v>88</v>
      </c>
      <c r="O3799" s="4"/>
    </row>
    <row r="3800" spans="1:15" x14ac:dyDescent="0.2">
      <c r="A3800" s="2">
        <v>10017887</v>
      </c>
      <c r="B3800" s="2" t="s">
        <v>15</v>
      </c>
      <c r="C3800" s="5" t="s">
        <v>5535</v>
      </c>
      <c r="D3800" s="21"/>
      <c r="E3800" s="21"/>
      <c r="F3800" s="21" t="s">
        <v>10438</v>
      </c>
      <c r="G3800" s="21"/>
      <c r="H3800" s="54">
        <v>215</v>
      </c>
      <c r="I3800" s="51"/>
      <c r="J3800" s="27"/>
      <c r="K3800" s="27"/>
      <c r="L3800" s="15"/>
      <c r="M3800" s="15"/>
      <c r="N3800" s="4">
        <v>92</v>
      </c>
      <c r="O3800" s="4"/>
    </row>
    <row r="3801" spans="1:15" x14ac:dyDescent="0.2">
      <c r="A3801" s="2">
        <v>10018517</v>
      </c>
      <c r="B3801" s="2" t="s">
        <v>3805</v>
      </c>
      <c r="C3801" s="5" t="s">
        <v>5753</v>
      </c>
      <c r="D3801" s="21"/>
      <c r="E3801" s="21"/>
      <c r="F3801" s="21" t="s">
        <v>10438</v>
      </c>
      <c r="G3801" s="21"/>
      <c r="H3801" s="54">
        <v>223</v>
      </c>
      <c r="I3801" s="51"/>
      <c r="J3801" s="27"/>
      <c r="K3801" s="27"/>
      <c r="L3801" s="15">
        <v>20</v>
      </c>
      <c r="M3801" s="15"/>
      <c r="N3801" s="4">
        <v>92</v>
      </c>
      <c r="O3801" s="4"/>
    </row>
    <row r="3802" spans="1:15" x14ac:dyDescent="0.2">
      <c r="A3802" s="2">
        <v>10036232</v>
      </c>
      <c r="B3802" s="2" t="s">
        <v>3719</v>
      </c>
      <c r="C3802" s="5" t="s">
        <v>6363</v>
      </c>
      <c r="D3802" s="21">
        <v>5</v>
      </c>
      <c r="E3802" s="21"/>
      <c r="F3802" s="21" t="s">
        <v>10438</v>
      </c>
      <c r="G3802" s="21"/>
      <c r="H3802" s="54">
        <v>1208</v>
      </c>
      <c r="I3802" s="51">
        <v>1088</v>
      </c>
      <c r="J3802" s="27"/>
      <c r="K3802" s="27"/>
      <c r="L3802" s="15"/>
      <c r="M3802" s="15"/>
      <c r="N3802" s="4">
        <v>96</v>
      </c>
      <c r="O3802" s="4"/>
    </row>
    <row r="3803" spans="1:15" x14ac:dyDescent="0.2">
      <c r="A3803" s="2">
        <v>10018414</v>
      </c>
      <c r="B3803" s="2" t="s">
        <v>170</v>
      </c>
      <c r="C3803" s="5" t="s">
        <v>5712</v>
      </c>
      <c r="D3803" s="21">
        <v>3</v>
      </c>
      <c r="E3803" s="21"/>
      <c r="F3803" s="21" t="s">
        <v>10438</v>
      </c>
      <c r="G3803" s="21"/>
      <c r="H3803" s="54">
        <v>1366</v>
      </c>
      <c r="I3803" s="51">
        <v>1230</v>
      </c>
      <c r="J3803" s="27"/>
      <c r="K3803" s="27"/>
      <c r="L3803" s="15"/>
      <c r="M3803" s="15"/>
      <c r="N3803" s="4">
        <v>97</v>
      </c>
      <c r="O3803" s="4"/>
    </row>
    <row r="3804" spans="1:15" x14ac:dyDescent="0.2">
      <c r="A3804" s="2">
        <v>10036229</v>
      </c>
      <c r="B3804" s="2" t="s">
        <v>3716</v>
      </c>
      <c r="C3804" s="5" t="s">
        <v>6361</v>
      </c>
      <c r="D3804" s="21"/>
      <c r="E3804" s="21"/>
      <c r="F3804" s="21" t="s">
        <v>10438</v>
      </c>
      <c r="G3804" s="21"/>
      <c r="H3804" s="54">
        <v>447</v>
      </c>
      <c r="I3804" s="51"/>
      <c r="J3804" s="27"/>
      <c r="K3804" s="27"/>
      <c r="L3804" s="15"/>
      <c r="M3804" s="15"/>
      <c r="N3804" s="4">
        <v>93</v>
      </c>
      <c r="O3804" s="4"/>
    </row>
    <row r="3805" spans="1:15" x14ac:dyDescent="0.2">
      <c r="A3805" s="2">
        <v>10018411</v>
      </c>
      <c r="B3805" s="2" t="s">
        <v>5420</v>
      </c>
      <c r="C3805" s="5" t="s">
        <v>5711</v>
      </c>
      <c r="D3805" s="21">
        <v>17</v>
      </c>
      <c r="E3805" s="21"/>
      <c r="F3805" s="21" t="s">
        <v>10438</v>
      </c>
      <c r="G3805" s="21"/>
      <c r="H3805" s="54">
        <v>110</v>
      </c>
      <c r="I3805" s="51"/>
      <c r="J3805" s="27"/>
      <c r="K3805" s="27"/>
      <c r="L3805" s="15"/>
      <c r="M3805" s="15"/>
      <c r="N3805" s="4">
        <v>61</v>
      </c>
      <c r="O3805" s="4"/>
    </row>
    <row r="3806" spans="1:15" x14ac:dyDescent="0.2">
      <c r="A3806" s="2">
        <v>10018541</v>
      </c>
      <c r="B3806" s="2" t="s">
        <v>211</v>
      </c>
      <c r="C3806" s="5" t="s">
        <v>5769</v>
      </c>
      <c r="D3806" s="21">
        <v>56</v>
      </c>
      <c r="E3806" s="21"/>
      <c r="F3806" s="21" t="s">
        <v>10438</v>
      </c>
      <c r="G3806" s="21"/>
      <c r="H3806" s="54">
        <v>477</v>
      </c>
      <c r="I3806" s="51"/>
      <c r="J3806" s="27"/>
      <c r="K3806" s="27"/>
      <c r="L3806" s="15"/>
      <c r="M3806" s="15"/>
      <c r="N3806" s="4">
        <v>93</v>
      </c>
      <c r="O3806" s="4">
        <v>107</v>
      </c>
    </row>
    <row r="3807" spans="1:15" x14ac:dyDescent="0.2">
      <c r="A3807" s="2">
        <v>10018547</v>
      </c>
      <c r="B3807" s="2" t="s">
        <v>213</v>
      </c>
      <c r="C3807" s="5" t="s">
        <v>5772</v>
      </c>
      <c r="D3807" s="21"/>
      <c r="E3807" s="21"/>
      <c r="F3807" s="21" t="s">
        <v>10438</v>
      </c>
      <c r="G3807" s="21"/>
      <c r="H3807" s="54">
        <v>540</v>
      </c>
      <c r="I3807" s="51"/>
      <c r="J3807" s="27"/>
      <c r="K3807" s="27"/>
      <c r="L3807" s="15"/>
      <c r="M3807" s="15"/>
      <c r="N3807" s="4">
        <v>96</v>
      </c>
      <c r="O3807" s="4"/>
    </row>
    <row r="3808" spans="1:15" x14ac:dyDescent="0.2">
      <c r="A3808" s="2">
        <v>10036230</v>
      </c>
      <c r="B3808" s="2" t="s">
        <v>3722</v>
      </c>
      <c r="C3808" s="5" t="s">
        <v>6362</v>
      </c>
      <c r="D3808" s="21"/>
      <c r="E3808" s="21"/>
      <c r="F3808" s="21" t="s">
        <v>10438</v>
      </c>
      <c r="G3808" s="21"/>
      <c r="H3808" s="54">
        <v>1009</v>
      </c>
      <c r="I3808" s="51"/>
      <c r="J3808" s="27"/>
      <c r="K3808" s="27"/>
      <c r="L3808" s="15"/>
      <c r="M3808" s="15"/>
      <c r="N3808" s="4">
        <v>115</v>
      </c>
      <c r="O3808" s="4"/>
    </row>
    <row r="3809" spans="1:15" x14ac:dyDescent="0.2">
      <c r="A3809" s="2">
        <v>10018417</v>
      </c>
      <c r="B3809" s="2" t="s">
        <v>171</v>
      </c>
      <c r="C3809" s="5" t="s">
        <v>9435</v>
      </c>
      <c r="D3809" s="21">
        <v>2</v>
      </c>
      <c r="E3809" s="21"/>
      <c r="F3809" s="21" t="s">
        <v>10438</v>
      </c>
      <c r="G3809" s="21"/>
      <c r="H3809" s="54">
        <v>302</v>
      </c>
      <c r="I3809" s="51"/>
      <c r="J3809" s="27"/>
      <c r="K3809" s="27"/>
      <c r="L3809" s="15"/>
      <c r="M3809" s="15"/>
      <c r="N3809" s="4">
        <v>93</v>
      </c>
      <c r="O3809" s="4"/>
    </row>
    <row r="3810" spans="1:15" x14ac:dyDescent="0.2">
      <c r="A3810" s="2">
        <v>10018529</v>
      </c>
      <c r="B3810" s="2" t="s">
        <v>3893</v>
      </c>
      <c r="C3810" s="5" t="s">
        <v>5761</v>
      </c>
      <c r="D3810" s="21">
        <v>21</v>
      </c>
      <c r="E3810" s="21"/>
      <c r="F3810" s="21" t="s">
        <v>10438</v>
      </c>
      <c r="G3810" s="21"/>
      <c r="H3810" s="54">
        <v>240</v>
      </c>
      <c r="I3810" s="51"/>
      <c r="J3810" s="27"/>
      <c r="K3810" s="27"/>
      <c r="L3810" s="15"/>
      <c r="M3810" s="15"/>
      <c r="N3810" s="4">
        <v>91</v>
      </c>
      <c r="O3810" s="4"/>
    </row>
    <row r="3811" spans="1:15" x14ac:dyDescent="0.2">
      <c r="A3811" s="2">
        <v>10018545</v>
      </c>
      <c r="B3811" s="2" t="s">
        <v>212</v>
      </c>
      <c r="C3811" s="5" t="s">
        <v>5771</v>
      </c>
      <c r="D3811" s="21">
        <v>8</v>
      </c>
      <c r="E3811" s="21"/>
      <c r="F3811" s="21" t="s">
        <v>10438</v>
      </c>
      <c r="G3811" s="21"/>
      <c r="H3811" s="54">
        <v>190</v>
      </c>
      <c r="I3811" s="51"/>
      <c r="J3811" s="27"/>
      <c r="K3811" s="27"/>
      <c r="L3811" s="15">
        <v>10</v>
      </c>
      <c r="M3811" s="15">
        <v>16</v>
      </c>
      <c r="N3811" s="4">
        <v>97</v>
      </c>
      <c r="O3811" s="4"/>
    </row>
    <row r="3812" spans="1:15" x14ac:dyDescent="0.2">
      <c r="A3812" s="2">
        <v>10018533</v>
      </c>
      <c r="B3812" s="2" t="s">
        <v>207</v>
      </c>
      <c r="C3812" s="5" t="s">
        <v>5764</v>
      </c>
      <c r="D3812" s="21"/>
      <c r="E3812" s="21"/>
      <c r="F3812" s="21" t="s">
        <v>10438</v>
      </c>
      <c r="G3812" s="21"/>
      <c r="H3812" s="54">
        <v>265</v>
      </c>
      <c r="I3812" s="51"/>
      <c r="J3812" s="27"/>
      <c r="K3812" s="27"/>
      <c r="L3812" s="15"/>
      <c r="M3812" s="15">
        <v>10</v>
      </c>
      <c r="N3812" s="4">
        <v>91</v>
      </c>
      <c r="O3812" s="4"/>
    </row>
    <row r="3813" spans="1:15" x14ac:dyDescent="0.2">
      <c r="A3813" s="2">
        <v>10018543</v>
      </c>
      <c r="B3813" s="2" t="s">
        <v>3667</v>
      </c>
      <c r="C3813" s="5" t="s">
        <v>5770</v>
      </c>
      <c r="D3813" s="21">
        <v>48</v>
      </c>
      <c r="E3813" s="21"/>
      <c r="F3813" s="21" t="s">
        <v>10438</v>
      </c>
      <c r="G3813" s="21"/>
      <c r="H3813" s="54">
        <v>140</v>
      </c>
      <c r="I3813" s="51"/>
      <c r="J3813" s="27"/>
      <c r="K3813" s="27"/>
      <c r="L3813" s="15"/>
      <c r="M3813" s="15"/>
      <c r="N3813" s="4">
        <v>92</v>
      </c>
      <c r="O3813" s="4"/>
    </row>
    <row r="3814" spans="1:15" x14ac:dyDescent="0.2">
      <c r="A3814" s="2">
        <v>10018531</v>
      </c>
      <c r="B3814" s="2" t="s">
        <v>3676</v>
      </c>
      <c r="C3814" s="5" t="s">
        <v>5763</v>
      </c>
      <c r="D3814" s="21">
        <v>15</v>
      </c>
      <c r="E3814" s="21"/>
      <c r="F3814" s="21" t="s">
        <v>10438</v>
      </c>
      <c r="G3814" s="21"/>
      <c r="H3814" s="54">
        <v>150</v>
      </c>
      <c r="I3814" s="51"/>
      <c r="J3814" s="27"/>
      <c r="K3814" s="27"/>
      <c r="L3814" s="15">
        <v>15</v>
      </c>
      <c r="M3814" s="15"/>
      <c r="N3814" s="4">
        <v>96</v>
      </c>
      <c r="O3814" s="4"/>
    </row>
    <row r="3815" spans="1:15" x14ac:dyDescent="0.2">
      <c r="A3815" s="2">
        <v>10018770</v>
      </c>
      <c r="B3815" s="2" t="s">
        <v>3798</v>
      </c>
      <c r="C3815" s="5" t="s">
        <v>5883</v>
      </c>
      <c r="D3815" s="21">
        <v>108</v>
      </c>
      <c r="E3815" s="21"/>
      <c r="F3815" s="21" t="s">
        <v>10438</v>
      </c>
      <c r="G3815" s="21"/>
      <c r="H3815" s="54">
        <v>198</v>
      </c>
      <c r="I3815" s="51"/>
      <c r="J3815" s="27"/>
      <c r="K3815" s="27"/>
      <c r="L3815" s="15"/>
      <c r="M3815" s="15"/>
      <c r="N3815" s="4"/>
      <c r="O3815" s="4">
        <v>107</v>
      </c>
    </row>
    <row r="3816" spans="1:15" x14ac:dyDescent="0.2">
      <c r="A3816" s="2">
        <v>10018279</v>
      </c>
      <c r="B3816" s="2" t="s">
        <v>142</v>
      </c>
      <c r="C3816" s="5" t="s">
        <v>5680</v>
      </c>
      <c r="D3816" s="21">
        <v>13</v>
      </c>
      <c r="E3816" s="21"/>
      <c r="F3816" s="21" t="s">
        <v>10438</v>
      </c>
      <c r="G3816" s="21"/>
      <c r="H3816" s="54">
        <v>169</v>
      </c>
      <c r="I3816" s="51"/>
      <c r="J3816" s="27"/>
      <c r="K3816" s="27"/>
      <c r="L3816" s="15"/>
      <c r="M3816" s="15"/>
      <c r="N3816" s="4">
        <v>89</v>
      </c>
      <c r="O3816" s="4"/>
    </row>
    <row r="3817" spans="1:15" x14ac:dyDescent="0.2">
      <c r="A3817" s="2">
        <v>10018281</v>
      </c>
      <c r="B3817" s="2" t="s">
        <v>3721</v>
      </c>
      <c r="C3817" s="5" t="s">
        <v>5682</v>
      </c>
      <c r="D3817" s="21">
        <v>2</v>
      </c>
      <c r="E3817" s="21"/>
      <c r="F3817" s="21" t="s">
        <v>10438</v>
      </c>
      <c r="G3817" s="21"/>
      <c r="H3817" s="54">
        <v>2945</v>
      </c>
      <c r="I3817" s="51">
        <v>2651</v>
      </c>
      <c r="J3817" s="27"/>
      <c r="K3817" s="27"/>
      <c r="L3817" s="15"/>
      <c r="M3817" s="15"/>
      <c r="N3817" s="4">
        <v>88</v>
      </c>
      <c r="O3817" s="4"/>
    </row>
    <row r="3818" spans="1:15" x14ac:dyDescent="0.2">
      <c r="A3818" s="2">
        <v>10018277</v>
      </c>
      <c r="B3818" s="2" t="s">
        <v>141</v>
      </c>
      <c r="C3818" s="5" t="s">
        <v>5679</v>
      </c>
      <c r="D3818" s="21">
        <v>15</v>
      </c>
      <c r="E3818" s="21"/>
      <c r="F3818" s="21" t="s">
        <v>10438</v>
      </c>
      <c r="G3818" s="21"/>
      <c r="H3818" s="54">
        <v>119</v>
      </c>
      <c r="I3818" s="51"/>
      <c r="J3818" s="27"/>
      <c r="K3818" s="27"/>
      <c r="L3818" s="15"/>
      <c r="M3818" s="15">
        <v>20</v>
      </c>
      <c r="N3818" s="4">
        <v>90</v>
      </c>
      <c r="O3818" s="4"/>
    </row>
    <row r="3819" spans="1:15" x14ac:dyDescent="0.2">
      <c r="A3819" s="2">
        <v>10019734</v>
      </c>
      <c r="B3819" s="2" t="s">
        <v>574</v>
      </c>
      <c r="C3819" s="5" t="s">
        <v>6206</v>
      </c>
      <c r="D3819" s="21">
        <v>25</v>
      </c>
      <c r="E3819" s="21"/>
      <c r="F3819" s="21" t="s">
        <v>10438</v>
      </c>
      <c r="G3819" s="21"/>
      <c r="H3819" s="54">
        <v>528</v>
      </c>
      <c r="I3819" s="51"/>
      <c r="J3819" s="27"/>
      <c r="K3819" s="27"/>
      <c r="L3819" s="15">
        <v>20</v>
      </c>
      <c r="M3819" s="15">
        <v>18</v>
      </c>
      <c r="N3819" s="4">
        <v>97</v>
      </c>
      <c r="O3819" s="4"/>
    </row>
    <row r="3820" spans="1:15" x14ac:dyDescent="0.2">
      <c r="A3820" s="2">
        <v>40005263</v>
      </c>
      <c r="B3820" s="2" t="s">
        <v>778</v>
      </c>
      <c r="C3820" s="5" t="s">
        <v>6493</v>
      </c>
      <c r="D3820" s="21">
        <v>1</v>
      </c>
      <c r="E3820" s="21"/>
      <c r="F3820" s="21" t="s">
        <v>10438</v>
      </c>
      <c r="G3820" s="21"/>
      <c r="H3820" s="54">
        <v>1070</v>
      </c>
      <c r="I3820" s="51"/>
      <c r="J3820" s="27"/>
      <c r="K3820" s="27"/>
      <c r="L3820" s="15"/>
      <c r="M3820" s="15"/>
      <c r="N3820" s="4"/>
      <c r="O3820" s="4">
        <v>21</v>
      </c>
    </row>
    <row r="3821" spans="1:15" x14ac:dyDescent="0.2">
      <c r="A3821" s="2">
        <v>40006010</v>
      </c>
      <c r="B3821" s="2" t="s">
        <v>1415</v>
      </c>
      <c r="C3821" s="5" t="s">
        <v>7121</v>
      </c>
      <c r="D3821" s="21">
        <v>2</v>
      </c>
      <c r="E3821" s="21"/>
      <c r="F3821" s="21" t="s">
        <v>10438</v>
      </c>
      <c r="G3821" s="21"/>
      <c r="H3821" s="54">
        <v>20</v>
      </c>
      <c r="I3821" s="51"/>
      <c r="J3821" s="27"/>
      <c r="K3821" s="27"/>
      <c r="L3821" s="15"/>
      <c r="M3821" s="15"/>
      <c r="N3821" s="4"/>
      <c r="O3821" s="4" t="s">
        <v>10203</v>
      </c>
    </row>
    <row r="3822" spans="1:15" x14ac:dyDescent="0.2">
      <c r="A3822" s="2">
        <v>40007264</v>
      </c>
      <c r="B3822" s="2" t="s">
        <v>2514</v>
      </c>
      <c r="C3822" s="5" t="s">
        <v>8210</v>
      </c>
      <c r="D3822" s="21">
        <v>5</v>
      </c>
      <c r="E3822" s="21"/>
      <c r="F3822" s="21" t="s">
        <v>10438</v>
      </c>
      <c r="G3822" s="21"/>
      <c r="H3822" s="54">
        <v>77</v>
      </c>
      <c r="I3822" s="51"/>
      <c r="J3822" s="27"/>
      <c r="K3822" s="27"/>
      <c r="L3822" s="15"/>
      <c r="M3822" s="15"/>
      <c r="N3822" s="4"/>
      <c r="O3822" s="4" t="s">
        <v>4121</v>
      </c>
    </row>
    <row r="3823" spans="1:15" x14ac:dyDescent="0.2">
      <c r="A3823" s="2">
        <v>40010791</v>
      </c>
      <c r="B3823" s="2" t="s">
        <v>3572</v>
      </c>
      <c r="C3823" s="5" t="s">
        <v>9292</v>
      </c>
      <c r="D3823" s="21">
        <v>1</v>
      </c>
      <c r="E3823" s="21"/>
      <c r="F3823" s="21" t="s">
        <v>10438</v>
      </c>
      <c r="G3823" s="21"/>
      <c r="H3823" s="54">
        <v>83</v>
      </c>
      <c r="I3823" s="51"/>
      <c r="J3823" s="27"/>
      <c r="K3823" s="27"/>
      <c r="L3823" s="15"/>
      <c r="M3823" s="15"/>
      <c r="N3823" s="4"/>
      <c r="O3823" s="4">
        <v>93</v>
      </c>
    </row>
    <row r="3824" spans="1:15" x14ac:dyDescent="0.2">
      <c r="A3824" s="2">
        <v>40006451</v>
      </c>
      <c r="B3824" s="2" t="s">
        <v>1808</v>
      </c>
      <c r="C3824" s="5" t="s">
        <v>7515</v>
      </c>
      <c r="D3824" s="21">
        <v>2</v>
      </c>
      <c r="E3824" s="21"/>
      <c r="F3824" s="21" t="s">
        <v>10438</v>
      </c>
      <c r="G3824" s="21"/>
      <c r="H3824" s="54">
        <v>245</v>
      </c>
      <c r="I3824" s="51"/>
      <c r="J3824" s="27"/>
      <c r="K3824" s="27"/>
      <c r="L3824" s="15"/>
      <c r="M3824" s="15"/>
      <c r="N3824" s="4"/>
      <c r="O3824" s="4">
        <v>39</v>
      </c>
    </row>
    <row r="3825" spans="1:15" x14ac:dyDescent="0.2">
      <c r="A3825" s="2">
        <v>10020105</v>
      </c>
      <c r="B3825" s="2" t="s">
        <v>673</v>
      </c>
      <c r="C3825" s="5" t="s">
        <v>6327</v>
      </c>
      <c r="D3825" s="21">
        <v>3</v>
      </c>
      <c r="E3825" s="21">
        <v>3</v>
      </c>
      <c r="F3825" s="21" t="s">
        <v>10438</v>
      </c>
      <c r="G3825" s="21">
        <v>2</v>
      </c>
      <c r="H3825" s="54">
        <v>12603</v>
      </c>
      <c r="I3825" s="51">
        <v>11345</v>
      </c>
      <c r="J3825" s="27">
        <v>16</v>
      </c>
      <c r="K3825" s="27">
        <v>16</v>
      </c>
      <c r="L3825" s="15">
        <v>5</v>
      </c>
      <c r="M3825" s="15">
        <v>5</v>
      </c>
      <c r="N3825" s="4"/>
      <c r="O3825" s="4"/>
    </row>
    <row r="3826" spans="1:15" x14ac:dyDescent="0.2">
      <c r="A3826" s="2">
        <v>10019073</v>
      </c>
      <c r="B3826" s="2" t="s">
        <v>5364</v>
      </c>
      <c r="C3826" s="5">
        <v>2712</v>
      </c>
      <c r="D3826" s="21">
        <v>2</v>
      </c>
      <c r="E3826" s="21"/>
      <c r="F3826" s="21" t="s">
        <v>10438</v>
      </c>
      <c r="G3826" s="21"/>
      <c r="H3826" s="54">
        <v>10180</v>
      </c>
      <c r="I3826" s="51">
        <v>9165</v>
      </c>
      <c r="J3826" s="27"/>
      <c r="K3826" s="27"/>
      <c r="L3826" s="15">
        <v>5</v>
      </c>
      <c r="M3826" s="15">
        <v>3</v>
      </c>
      <c r="N3826" s="4"/>
      <c r="O3826" s="4"/>
    </row>
    <row r="3827" spans="1:15" x14ac:dyDescent="0.2">
      <c r="A3827" s="2">
        <v>40005531</v>
      </c>
      <c r="B3827" s="2" t="s">
        <v>995</v>
      </c>
      <c r="C3827" s="5" t="s">
        <v>6717</v>
      </c>
      <c r="D3827" s="21">
        <v>5</v>
      </c>
      <c r="E3827" s="21"/>
      <c r="F3827" s="21" t="s">
        <v>10438</v>
      </c>
      <c r="G3827" s="21"/>
      <c r="H3827" s="54">
        <v>17</v>
      </c>
      <c r="I3827" s="51"/>
      <c r="J3827" s="27"/>
      <c r="K3827" s="27"/>
      <c r="L3827" s="15"/>
      <c r="M3827" s="15"/>
      <c r="N3827" s="4" t="s">
        <v>3947</v>
      </c>
      <c r="O3827" s="4"/>
    </row>
    <row r="3828" spans="1:15" x14ac:dyDescent="0.2">
      <c r="A3828" s="2">
        <v>40006922</v>
      </c>
      <c r="B3828" s="2" t="s">
        <v>2217</v>
      </c>
      <c r="C3828" s="5" t="s">
        <v>7926</v>
      </c>
      <c r="D3828" s="21">
        <v>7</v>
      </c>
      <c r="E3828" s="21"/>
      <c r="F3828" s="21" t="s">
        <v>10438</v>
      </c>
      <c r="G3828" s="21"/>
      <c r="H3828" s="54">
        <v>51</v>
      </c>
      <c r="I3828" s="51"/>
      <c r="J3828" s="27"/>
      <c r="K3828" s="27"/>
      <c r="L3828" s="15"/>
      <c r="M3828" s="15"/>
      <c r="N3828" s="4" t="s">
        <v>4746</v>
      </c>
      <c r="O3828" s="4"/>
    </row>
    <row r="3829" spans="1:15" x14ac:dyDescent="0.2">
      <c r="A3829" s="2">
        <v>40005948</v>
      </c>
      <c r="B3829" s="2" t="s">
        <v>1355</v>
      </c>
      <c r="C3829" s="5" t="s">
        <v>7061</v>
      </c>
      <c r="D3829" s="21">
        <v>2</v>
      </c>
      <c r="E3829" s="21"/>
      <c r="F3829" s="21" t="s">
        <v>10438</v>
      </c>
      <c r="G3829" s="21"/>
      <c r="H3829" s="54">
        <v>21</v>
      </c>
      <c r="I3829" s="51"/>
      <c r="J3829" s="27"/>
      <c r="K3829" s="27"/>
      <c r="L3829" s="15"/>
      <c r="M3829" s="15"/>
      <c r="N3829" s="4" t="s">
        <v>4333</v>
      </c>
      <c r="O3829" s="4"/>
    </row>
    <row r="3830" spans="1:15" x14ac:dyDescent="0.2">
      <c r="A3830" s="2">
        <v>40008173</v>
      </c>
      <c r="B3830" s="2" t="s">
        <v>3296</v>
      </c>
      <c r="C3830" s="5" t="s">
        <v>8989</v>
      </c>
      <c r="D3830" s="21">
        <v>4</v>
      </c>
      <c r="E3830" s="21"/>
      <c r="F3830" s="30">
        <v>1</v>
      </c>
      <c r="G3830" s="21"/>
      <c r="H3830" s="54">
        <v>24</v>
      </c>
      <c r="I3830" s="51"/>
      <c r="J3830" s="27"/>
      <c r="K3830" s="27"/>
      <c r="L3830" s="15"/>
      <c r="M3830" s="15"/>
      <c r="N3830" s="4" t="s">
        <v>5187</v>
      </c>
      <c r="O3830" s="4"/>
    </row>
    <row r="3831" spans="1:15" x14ac:dyDescent="0.2">
      <c r="A3831" s="2">
        <v>40006074</v>
      </c>
      <c r="B3831" s="2" t="s">
        <v>1467</v>
      </c>
      <c r="C3831" s="5" t="s">
        <v>7172</v>
      </c>
      <c r="D3831" s="21">
        <v>3</v>
      </c>
      <c r="E3831" s="21"/>
      <c r="F3831" s="21" t="s">
        <v>10438</v>
      </c>
      <c r="G3831" s="21"/>
      <c r="H3831" s="54">
        <v>2</v>
      </c>
      <c r="I3831" s="51"/>
      <c r="J3831" s="27"/>
      <c r="K3831" s="27"/>
      <c r="L3831" s="15"/>
      <c r="M3831" s="15"/>
      <c r="N3831" s="4" t="s">
        <v>4397</v>
      </c>
      <c r="O3831" s="4"/>
    </row>
    <row r="3832" spans="1:15" x14ac:dyDescent="0.2">
      <c r="A3832" s="2">
        <v>40006302</v>
      </c>
      <c r="B3832" s="2" t="s">
        <v>1672</v>
      </c>
      <c r="C3832" s="5" t="s">
        <v>7382</v>
      </c>
      <c r="D3832" s="21">
        <v>2</v>
      </c>
      <c r="E3832" s="21"/>
      <c r="F3832" s="21" t="s">
        <v>10438</v>
      </c>
      <c r="G3832" s="21"/>
      <c r="H3832" s="54">
        <v>1</v>
      </c>
      <c r="I3832" s="51"/>
      <c r="J3832" s="27"/>
      <c r="K3832" s="27"/>
      <c r="L3832" s="15"/>
      <c r="M3832" s="15"/>
      <c r="N3832" s="4" t="s">
        <v>4516</v>
      </c>
      <c r="O3832" s="4"/>
    </row>
    <row r="3833" spans="1:15" x14ac:dyDescent="0.2">
      <c r="A3833" s="2">
        <v>40005588</v>
      </c>
      <c r="B3833" s="2" t="s">
        <v>1036</v>
      </c>
      <c r="C3833" s="5" t="s">
        <v>6762</v>
      </c>
      <c r="D3833" s="21">
        <v>1</v>
      </c>
      <c r="E3833" s="21"/>
      <c r="F3833" s="21" t="s">
        <v>10438</v>
      </c>
      <c r="G3833" s="21"/>
      <c r="H3833" s="54">
        <v>1</v>
      </c>
      <c r="I3833" s="51"/>
      <c r="J3833" s="27"/>
      <c r="K3833" s="27"/>
      <c r="L3833" s="15"/>
      <c r="M3833" s="15"/>
      <c r="N3833" s="4" t="s">
        <v>4160</v>
      </c>
      <c r="O3833" s="4"/>
    </row>
    <row r="3834" spans="1:15" x14ac:dyDescent="0.2">
      <c r="A3834" s="2">
        <v>40005589</v>
      </c>
      <c r="B3834" s="2" t="s">
        <v>1037</v>
      </c>
      <c r="C3834" s="5" t="s">
        <v>6763</v>
      </c>
      <c r="D3834" s="21">
        <v>1</v>
      </c>
      <c r="E3834" s="21"/>
      <c r="F3834" s="21" t="s">
        <v>10438</v>
      </c>
      <c r="G3834" s="21"/>
      <c r="H3834" s="54">
        <v>2</v>
      </c>
      <c r="I3834" s="51"/>
      <c r="J3834" s="27"/>
      <c r="K3834" s="27"/>
      <c r="L3834" s="15"/>
      <c r="M3834" s="15"/>
      <c r="N3834" s="4" t="s">
        <v>4161</v>
      </c>
      <c r="O3834" s="4"/>
    </row>
    <row r="3835" spans="1:15" x14ac:dyDescent="0.2">
      <c r="A3835" s="2">
        <v>40006985</v>
      </c>
      <c r="B3835" s="2" t="s">
        <v>5395</v>
      </c>
      <c r="C3835" s="5" t="s">
        <v>7980</v>
      </c>
      <c r="D3835" s="21">
        <v>3</v>
      </c>
      <c r="E3835" s="21"/>
      <c r="F3835" s="21" t="s">
        <v>10438</v>
      </c>
      <c r="G3835" s="21"/>
      <c r="H3835" s="54">
        <v>4</v>
      </c>
      <c r="I3835" s="51"/>
      <c r="J3835" s="27"/>
      <c r="K3835" s="27"/>
      <c r="L3835" s="15"/>
      <c r="M3835" s="15"/>
      <c r="N3835" s="4" t="s">
        <v>4000</v>
      </c>
      <c r="O3835" s="4"/>
    </row>
    <row r="3836" spans="1:15" x14ac:dyDescent="0.2">
      <c r="A3836" s="2">
        <v>40007321</v>
      </c>
      <c r="B3836" s="2" t="s">
        <v>2561</v>
      </c>
      <c r="C3836" s="5" t="s">
        <v>8255</v>
      </c>
      <c r="D3836" s="21">
        <v>8</v>
      </c>
      <c r="E3836" s="21"/>
      <c r="F3836" s="21" t="s">
        <v>10438</v>
      </c>
      <c r="G3836" s="21"/>
      <c r="H3836" s="54">
        <v>1</v>
      </c>
      <c r="I3836" s="51"/>
      <c r="J3836" s="27"/>
      <c r="K3836" s="27"/>
      <c r="L3836" s="15">
        <v>5</v>
      </c>
      <c r="M3836" s="15">
        <v>6</v>
      </c>
      <c r="N3836" s="4" t="s">
        <v>4915</v>
      </c>
      <c r="O3836" s="4"/>
    </row>
    <row r="3837" spans="1:15" x14ac:dyDescent="0.2">
      <c r="A3837" s="2">
        <v>40005571</v>
      </c>
      <c r="B3837" s="2" t="s">
        <v>1023</v>
      </c>
      <c r="C3837" s="5" t="s">
        <v>6748</v>
      </c>
      <c r="D3837" s="21"/>
      <c r="E3837" s="21"/>
      <c r="F3837" s="21" t="s">
        <v>10438</v>
      </c>
      <c r="G3837" s="21"/>
      <c r="H3837" s="54">
        <v>6</v>
      </c>
      <c r="I3837" s="51"/>
      <c r="J3837" s="27"/>
      <c r="K3837" s="27"/>
      <c r="L3837" s="15"/>
      <c r="M3837" s="15"/>
      <c r="N3837" s="4" t="s">
        <v>4150</v>
      </c>
      <c r="O3837" s="4"/>
    </row>
    <row r="3838" spans="1:15" x14ac:dyDescent="0.2">
      <c r="A3838" s="2">
        <v>40006303</v>
      </c>
      <c r="B3838" s="2" t="s">
        <v>1673</v>
      </c>
      <c r="C3838" s="5" t="s">
        <v>7383</v>
      </c>
      <c r="D3838" s="21">
        <v>1</v>
      </c>
      <c r="E3838" s="21"/>
      <c r="F3838" s="21" t="s">
        <v>10438</v>
      </c>
      <c r="G3838" s="21"/>
      <c r="H3838" s="54">
        <v>16</v>
      </c>
      <c r="I3838" s="51"/>
      <c r="J3838" s="27"/>
      <c r="K3838" s="27"/>
      <c r="L3838" s="15"/>
      <c r="M3838" s="15"/>
      <c r="N3838" s="4" t="s">
        <v>4149</v>
      </c>
      <c r="O3838" s="4"/>
    </row>
    <row r="3839" spans="1:15" x14ac:dyDescent="0.2">
      <c r="A3839" s="2">
        <v>40006403</v>
      </c>
      <c r="B3839" s="2" t="s">
        <v>1763</v>
      </c>
      <c r="C3839" s="5" t="s">
        <v>7474</v>
      </c>
      <c r="D3839" s="21">
        <v>4</v>
      </c>
      <c r="E3839" s="21"/>
      <c r="F3839" s="21" t="s">
        <v>10438</v>
      </c>
      <c r="G3839" s="21"/>
      <c r="H3839" s="54">
        <v>1</v>
      </c>
      <c r="I3839" s="51"/>
      <c r="J3839" s="27"/>
      <c r="K3839" s="27"/>
      <c r="L3839" s="15"/>
      <c r="M3839" s="15"/>
      <c r="N3839" s="4" t="s">
        <v>4572</v>
      </c>
      <c r="O3839" s="4"/>
    </row>
    <row r="3840" spans="1:15" x14ac:dyDescent="0.2">
      <c r="A3840" s="2">
        <v>40011137</v>
      </c>
      <c r="B3840" s="2" t="s">
        <v>3707</v>
      </c>
      <c r="C3840" s="5" t="s">
        <v>9317</v>
      </c>
      <c r="D3840" s="21">
        <v>5</v>
      </c>
      <c r="E3840" s="21"/>
      <c r="F3840" s="21" t="s">
        <v>10438</v>
      </c>
      <c r="G3840" s="21"/>
      <c r="H3840" s="54">
        <v>2</v>
      </c>
      <c r="I3840" s="51"/>
      <c r="J3840" s="27"/>
      <c r="K3840" s="27"/>
      <c r="L3840" s="15"/>
      <c r="M3840" s="15"/>
      <c r="N3840" s="4" t="s">
        <v>4424</v>
      </c>
      <c r="O3840" s="4"/>
    </row>
    <row r="3841" spans="1:15" x14ac:dyDescent="0.2">
      <c r="A3841" s="2">
        <v>40010255</v>
      </c>
      <c r="B3841" s="2" t="s">
        <v>3449</v>
      </c>
      <c r="C3841" s="5" t="s">
        <v>9143</v>
      </c>
      <c r="D3841" s="21">
        <v>8</v>
      </c>
      <c r="E3841" s="21"/>
      <c r="F3841" s="21" t="s">
        <v>10438</v>
      </c>
      <c r="G3841" s="21"/>
      <c r="H3841" s="54">
        <v>2</v>
      </c>
      <c r="I3841" s="51"/>
      <c r="J3841" s="27"/>
      <c r="K3841" s="27"/>
      <c r="L3841" s="15"/>
      <c r="M3841" s="15"/>
      <c r="N3841" s="4" t="s">
        <v>5252</v>
      </c>
      <c r="O3841" s="4"/>
    </row>
    <row r="3842" spans="1:15" x14ac:dyDescent="0.2">
      <c r="A3842" s="2">
        <v>40006318</v>
      </c>
      <c r="B3842" s="2" t="s">
        <v>1685</v>
      </c>
      <c r="C3842" s="5" t="s">
        <v>7395</v>
      </c>
      <c r="D3842" s="21">
        <v>1</v>
      </c>
      <c r="E3842" s="21"/>
      <c r="F3842" s="21" t="s">
        <v>10438</v>
      </c>
      <c r="G3842" s="21"/>
      <c r="H3842" s="54">
        <v>1</v>
      </c>
      <c r="I3842" s="51"/>
      <c r="J3842" s="27"/>
      <c r="K3842" s="27"/>
      <c r="L3842" s="15"/>
      <c r="M3842" s="15"/>
      <c r="N3842" s="4" t="s">
        <v>4141</v>
      </c>
      <c r="O3842" s="4"/>
    </row>
    <row r="3843" spans="1:15" x14ac:dyDescent="0.2">
      <c r="A3843" s="2">
        <v>40007379</v>
      </c>
      <c r="B3843" s="2" t="s">
        <v>2607</v>
      </c>
      <c r="C3843" s="5" t="s">
        <v>8305</v>
      </c>
      <c r="D3843" s="21">
        <v>2</v>
      </c>
      <c r="E3843" s="21"/>
      <c r="F3843" s="21" t="s">
        <v>10438</v>
      </c>
      <c r="G3843" s="21"/>
      <c r="H3843" s="54">
        <v>4</v>
      </c>
      <c r="I3843" s="51"/>
      <c r="J3843" s="27"/>
      <c r="K3843" s="27"/>
      <c r="L3843" s="15"/>
      <c r="M3843" s="15">
        <v>4</v>
      </c>
      <c r="N3843" s="4" t="s">
        <v>4935</v>
      </c>
      <c r="O3843" s="4"/>
    </row>
    <row r="3844" spans="1:15" x14ac:dyDescent="0.2">
      <c r="A3844" s="2">
        <v>40008069</v>
      </c>
      <c r="B3844" s="2" t="s">
        <v>3851</v>
      </c>
      <c r="C3844" s="5" t="s">
        <v>8896</v>
      </c>
      <c r="D3844" s="21">
        <v>2</v>
      </c>
      <c r="E3844" s="21"/>
      <c r="F3844" s="21" t="s">
        <v>10438</v>
      </c>
      <c r="G3844" s="21"/>
      <c r="H3844" s="54">
        <v>4</v>
      </c>
      <c r="I3844" s="51"/>
      <c r="J3844" s="27"/>
      <c r="K3844" s="27"/>
      <c r="L3844" s="15"/>
      <c r="M3844" s="15"/>
      <c r="N3844" s="4" t="s">
        <v>3950</v>
      </c>
      <c r="O3844" s="4"/>
    </row>
    <row r="3845" spans="1:15" x14ac:dyDescent="0.2">
      <c r="A3845" s="2">
        <v>40011199</v>
      </c>
      <c r="B3845" s="2" t="s">
        <v>3769</v>
      </c>
      <c r="C3845" s="5" t="s">
        <v>9344</v>
      </c>
      <c r="D3845" s="21"/>
      <c r="E3845" s="21"/>
      <c r="F3845" s="21" t="s">
        <v>10438</v>
      </c>
      <c r="G3845" s="21"/>
      <c r="H3845" s="54">
        <v>10</v>
      </c>
      <c r="I3845" s="51"/>
      <c r="J3845" s="27"/>
      <c r="K3845" s="27"/>
      <c r="L3845" s="15">
        <v>10</v>
      </c>
      <c r="M3845" s="15"/>
      <c r="N3845" s="4" t="s">
        <v>4915</v>
      </c>
      <c r="O3845" s="4"/>
    </row>
    <row r="3846" spans="1:15" x14ac:dyDescent="0.2">
      <c r="A3846" s="2">
        <v>40011200</v>
      </c>
      <c r="B3846" s="2" t="s">
        <v>3770</v>
      </c>
      <c r="C3846" s="5" t="s">
        <v>9345</v>
      </c>
      <c r="D3846" s="21"/>
      <c r="E3846" s="21"/>
      <c r="F3846" s="21" t="s">
        <v>10438</v>
      </c>
      <c r="G3846" s="21"/>
      <c r="H3846" s="54">
        <v>3</v>
      </c>
      <c r="I3846" s="51"/>
      <c r="J3846" s="27"/>
      <c r="K3846" s="27"/>
      <c r="L3846" s="15"/>
      <c r="M3846" s="15"/>
      <c r="N3846" s="4" t="s">
        <v>4504</v>
      </c>
      <c r="O3846" s="4"/>
    </row>
    <row r="3847" spans="1:15" x14ac:dyDescent="0.2">
      <c r="A3847" s="2">
        <v>40010254</v>
      </c>
      <c r="B3847" s="2" t="s">
        <v>3448</v>
      </c>
      <c r="C3847" s="5" t="s">
        <v>9142</v>
      </c>
      <c r="D3847" s="21">
        <v>4</v>
      </c>
      <c r="E3847" s="21"/>
      <c r="F3847" s="21" t="s">
        <v>10438</v>
      </c>
      <c r="G3847" s="21"/>
      <c r="H3847" s="54">
        <v>11</v>
      </c>
      <c r="I3847" s="51"/>
      <c r="J3847" s="27"/>
      <c r="K3847" s="27"/>
      <c r="L3847" s="15"/>
      <c r="M3847" s="15"/>
      <c r="N3847" s="4" t="s">
        <v>5251</v>
      </c>
      <c r="O3847" s="4"/>
    </row>
    <row r="3848" spans="1:15" x14ac:dyDescent="0.2">
      <c r="A3848" s="2">
        <v>40006135</v>
      </c>
      <c r="B3848" s="2" t="s">
        <v>1526</v>
      </c>
      <c r="C3848" s="5" t="s">
        <v>7230</v>
      </c>
      <c r="D3848" s="21">
        <v>3</v>
      </c>
      <c r="E3848" s="21"/>
      <c r="F3848" s="21" t="s">
        <v>10438</v>
      </c>
      <c r="G3848" s="21"/>
      <c r="H3848" s="54">
        <v>1</v>
      </c>
      <c r="I3848" s="51"/>
      <c r="J3848" s="27"/>
      <c r="K3848" s="27"/>
      <c r="L3848" s="15"/>
      <c r="M3848" s="15"/>
      <c r="N3848" s="4" t="s">
        <v>4932</v>
      </c>
      <c r="O3848" s="4"/>
    </row>
    <row r="3849" spans="1:15" x14ac:dyDescent="0.2">
      <c r="A3849" s="2">
        <v>10018604</v>
      </c>
      <c r="B3849" s="2" t="s">
        <v>232</v>
      </c>
      <c r="C3849" s="5" t="s">
        <v>5794</v>
      </c>
      <c r="D3849" s="21">
        <v>10</v>
      </c>
      <c r="E3849" s="21"/>
      <c r="F3849" s="21" t="s">
        <v>10438</v>
      </c>
      <c r="G3849" s="21"/>
      <c r="H3849" s="54">
        <v>454</v>
      </c>
      <c r="I3849" s="51"/>
      <c r="J3849" s="27"/>
      <c r="K3849" s="27"/>
      <c r="L3849" s="15">
        <v>5</v>
      </c>
      <c r="M3849" s="15"/>
      <c r="N3849" s="4">
        <v>68</v>
      </c>
      <c r="O3849" s="4"/>
    </row>
    <row r="3850" spans="1:15" x14ac:dyDescent="0.2">
      <c r="A3850" s="2">
        <v>10018617</v>
      </c>
      <c r="B3850" s="2" t="s">
        <v>3642</v>
      </c>
      <c r="C3850" s="5" t="s">
        <v>5801</v>
      </c>
      <c r="D3850" s="21">
        <v>4</v>
      </c>
      <c r="E3850" s="21"/>
      <c r="F3850" s="21" t="s">
        <v>10438</v>
      </c>
      <c r="G3850" s="21"/>
      <c r="H3850" s="54">
        <v>518</v>
      </c>
      <c r="I3850" s="51"/>
      <c r="J3850" s="27"/>
      <c r="K3850" s="27"/>
      <c r="L3850" s="15">
        <v>9</v>
      </c>
      <c r="M3850" s="15">
        <v>15</v>
      </c>
      <c r="N3850" s="4">
        <v>117</v>
      </c>
      <c r="O3850" s="4"/>
    </row>
    <row r="3851" spans="1:15" x14ac:dyDescent="0.2">
      <c r="A3851" s="2">
        <v>10018611</v>
      </c>
      <c r="B3851" s="2" t="s">
        <v>235</v>
      </c>
      <c r="C3851" s="5" t="s">
        <v>5797</v>
      </c>
      <c r="D3851" s="21">
        <v>16</v>
      </c>
      <c r="E3851" s="21"/>
      <c r="F3851" s="21" t="s">
        <v>10438</v>
      </c>
      <c r="G3851" s="21"/>
      <c r="H3851" s="54">
        <v>503</v>
      </c>
      <c r="I3851" s="51"/>
      <c r="J3851" s="27"/>
      <c r="K3851" s="27"/>
      <c r="L3851" s="15">
        <v>39</v>
      </c>
      <c r="M3851" s="15">
        <v>30</v>
      </c>
      <c r="N3851" s="4">
        <v>96</v>
      </c>
      <c r="O3851" s="4"/>
    </row>
    <row r="3852" spans="1:15" x14ac:dyDescent="0.2">
      <c r="A3852" s="2">
        <v>10018519</v>
      </c>
      <c r="B3852" s="2" t="s">
        <v>199</v>
      </c>
      <c r="C3852" s="5" t="s">
        <v>5755</v>
      </c>
      <c r="D3852" s="21"/>
      <c r="E3852" s="21"/>
      <c r="F3852" s="21" t="s">
        <v>10438</v>
      </c>
      <c r="G3852" s="21"/>
      <c r="H3852" s="54">
        <v>1078</v>
      </c>
      <c r="I3852" s="51"/>
      <c r="J3852" s="27"/>
      <c r="K3852" s="27"/>
      <c r="L3852" s="15"/>
      <c r="M3852" s="15">
        <v>1</v>
      </c>
      <c r="N3852" s="4"/>
      <c r="O3852" s="4"/>
    </row>
    <row r="3853" spans="1:15" x14ac:dyDescent="0.2">
      <c r="A3853" s="2">
        <v>10020042</v>
      </c>
      <c r="B3853" s="2" t="s">
        <v>667</v>
      </c>
      <c r="C3853" s="5" t="s">
        <v>6317</v>
      </c>
      <c r="D3853" s="21">
        <v>5</v>
      </c>
      <c r="E3853" s="21"/>
      <c r="F3853" s="21" t="s">
        <v>10438</v>
      </c>
      <c r="G3853" s="21"/>
      <c r="H3853" s="54">
        <v>883</v>
      </c>
      <c r="I3853" s="51"/>
      <c r="J3853" s="27"/>
      <c r="K3853" s="27"/>
      <c r="L3853" s="15">
        <v>30</v>
      </c>
      <c r="M3853" s="15">
        <v>10</v>
      </c>
      <c r="N3853" s="4">
        <v>95</v>
      </c>
      <c r="O3853" s="4"/>
    </row>
    <row r="3854" spans="1:15" x14ac:dyDescent="0.2">
      <c r="A3854" s="2">
        <v>10018607</v>
      </c>
      <c r="B3854" s="2" t="s">
        <v>234</v>
      </c>
      <c r="C3854" s="5" t="s">
        <v>5796</v>
      </c>
      <c r="D3854" s="21"/>
      <c r="E3854" s="21"/>
      <c r="F3854" s="21" t="s">
        <v>10438</v>
      </c>
      <c r="G3854" s="21"/>
      <c r="H3854" s="54">
        <v>327</v>
      </c>
      <c r="I3854" s="51"/>
      <c r="J3854" s="27"/>
      <c r="K3854" s="27"/>
      <c r="L3854" s="15">
        <v>10</v>
      </c>
      <c r="M3854" s="15">
        <v>20</v>
      </c>
      <c r="N3854" s="4">
        <v>96</v>
      </c>
      <c r="O3854" s="4"/>
    </row>
    <row r="3855" spans="1:15" x14ac:dyDescent="0.2">
      <c r="A3855" s="2">
        <v>10041624</v>
      </c>
      <c r="B3855" s="2" t="s">
        <v>5456</v>
      </c>
      <c r="C3855" s="5" t="s">
        <v>6402</v>
      </c>
      <c r="D3855" s="21">
        <v>22</v>
      </c>
      <c r="E3855" s="21"/>
      <c r="F3855" s="21" t="s">
        <v>10438</v>
      </c>
      <c r="G3855" s="21"/>
      <c r="H3855" s="54">
        <v>395</v>
      </c>
      <c r="I3855" s="51"/>
      <c r="J3855" s="27"/>
      <c r="K3855" s="27"/>
      <c r="L3855" s="15"/>
      <c r="M3855" s="15"/>
      <c r="N3855" s="4">
        <v>116</v>
      </c>
      <c r="O3855" s="4"/>
    </row>
    <row r="3856" spans="1:15" x14ac:dyDescent="0.2">
      <c r="A3856" s="2">
        <v>10019210</v>
      </c>
      <c r="B3856" s="2" t="s">
        <v>461</v>
      </c>
      <c r="C3856" s="5" t="s">
        <v>6071</v>
      </c>
      <c r="D3856" s="21">
        <v>9</v>
      </c>
      <c r="E3856" s="21"/>
      <c r="F3856" s="21" t="s">
        <v>10438</v>
      </c>
      <c r="G3856" s="21"/>
      <c r="H3856" s="54">
        <v>497</v>
      </c>
      <c r="I3856" s="51"/>
      <c r="J3856" s="27"/>
      <c r="K3856" s="27"/>
      <c r="L3856" s="15"/>
      <c r="M3856" s="15"/>
      <c r="N3856" s="4"/>
      <c r="O3856" s="4"/>
    </row>
    <row r="3857" spans="1:15" x14ac:dyDescent="0.2">
      <c r="A3857" s="2">
        <v>10019339</v>
      </c>
      <c r="B3857" s="2" t="s">
        <v>3795</v>
      </c>
      <c r="C3857" s="5" t="s">
        <v>6118</v>
      </c>
      <c r="D3857" s="21">
        <v>4</v>
      </c>
      <c r="E3857" s="21"/>
      <c r="F3857" s="21" t="s">
        <v>10438</v>
      </c>
      <c r="G3857" s="21"/>
      <c r="H3857" s="54">
        <v>780</v>
      </c>
      <c r="I3857" s="51"/>
      <c r="J3857" s="27"/>
      <c r="K3857" s="27"/>
      <c r="L3857" s="15"/>
      <c r="M3857" s="15"/>
      <c r="N3857" s="4"/>
      <c r="O3857" s="4"/>
    </row>
    <row r="3858" spans="1:15" x14ac:dyDescent="0.2">
      <c r="A3858" s="2">
        <v>10020039</v>
      </c>
      <c r="B3858" s="2" t="s">
        <v>664</v>
      </c>
      <c r="C3858" s="5" t="s">
        <v>6315</v>
      </c>
      <c r="D3858" s="21">
        <v>37</v>
      </c>
      <c r="E3858" s="21"/>
      <c r="F3858" s="21" t="s">
        <v>10438</v>
      </c>
      <c r="G3858" s="21"/>
      <c r="H3858" s="54">
        <v>326</v>
      </c>
      <c r="I3858" s="51"/>
      <c r="J3858" s="27"/>
      <c r="K3858" s="27"/>
      <c r="L3858" s="15">
        <v>30</v>
      </c>
      <c r="M3858" s="15">
        <v>30</v>
      </c>
      <c r="N3858" s="4">
        <v>94</v>
      </c>
      <c r="O3858" s="4"/>
    </row>
    <row r="3859" spans="1:15" x14ac:dyDescent="0.2">
      <c r="A3859" s="2">
        <v>10019482</v>
      </c>
      <c r="B3859" s="2" t="s">
        <v>528</v>
      </c>
      <c r="C3859" s="5" t="s">
        <v>6149</v>
      </c>
      <c r="D3859" s="21">
        <v>16</v>
      </c>
      <c r="E3859" s="21"/>
      <c r="F3859" s="21" t="s">
        <v>10438</v>
      </c>
      <c r="G3859" s="21"/>
      <c r="H3859" s="54">
        <v>718</v>
      </c>
      <c r="I3859" s="51"/>
      <c r="J3859" s="27"/>
      <c r="K3859" s="27"/>
      <c r="L3859" s="15"/>
      <c r="M3859" s="15"/>
      <c r="N3859" s="4">
        <v>93</v>
      </c>
      <c r="O3859" s="4"/>
    </row>
    <row r="3860" spans="1:15" x14ac:dyDescent="0.2">
      <c r="A3860" s="2">
        <v>10018650</v>
      </c>
      <c r="B3860" s="2" t="s">
        <v>251</v>
      </c>
      <c r="C3860" s="5" t="s">
        <v>5819</v>
      </c>
      <c r="D3860" s="21">
        <v>20</v>
      </c>
      <c r="E3860" s="21"/>
      <c r="F3860" s="21" t="s">
        <v>10438</v>
      </c>
      <c r="G3860" s="21"/>
      <c r="H3860" s="54">
        <v>380</v>
      </c>
      <c r="I3860" s="51"/>
      <c r="J3860" s="27"/>
      <c r="K3860" s="27"/>
      <c r="L3860" s="15"/>
      <c r="M3860" s="15"/>
      <c r="N3860" s="4">
        <v>116</v>
      </c>
      <c r="O3860" s="4"/>
    </row>
    <row r="3861" spans="1:15" x14ac:dyDescent="0.2">
      <c r="A3861" s="2">
        <v>10019100</v>
      </c>
      <c r="B3861" s="2" t="s">
        <v>429</v>
      </c>
      <c r="C3861" s="5" t="s">
        <v>6031</v>
      </c>
      <c r="D3861" s="21">
        <v>11</v>
      </c>
      <c r="E3861" s="21"/>
      <c r="F3861" s="21" t="s">
        <v>10438</v>
      </c>
      <c r="G3861" s="21"/>
      <c r="H3861" s="54">
        <v>270</v>
      </c>
      <c r="I3861" s="51"/>
      <c r="J3861" s="27"/>
      <c r="K3861" s="27"/>
      <c r="L3861" s="15"/>
      <c r="M3861" s="15"/>
      <c r="N3861" s="4">
        <v>89</v>
      </c>
      <c r="O3861" s="4"/>
    </row>
    <row r="3862" spans="1:15" x14ac:dyDescent="0.2">
      <c r="A3862" s="2">
        <v>10020034</v>
      </c>
      <c r="B3862" s="2" t="s">
        <v>3717</v>
      </c>
      <c r="C3862" s="5" t="s">
        <v>6312</v>
      </c>
      <c r="D3862" s="21">
        <v>5</v>
      </c>
      <c r="E3862" s="21"/>
      <c r="F3862" s="21" t="s">
        <v>10438</v>
      </c>
      <c r="G3862" s="21"/>
      <c r="H3862" s="54">
        <v>1728</v>
      </c>
      <c r="I3862" s="51"/>
      <c r="J3862" s="27"/>
      <c r="K3862" s="27"/>
      <c r="L3862" s="15"/>
      <c r="M3862" s="15"/>
      <c r="N3862" s="4">
        <v>88</v>
      </c>
      <c r="O3862" s="4"/>
    </row>
    <row r="3863" spans="1:15" x14ac:dyDescent="0.2">
      <c r="A3863" s="2">
        <v>10039972</v>
      </c>
      <c r="B3863" s="2" t="s">
        <v>3925</v>
      </c>
      <c r="C3863" s="5" t="s">
        <v>6384</v>
      </c>
      <c r="D3863" s="21">
        <v>13</v>
      </c>
      <c r="E3863" s="21"/>
      <c r="F3863" s="21" t="s">
        <v>10438</v>
      </c>
      <c r="G3863" s="21"/>
      <c r="H3863" s="54">
        <v>507</v>
      </c>
      <c r="I3863" s="51"/>
      <c r="J3863" s="27"/>
      <c r="K3863" s="27"/>
      <c r="L3863" s="15"/>
      <c r="M3863" s="15"/>
      <c r="N3863" s="4"/>
      <c r="O3863" s="4"/>
    </row>
    <row r="3864" spans="1:15" x14ac:dyDescent="0.2">
      <c r="A3864" s="2">
        <v>10020031</v>
      </c>
      <c r="B3864" s="2" t="s">
        <v>661</v>
      </c>
      <c r="C3864" s="5" t="s">
        <v>6310</v>
      </c>
      <c r="D3864" s="21">
        <v>28</v>
      </c>
      <c r="E3864" s="21"/>
      <c r="F3864" s="21" t="s">
        <v>10438</v>
      </c>
      <c r="G3864" s="21"/>
      <c r="H3864" s="54">
        <v>220</v>
      </c>
      <c r="I3864" s="51"/>
      <c r="J3864" s="27"/>
      <c r="K3864" s="27"/>
      <c r="L3864" s="15"/>
      <c r="M3864" s="15">
        <v>4</v>
      </c>
      <c r="N3864" s="4">
        <v>90</v>
      </c>
      <c r="O3864" s="4"/>
    </row>
    <row r="3865" spans="1:15" x14ac:dyDescent="0.2">
      <c r="A3865" s="2">
        <v>10041622</v>
      </c>
      <c r="B3865" s="2" t="s">
        <v>5453</v>
      </c>
      <c r="C3865" s="5" t="s">
        <v>6400</v>
      </c>
      <c r="D3865" s="21"/>
      <c r="E3865" s="21"/>
      <c r="F3865" s="21" t="s">
        <v>10438</v>
      </c>
      <c r="G3865" s="21"/>
      <c r="H3865" s="54">
        <v>530</v>
      </c>
      <c r="I3865" s="51"/>
      <c r="J3865" s="27"/>
      <c r="K3865" s="27"/>
      <c r="L3865" s="15"/>
      <c r="M3865" s="15"/>
      <c r="N3865" s="4">
        <v>92</v>
      </c>
      <c r="O3865" s="4"/>
    </row>
    <row r="3866" spans="1:15" x14ac:dyDescent="0.2">
      <c r="A3866" s="2">
        <v>10041623</v>
      </c>
      <c r="B3866" s="2" t="s">
        <v>5455</v>
      </c>
      <c r="C3866" s="5" t="s">
        <v>6401</v>
      </c>
      <c r="D3866" s="21">
        <v>9</v>
      </c>
      <c r="E3866" s="21"/>
      <c r="F3866" s="21" t="s">
        <v>10438</v>
      </c>
      <c r="G3866" s="21"/>
      <c r="H3866" s="54">
        <v>1070</v>
      </c>
      <c r="I3866" s="51"/>
      <c r="J3866" s="27"/>
      <c r="K3866" s="27"/>
      <c r="L3866" s="15"/>
      <c r="M3866" s="15"/>
      <c r="N3866" s="4">
        <v>96</v>
      </c>
      <c r="O3866" s="4"/>
    </row>
    <row r="3867" spans="1:15" x14ac:dyDescent="0.2">
      <c r="A3867" s="2">
        <v>10018739</v>
      </c>
      <c r="B3867" s="2" t="s">
        <v>3797</v>
      </c>
      <c r="C3867" s="5" t="s">
        <v>5870</v>
      </c>
      <c r="D3867" s="21">
        <v>27</v>
      </c>
      <c r="E3867" s="21"/>
      <c r="F3867" s="21" t="s">
        <v>10438</v>
      </c>
      <c r="G3867" s="21"/>
      <c r="H3867" s="54">
        <v>720</v>
      </c>
      <c r="I3867" s="51"/>
      <c r="J3867" s="27"/>
      <c r="K3867" s="27"/>
      <c r="L3867" s="15">
        <v>5</v>
      </c>
      <c r="M3867" s="15">
        <v>10</v>
      </c>
      <c r="N3867" s="4">
        <v>93</v>
      </c>
      <c r="O3867" s="4"/>
    </row>
    <row r="3868" spans="1:15" x14ac:dyDescent="0.2">
      <c r="A3868" s="2">
        <v>10019271</v>
      </c>
      <c r="B3868" s="2" t="s">
        <v>481</v>
      </c>
      <c r="C3868" s="5" t="s">
        <v>6094</v>
      </c>
      <c r="D3868" s="21">
        <v>79</v>
      </c>
      <c r="E3868" s="21"/>
      <c r="F3868" s="21" t="s">
        <v>10438</v>
      </c>
      <c r="G3868" s="21"/>
      <c r="H3868" s="54">
        <v>306</v>
      </c>
      <c r="I3868" s="51"/>
      <c r="J3868" s="27"/>
      <c r="K3868" s="27"/>
      <c r="L3868" s="15"/>
      <c r="M3868" s="15">
        <v>9</v>
      </c>
      <c r="N3868" s="4">
        <v>94</v>
      </c>
      <c r="O3868" s="4"/>
    </row>
    <row r="3869" spans="1:15" x14ac:dyDescent="0.2">
      <c r="A3869" s="2">
        <v>10019137</v>
      </c>
      <c r="B3869" s="2" t="s">
        <v>440</v>
      </c>
      <c r="C3869" s="5" t="s">
        <v>6045</v>
      </c>
      <c r="D3869" s="21">
        <v>13</v>
      </c>
      <c r="E3869" s="21"/>
      <c r="F3869" s="21" t="s">
        <v>10438</v>
      </c>
      <c r="G3869" s="21"/>
      <c r="H3869" s="54">
        <v>135</v>
      </c>
      <c r="I3869" s="51"/>
      <c r="J3869" s="27"/>
      <c r="K3869" s="27"/>
      <c r="L3869" s="15"/>
      <c r="M3869" s="15">
        <v>30</v>
      </c>
      <c r="N3869" s="4">
        <v>92</v>
      </c>
      <c r="O3869" s="4"/>
    </row>
    <row r="3870" spans="1:15" x14ac:dyDescent="0.2">
      <c r="A3870" s="2">
        <v>10019212</v>
      </c>
      <c r="B3870" s="2" t="s">
        <v>462</v>
      </c>
      <c r="C3870" s="5" t="s">
        <v>6072</v>
      </c>
      <c r="D3870" s="21">
        <v>43</v>
      </c>
      <c r="E3870" s="21"/>
      <c r="F3870" s="21" t="s">
        <v>10438</v>
      </c>
      <c r="G3870" s="21"/>
      <c r="H3870" s="54">
        <v>265</v>
      </c>
      <c r="I3870" s="51"/>
      <c r="J3870" s="27"/>
      <c r="K3870" s="27"/>
      <c r="L3870" s="15"/>
      <c r="M3870" s="15">
        <v>10</v>
      </c>
      <c r="N3870" s="4">
        <v>91</v>
      </c>
      <c r="O3870" s="4"/>
    </row>
    <row r="3871" spans="1:15" x14ac:dyDescent="0.2">
      <c r="A3871" s="2">
        <v>10020041</v>
      </c>
      <c r="B3871" s="7" t="s">
        <v>666</v>
      </c>
      <c r="C3871" s="5" t="s">
        <v>9434</v>
      </c>
      <c r="D3871" s="21"/>
      <c r="E3871" s="21"/>
      <c r="F3871" s="21" t="s">
        <v>10438</v>
      </c>
      <c r="G3871" s="21"/>
      <c r="H3871" s="54">
        <v>331</v>
      </c>
      <c r="I3871" s="51"/>
      <c r="J3871" s="27"/>
      <c r="K3871" s="27"/>
      <c r="L3871" s="15"/>
      <c r="M3871" s="15">
        <v>50</v>
      </c>
      <c r="N3871" s="4">
        <v>90</v>
      </c>
      <c r="O3871" s="4"/>
    </row>
    <row r="3872" spans="1:15" x14ac:dyDescent="0.2">
      <c r="A3872" s="2">
        <v>10019527</v>
      </c>
      <c r="B3872" s="2" t="s">
        <v>3636</v>
      </c>
      <c r="C3872" s="5" t="s">
        <v>6159</v>
      </c>
      <c r="D3872" s="21"/>
      <c r="E3872" s="21"/>
      <c r="F3872" s="21" t="s">
        <v>10438</v>
      </c>
      <c r="G3872" s="21"/>
      <c r="H3872" s="54">
        <v>281</v>
      </c>
      <c r="I3872" s="51"/>
      <c r="J3872" s="27"/>
      <c r="K3872" s="27"/>
      <c r="L3872" s="15">
        <v>17</v>
      </c>
      <c r="M3872" s="15"/>
      <c r="N3872" s="4">
        <v>94</v>
      </c>
      <c r="O3872" s="4"/>
    </row>
    <row r="3873" spans="1:15" x14ac:dyDescent="0.2">
      <c r="A3873" s="2">
        <v>10019301</v>
      </c>
      <c r="B3873" s="2" t="s">
        <v>3789</v>
      </c>
      <c r="C3873" s="5" t="s">
        <v>6105</v>
      </c>
      <c r="D3873" s="21">
        <v>4</v>
      </c>
      <c r="E3873" s="21"/>
      <c r="F3873" s="21" t="s">
        <v>10438</v>
      </c>
      <c r="G3873" s="21"/>
      <c r="H3873" s="54">
        <v>140</v>
      </c>
      <c r="I3873" s="51"/>
      <c r="J3873" s="27"/>
      <c r="K3873" s="27"/>
      <c r="L3873" s="15"/>
      <c r="M3873" s="15"/>
      <c r="N3873" s="4"/>
      <c r="O3873" s="4"/>
    </row>
    <row r="3874" spans="1:15" x14ac:dyDescent="0.2">
      <c r="A3874" s="2">
        <v>10020026</v>
      </c>
      <c r="B3874" s="2" t="s">
        <v>659</v>
      </c>
      <c r="C3874" s="5" t="s">
        <v>6307</v>
      </c>
      <c r="D3874" s="21">
        <v>29</v>
      </c>
      <c r="E3874" s="21"/>
      <c r="F3874" s="21" t="s">
        <v>10438</v>
      </c>
      <c r="G3874" s="21"/>
      <c r="H3874" s="54">
        <v>454</v>
      </c>
      <c r="I3874" s="51"/>
      <c r="J3874" s="27"/>
      <c r="K3874" s="27"/>
      <c r="L3874" s="15"/>
      <c r="M3874" s="15">
        <v>24</v>
      </c>
      <c r="N3874" s="4">
        <v>94</v>
      </c>
      <c r="O3874" s="4"/>
    </row>
    <row r="3875" spans="1:15" x14ac:dyDescent="0.2">
      <c r="A3875" s="2">
        <v>10019966</v>
      </c>
      <c r="B3875" s="2" t="s">
        <v>645</v>
      </c>
      <c r="C3875" s="5" t="s">
        <v>6287</v>
      </c>
      <c r="D3875" s="21">
        <v>23</v>
      </c>
      <c r="E3875" s="21"/>
      <c r="F3875" s="21" t="s">
        <v>10438</v>
      </c>
      <c r="G3875" s="21"/>
      <c r="H3875" s="54">
        <v>378</v>
      </c>
      <c r="I3875" s="51"/>
      <c r="J3875" s="27"/>
      <c r="K3875" s="27"/>
      <c r="L3875" s="15">
        <v>2</v>
      </c>
      <c r="M3875" s="15"/>
      <c r="N3875" s="4">
        <v>90</v>
      </c>
      <c r="O3875" s="4"/>
    </row>
    <row r="3876" spans="1:15" x14ac:dyDescent="0.2">
      <c r="A3876" s="2">
        <v>10019149</v>
      </c>
      <c r="B3876" s="2" t="s">
        <v>445</v>
      </c>
      <c r="C3876" s="5" t="s">
        <v>6051</v>
      </c>
      <c r="D3876" s="21">
        <v>9</v>
      </c>
      <c r="E3876" s="21"/>
      <c r="F3876" s="21" t="s">
        <v>10438</v>
      </c>
      <c r="G3876" s="21"/>
      <c r="H3876" s="54">
        <v>606</v>
      </c>
      <c r="I3876" s="51"/>
      <c r="J3876" s="27"/>
      <c r="K3876" s="27"/>
      <c r="L3876" s="15">
        <v>10</v>
      </c>
      <c r="M3876" s="15">
        <v>20</v>
      </c>
      <c r="N3876" s="4">
        <v>95</v>
      </c>
      <c r="O3876" s="4"/>
    </row>
    <row r="3877" spans="1:15" x14ac:dyDescent="0.2">
      <c r="A3877" s="2">
        <v>10018069</v>
      </c>
      <c r="B3877" s="2" t="s">
        <v>68</v>
      </c>
      <c r="C3877" s="5" t="s">
        <v>5601</v>
      </c>
      <c r="D3877" s="21">
        <v>1</v>
      </c>
      <c r="E3877" s="21"/>
      <c r="F3877" s="21" t="s">
        <v>10438</v>
      </c>
      <c r="G3877" s="21"/>
      <c r="H3877" s="54">
        <v>1430</v>
      </c>
      <c r="I3877" s="51"/>
      <c r="J3877" s="27"/>
      <c r="K3877" s="27"/>
      <c r="L3877" s="15"/>
      <c r="M3877" s="15"/>
      <c r="N3877" s="4">
        <v>98</v>
      </c>
      <c r="O3877" s="4"/>
    </row>
    <row r="3878" spans="1:15" x14ac:dyDescent="0.2">
      <c r="A3878" s="2">
        <v>10020025</v>
      </c>
      <c r="B3878" s="2" t="s">
        <v>658</v>
      </c>
      <c r="C3878" s="5" t="s">
        <v>6306</v>
      </c>
      <c r="D3878" s="21">
        <v>30</v>
      </c>
      <c r="E3878" s="21"/>
      <c r="F3878" s="21" t="s">
        <v>10438</v>
      </c>
      <c r="G3878" s="21"/>
      <c r="H3878" s="54">
        <v>825</v>
      </c>
      <c r="I3878" s="51"/>
      <c r="J3878" s="27"/>
      <c r="K3878" s="27"/>
      <c r="L3878" s="15">
        <v>41</v>
      </c>
      <c r="M3878" s="15">
        <v>20</v>
      </c>
      <c r="N3878" s="4">
        <v>93</v>
      </c>
      <c r="O3878" s="4"/>
    </row>
    <row r="3879" spans="1:15" x14ac:dyDescent="0.2">
      <c r="A3879" s="2">
        <v>10020035</v>
      </c>
      <c r="B3879" s="2" t="s">
        <v>662</v>
      </c>
      <c r="C3879" s="5" t="s">
        <v>6313</v>
      </c>
      <c r="D3879" s="21">
        <v>12</v>
      </c>
      <c r="E3879" s="21"/>
      <c r="F3879" s="21" t="s">
        <v>10438</v>
      </c>
      <c r="G3879" s="21"/>
      <c r="H3879" s="54">
        <v>1076</v>
      </c>
      <c r="I3879" s="51"/>
      <c r="J3879" s="27"/>
      <c r="K3879" s="27"/>
      <c r="L3879" s="15">
        <v>20</v>
      </c>
      <c r="M3879" s="15">
        <v>20</v>
      </c>
      <c r="N3879" s="4">
        <v>95</v>
      </c>
      <c r="O3879" s="4"/>
    </row>
    <row r="3880" spans="1:15" x14ac:dyDescent="0.2">
      <c r="A3880" s="2">
        <v>10020028</v>
      </c>
      <c r="B3880" s="2" t="s">
        <v>3635</v>
      </c>
      <c r="C3880" s="5" t="s">
        <v>6309</v>
      </c>
      <c r="D3880" s="21">
        <v>6</v>
      </c>
      <c r="E3880" s="21"/>
      <c r="F3880" s="21" t="s">
        <v>10438</v>
      </c>
      <c r="G3880" s="21"/>
      <c r="H3880" s="54">
        <v>924</v>
      </c>
      <c r="I3880" s="51"/>
      <c r="J3880" s="27"/>
      <c r="K3880" s="27"/>
      <c r="L3880" s="15">
        <v>20</v>
      </c>
      <c r="M3880" s="15"/>
      <c r="N3880" s="4">
        <v>95</v>
      </c>
      <c r="O3880" s="4"/>
    </row>
    <row r="3881" spans="1:15" x14ac:dyDescent="0.2">
      <c r="A3881" s="2">
        <v>10020033</v>
      </c>
      <c r="B3881" s="2" t="s">
        <v>3718</v>
      </c>
      <c r="C3881" s="5" t="s">
        <v>6311</v>
      </c>
      <c r="D3881" s="21">
        <v>1</v>
      </c>
      <c r="E3881" s="21"/>
      <c r="F3881" s="21" t="s">
        <v>10438</v>
      </c>
      <c r="G3881" s="21"/>
      <c r="H3881" s="54">
        <v>1776</v>
      </c>
      <c r="I3881" s="51"/>
      <c r="J3881" s="27"/>
      <c r="K3881" s="27"/>
      <c r="L3881" s="15"/>
      <c r="M3881" s="15"/>
      <c r="N3881" s="4">
        <v>90</v>
      </c>
      <c r="O3881" s="4"/>
    </row>
    <row r="3882" spans="1:15" x14ac:dyDescent="0.2">
      <c r="A3882" s="2">
        <v>10020037</v>
      </c>
      <c r="B3882" s="2" t="s">
        <v>663</v>
      </c>
      <c r="C3882" s="5" t="s">
        <v>6314</v>
      </c>
      <c r="D3882" s="21">
        <v>12</v>
      </c>
      <c r="E3882" s="21"/>
      <c r="F3882" s="21" t="s">
        <v>10438</v>
      </c>
      <c r="G3882" s="21"/>
      <c r="H3882" s="54">
        <v>1188</v>
      </c>
      <c r="I3882" s="51"/>
      <c r="J3882" s="27"/>
      <c r="K3882" s="27"/>
      <c r="L3882" s="15"/>
      <c r="M3882" s="15">
        <v>5</v>
      </c>
      <c r="N3882" s="4">
        <v>98</v>
      </c>
      <c r="O3882" s="4"/>
    </row>
    <row r="3883" spans="1:15" x14ac:dyDescent="0.2">
      <c r="A3883" s="2">
        <v>10018044</v>
      </c>
      <c r="B3883" s="2" t="s">
        <v>62</v>
      </c>
      <c r="C3883" s="5" t="s">
        <v>5594</v>
      </c>
      <c r="D3883" s="21">
        <v>12</v>
      </c>
      <c r="E3883" s="21"/>
      <c r="F3883" s="21" t="s">
        <v>10438</v>
      </c>
      <c r="G3883" s="21"/>
      <c r="H3883" s="54">
        <v>1264</v>
      </c>
      <c r="I3883" s="51"/>
      <c r="J3883" s="27"/>
      <c r="K3883" s="27"/>
      <c r="L3883" s="15">
        <v>3</v>
      </c>
      <c r="M3883" s="15">
        <v>3</v>
      </c>
      <c r="N3883" s="4">
        <v>98</v>
      </c>
      <c r="O3883" s="4"/>
    </row>
    <row r="3884" spans="1:15" x14ac:dyDescent="0.2">
      <c r="A3884" s="2">
        <v>10020040</v>
      </c>
      <c r="B3884" s="2" t="s">
        <v>665</v>
      </c>
      <c r="C3884" s="5" t="s">
        <v>6316</v>
      </c>
      <c r="D3884" s="21">
        <v>14</v>
      </c>
      <c r="E3884" s="21"/>
      <c r="F3884" s="21" t="s">
        <v>10438</v>
      </c>
      <c r="G3884" s="21"/>
      <c r="H3884" s="54">
        <v>1750</v>
      </c>
      <c r="I3884" s="51"/>
      <c r="J3884" s="27"/>
      <c r="K3884" s="27"/>
      <c r="L3884" s="15"/>
      <c r="M3884" s="15"/>
      <c r="N3884" s="4">
        <v>92</v>
      </c>
      <c r="O3884" s="4"/>
    </row>
    <row r="3885" spans="1:15" x14ac:dyDescent="0.2">
      <c r="A3885" s="2">
        <v>10020027</v>
      </c>
      <c r="B3885" s="2" t="s">
        <v>660</v>
      </c>
      <c r="C3885" s="5" t="s">
        <v>6308</v>
      </c>
      <c r="D3885" s="21">
        <v>61</v>
      </c>
      <c r="E3885" s="21"/>
      <c r="F3885" s="21" t="s">
        <v>10438</v>
      </c>
      <c r="G3885" s="21"/>
      <c r="H3885" s="54">
        <v>357</v>
      </c>
      <c r="I3885" s="51"/>
      <c r="J3885" s="27"/>
      <c r="K3885" s="27"/>
      <c r="L3885" s="15"/>
      <c r="M3885" s="15">
        <v>30</v>
      </c>
      <c r="N3885" s="4">
        <v>97</v>
      </c>
      <c r="O3885" s="4"/>
    </row>
    <row r="3886" spans="1:15" x14ac:dyDescent="0.2">
      <c r="A3886" s="2">
        <v>40006721</v>
      </c>
      <c r="B3886" s="2" t="s">
        <v>2029</v>
      </c>
      <c r="C3886" s="5" t="s">
        <v>7739</v>
      </c>
      <c r="D3886" s="21">
        <v>8</v>
      </c>
      <c r="E3886" s="21"/>
      <c r="F3886" s="21" t="s">
        <v>10438</v>
      </c>
      <c r="G3886" s="21"/>
      <c r="H3886" s="54">
        <v>17</v>
      </c>
      <c r="I3886" s="51"/>
      <c r="J3886" s="27"/>
      <c r="K3886" s="27"/>
      <c r="L3886" s="15"/>
      <c r="M3886" s="15"/>
      <c r="N3886" s="4" t="s">
        <v>4658</v>
      </c>
      <c r="O3886" s="4"/>
    </row>
    <row r="3887" spans="1:15" x14ac:dyDescent="0.2">
      <c r="A3887" s="2">
        <v>40005804</v>
      </c>
      <c r="B3887" s="2" t="s">
        <v>1226</v>
      </c>
      <c r="C3887" s="5" t="s">
        <v>6939</v>
      </c>
      <c r="D3887" s="21">
        <v>4</v>
      </c>
      <c r="E3887" s="21"/>
      <c r="F3887" s="21" t="s">
        <v>10438</v>
      </c>
      <c r="G3887" s="21"/>
      <c r="H3887" s="54">
        <v>12</v>
      </c>
      <c r="I3887" s="51"/>
      <c r="J3887" s="27"/>
      <c r="K3887" s="27"/>
      <c r="L3887" s="15"/>
      <c r="M3887" s="15"/>
      <c r="N3887" s="4" t="s">
        <v>4271</v>
      </c>
      <c r="O3887" s="4"/>
    </row>
    <row r="3888" spans="1:15" x14ac:dyDescent="0.2">
      <c r="A3888" s="2">
        <v>40005691</v>
      </c>
      <c r="B3888" s="2" t="s">
        <v>1124</v>
      </c>
      <c r="C3888" s="5" t="s">
        <v>6841</v>
      </c>
      <c r="D3888" s="21">
        <v>5</v>
      </c>
      <c r="E3888" s="21"/>
      <c r="F3888" s="21" t="s">
        <v>10438</v>
      </c>
      <c r="G3888" s="21"/>
      <c r="H3888" s="54">
        <v>14</v>
      </c>
      <c r="I3888" s="51"/>
      <c r="J3888" s="27"/>
      <c r="K3888" s="27"/>
      <c r="L3888" s="15"/>
      <c r="M3888" s="15"/>
      <c r="N3888" s="4" t="s">
        <v>4218</v>
      </c>
      <c r="O3888" s="4"/>
    </row>
    <row r="3889" spans="1:15" x14ac:dyDescent="0.2">
      <c r="A3889" s="2">
        <v>40006665</v>
      </c>
      <c r="B3889" s="2" t="s">
        <v>1990</v>
      </c>
      <c r="C3889" s="5" t="s">
        <v>7699</v>
      </c>
      <c r="D3889" s="21">
        <v>2</v>
      </c>
      <c r="E3889" s="21"/>
      <c r="F3889" s="21" t="s">
        <v>10438</v>
      </c>
      <c r="G3889" s="21"/>
      <c r="H3889" s="54">
        <v>12</v>
      </c>
      <c r="I3889" s="51"/>
      <c r="J3889" s="27"/>
      <c r="K3889" s="27"/>
      <c r="L3889" s="15">
        <v>10</v>
      </c>
      <c r="M3889" s="15">
        <v>5</v>
      </c>
      <c r="N3889" s="4" t="s">
        <v>4637</v>
      </c>
      <c r="O3889" s="4"/>
    </row>
    <row r="3890" spans="1:15" x14ac:dyDescent="0.2">
      <c r="A3890" s="2">
        <v>40010985</v>
      </c>
      <c r="B3890" s="2" t="s">
        <v>3592</v>
      </c>
      <c r="C3890" s="5" t="s">
        <v>9315</v>
      </c>
      <c r="D3890" s="21"/>
      <c r="E3890" s="21"/>
      <c r="F3890" s="21" t="s">
        <v>10438</v>
      </c>
      <c r="G3890" s="21"/>
      <c r="H3890" s="54">
        <v>8</v>
      </c>
      <c r="I3890" s="51"/>
      <c r="J3890" s="27"/>
      <c r="K3890" s="27"/>
      <c r="L3890" s="15"/>
      <c r="M3890" s="15">
        <v>6</v>
      </c>
      <c r="N3890" s="4" t="s">
        <v>5282</v>
      </c>
      <c r="O3890" s="4"/>
    </row>
    <row r="3891" spans="1:15" x14ac:dyDescent="0.2">
      <c r="A3891" s="2">
        <v>40006204</v>
      </c>
      <c r="B3891" s="2" t="s">
        <v>1587</v>
      </c>
      <c r="C3891" s="5" t="s">
        <v>7294</v>
      </c>
      <c r="D3891" s="21"/>
      <c r="E3891" s="21"/>
      <c r="F3891" s="21" t="s">
        <v>10438</v>
      </c>
      <c r="G3891" s="21"/>
      <c r="H3891" s="54">
        <v>19</v>
      </c>
      <c r="I3891" s="51"/>
      <c r="J3891" s="27"/>
      <c r="K3891" s="27"/>
      <c r="L3891" s="15"/>
      <c r="M3891" s="15"/>
      <c r="N3891" s="4" t="s">
        <v>4389</v>
      </c>
      <c r="O3891" s="4"/>
    </row>
    <row r="3892" spans="1:15" x14ac:dyDescent="0.2">
      <c r="A3892" s="2">
        <v>40005608</v>
      </c>
      <c r="B3892" s="2" t="s">
        <v>1052</v>
      </c>
      <c r="C3892" s="5" t="s">
        <v>6780</v>
      </c>
      <c r="D3892" s="21">
        <v>15</v>
      </c>
      <c r="E3892" s="21"/>
      <c r="F3892" s="21" t="s">
        <v>10438</v>
      </c>
      <c r="G3892" s="21"/>
      <c r="H3892" s="54">
        <v>2</v>
      </c>
      <c r="I3892" s="51"/>
      <c r="J3892" s="27"/>
      <c r="K3892" s="27"/>
      <c r="L3892" s="15"/>
      <c r="M3892" s="15"/>
      <c r="N3892" s="4" t="s">
        <v>4173</v>
      </c>
      <c r="O3892" s="4"/>
    </row>
    <row r="3893" spans="1:15" x14ac:dyDescent="0.2">
      <c r="A3893" s="2">
        <v>40007005</v>
      </c>
      <c r="B3893" s="2" t="s">
        <v>3907</v>
      </c>
      <c r="C3893" s="5" t="s">
        <v>7996</v>
      </c>
      <c r="D3893" s="21">
        <v>3</v>
      </c>
      <c r="E3893" s="21"/>
      <c r="F3893" s="21" t="s">
        <v>10438</v>
      </c>
      <c r="G3893" s="21"/>
      <c r="H3893" s="54">
        <v>5</v>
      </c>
      <c r="I3893" s="51"/>
      <c r="J3893" s="27"/>
      <c r="K3893" s="27"/>
      <c r="L3893" s="15"/>
      <c r="M3893" s="15"/>
      <c r="N3893" s="4" t="s">
        <v>4424</v>
      </c>
      <c r="O3893" s="4"/>
    </row>
    <row r="3894" spans="1:15" x14ac:dyDescent="0.2">
      <c r="A3894" s="2">
        <v>40007002</v>
      </c>
      <c r="B3894" s="2" t="s">
        <v>2288</v>
      </c>
      <c r="C3894" s="5" t="s">
        <v>7995</v>
      </c>
      <c r="D3894" s="21">
        <v>4</v>
      </c>
      <c r="E3894" s="21"/>
      <c r="F3894" s="21" t="s">
        <v>10438</v>
      </c>
      <c r="G3894" s="21"/>
      <c r="H3894" s="54">
        <v>67</v>
      </c>
      <c r="I3894" s="51"/>
      <c r="J3894" s="27"/>
      <c r="K3894" s="27"/>
      <c r="L3894" s="15"/>
      <c r="M3894" s="15"/>
      <c r="N3894" s="4" t="s">
        <v>4785</v>
      </c>
      <c r="O3894" s="4"/>
    </row>
    <row r="3895" spans="1:15" x14ac:dyDescent="0.2">
      <c r="A3895" s="2">
        <v>40005537</v>
      </c>
      <c r="B3895" s="2" t="s">
        <v>999</v>
      </c>
      <c r="C3895" s="5" t="s">
        <v>6722</v>
      </c>
      <c r="D3895" s="21">
        <v>7</v>
      </c>
      <c r="E3895" s="21"/>
      <c r="F3895" s="21" t="s">
        <v>10438</v>
      </c>
      <c r="G3895" s="21"/>
      <c r="H3895" s="54">
        <v>17</v>
      </c>
      <c r="I3895" s="51"/>
      <c r="J3895" s="27"/>
      <c r="K3895" s="27"/>
      <c r="L3895" s="15"/>
      <c r="M3895" s="15"/>
      <c r="N3895" s="4" t="s">
        <v>4125</v>
      </c>
      <c r="O3895" s="4"/>
    </row>
    <row r="3896" spans="1:15" x14ac:dyDescent="0.2">
      <c r="A3896" s="2">
        <v>40006369</v>
      </c>
      <c r="B3896" s="2" t="s">
        <v>1730</v>
      </c>
      <c r="C3896" s="5" t="s">
        <v>7441</v>
      </c>
      <c r="D3896" s="21"/>
      <c r="E3896" s="21"/>
      <c r="F3896" s="21" t="s">
        <v>10438</v>
      </c>
      <c r="G3896" s="21"/>
      <c r="H3896" s="54">
        <v>49</v>
      </c>
      <c r="I3896" s="51"/>
      <c r="J3896" s="27"/>
      <c r="K3896" s="27"/>
      <c r="L3896" s="15"/>
      <c r="M3896" s="15"/>
      <c r="N3896" s="4" t="s">
        <v>4552</v>
      </c>
      <c r="O3896" s="4"/>
    </row>
    <row r="3897" spans="1:15" x14ac:dyDescent="0.2">
      <c r="A3897" s="2">
        <v>40005543</v>
      </c>
      <c r="B3897" s="2" t="s">
        <v>1003</v>
      </c>
      <c r="C3897" s="5" t="s">
        <v>6727</v>
      </c>
      <c r="D3897" s="21">
        <v>1</v>
      </c>
      <c r="E3897" s="21"/>
      <c r="F3897" s="21" t="s">
        <v>10438</v>
      </c>
      <c r="G3897" s="21"/>
      <c r="H3897" s="54">
        <v>19</v>
      </c>
      <c r="I3897" s="51"/>
      <c r="J3897" s="27"/>
      <c r="K3897" s="27"/>
      <c r="L3897" s="15"/>
      <c r="M3897" s="15"/>
      <c r="N3897" s="4" t="s">
        <v>4455</v>
      </c>
      <c r="O3897" s="4"/>
    </row>
    <row r="3898" spans="1:15" x14ac:dyDescent="0.2">
      <c r="A3898" s="2">
        <v>40007870</v>
      </c>
      <c r="B3898" s="2" t="s">
        <v>3026</v>
      </c>
      <c r="C3898" s="5">
        <v>130.43100000000001</v>
      </c>
      <c r="D3898" s="21">
        <v>3</v>
      </c>
      <c r="E3898" s="21"/>
      <c r="F3898" s="21" t="s">
        <v>10438</v>
      </c>
      <c r="G3898" s="21"/>
      <c r="H3898" s="54">
        <v>210</v>
      </c>
      <c r="I3898" s="51"/>
      <c r="J3898" s="27"/>
      <c r="K3898" s="27"/>
      <c r="L3898" s="15"/>
      <c r="M3898" s="15"/>
      <c r="N3898" s="4" t="s">
        <v>4393</v>
      </c>
      <c r="O3898" s="4"/>
    </row>
    <row r="3899" spans="1:15" x14ac:dyDescent="0.2">
      <c r="A3899" s="2">
        <v>40007978</v>
      </c>
      <c r="B3899" s="2" t="s">
        <v>3124</v>
      </c>
      <c r="C3899" s="5" t="s">
        <v>8820</v>
      </c>
      <c r="D3899" s="21">
        <v>6</v>
      </c>
      <c r="E3899" s="21"/>
      <c r="F3899" s="21" t="s">
        <v>10438</v>
      </c>
      <c r="G3899" s="21"/>
      <c r="H3899" s="54">
        <v>8</v>
      </c>
      <c r="I3899" s="51"/>
      <c r="J3899" s="27"/>
      <c r="K3899" s="27"/>
      <c r="L3899" s="15"/>
      <c r="M3899" s="15"/>
      <c r="N3899" s="4" t="s">
        <v>5153</v>
      </c>
      <c r="O3899" s="4"/>
    </row>
    <row r="3900" spans="1:15" x14ac:dyDescent="0.2">
      <c r="A3900" s="2">
        <v>40008141</v>
      </c>
      <c r="B3900" s="2" t="s">
        <v>3264</v>
      </c>
      <c r="C3900" s="5" t="s">
        <v>8960</v>
      </c>
      <c r="D3900" s="21">
        <v>9</v>
      </c>
      <c r="E3900" s="21"/>
      <c r="F3900" s="21" t="s">
        <v>10438</v>
      </c>
      <c r="G3900" s="21"/>
      <c r="H3900" s="54">
        <v>13</v>
      </c>
      <c r="I3900" s="51"/>
      <c r="J3900" s="27"/>
      <c r="K3900" s="27"/>
      <c r="L3900" s="15"/>
      <c r="M3900" s="15"/>
      <c r="N3900" s="4" t="s">
        <v>5200</v>
      </c>
      <c r="O3900" s="4"/>
    </row>
    <row r="3901" spans="1:15" x14ac:dyDescent="0.2">
      <c r="A3901" s="2">
        <v>40007980</v>
      </c>
      <c r="B3901" s="2" t="s">
        <v>3125</v>
      </c>
      <c r="C3901" s="5" t="s">
        <v>8822</v>
      </c>
      <c r="D3901" s="21">
        <v>2</v>
      </c>
      <c r="E3901" s="21"/>
      <c r="F3901" s="21" t="s">
        <v>10438</v>
      </c>
      <c r="G3901" s="21"/>
      <c r="H3901" s="54">
        <v>32</v>
      </c>
      <c r="I3901" s="51"/>
      <c r="J3901" s="27"/>
      <c r="K3901" s="27"/>
      <c r="L3901" s="15"/>
      <c r="M3901" s="15"/>
      <c r="N3901" s="4" t="s">
        <v>4394</v>
      </c>
      <c r="O3901" s="4"/>
    </row>
    <row r="3902" spans="1:15" x14ac:dyDescent="0.2">
      <c r="A3902" s="2">
        <v>40007893</v>
      </c>
      <c r="B3902" s="2" t="s">
        <v>3048</v>
      </c>
      <c r="C3902" s="5" t="s">
        <v>8740</v>
      </c>
      <c r="D3902" s="21">
        <v>10</v>
      </c>
      <c r="E3902" s="21"/>
      <c r="F3902" s="21" t="s">
        <v>10438</v>
      </c>
      <c r="G3902" s="21"/>
      <c r="H3902" s="54">
        <v>14</v>
      </c>
      <c r="I3902" s="51"/>
      <c r="J3902" s="27"/>
      <c r="K3902" s="27"/>
      <c r="L3902" s="15"/>
      <c r="M3902" s="15"/>
      <c r="N3902" s="4" t="s">
        <v>5119</v>
      </c>
      <c r="O3902" s="4"/>
    </row>
    <row r="3903" spans="1:15" x14ac:dyDescent="0.2">
      <c r="A3903" s="2">
        <v>40006592</v>
      </c>
      <c r="B3903" s="2" t="s">
        <v>1929</v>
      </c>
      <c r="C3903" s="5" t="s">
        <v>7637</v>
      </c>
      <c r="D3903" s="21">
        <v>2</v>
      </c>
      <c r="E3903" s="21"/>
      <c r="F3903" s="21" t="s">
        <v>10438</v>
      </c>
      <c r="G3903" s="21"/>
      <c r="H3903" s="54">
        <v>38</v>
      </c>
      <c r="I3903" s="51"/>
      <c r="J3903" s="27"/>
      <c r="K3903" s="27"/>
      <c r="L3903" s="15"/>
      <c r="M3903" s="15"/>
      <c r="N3903" s="4"/>
      <c r="O3903" s="4" t="s">
        <v>10036</v>
      </c>
    </row>
    <row r="3904" spans="1:15" x14ac:dyDescent="0.2">
      <c r="A3904" s="2">
        <v>40010519</v>
      </c>
      <c r="B3904" s="2" t="s">
        <v>3547</v>
      </c>
      <c r="C3904" s="5" t="s">
        <v>9252</v>
      </c>
      <c r="D3904" s="21">
        <v>1</v>
      </c>
      <c r="E3904" s="21"/>
      <c r="F3904" s="21" t="s">
        <v>10438</v>
      </c>
      <c r="G3904" s="21"/>
      <c r="H3904" s="54">
        <v>11</v>
      </c>
      <c r="I3904" s="51"/>
      <c r="J3904" s="27"/>
      <c r="K3904" s="27"/>
      <c r="L3904" s="15"/>
      <c r="M3904" s="15"/>
      <c r="N3904" s="4" t="s">
        <v>4148</v>
      </c>
      <c r="O3904" s="4"/>
    </row>
    <row r="3905" spans="1:15" x14ac:dyDescent="0.2">
      <c r="A3905" s="2">
        <v>40005766</v>
      </c>
      <c r="B3905" s="2" t="s">
        <v>1191</v>
      </c>
      <c r="C3905" s="5" t="s">
        <v>6903</v>
      </c>
      <c r="D3905" s="21">
        <v>5</v>
      </c>
      <c r="E3905" s="21"/>
      <c r="F3905" s="21" t="s">
        <v>10438</v>
      </c>
      <c r="G3905" s="21"/>
      <c r="H3905" s="54">
        <v>104</v>
      </c>
      <c r="I3905" s="51"/>
      <c r="J3905" s="27"/>
      <c r="K3905" s="27"/>
      <c r="L3905" s="15"/>
      <c r="M3905" s="15"/>
      <c r="N3905" s="4"/>
      <c r="O3905" s="4" t="s">
        <v>10036</v>
      </c>
    </row>
    <row r="3906" spans="1:15" x14ac:dyDescent="0.2">
      <c r="A3906" s="2">
        <v>40005767</v>
      </c>
      <c r="B3906" s="2" t="s">
        <v>1192</v>
      </c>
      <c r="C3906" s="5" t="s">
        <v>6904</v>
      </c>
      <c r="D3906" s="21">
        <v>5</v>
      </c>
      <c r="E3906" s="21"/>
      <c r="F3906" s="21" t="s">
        <v>10438</v>
      </c>
      <c r="G3906" s="21"/>
      <c r="H3906" s="54">
        <v>104</v>
      </c>
      <c r="I3906" s="51"/>
      <c r="J3906" s="27"/>
      <c r="K3906" s="27"/>
      <c r="L3906" s="15"/>
      <c r="M3906" s="15"/>
      <c r="N3906" s="4"/>
      <c r="O3906" s="4" t="s">
        <v>10036</v>
      </c>
    </row>
    <row r="3907" spans="1:15" x14ac:dyDescent="0.2">
      <c r="A3907" s="2">
        <v>40005768</v>
      </c>
      <c r="B3907" s="2" t="s">
        <v>1193</v>
      </c>
      <c r="C3907" s="5" t="s">
        <v>6905</v>
      </c>
      <c r="D3907" s="21">
        <v>5</v>
      </c>
      <c r="E3907" s="21"/>
      <c r="F3907" s="21" t="s">
        <v>10438</v>
      </c>
      <c r="G3907" s="21"/>
      <c r="H3907" s="54">
        <v>101</v>
      </c>
      <c r="I3907" s="51"/>
      <c r="J3907" s="27"/>
      <c r="K3907" s="27"/>
      <c r="L3907" s="15"/>
      <c r="M3907" s="15"/>
      <c r="N3907" s="4"/>
      <c r="O3907" s="4" t="s">
        <v>10036</v>
      </c>
    </row>
    <row r="3908" spans="1:15" x14ac:dyDescent="0.2">
      <c r="A3908" s="2">
        <v>40006319</v>
      </c>
      <c r="B3908" s="2" t="s">
        <v>1686</v>
      </c>
      <c r="C3908" s="5" t="s">
        <v>7396</v>
      </c>
      <c r="D3908" s="21">
        <v>10</v>
      </c>
      <c r="E3908" s="21"/>
      <c r="F3908" s="21" t="s">
        <v>10438</v>
      </c>
      <c r="G3908" s="21"/>
      <c r="H3908" s="54">
        <v>4</v>
      </c>
      <c r="I3908" s="51"/>
      <c r="J3908" s="27"/>
      <c r="K3908" s="27"/>
      <c r="L3908" s="15"/>
      <c r="M3908" s="15"/>
      <c r="N3908" s="4" t="s">
        <v>4523</v>
      </c>
      <c r="O3908" s="4"/>
    </row>
    <row r="3909" spans="1:15" x14ac:dyDescent="0.2">
      <c r="A3909" s="2">
        <v>10018850</v>
      </c>
      <c r="B3909" s="2" t="s">
        <v>337</v>
      </c>
      <c r="C3909" s="5" t="s">
        <v>5927</v>
      </c>
      <c r="D3909" s="21">
        <v>96</v>
      </c>
      <c r="E3909" s="21"/>
      <c r="F3909" s="21" t="s">
        <v>10438</v>
      </c>
      <c r="G3909" s="21"/>
      <c r="H3909" s="54">
        <v>24</v>
      </c>
      <c r="I3909" s="51"/>
      <c r="J3909" s="27"/>
      <c r="K3909" s="27"/>
      <c r="L3909" s="15"/>
      <c r="M3909" s="15"/>
      <c r="N3909" s="4">
        <v>102</v>
      </c>
      <c r="O3909" s="4"/>
    </row>
    <row r="3910" spans="1:15" x14ac:dyDescent="0.2">
      <c r="A3910" s="2">
        <v>10018437</v>
      </c>
      <c r="B3910" s="2" t="s">
        <v>177</v>
      </c>
      <c r="C3910" s="5" t="s">
        <v>5720</v>
      </c>
      <c r="D3910" s="21">
        <v>441</v>
      </c>
      <c r="E3910" s="21"/>
      <c r="F3910" s="21" t="s">
        <v>10438</v>
      </c>
      <c r="G3910" s="21"/>
      <c r="H3910" s="54">
        <v>16</v>
      </c>
      <c r="I3910" s="51"/>
      <c r="J3910" s="27"/>
      <c r="K3910" s="27"/>
      <c r="L3910" s="15"/>
      <c r="M3910" s="15"/>
      <c r="N3910" s="4">
        <v>102</v>
      </c>
      <c r="O3910" s="4"/>
    </row>
    <row r="3911" spans="1:15" x14ac:dyDescent="0.2">
      <c r="A3911" s="2">
        <v>10018452</v>
      </c>
      <c r="B3911" s="2" t="s">
        <v>3904</v>
      </c>
      <c r="C3911" s="5" t="s">
        <v>5727</v>
      </c>
      <c r="D3911" s="21"/>
      <c r="E3911" s="21"/>
      <c r="F3911" s="21" t="s">
        <v>10438</v>
      </c>
      <c r="G3911" s="21"/>
      <c r="H3911" s="54">
        <v>30</v>
      </c>
      <c r="I3911" s="51"/>
      <c r="J3911" s="27"/>
      <c r="K3911" s="27"/>
      <c r="L3911" s="15">
        <v>10</v>
      </c>
      <c r="M3911" s="15">
        <v>10</v>
      </c>
      <c r="N3911" s="4"/>
      <c r="O3911" s="4"/>
    </row>
    <row r="3912" spans="1:15" x14ac:dyDescent="0.2">
      <c r="A3912" s="2">
        <v>40005212</v>
      </c>
      <c r="B3912" s="2" t="s">
        <v>750</v>
      </c>
      <c r="C3912" s="5" t="s">
        <v>6463</v>
      </c>
      <c r="D3912" s="21">
        <v>4</v>
      </c>
      <c r="E3912" s="21"/>
      <c r="F3912" s="21" t="s">
        <v>10438</v>
      </c>
      <c r="G3912" s="21"/>
      <c r="H3912" s="54">
        <v>10</v>
      </c>
      <c r="I3912" s="51"/>
      <c r="J3912" s="27"/>
      <c r="K3912" s="27"/>
      <c r="L3912" s="15"/>
      <c r="M3912" s="15"/>
      <c r="N3912" s="4" t="s">
        <v>4009</v>
      </c>
      <c r="O3912" s="4"/>
    </row>
    <row r="3913" spans="1:15" x14ac:dyDescent="0.2">
      <c r="A3913" s="2">
        <v>40005178</v>
      </c>
      <c r="B3913" s="2" t="s">
        <v>723</v>
      </c>
      <c r="C3913" s="5">
        <v>20117281</v>
      </c>
      <c r="D3913" s="21">
        <v>1</v>
      </c>
      <c r="E3913" s="21"/>
      <c r="F3913" s="21" t="s">
        <v>10438</v>
      </c>
      <c r="G3913" s="21"/>
      <c r="H3913" s="54">
        <v>111</v>
      </c>
      <c r="I3913" s="51"/>
      <c r="J3913" s="27"/>
      <c r="K3913" s="27"/>
      <c r="L3913" s="15"/>
      <c r="M3913" s="15"/>
      <c r="N3913" s="4" t="s">
        <v>3992</v>
      </c>
      <c r="O3913" s="4"/>
    </row>
    <row r="3914" spans="1:15" x14ac:dyDescent="0.2">
      <c r="A3914" s="2">
        <v>40006240</v>
      </c>
      <c r="B3914" s="2" t="s">
        <v>3829</v>
      </c>
      <c r="C3914" s="5" t="s">
        <v>7321</v>
      </c>
      <c r="D3914" s="21">
        <v>7</v>
      </c>
      <c r="E3914" s="21"/>
      <c r="F3914" s="21" t="s">
        <v>10438</v>
      </c>
      <c r="G3914" s="21"/>
      <c r="H3914" s="54">
        <v>7</v>
      </c>
      <c r="I3914" s="51"/>
      <c r="J3914" s="27"/>
      <c r="K3914" s="27"/>
      <c r="L3914" s="15"/>
      <c r="M3914" s="15"/>
      <c r="N3914" s="4" t="s">
        <v>4482</v>
      </c>
      <c r="O3914" s="4"/>
    </row>
    <row r="3915" spans="1:15" x14ac:dyDescent="0.2">
      <c r="A3915" s="2">
        <v>40006904</v>
      </c>
      <c r="B3915" s="2" t="s">
        <v>2199</v>
      </c>
      <c r="C3915" s="5" t="s">
        <v>7908</v>
      </c>
      <c r="D3915" s="21">
        <v>18</v>
      </c>
      <c r="E3915" s="21"/>
      <c r="F3915" s="21" t="s">
        <v>10438</v>
      </c>
      <c r="G3915" s="21"/>
      <c r="H3915" s="54">
        <v>2</v>
      </c>
      <c r="I3915" s="51"/>
      <c r="J3915" s="27"/>
      <c r="K3915" s="27"/>
      <c r="L3915" s="15"/>
      <c r="M3915" s="15"/>
      <c r="N3915" s="4"/>
      <c r="O3915" s="4" t="s">
        <v>10364</v>
      </c>
    </row>
    <row r="3916" spans="1:15" x14ac:dyDescent="0.2">
      <c r="A3916" s="2">
        <v>40010266</v>
      </c>
      <c r="B3916" s="2" t="s">
        <v>3459</v>
      </c>
      <c r="C3916" s="5" t="s">
        <v>9153</v>
      </c>
      <c r="D3916" s="21">
        <v>1</v>
      </c>
      <c r="E3916" s="21"/>
      <c r="F3916" s="21" t="s">
        <v>10438</v>
      </c>
      <c r="G3916" s="21"/>
      <c r="H3916" s="54">
        <v>3</v>
      </c>
      <c r="I3916" s="51"/>
      <c r="J3916" s="27"/>
      <c r="K3916" s="27"/>
      <c r="L3916" s="15">
        <v>4</v>
      </c>
      <c r="M3916" s="15"/>
      <c r="N3916" s="4" t="s">
        <v>4694</v>
      </c>
      <c r="O3916" s="4"/>
    </row>
    <row r="3917" spans="1:15" x14ac:dyDescent="0.2">
      <c r="A3917" s="2">
        <v>40006209</v>
      </c>
      <c r="B3917" s="2" t="s">
        <v>1592</v>
      </c>
      <c r="C3917" s="5" t="s">
        <v>7299</v>
      </c>
      <c r="D3917" s="21">
        <v>5</v>
      </c>
      <c r="E3917" s="21"/>
      <c r="F3917" s="21" t="s">
        <v>10438</v>
      </c>
      <c r="G3917" s="21"/>
      <c r="H3917" s="54">
        <v>9</v>
      </c>
      <c r="I3917" s="51"/>
      <c r="J3917" s="27"/>
      <c r="K3917" s="27"/>
      <c r="L3917" s="15"/>
      <c r="M3917" s="15"/>
      <c r="N3917" s="4" t="s">
        <v>4475</v>
      </c>
      <c r="O3917" s="4"/>
    </row>
    <row r="3918" spans="1:15" x14ac:dyDescent="0.2">
      <c r="A3918" s="2">
        <v>40006255</v>
      </c>
      <c r="B3918" s="2" t="s">
        <v>1632</v>
      </c>
      <c r="C3918" s="5" t="s">
        <v>7336</v>
      </c>
      <c r="D3918" s="21">
        <v>5</v>
      </c>
      <c r="E3918" s="21"/>
      <c r="F3918" s="21" t="s">
        <v>10438</v>
      </c>
      <c r="G3918" s="21"/>
      <c r="H3918" s="54">
        <v>5</v>
      </c>
      <c r="I3918" s="51"/>
      <c r="J3918" s="27"/>
      <c r="K3918" s="27"/>
      <c r="L3918" s="15"/>
      <c r="M3918" s="15"/>
      <c r="N3918" s="4" t="s">
        <v>4483</v>
      </c>
      <c r="O3918" s="4"/>
    </row>
    <row r="3919" spans="1:15" x14ac:dyDescent="0.2">
      <c r="A3919" s="2">
        <v>40005744</v>
      </c>
      <c r="B3919" s="2" t="s">
        <v>1171</v>
      </c>
      <c r="C3919" s="5" t="s">
        <v>6883</v>
      </c>
      <c r="D3919" s="21">
        <v>10</v>
      </c>
      <c r="E3919" s="21"/>
      <c r="F3919" s="21" t="s">
        <v>10438</v>
      </c>
      <c r="G3919" s="21"/>
      <c r="H3919" s="54">
        <v>8</v>
      </c>
      <c r="I3919" s="51"/>
      <c r="J3919" s="27"/>
      <c r="K3919" s="27"/>
      <c r="L3919" s="15"/>
      <c r="M3919" s="15"/>
      <c r="N3919" s="4" t="s">
        <v>4252</v>
      </c>
      <c r="O3919" s="4"/>
    </row>
    <row r="3920" spans="1:15" x14ac:dyDescent="0.2">
      <c r="A3920" s="2">
        <v>10043024</v>
      </c>
      <c r="B3920" s="2" t="s">
        <v>5492</v>
      </c>
      <c r="C3920" s="5" t="s">
        <v>9445</v>
      </c>
      <c r="D3920" s="21">
        <v>2</v>
      </c>
      <c r="E3920" s="21"/>
      <c r="F3920" s="21" t="s">
        <v>10438</v>
      </c>
      <c r="G3920" s="21"/>
      <c r="H3920" s="54">
        <v>3884</v>
      </c>
      <c r="I3920" s="51">
        <v>3496</v>
      </c>
      <c r="J3920" s="27"/>
      <c r="K3920" s="27"/>
      <c r="L3920" s="15"/>
      <c r="M3920" s="15"/>
      <c r="N3920" s="4"/>
      <c r="O3920" s="4" t="s">
        <v>10470</v>
      </c>
    </row>
    <row r="3921" spans="1:15" x14ac:dyDescent="0.2">
      <c r="A3921" s="2">
        <v>10018797</v>
      </c>
      <c r="B3921" s="2" t="s">
        <v>320</v>
      </c>
      <c r="C3921" s="5" t="s">
        <v>5902</v>
      </c>
      <c r="D3921" s="21">
        <v>3</v>
      </c>
      <c r="E3921" s="21"/>
      <c r="F3921" s="21" t="s">
        <v>10438</v>
      </c>
      <c r="G3921" s="21"/>
      <c r="H3921" s="54">
        <v>2692</v>
      </c>
      <c r="I3921" s="51">
        <v>2423</v>
      </c>
      <c r="J3921" s="27"/>
      <c r="K3921" s="27"/>
      <c r="L3921" s="15"/>
      <c r="M3921" s="15"/>
      <c r="N3921" s="4"/>
      <c r="O3921" s="4"/>
    </row>
    <row r="3922" spans="1:15" x14ac:dyDescent="0.2">
      <c r="A3922" s="2">
        <v>10018933</v>
      </c>
      <c r="B3922" s="2" t="s">
        <v>370</v>
      </c>
      <c r="C3922" s="5" t="s">
        <v>5966</v>
      </c>
      <c r="D3922" s="21"/>
      <c r="E3922" s="21"/>
      <c r="F3922" s="21" t="s">
        <v>10438</v>
      </c>
      <c r="G3922" s="21"/>
      <c r="H3922" s="54">
        <v>861</v>
      </c>
      <c r="I3922" s="51"/>
      <c r="J3922" s="27"/>
      <c r="K3922" s="27"/>
      <c r="L3922" s="15"/>
      <c r="M3922" s="15"/>
      <c r="N3922" s="4">
        <v>107</v>
      </c>
      <c r="O3922" s="4"/>
    </row>
    <row r="3923" spans="1:15" x14ac:dyDescent="0.2">
      <c r="A3923" s="2">
        <v>10019978</v>
      </c>
      <c r="B3923" s="2" t="s">
        <v>650</v>
      </c>
      <c r="C3923" s="5" t="s">
        <v>6295</v>
      </c>
      <c r="D3923" s="21"/>
      <c r="E3923" s="21"/>
      <c r="F3923" s="21" t="s">
        <v>10438</v>
      </c>
      <c r="G3923" s="21"/>
      <c r="H3923" s="54">
        <v>75</v>
      </c>
      <c r="I3923" s="51"/>
      <c r="J3923" s="27"/>
      <c r="K3923" s="27"/>
      <c r="L3923" s="15"/>
      <c r="M3923" s="15"/>
      <c r="N3923" s="4">
        <v>65</v>
      </c>
      <c r="O3923" s="4"/>
    </row>
    <row r="3924" spans="1:15" x14ac:dyDescent="0.2">
      <c r="A3924" s="2">
        <v>40006493</v>
      </c>
      <c r="B3924" s="2" t="s">
        <v>1844</v>
      </c>
      <c r="C3924" s="5" t="s">
        <v>7551</v>
      </c>
      <c r="D3924" s="21">
        <v>1</v>
      </c>
      <c r="E3924" s="21"/>
      <c r="F3924" s="21" t="s">
        <v>10438</v>
      </c>
      <c r="G3924" s="21"/>
      <c r="H3924" s="54">
        <v>56</v>
      </c>
      <c r="I3924" s="51"/>
      <c r="J3924" s="27"/>
      <c r="K3924" s="27"/>
      <c r="L3924" s="15"/>
      <c r="M3924" s="15"/>
      <c r="N3924" s="4"/>
      <c r="O3924" s="4">
        <v>92</v>
      </c>
    </row>
    <row r="3925" spans="1:15" x14ac:dyDescent="0.2">
      <c r="A3925" s="2">
        <v>10018818</v>
      </c>
      <c r="B3925" s="2" t="s">
        <v>331</v>
      </c>
      <c r="C3925" s="5" t="s">
        <v>5913</v>
      </c>
      <c r="D3925" s="21">
        <v>2</v>
      </c>
      <c r="E3925" s="21"/>
      <c r="F3925" s="21" t="s">
        <v>10438</v>
      </c>
      <c r="G3925" s="21"/>
      <c r="H3925" s="54">
        <v>511</v>
      </c>
      <c r="I3925" s="51"/>
      <c r="J3925" s="27"/>
      <c r="K3925" s="27"/>
      <c r="L3925" s="15"/>
      <c r="M3925" s="15"/>
      <c r="N3925" s="4">
        <v>71</v>
      </c>
      <c r="O3925" s="4"/>
    </row>
    <row r="3926" spans="1:15" x14ac:dyDescent="0.2">
      <c r="A3926" s="2">
        <v>10018283</v>
      </c>
      <c r="B3926" s="2" t="s">
        <v>144</v>
      </c>
      <c r="C3926" s="5" t="s">
        <v>5684</v>
      </c>
      <c r="D3926" s="21">
        <v>5</v>
      </c>
      <c r="E3926" s="21"/>
      <c r="F3926" s="21" t="s">
        <v>10438</v>
      </c>
      <c r="G3926" s="21"/>
      <c r="H3926" s="54">
        <v>173</v>
      </c>
      <c r="I3926" s="51"/>
      <c r="J3926" s="27"/>
      <c r="K3926" s="27"/>
      <c r="L3926" s="15"/>
      <c r="M3926" s="15"/>
      <c r="N3926" s="4">
        <v>72</v>
      </c>
      <c r="O3926" s="4"/>
    </row>
    <row r="3927" spans="1:15" x14ac:dyDescent="0.2">
      <c r="A3927" s="2">
        <v>40006875</v>
      </c>
      <c r="B3927" s="2" t="s">
        <v>2170</v>
      </c>
      <c r="C3927" s="5" t="s">
        <v>7879</v>
      </c>
      <c r="D3927" s="21">
        <v>5</v>
      </c>
      <c r="E3927" s="21"/>
      <c r="F3927" s="21" t="s">
        <v>10438</v>
      </c>
      <c r="G3927" s="21"/>
      <c r="H3927" s="54">
        <v>337</v>
      </c>
      <c r="I3927" s="51"/>
      <c r="J3927" s="27"/>
      <c r="K3927" s="27"/>
      <c r="L3927" s="15"/>
      <c r="M3927" s="15"/>
      <c r="N3927" s="4" t="s">
        <v>4778</v>
      </c>
      <c r="O3927" s="4">
        <v>48</v>
      </c>
    </row>
    <row r="3928" spans="1:15" x14ac:dyDescent="0.2">
      <c r="A3928" s="2">
        <v>10018420</v>
      </c>
      <c r="B3928" s="2" t="s">
        <v>173</v>
      </c>
      <c r="C3928" s="5" t="s">
        <v>5714</v>
      </c>
      <c r="D3928" s="21"/>
      <c r="E3928" s="21"/>
      <c r="F3928" s="21" t="s">
        <v>10438</v>
      </c>
      <c r="G3928" s="21"/>
      <c r="H3928" s="54">
        <v>315</v>
      </c>
      <c r="I3928" s="51"/>
      <c r="J3928" s="27"/>
      <c r="K3928" s="27"/>
      <c r="L3928" s="15"/>
      <c r="M3928" s="15"/>
      <c r="N3928" s="4"/>
      <c r="O3928" s="4">
        <v>61</v>
      </c>
    </row>
    <row r="3929" spans="1:15" x14ac:dyDescent="0.2">
      <c r="A3929" s="2">
        <v>40008298</v>
      </c>
      <c r="B3929" s="2" t="s">
        <v>3408</v>
      </c>
      <c r="C3929" s="5" t="s">
        <v>9101</v>
      </c>
      <c r="D3929" s="21">
        <v>2</v>
      </c>
      <c r="E3929" s="21"/>
      <c r="F3929" s="30">
        <v>1</v>
      </c>
      <c r="G3929" s="21"/>
      <c r="H3929" s="54">
        <v>432</v>
      </c>
      <c r="I3929" s="51"/>
      <c r="J3929" s="27"/>
      <c r="K3929" s="27"/>
      <c r="L3929" s="15"/>
      <c r="M3929" s="15">
        <v>5</v>
      </c>
      <c r="N3929" s="4" t="s">
        <v>10049</v>
      </c>
      <c r="O3929" s="4"/>
    </row>
    <row r="3930" spans="1:15" x14ac:dyDescent="0.2">
      <c r="A3930" s="2">
        <v>40006373</v>
      </c>
      <c r="B3930" s="2" t="s">
        <v>1733</v>
      </c>
      <c r="C3930" s="5" t="s">
        <v>7444</v>
      </c>
      <c r="D3930" s="21">
        <v>1</v>
      </c>
      <c r="E3930" s="21"/>
      <c r="F3930" s="21" t="s">
        <v>10438</v>
      </c>
      <c r="G3930" s="21"/>
      <c r="H3930" s="54">
        <v>415</v>
      </c>
      <c r="I3930" s="51"/>
      <c r="J3930" s="27"/>
      <c r="K3930" s="27"/>
      <c r="L3930" s="15"/>
      <c r="M3930" s="15"/>
      <c r="N3930" s="4"/>
      <c r="O3930" s="4">
        <v>75</v>
      </c>
    </row>
    <row r="3931" spans="1:15" x14ac:dyDescent="0.2">
      <c r="A3931" s="2">
        <v>40006742</v>
      </c>
      <c r="B3931" s="2" t="s">
        <v>2047</v>
      </c>
      <c r="C3931" s="5" t="s">
        <v>7757</v>
      </c>
      <c r="D3931" s="21">
        <v>15</v>
      </c>
      <c r="E3931" s="21"/>
      <c r="F3931" s="21" t="s">
        <v>10438</v>
      </c>
      <c r="G3931" s="21"/>
      <c r="H3931" s="54">
        <v>314</v>
      </c>
      <c r="I3931" s="51"/>
      <c r="J3931" s="27"/>
      <c r="K3931" s="27"/>
      <c r="L3931" s="15"/>
      <c r="M3931" s="15"/>
      <c r="N3931" s="4" t="s">
        <v>4486</v>
      </c>
      <c r="O3931" s="4"/>
    </row>
    <row r="3932" spans="1:15" x14ac:dyDescent="0.2">
      <c r="A3932" s="2">
        <v>40006290</v>
      </c>
      <c r="B3932" s="2" t="s">
        <v>1663</v>
      </c>
      <c r="C3932" s="5" t="s">
        <v>7371</v>
      </c>
      <c r="D3932" s="21">
        <v>9</v>
      </c>
      <c r="E3932" s="21"/>
      <c r="F3932" s="21" t="s">
        <v>10438</v>
      </c>
      <c r="G3932" s="21"/>
      <c r="H3932" s="54">
        <v>279</v>
      </c>
      <c r="I3932" s="51"/>
      <c r="J3932" s="27"/>
      <c r="K3932" s="27"/>
      <c r="L3932" s="15"/>
      <c r="M3932" s="15"/>
      <c r="N3932" s="4"/>
      <c r="O3932" s="4">
        <v>79</v>
      </c>
    </row>
    <row r="3933" spans="1:15" x14ac:dyDescent="0.2">
      <c r="A3933" s="2">
        <v>40006427</v>
      </c>
      <c r="B3933" s="2" t="s">
        <v>1785</v>
      </c>
      <c r="C3933" s="5" t="s">
        <v>7494</v>
      </c>
      <c r="D3933" s="21">
        <v>3</v>
      </c>
      <c r="E3933" s="21"/>
      <c r="F3933" s="21" t="s">
        <v>10438</v>
      </c>
      <c r="G3933" s="21"/>
      <c r="H3933" s="54">
        <v>2970</v>
      </c>
      <c r="I3933" s="51"/>
      <c r="J3933" s="27"/>
      <c r="K3933" s="27"/>
      <c r="L3933" s="15"/>
      <c r="M3933" s="15"/>
      <c r="N3933" s="4" t="s">
        <v>4587</v>
      </c>
      <c r="O3933" s="4" t="s">
        <v>10206</v>
      </c>
    </row>
    <row r="3934" spans="1:15" x14ac:dyDescent="0.2">
      <c r="A3934" s="2">
        <v>40005564</v>
      </c>
      <c r="B3934" s="2" t="s">
        <v>1017</v>
      </c>
      <c r="C3934" s="5" t="s">
        <v>6742</v>
      </c>
      <c r="D3934" s="21">
        <v>10</v>
      </c>
      <c r="E3934" s="21"/>
      <c r="F3934" s="21" t="s">
        <v>10438</v>
      </c>
      <c r="G3934" s="21"/>
      <c r="H3934" s="54">
        <v>41</v>
      </c>
      <c r="I3934" s="51"/>
      <c r="J3934" s="27"/>
      <c r="K3934" s="27"/>
      <c r="L3934" s="15"/>
      <c r="M3934" s="15"/>
      <c r="N3934" s="4"/>
      <c r="O3934" s="4" t="s">
        <v>4928</v>
      </c>
    </row>
    <row r="3935" spans="1:15" x14ac:dyDescent="0.2">
      <c r="A3935" s="2">
        <v>40005360</v>
      </c>
      <c r="B3935" s="2" t="s">
        <v>3906</v>
      </c>
      <c r="C3935" s="5" t="s">
        <v>6561</v>
      </c>
      <c r="D3935" s="21">
        <v>7</v>
      </c>
      <c r="E3935" s="21"/>
      <c r="F3935" s="21" t="s">
        <v>10438</v>
      </c>
      <c r="G3935" s="21"/>
      <c r="H3935" s="54">
        <v>568</v>
      </c>
      <c r="I3935" s="51"/>
      <c r="J3935" s="27"/>
      <c r="K3935" s="27"/>
      <c r="L3935" s="15"/>
      <c r="M3935" s="15"/>
      <c r="N3935" s="4" t="s">
        <v>5156</v>
      </c>
      <c r="O3935" s="4"/>
    </row>
    <row r="3936" spans="1:15" x14ac:dyDescent="0.2">
      <c r="A3936" s="2">
        <v>40008004</v>
      </c>
      <c r="B3936" s="2" t="s">
        <v>3144</v>
      </c>
      <c r="C3936" s="5" t="s">
        <v>8841</v>
      </c>
      <c r="D3936" s="21">
        <v>10</v>
      </c>
      <c r="E3936" s="21"/>
      <c r="F3936" s="21" t="s">
        <v>10438</v>
      </c>
      <c r="G3936" s="21"/>
      <c r="H3936" s="54">
        <v>279</v>
      </c>
      <c r="I3936" s="51"/>
      <c r="J3936" s="27"/>
      <c r="K3936" s="27"/>
      <c r="L3936" s="15"/>
      <c r="M3936" s="15"/>
      <c r="N3936" s="4" t="s">
        <v>5160</v>
      </c>
      <c r="O3936" s="4" t="s">
        <v>4884</v>
      </c>
    </row>
    <row r="3937" spans="1:15" x14ac:dyDescent="0.2">
      <c r="A3937" s="2">
        <v>40005386</v>
      </c>
      <c r="B3937" s="2" t="s">
        <v>863</v>
      </c>
      <c r="C3937" s="5" t="s">
        <v>6585</v>
      </c>
      <c r="D3937" s="21">
        <v>12</v>
      </c>
      <c r="E3937" s="21"/>
      <c r="F3937" s="21" t="s">
        <v>10438</v>
      </c>
      <c r="G3937" s="21"/>
      <c r="H3937" s="54">
        <v>294</v>
      </c>
      <c r="I3937" s="51"/>
      <c r="J3937" s="27"/>
      <c r="K3937" s="27"/>
      <c r="L3937" s="15"/>
      <c r="M3937" s="15"/>
      <c r="N3937" s="4" t="s">
        <v>4026</v>
      </c>
      <c r="O3937" s="4"/>
    </row>
    <row r="3938" spans="1:15" x14ac:dyDescent="0.2">
      <c r="A3938" s="2">
        <v>40011419</v>
      </c>
      <c r="B3938" s="2" t="s">
        <v>5313</v>
      </c>
      <c r="C3938" s="5" t="s">
        <v>9397</v>
      </c>
      <c r="D3938" s="21">
        <v>4</v>
      </c>
      <c r="E3938" s="21"/>
      <c r="F3938" s="21" t="s">
        <v>10438</v>
      </c>
      <c r="G3938" s="21"/>
      <c r="H3938" s="54">
        <v>577</v>
      </c>
      <c r="I3938" s="51"/>
      <c r="J3938" s="27"/>
      <c r="K3938" s="27"/>
      <c r="L3938" s="15"/>
      <c r="M3938" s="15"/>
      <c r="N3938" s="4"/>
      <c r="O3938" s="4" t="s">
        <v>5096</v>
      </c>
    </row>
    <row r="3939" spans="1:15" x14ac:dyDescent="0.2">
      <c r="A3939" s="2">
        <v>40005371</v>
      </c>
      <c r="B3939" s="2" t="s">
        <v>852</v>
      </c>
      <c r="C3939" s="5" t="s">
        <v>6572</v>
      </c>
      <c r="D3939" s="21">
        <v>4</v>
      </c>
      <c r="E3939" s="21"/>
      <c r="F3939" s="21" t="s">
        <v>10438</v>
      </c>
      <c r="G3939" s="21"/>
      <c r="H3939" s="54">
        <v>490</v>
      </c>
      <c r="I3939" s="51"/>
      <c r="J3939" s="27"/>
      <c r="K3939" s="27"/>
      <c r="L3939" s="15"/>
      <c r="M3939" s="15">
        <v>2</v>
      </c>
      <c r="N3939" s="4" t="s">
        <v>4080</v>
      </c>
      <c r="O3939" s="4"/>
    </row>
    <row r="3940" spans="1:15" x14ac:dyDescent="0.2">
      <c r="A3940" s="2">
        <v>40005984</v>
      </c>
      <c r="B3940" s="2" t="s">
        <v>1389</v>
      </c>
      <c r="C3940" s="5" t="s">
        <v>7095</v>
      </c>
      <c r="D3940" s="21">
        <v>2</v>
      </c>
      <c r="E3940" s="21"/>
      <c r="F3940" s="21" t="s">
        <v>10438</v>
      </c>
      <c r="G3940" s="21"/>
      <c r="H3940" s="54">
        <v>991</v>
      </c>
      <c r="I3940" s="51"/>
      <c r="J3940" s="27"/>
      <c r="K3940" s="27"/>
      <c r="L3940" s="15"/>
      <c r="M3940" s="15"/>
      <c r="N3940" s="4" t="s">
        <v>3986</v>
      </c>
      <c r="O3940" s="4" t="s">
        <v>10163</v>
      </c>
    </row>
    <row r="3941" spans="1:15" x14ac:dyDescent="0.2">
      <c r="A3941" s="2">
        <v>40007695</v>
      </c>
      <c r="B3941" s="2" t="s">
        <v>2872</v>
      </c>
      <c r="C3941" s="5" t="s">
        <v>8570</v>
      </c>
      <c r="D3941" s="21">
        <v>5</v>
      </c>
      <c r="E3941" s="21"/>
      <c r="F3941" s="21" t="s">
        <v>10438</v>
      </c>
      <c r="G3941" s="21"/>
      <c r="H3941" s="54">
        <v>621</v>
      </c>
      <c r="I3941" s="51"/>
      <c r="J3941" s="27"/>
      <c r="K3941" s="27"/>
      <c r="L3941" s="15"/>
      <c r="M3941" s="15"/>
      <c r="N3941" s="4" t="s">
        <v>3986</v>
      </c>
      <c r="O3941" s="4"/>
    </row>
    <row r="3942" spans="1:15" x14ac:dyDescent="0.2">
      <c r="A3942" s="2">
        <v>40006026</v>
      </c>
      <c r="B3942" s="2" t="s">
        <v>1428</v>
      </c>
      <c r="C3942" s="5" t="s">
        <v>7130</v>
      </c>
      <c r="D3942" s="21">
        <v>7</v>
      </c>
      <c r="E3942" s="21"/>
      <c r="F3942" s="21" t="s">
        <v>10438</v>
      </c>
      <c r="G3942" s="21"/>
      <c r="H3942" s="54">
        <v>40</v>
      </c>
      <c r="I3942" s="51"/>
      <c r="J3942" s="27"/>
      <c r="K3942" s="27"/>
      <c r="L3942" s="15"/>
      <c r="M3942" s="15"/>
      <c r="N3942" s="4" t="s">
        <v>5019</v>
      </c>
      <c r="O3942" s="4"/>
    </row>
    <row r="3943" spans="1:15" x14ac:dyDescent="0.2">
      <c r="A3943" s="2">
        <v>40005565</v>
      </c>
      <c r="B3943" s="2" t="s">
        <v>1018</v>
      </c>
      <c r="C3943" s="5" t="s">
        <v>6743</v>
      </c>
      <c r="D3943" s="21">
        <v>2</v>
      </c>
      <c r="E3943" s="21"/>
      <c r="F3943" s="21" t="s">
        <v>10438</v>
      </c>
      <c r="G3943" s="21"/>
      <c r="H3943" s="54">
        <v>110</v>
      </c>
      <c r="I3943" s="51"/>
      <c r="J3943" s="27"/>
      <c r="K3943" s="27"/>
      <c r="L3943" s="15"/>
      <c r="M3943" s="15"/>
      <c r="N3943" s="4" t="s">
        <v>4145</v>
      </c>
      <c r="O3943" s="4"/>
    </row>
    <row r="3944" spans="1:15" x14ac:dyDescent="0.2">
      <c r="A3944" s="2">
        <v>40006291</v>
      </c>
      <c r="B3944" s="2" t="s">
        <v>1664</v>
      </c>
      <c r="C3944" s="5" t="s">
        <v>7372</v>
      </c>
      <c r="D3944" s="21">
        <v>23</v>
      </c>
      <c r="E3944" s="21"/>
      <c r="F3944" s="21" t="s">
        <v>10438</v>
      </c>
      <c r="G3944" s="21"/>
      <c r="H3944" s="54">
        <v>327</v>
      </c>
      <c r="I3944" s="51"/>
      <c r="J3944" s="27"/>
      <c r="K3944" s="27"/>
      <c r="L3944" s="15"/>
      <c r="M3944" s="15"/>
      <c r="N3944" s="4"/>
      <c r="O3944" s="4" t="s">
        <v>4835</v>
      </c>
    </row>
    <row r="3945" spans="1:15" x14ac:dyDescent="0.2">
      <c r="A3945" s="2">
        <v>40008049</v>
      </c>
      <c r="B3945" s="2" t="s">
        <v>3184</v>
      </c>
      <c r="C3945" s="5" t="s">
        <v>8879</v>
      </c>
      <c r="D3945" s="21">
        <v>5</v>
      </c>
      <c r="E3945" s="21"/>
      <c r="F3945" s="21" t="s">
        <v>10438</v>
      </c>
      <c r="G3945" s="21"/>
      <c r="H3945" s="54">
        <v>57</v>
      </c>
      <c r="I3945" s="51"/>
      <c r="J3945" s="27"/>
      <c r="K3945" s="27"/>
      <c r="L3945" s="15"/>
      <c r="M3945" s="15"/>
      <c r="N3945" s="4" t="s">
        <v>5176</v>
      </c>
      <c r="O3945" s="4"/>
    </row>
    <row r="3946" spans="1:15" x14ac:dyDescent="0.2">
      <c r="A3946" s="2">
        <v>40011140</v>
      </c>
      <c r="B3946" s="2" t="s">
        <v>3594</v>
      </c>
      <c r="C3946" s="5" t="s">
        <v>9320</v>
      </c>
      <c r="D3946" s="21">
        <v>8</v>
      </c>
      <c r="E3946" s="21"/>
      <c r="F3946" s="21" t="s">
        <v>10438</v>
      </c>
      <c r="G3946" s="21"/>
      <c r="H3946" s="54">
        <v>116</v>
      </c>
      <c r="I3946" s="51"/>
      <c r="J3946" s="27"/>
      <c r="K3946" s="27"/>
      <c r="L3946" s="15"/>
      <c r="M3946" s="15"/>
      <c r="N3946" s="4" t="s">
        <v>4633</v>
      </c>
      <c r="O3946" s="4"/>
    </row>
    <row r="3947" spans="1:15" x14ac:dyDescent="0.2">
      <c r="A3947" s="2">
        <v>40007737</v>
      </c>
      <c r="B3947" s="2" t="s">
        <v>2912</v>
      </c>
      <c r="C3947" s="5" t="s">
        <v>5327</v>
      </c>
      <c r="D3947" s="21">
        <v>5</v>
      </c>
      <c r="E3947" s="21"/>
      <c r="F3947" s="21" t="s">
        <v>10438</v>
      </c>
      <c r="G3947" s="21"/>
      <c r="H3947" s="54">
        <v>307</v>
      </c>
      <c r="I3947" s="51"/>
      <c r="J3947" s="27"/>
      <c r="K3947" s="27"/>
      <c r="L3947" s="15"/>
      <c r="M3947" s="15"/>
      <c r="N3947" s="4" t="s">
        <v>4065</v>
      </c>
      <c r="O3947" s="4"/>
    </row>
    <row r="3948" spans="1:15" x14ac:dyDescent="0.2">
      <c r="A3948" s="2">
        <v>10029889</v>
      </c>
      <c r="B3948" s="2" t="s">
        <v>3747</v>
      </c>
      <c r="C3948" s="5" t="s">
        <v>6338</v>
      </c>
      <c r="D3948" s="21">
        <v>2</v>
      </c>
      <c r="E3948" s="21"/>
      <c r="F3948" s="21" t="s">
        <v>10438</v>
      </c>
      <c r="G3948" s="21"/>
      <c r="H3948" s="54">
        <v>2603</v>
      </c>
      <c r="I3948" s="51">
        <v>2343</v>
      </c>
      <c r="J3948" s="27">
        <v>4</v>
      </c>
      <c r="K3948" s="27"/>
      <c r="L3948" s="15"/>
      <c r="M3948" s="15"/>
      <c r="N3948" s="4"/>
      <c r="O3948" s="4">
        <v>62</v>
      </c>
    </row>
    <row r="3949" spans="1:15" x14ac:dyDescent="0.2">
      <c r="A3949" s="2">
        <v>40006635</v>
      </c>
      <c r="B3949" s="2" t="s">
        <v>1970</v>
      </c>
      <c r="C3949" s="5" t="s">
        <v>7679</v>
      </c>
      <c r="D3949" s="21">
        <v>1</v>
      </c>
      <c r="E3949" s="21"/>
      <c r="F3949" s="21" t="s">
        <v>10438</v>
      </c>
      <c r="G3949" s="21"/>
      <c r="H3949" s="54">
        <v>4</v>
      </c>
      <c r="I3949" s="51"/>
      <c r="J3949" s="27"/>
      <c r="K3949" s="27"/>
      <c r="L3949" s="15"/>
      <c r="M3949" s="15"/>
      <c r="N3949" s="4"/>
      <c r="O3949" s="4" t="s">
        <v>10092</v>
      </c>
    </row>
    <row r="3950" spans="1:15" x14ac:dyDescent="0.2">
      <c r="A3950" s="2">
        <v>40006542</v>
      </c>
      <c r="B3950" s="2" t="s">
        <v>1882</v>
      </c>
      <c r="C3950" s="5" t="s">
        <v>7590</v>
      </c>
      <c r="D3950" s="21">
        <v>1</v>
      </c>
      <c r="E3950" s="21"/>
      <c r="F3950" s="21" t="s">
        <v>10438</v>
      </c>
      <c r="G3950" s="21"/>
      <c r="H3950" s="54">
        <v>1279</v>
      </c>
      <c r="I3950" s="51"/>
      <c r="J3950" s="27"/>
      <c r="K3950" s="27"/>
      <c r="L3950" s="15"/>
      <c r="M3950" s="15"/>
      <c r="N3950" s="4" t="s">
        <v>4408</v>
      </c>
      <c r="O3950" s="4"/>
    </row>
    <row r="3951" spans="1:15" x14ac:dyDescent="0.2">
      <c r="A3951" s="2">
        <v>40008264</v>
      </c>
      <c r="B3951" s="2" t="s">
        <v>3377</v>
      </c>
      <c r="C3951" s="5" t="s">
        <v>9070</v>
      </c>
      <c r="D3951" s="21">
        <v>9</v>
      </c>
      <c r="E3951" s="21"/>
      <c r="F3951" s="21" t="s">
        <v>10438</v>
      </c>
      <c r="G3951" s="21"/>
      <c r="H3951" s="54">
        <v>327</v>
      </c>
      <c r="I3951" s="51"/>
      <c r="J3951" s="27"/>
      <c r="K3951" s="27"/>
      <c r="L3951" s="15"/>
      <c r="M3951" s="15"/>
      <c r="N3951" s="4"/>
      <c r="O3951" s="4" t="s">
        <v>5140</v>
      </c>
    </row>
    <row r="3952" spans="1:15" x14ac:dyDescent="0.2">
      <c r="A3952" s="2">
        <v>40007197</v>
      </c>
      <c r="B3952" s="2" t="s">
        <v>2462</v>
      </c>
      <c r="C3952" s="5" t="s">
        <v>8164</v>
      </c>
      <c r="D3952" s="21">
        <v>2</v>
      </c>
      <c r="E3952" s="21"/>
      <c r="F3952" s="21" t="s">
        <v>10438</v>
      </c>
      <c r="G3952" s="21"/>
      <c r="H3952" s="54">
        <v>1782</v>
      </c>
      <c r="I3952" s="51"/>
      <c r="J3952" s="27"/>
      <c r="K3952" s="27"/>
      <c r="L3952" s="15"/>
      <c r="M3952" s="15"/>
      <c r="N3952" s="4" t="s">
        <v>4870</v>
      </c>
      <c r="O3952" s="4"/>
    </row>
    <row r="3953" spans="1:15" x14ac:dyDescent="0.2">
      <c r="A3953" s="2">
        <v>40006561</v>
      </c>
      <c r="B3953" s="2" t="s">
        <v>1900</v>
      </c>
      <c r="C3953" s="5" t="s">
        <v>7608</v>
      </c>
      <c r="D3953" s="21">
        <v>1</v>
      </c>
      <c r="E3953" s="21"/>
      <c r="F3953" s="21" t="s">
        <v>10438</v>
      </c>
      <c r="G3953" s="21"/>
      <c r="H3953" s="54">
        <v>806</v>
      </c>
      <c r="I3953" s="51"/>
      <c r="J3953" s="27"/>
      <c r="K3953" s="27"/>
      <c r="L3953" s="15"/>
      <c r="M3953" s="15"/>
      <c r="N3953" s="4"/>
      <c r="O3953" s="4" t="s">
        <v>10092</v>
      </c>
    </row>
    <row r="3954" spans="1:15" x14ac:dyDescent="0.2">
      <c r="A3954" s="2">
        <v>40006177</v>
      </c>
      <c r="B3954" s="2" t="s">
        <v>1562</v>
      </c>
      <c r="C3954" s="5" t="s">
        <v>7269</v>
      </c>
      <c r="D3954" s="21">
        <v>38</v>
      </c>
      <c r="E3954" s="21"/>
      <c r="F3954" s="21" t="s">
        <v>10438</v>
      </c>
      <c r="G3954" s="21"/>
      <c r="H3954" s="54">
        <v>708</v>
      </c>
      <c r="I3954" s="51"/>
      <c r="J3954" s="27"/>
      <c r="K3954" s="27"/>
      <c r="L3954" s="15"/>
      <c r="M3954" s="15"/>
      <c r="N3954" s="4"/>
      <c r="O3954" s="4" t="s">
        <v>10093</v>
      </c>
    </row>
    <row r="3955" spans="1:15" x14ac:dyDescent="0.2">
      <c r="A3955" s="2">
        <v>40006636</v>
      </c>
      <c r="B3955" s="2" t="s">
        <v>1971</v>
      </c>
      <c r="C3955" s="5" t="s">
        <v>7680</v>
      </c>
      <c r="D3955" s="21">
        <v>1</v>
      </c>
      <c r="E3955" s="21"/>
      <c r="F3955" s="21" t="s">
        <v>10438</v>
      </c>
      <c r="G3955" s="21"/>
      <c r="H3955" s="54">
        <v>4</v>
      </c>
      <c r="I3955" s="51"/>
      <c r="J3955" s="27"/>
      <c r="K3955" s="27"/>
      <c r="L3955" s="15"/>
      <c r="M3955" s="15"/>
      <c r="N3955" s="4"/>
      <c r="O3955" s="4" t="s">
        <v>10092</v>
      </c>
    </row>
    <row r="3956" spans="1:15" x14ac:dyDescent="0.2">
      <c r="A3956" s="2">
        <v>40007579</v>
      </c>
      <c r="B3956" s="2" t="s">
        <v>2774</v>
      </c>
      <c r="C3956" s="5" t="s">
        <v>8474</v>
      </c>
      <c r="D3956" s="21">
        <v>5</v>
      </c>
      <c r="E3956" s="21"/>
      <c r="F3956" s="21" t="s">
        <v>10438</v>
      </c>
      <c r="G3956" s="21"/>
      <c r="H3956" s="54">
        <v>10</v>
      </c>
      <c r="I3956" s="51"/>
      <c r="J3956" s="27"/>
      <c r="K3956" s="27"/>
      <c r="L3956" s="15"/>
      <c r="M3956" s="15"/>
      <c r="N3956" s="4" t="s">
        <v>4490</v>
      </c>
      <c r="O3956" s="4"/>
    </row>
    <row r="3957" spans="1:15" x14ac:dyDescent="0.2">
      <c r="A3957" s="2">
        <v>40006089</v>
      </c>
      <c r="B3957" s="2" t="s">
        <v>3821</v>
      </c>
      <c r="C3957" s="5" t="s">
        <v>7186</v>
      </c>
      <c r="D3957" s="21">
        <v>8</v>
      </c>
      <c r="E3957" s="21"/>
      <c r="F3957" s="21" t="s">
        <v>10438</v>
      </c>
      <c r="G3957" s="21"/>
      <c r="H3957" s="54">
        <v>11</v>
      </c>
      <c r="I3957" s="51"/>
      <c r="J3957" s="27"/>
      <c r="K3957" s="27"/>
      <c r="L3957" s="15"/>
      <c r="M3957" s="15"/>
      <c r="N3957" s="4" t="s">
        <v>4406</v>
      </c>
      <c r="O3957" s="4"/>
    </row>
    <row r="3958" spans="1:15" x14ac:dyDescent="0.2">
      <c r="A3958" s="2">
        <v>40005402</v>
      </c>
      <c r="B3958" s="2" t="s">
        <v>879</v>
      </c>
      <c r="C3958" s="5" t="s">
        <v>6601</v>
      </c>
      <c r="D3958" s="21">
        <v>2</v>
      </c>
      <c r="E3958" s="21"/>
      <c r="F3958" s="21" t="s">
        <v>10438</v>
      </c>
      <c r="G3958" s="21"/>
      <c r="H3958" s="54">
        <v>73</v>
      </c>
      <c r="I3958" s="51"/>
      <c r="J3958" s="27"/>
      <c r="K3958" s="27"/>
      <c r="L3958" s="15"/>
      <c r="M3958" s="15"/>
      <c r="N3958" s="4" t="s">
        <v>4102</v>
      </c>
      <c r="O3958" s="4"/>
    </row>
    <row r="3959" spans="1:15" x14ac:dyDescent="0.2">
      <c r="A3959" s="2">
        <v>40005377</v>
      </c>
      <c r="B3959" s="2" t="s">
        <v>856</v>
      </c>
      <c r="C3959" s="5" t="s">
        <v>6578</v>
      </c>
      <c r="D3959" s="21">
        <v>3</v>
      </c>
      <c r="E3959" s="21"/>
      <c r="F3959" s="21" t="s">
        <v>10438</v>
      </c>
      <c r="G3959" s="21"/>
      <c r="H3959" s="54">
        <v>116</v>
      </c>
      <c r="I3959" s="51"/>
      <c r="J3959" s="27"/>
      <c r="K3959" s="27"/>
      <c r="L3959" s="15"/>
      <c r="M3959" s="15"/>
      <c r="N3959" s="4" t="s">
        <v>4083</v>
      </c>
      <c r="O3959" s="4"/>
    </row>
    <row r="3960" spans="1:15" x14ac:dyDescent="0.2">
      <c r="A3960" s="2">
        <v>40011222</v>
      </c>
      <c r="B3960" s="2" t="s">
        <v>3786</v>
      </c>
      <c r="C3960" s="5" t="s">
        <v>9363</v>
      </c>
      <c r="D3960" s="21">
        <v>5</v>
      </c>
      <c r="E3960" s="21"/>
      <c r="F3960" s="21" t="s">
        <v>10438</v>
      </c>
      <c r="G3960" s="21"/>
      <c r="H3960" s="54">
        <v>58</v>
      </c>
      <c r="I3960" s="51"/>
      <c r="J3960" s="27"/>
      <c r="K3960" s="27"/>
      <c r="L3960" s="15"/>
      <c r="M3960" s="15"/>
      <c r="N3960" s="4"/>
      <c r="O3960" s="4">
        <v>64</v>
      </c>
    </row>
    <row r="3961" spans="1:15" x14ac:dyDescent="0.2">
      <c r="A3961" s="2">
        <v>40007422</v>
      </c>
      <c r="B3961" s="2" t="s">
        <v>2645</v>
      </c>
      <c r="C3961" s="5" t="s">
        <v>8343</v>
      </c>
      <c r="D3961" s="21">
        <v>5</v>
      </c>
      <c r="E3961" s="21"/>
      <c r="F3961" s="21" t="s">
        <v>10438</v>
      </c>
      <c r="G3961" s="21"/>
      <c r="H3961" s="54">
        <v>7</v>
      </c>
      <c r="I3961" s="51"/>
      <c r="J3961" s="27"/>
      <c r="K3961" s="27"/>
      <c r="L3961" s="15"/>
      <c r="M3961" s="15"/>
      <c r="N3961" s="4" t="s">
        <v>4194</v>
      </c>
      <c r="O3961" s="4"/>
    </row>
    <row r="3962" spans="1:15" x14ac:dyDescent="0.2">
      <c r="A3962" s="2">
        <v>40005227</v>
      </c>
      <c r="B3962" s="2" t="s">
        <v>755</v>
      </c>
      <c r="C3962" s="5" t="s">
        <v>6468</v>
      </c>
      <c r="D3962" s="21">
        <v>20</v>
      </c>
      <c r="E3962" s="21"/>
      <c r="F3962" s="21" t="s">
        <v>10438</v>
      </c>
      <c r="G3962" s="21"/>
      <c r="H3962" s="54">
        <v>7</v>
      </c>
      <c r="I3962" s="51"/>
      <c r="J3962" s="27"/>
      <c r="K3962" s="27"/>
      <c r="L3962" s="15"/>
      <c r="M3962" s="15"/>
      <c r="N3962" s="4" t="s">
        <v>3955</v>
      </c>
      <c r="O3962" s="4"/>
    </row>
    <row r="3963" spans="1:15" x14ac:dyDescent="0.2">
      <c r="A3963" s="2">
        <v>40005671</v>
      </c>
      <c r="B3963" s="2" t="s">
        <v>1107</v>
      </c>
      <c r="C3963" s="5" t="s">
        <v>6825</v>
      </c>
      <c r="D3963" s="21">
        <v>3</v>
      </c>
      <c r="E3963" s="21"/>
      <c r="F3963" s="21" t="s">
        <v>10438</v>
      </c>
      <c r="G3963" s="21"/>
      <c r="H3963" s="54">
        <v>5</v>
      </c>
      <c r="I3963" s="51"/>
      <c r="J3963" s="27"/>
      <c r="K3963" s="27"/>
      <c r="L3963" s="15"/>
      <c r="M3963" s="15"/>
      <c r="N3963" s="4" t="s">
        <v>4207</v>
      </c>
      <c r="O3963" s="4"/>
    </row>
    <row r="3964" spans="1:15" x14ac:dyDescent="0.2">
      <c r="A3964" s="2">
        <v>40006292</v>
      </c>
      <c r="B3964" s="2" t="s">
        <v>1665</v>
      </c>
      <c r="C3964" s="5" t="s">
        <v>7373</v>
      </c>
      <c r="D3964" s="21">
        <v>1</v>
      </c>
      <c r="E3964" s="21"/>
      <c r="F3964" s="21" t="s">
        <v>10438</v>
      </c>
      <c r="G3964" s="21"/>
      <c r="H3964" s="54">
        <v>10</v>
      </c>
      <c r="I3964" s="51"/>
      <c r="J3964" s="27"/>
      <c r="K3964" s="27"/>
      <c r="L3964" s="15"/>
      <c r="M3964" s="15">
        <v>2</v>
      </c>
      <c r="N3964" s="4" t="s">
        <v>4512</v>
      </c>
      <c r="O3964" s="4"/>
    </row>
    <row r="3965" spans="1:15" x14ac:dyDescent="0.2">
      <c r="A3965" s="2">
        <v>40005477</v>
      </c>
      <c r="B3965" s="2" t="s">
        <v>948</v>
      </c>
      <c r="C3965" s="5" t="s">
        <v>6670</v>
      </c>
      <c r="D3965" s="21">
        <v>1</v>
      </c>
      <c r="E3965" s="21"/>
      <c r="F3965" s="21" t="s">
        <v>10438</v>
      </c>
      <c r="G3965" s="21"/>
      <c r="H3965" s="54">
        <v>35</v>
      </c>
      <c r="I3965" s="51"/>
      <c r="J3965" s="27"/>
      <c r="K3965" s="27"/>
      <c r="L3965" s="15"/>
      <c r="M3965" s="15"/>
      <c r="N3965" s="4"/>
      <c r="O3965" s="4" t="s">
        <v>10092</v>
      </c>
    </row>
    <row r="3966" spans="1:15" x14ac:dyDescent="0.2">
      <c r="A3966" s="2">
        <v>10018874</v>
      </c>
      <c r="B3966" s="2" t="s">
        <v>344</v>
      </c>
      <c r="C3966" s="5" t="s">
        <v>5934</v>
      </c>
      <c r="D3966" s="21">
        <v>21</v>
      </c>
      <c r="E3966" s="21"/>
      <c r="F3966" s="21" t="s">
        <v>10438</v>
      </c>
      <c r="G3966" s="21"/>
      <c r="H3966" s="54">
        <v>1450</v>
      </c>
      <c r="I3966" s="51">
        <v>1335</v>
      </c>
      <c r="J3966" s="27">
        <v>32</v>
      </c>
      <c r="K3966" s="27"/>
      <c r="L3966" s="15">
        <v>24</v>
      </c>
      <c r="M3966" s="15"/>
      <c r="N3966" s="4" t="s">
        <v>3934</v>
      </c>
      <c r="O3966" s="4" t="s">
        <v>10452</v>
      </c>
    </row>
    <row r="3967" spans="1:15" x14ac:dyDescent="0.2">
      <c r="A3967" s="2">
        <v>40006466</v>
      </c>
      <c r="B3967" s="2" t="s">
        <v>1820</v>
      </c>
      <c r="C3967" s="5" t="s">
        <v>7528</v>
      </c>
      <c r="D3967" s="21">
        <v>6</v>
      </c>
      <c r="E3967" s="21"/>
      <c r="F3967" s="21" t="s">
        <v>10438</v>
      </c>
      <c r="G3967" s="21"/>
      <c r="H3967" s="54">
        <v>269</v>
      </c>
      <c r="I3967" s="51"/>
      <c r="J3967" s="27"/>
      <c r="K3967" s="27"/>
      <c r="L3967" s="15"/>
      <c r="M3967" s="15"/>
      <c r="N3967" s="4"/>
      <c r="O3967" s="4" t="s">
        <v>10365</v>
      </c>
    </row>
    <row r="3968" spans="1:15" x14ac:dyDescent="0.2">
      <c r="A3968" s="2">
        <v>40010401</v>
      </c>
      <c r="B3968" s="2" t="s">
        <v>3539</v>
      </c>
      <c r="C3968" s="5" t="s">
        <v>9242</v>
      </c>
      <c r="D3968" s="21">
        <v>1</v>
      </c>
      <c r="E3968" s="21"/>
      <c r="F3968" s="21" t="s">
        <v>10438</v>
      </c>
      <c r="G3968" s="21"/>
      <c r="H3968" s="54">
        <v>320</v>
      </c>
      <c r="I3968" s="51"/>
      <c r="J3968" s="27"/>
      <c r="K3968" s="27"/>
      <c r="L3968" s="15"/>
      <c r="M3968" s="15"/>
      <c r="N3968" s="4"/>
      <c r="O3968" s="4"/>
    </row>
    <row r="3969" spans="1:15" x14ac:dyDescent="0.2">
      <c r="A3969" s="2">
        <v>40008183</v>
      </c>
      <c r="B3969" s="2" t="s">
        <v>3305</v>
      </c>
      <c r="C3969" s="5" t="s">
        <v>8998</v>
      </c>
      <c r="D3969" s="21">
        <v>1</v>
      </c>
      <c r="E3969" s="21"/>
      <c r="F3969" s="21" t="s">
        <v>10438</v>
      </c>
      <c r="G3969" s="21"/>
      <c r="H3969" s="54">
        <v>49</v>
      </c>
      <c r="I3969" s="51"/>
      <c r="J3969" s="27"/>
      <c r="K3969" s="27"/>
      <c r="L3969" s="15"/>
      <c r="M3969" s="15"/>
      <c r="N3969" s="4"/>
      <c r="O3969" s="4">
        <v>75</v>
      </c>
    </row>
    <row r="3970" spans="1:15" x14ac:dyDescent="0.2">
      <c r="A3970" s="2">
        <v>10019471</v>
      </c>
      <c r="B3970" s="2" t="s">
        <v>5369</v>
      </c>
      <c r="C3970" s="5" t="s">
        <v>6145</v>
      </c>
      <c r="D3970" s="21">
        <v>5</v>
      </c>
      <c r="E3970" s="21"/>
      <c r="F3970" s="21" t="s">
        <v>10438</v>
      </c>
      <c r="G3970" s="21"/>
      <c r="H3970" s="54">
        <v>5305</v>
      </c>
      <c r="I3970" s="51">
        <v>4775</v>
      </c>
      <c r="J3970" s="27"/>
      <c r="K3970" s="27"/>
      <c r="L3970" s="15">
        <v>5</v>
      </c>
      <c r="M3970" s="15">
        <v>15</v>
      </c>
      <c r="N3970" s="4" t="s">
        <v>10713</v>
      </c>
      <c r="O3970" s="4" t="s">
        <v>10455</v>
      </c>
    </row>
    <row r="3971" spans="1:15" x14ac:dyDescent="0.2">
      <c r="A3971" s="2">
        <v>10018262</v>
      </c>
      <c r="B3971" s="2" t="s">
        <v>133</v>
      </c>
      <c r="C3971" s="5" t="s">
        <v>5672</v>
      </c>
      <c r="D3971" s="21">
        <v>1</v>
      </c>
      <c r="E3971" s="21"/>
      <c r="F3971" s="21" t="s">
        <v>10438</v>
      </c>
      <c r="G3971" s="21"/>
      <c r="H3971" s="54">
        <v>3748</v>
      </c>
      <c r="I3971" s="51">
        <v>2999</v>
      </c>
      <c r="J3971" s="27"/>
      <c r="K3971" s="27"/>
      <c r="L3971" s="15"/>
      <c r="M3971" s="15"/>
      <c r="N3971" s="4"/>
      <c r="O3971" s="4"/>
    </row>
    <row r="3972" spans="1:15" x14ac:dyDescent="0.2">
      <c r="A3972" s="2">
        <v>10018253</v>
      </c>
      <c r="B3972" s="2" t="s">
        <v>127</v>
      </c>
      <c r="C3972" s="5" t="s">
        <v>5666</v>
      </c>
      <c r="D3972" s="21">
        <v>1</v>
      </c>
      <c r="E3972" s="21"/>
      <c r="F3972" s="21" t="s">
        <v>10438</v>
      </c>
      <c r="G3972" s="21"/>
      <c r="H3972" s="54">
        <v>1116</v>
      </c>
      <c r="I3972" s="51">
        <v>893</v>
      </c>
      <c r="J3972" s="27"/>
      <c r="K3972" s="27"/>
      <c r="L3972" s="15"/>
      <c r="M3972" s="15"/>
      <c r="N3972" s="4"/>
      <c r="O3972" s="4"/>
    </row>
    <row r="3973" spans="1:15" x14ac:dyDescent="0.2">
      <c r="A3973" s="2">
        <v>40005633</v>
      </c>
      <c r="B3973" s="2" t="s">
        <v>1076</v>
      </c>
      <c r="C3973" s="5">
        <v>3640720</v>
      </c>
      <c r="D3973" s="21">
        <v>3</v>
      </c>
      <c r="E3973" s="21"/>
      <c r="F3973" s="21" t="s">
        <v>10438</v>
      </c>
      <c r="G3973" s="21"/>
      <c r="H3973" s="54">
        <v>49</v>
      </c>
      <c r="I3973" s="51"/>
      <c r="J3973" s="27"/>
      <c r="K3973" s="27"/>
      <c r="L3973" s="15"/>
      <c r="M3973" s="15"/>
      <c r="N3973" s="4" t="s">
        <v>10726</v>
      </c>
      <c r="O3973" s="4"/>
    </row>
    <row r="3974" spans="1:15" x14ac:dyDescent="0.2">
      <c r="A3974" s="2">
        <v>10019766</v>
      </c>
      <c r="B3974" s="2" t="s">
        <v>583</v>
      </c>
      <c r="C3974" s="5" t="s">
        <v>6216</v>
      </c>
      <c r="D3974" s="21">
        <v>42</v>
      </c>
      <c r="E3974" s="21"/>
      <c r="F3974" s="21" t="s">
        <v>10438</v>
      </c>
      <c r="G3974" s="21"/>
      <c r="H3974" s="54">
        <v>31</v>
      </c>
      <c r="I3974" s="51"/>
      <c r="J3974" s="27"/>
      <c r="K3974" s="27"/>
      <c r="L3974" s="15"/>
      <c r="M3974" s="15"/>
      <c r="N3974" s="4" t="s">
        <v>3961</v>
      </c>
      <c r="O3974" s="4"/>
    </row>
    <row r="3975" spans="1:15" x14ac:dyDescent="0.2">
      <c r="A3975" s="2">
        <v>40006920</v>
      </c>
      <c r="B3975" s="2" t="s">
        <v>2215</v>
      </c>
      <c r="C3975" s="5" t="s">
        <v>7924</v>
      </c>
      <c r="D3975" s="21"/>
      <c r="E3975" s="21"/>
      <c r="F3975" s="21" t="s">
        <v>10438</v>
      </c>
      <c r="G3975" s="21"/>
      <c r="H3975" s="54">
        <v>65</v>
      </c>
      <c r="I3975" s="51"/>
      <c r="J3975" s="27"/>
      <c r="K3975" s="27"/>
      <c r="L3975" s="15"/>
      <c r="M3975" s="15"/>
      <c r="N3975" s="4" t="s">
        <v>4744</v>
      </c>
      <c r="O3975" s="4"/>
    </row>
    <row r="3976" spans="1:15" x14ac:dyDescent="0.2">
      <c r="A3976" s="2">
        <v>40008312</v>
      </c>
      <c r="B3976" s="2" t="s">
        <v>3419</v>
      </c>
      <c r="C3976" s="5">
        <v>965452660</v>
      </c>
      <c r="D3976" s="21">
        <v>44</v>
      </c>
      <c r="E3976" s="21"/>
      <c r="F3976" s="21" t="s">
        <v>10438</v>
      </c>
      <c r="G3976" s="21"/>
      <c r="H3976" s="54">
        <v>428</v>
      </c>
      <c r="I3976" s="51"/>
      <c r="J3976" s="27"/>
      <c r="K3976" s="27"/>
      <c r="L3976" s="15"/>
      <c r="M3976" s="15"/>
      <c r="N3976" s="4" t="s">
        <v>4391</v>
      </c>
      <c r="O3976" s="4">
        <v>92</v>
      </c>
    </row>
    <row r="3977" spans="1:15" x14ac:dyDescent="0.2">
      <c r="A3977" s="2">
        <v>40007409</v>
      </c>
      <c r="B3977" s="2" t="s">
        <v>2634</v>
      </c>
      <c r="C3977" s="5">
        <v>225310021</v>
      </c>
      <c r="D3977" s="21">
        <v>1</v>
      </c>
      <c r="E3977" s="21"/>
      <c r="F3977" s="21" t="s">
        <v>10438</v>
      </c>
      <c r="G3977" s="21"/>
      <c r="H3977" s="54">
        <v>90</v>
      </c>
      <c r="I3977" s="51"/>
      <c r="J3977" s="27"/>
      <c r="K3977" s="27"/>
      <c r="L3977" s="15"/>
      <c r="M3977" s="15"/>
      <c r="N3977" s="4"/>
      <c r="O3977" s="4" t="s">
        <v>10111</v>
      </c>
    </row>
    <row r="3978" spans="1:15" x14ac:dyDescent="0.2">
      <c r="A3978" s="2">
        <v>40008170</v>
      </c>
      <c r="B3978" s="2" t="s">
        <v>3293</v>
      </c>
      <c r="C3978" s="5" t="s">
        <v>8986</v>
      </c>
      <c r="D3978" s="21">
        <v>7</v>
      </c>
      <c r="E3978" s="21"/>
      <c r="F3978" s="21" t="s">
        <v>10438</v>
      </c>
      <c r="G3978" s="21"/>
      <c r="H3978" s="54">
        <v>50</v>
      </c>
      <c r="I3978" s="51"/>
      <c r="J3978" s="27"/>
      <c r="K3978" s="27"/>
      <c r="L3978" s="15"/>
      <c r="M3978" s="15"/>
      <c r="N3978" s="4" t="s">
        <v>4894</v>
      </c>
      <c r="O3978" s="4"/>
    </row>
    <row r="3979" spans="1:15" x14ac:dyDescent="0.2">
      <c r="A3979" s="2">
        <v>40005439</v>
      </c>
      <c r="B3979" s="2" t="s">
        <v>913</v>
      </c>
      <c r="C3979" s="5" t="s">
        <v>6635</v>
      </c>
      <c r="D3979" s="21">
        <v>1</v>
      </c>
      <c r="E3979" s="21"/>
      <c r="F3979" s="21" t="s">
        <v>10438</v>
      </c>
      <c r="G3979" s="21"/>
      <c r="H3979" s="54">
        <v>14</v>
      </c>
      <c r="I3979" s="51"/>
      <c r="J3979" s="27"/>
      <c r="K3979" s="27"/>
      <c r="L3979" s="15"/>
      <c r="M3979" s="15"/>
      <c r="N3979" s="4"/>
      <c r="O3979" s="4" t="s">
        <v>10092</v>
      </c>
    </row>
    <row r="3980" spans="1:15" x14ac:dyDescent="0.2">
      <c r="A3980" s="2">
        <v>40006214</v>
      </c>
      <c r="B3980" s="2" t="s">
        <v>1597</v>
      </c>
      <c r="C3980" s="5" t="s">
        <v>7304</v>
      </c>
      <c r="D3980" s="21">
        <v>1</v>
      </c>
      <c r="E3980" s="21"/>
      <c r="F3980" s="21" t="s">
        <v>10438</v>
      </c>
      <c r="G3980" s="21"/>
      <c r="H3980" s="54">
        <v>332</v>
      </c>
      <c r="I3980" s="51"/>
      <c r="J3980" s="27"/>
      <c r="K3980" s="27"/>
      <c r="L3980" s="15"/>
      <c r="M3980" s="15"/>
      <c r="N3980" s="4"/>
      <c r="O3980" s="4">
        <v>78</v>
      </c>
    </row>
    <row r="3981" spans="1:15" x14ac:dyDescent="0.2">
      <c r="A3981" s="2">
        <v>40006230</v>
      </c>
      <c r="B3981" s="2" t="s">
        <v>1609</v>
      </c>
      <c r="C3981" s="5" t="s">
        <v>7313</v>
      </c>
      <c r="D3981" s="21">
        <v>1</v>
      </c>
      <c r="E3981" s="21"/>
      <c r="F3981" s="21" t="s">
        <v>10438</v>
      </c>
      <c r="G3981" s="21"/>
      <c r="H3981" s="54">
        <v>154</v>
      </c>
      <c r="I3981" s="51"/>
      <c r="J3981" s="27"/>
      <c r="K3981" s="27"/>
      <c r="L3981" s="15"/>
      <c r="M3981" s="15"/>
      <c r="N3981" s="4"/>
      <c r="O3981" s="4">
        <v>75</v>
      </c>
    </row>
    <row r="3982" spans="1:15" x14ac:dyDescent="0.2">
      <c r="A3982" s="2">
        <v>40005365</v>
      </c>
      <c r="B3982" s="2" t="s">
        <v>846</v>
      </c>
      <c r="C3982" s="5" t="s">
        <v>6566</v>
      </c>
      <c r="D3982" s="21">
        <v>1</v>
      </c>
      <c r="E3982" s="21"/>
      <c r="F3982" s="21" t="s">
        <v>10438</v>
      </c>
      <c r="G3982" s="21"/>
      <c r="H3982" s="54">
        <v>322</v>
      </c>
      <c r="I3982" s="51"/>
      <c r="J3982" s="27"/>
      <c r="K3982" s="27"/>
      <c r="L3982" s="15"/>
      <c r="M3982" s="15"/>
      <c r="N3982" s="4"/>
      <c r="O3982" s="4" t="s">
        <v>10108</v>
      </c>
    </row>
    <row r="3983" spans="1:15" x14ac:dyDescent="0.2">
      <c r="A3983" s="2">
        <v>40006146</v>
      </c>
      <c r="B3983" s="2" t="s">
        <v>1537</v>
      </c>
      <c r="C3983" s="5" t="s">
        <v>7241</v>
      </c>
      <c r="D3983" s="21">
        <v>3</v>
      </c>
      <c r="E3983" s="21"/>
      <c r="F3983" s="21" t="s">
        <v>10438</v>
      </c>
      <c r="G3983" s="21"/>
      <c r="H3983" s="54">
        <v>166</v>
      </c>
      <c r="I3983" s="51"/>
      <c r="J3983" s="27"/>
      <c r="K3983" s="27"/>
      <c r="L3983" s="15"/>
      <c r="M3983" s="15"/>
      <c r="N3983" s="4"/>
      <c r="O3983" s="4">
        <v>88</v>
      </c>
    </row>
    <row r="3984" spans="1:15" x14ac:dyDescent="0.2">
      <c r="A3984" s="2">
        <v>40006228</v>
      </c>
      <c r="B3984" s="2" t="s">
        <v>1608</v>
      </c>
      <c r="C3984" s="5" t="s">
        <v>7312</v>
      </c>
      <c r="D3984" s="21">
        <v>2</v>
      </c>
      <c r="E3984" s="21"/>
      <c r="F3984" s="21" t="s">
        <v>10438</v>
      </c>
      <c r="G3984" s="21"/>
      <c r="H3984" s="54">
        <v>189</v>
      </c>
      <c r="I3984" s="51"/>
      <c r="J3984" s="27"/>
      <c r="K3984" s="27"/>
      <c r="L3984" s="15"/>
      <c r="M3984" s="15"/>
      <c r="N3984" s="4"/>
      <c r="O3984" s="4">
        <v>78</v>
      </c>
    </row>
    <row r="3985" spans="1:15" x14ac:dyDescent="0.2">
      <c r="A3985" s="2">
        <v>40005364</v>
      </c>
      <c r="B3985" s="2" t="s">
        <v>845</v>
      </c>
      <c r="C3985" s="5" t="s">
        <v>6565</v>
      </c>
      <c r="D3985" s="21">
        <v>2</v>
      </c>
      <c r="E3985" s="21"/>
      <c r="F3985" s="21" t="s">
        <v>10438</v>
      </c>
      <c r="G3985" s="21"/>
      <c r="H3985" s="54">
        <v>328</v>
      </c>
      <c r="I3985" s="51"/>
      <c r="J3985" s="27"/>
      <c r="K3985" s="27"/>
      <c r="L3985" s="15"/>
      <c r="M3985" s="15"/>
      <c r="N3985" s="4" t="s">
        <v>4076</v>
      </c>
      <c r="O3985" s="4"/>
    </row>
    <row r="3986" spans="1:15" x14ac:dyDescent="0.2">
      <c r="A3986" s="2">
        <v>40008191</v>
      </c>
      <c r="B3986" s="2" t="s">
        <v>3312</v>
      </c>
      <c r="C3986" s="5" t="s">
        <v>9004</v>
      </c>
      <c r="D3986" s="21">
        <v>9</v>
      </c>
      <c r="E3986" s="21"/>
      <c r="F3986" s="21" t="s">
        <v>10438</v>
      </c>
      <c r="G3986" s="21"/>
      <c r="H3986" s="54">
        <v>55</v>
      </c>
      <c r="I3986" s="51"/>
      <c r="J3986" s="27"/>
      <c r="K3986" s="27"/>
      <c r="L3986" s="15"/>
      <c r="M3986" s="15"/>
      <c r="N3986" s="4"/>
      <c r="O3986" s="4" t="s">
        <v>10162</v>
      </c>
    </row>
    <row r="3987" spans="1:15" x14ac:dyDescent="0.2">
      <c r="A3987" s="2">
        <v>40010309</v>
      </c>
      <c r="B3987" s="2" t="s">
        <v>3495</v>
      </c>
      <c r="C3987" s="5" t="s">
        <v>9190</v>
      </c>
      <c r="D3987" s="21">
        <v>9</v>
      </c>
      <c r="E3987" s="21"/>
      <c r="F3987" s="21" t="s">
        <v>10438</v>
      </c>
      <c r="G3987" s="21"/>
      <c r="H3987" s="54">
        <v>92</v>
      </c>
      <c r="I3987" s="51"/>
      <c r="J3987" s="27"/>
      <c r="K3987" s="27"/>
      <c r="L3987" s="15"/>
      <c r="M3987" s="15"/>
      <c r="N3987" s="4" t="s">
        <v>5257</v>
      </c>
      <c r="O3987" s="4"/>
    </row>
    <row r="3988" spans="1:15" x14ac:dyDescent="0.2">
      <c r="A3988" s="2">
        <v>40007900</v>
      </c>
      <c r="B3988" s="2" t="s">
        <v>3055</v>
      </c>
      <c r="C3988" s="5" t="s">
        <v>8746</v>
      </c>
      <c r="D3988" s="21">
        <v>4</v>
      </c>
      <c r="E3988" s="21"/>
      <c r="F3988" s="21" t="s">
        <v>10438</v>
      </c>
      <c r="G3988" s="21"/>
      <c r="H3988" s="54">
        <v>96</v>
      </c>
      <c r="I3988" s="51"/>
      <c r="J3988" s="27"/>
      <c r="K3988" s="27"/>
      <c r="L3988" s="15"/>
      <c r="M3988" s="15"/>
      <c r="N3988" s="4"/>
      <c r="O3988" s="4" t="s">
        <v>10189</v>
      </c>
    </row>
    <row r="3989" spans="1:15" x14ac:dyDescent="0.2">
      <c r="A3989" s="2">
        <v>40006160</v>
      </c>
      <c r="B3989" s="2" t="s">
        <v>1547</v>
      </c>
      <c r="C3989" s="5" t="s">
        <v>7253</v>
      </c>
      <c r="D3989" s="21">
        <v>11</v>
      </c>
      <c r="E3989" s="21"/>
      <c r="F3989" s="21" t="s">
        <v>10438</v>
      </c>
      <c r="G3989" s="21"/>
      <c r="H3989" s="54">
        <v>41</v>
      </c>
      <c r="I3989" s="51"/>
      <c r="J3989" s="27"/>
      <c r="K3989" s="27"/>
      <c r="L3989" s="15"/>
      <c r="M3989" s="15"/>
      <c r="N3989" s="4" t="s">
        <v>4442</v>
      </c>
      <c r="O3989" s="4"/>
    </row>
    <row r="3990" spans="1:15" x14ac:dyDescent="0.2">
      <c r="A3990" s="2">
        <v>40006163</v>
      </c>
      <c r="B3990" s="2" t="s">
        <v>1550</v>
      </c>
      <c r="C3990" s="5" t="s">
        <v>7256</v>
      </c>
      <c r="D3990" s="21">
        <v>12</v>
      </c>
      <c r="E3990" s="21"/>
      <c r="F3990" s="21" t="s">
        <v>10438</v>
      </c>
      <c r="G3990" s="21"/>
      <c r="H3990" s="54">
        <v>46</v>
      </c>
      <c r="I3990" s="51"/>
      <c r="J3990" s="27"/>
      <c r="K3990" s="27"/>
      <c r="L3990" s="15"/>
      <c r="M3990" s="15"/>
      <c r="N3990" s="4" t="s">
        <v>4445</v>
      </c>
      <c r="O3990" s="4"/>
    </row>
    <row r="3991" spans="1:15" x14ac:dyDescent="0.2">
      <c r="A3991" s="2">
        <v>40003879</v>
      </c>
      <c r="B3991" s="2" t="s">
        <v>708</v>
      </c>
      <c r="C3991" s="5" t="s">
        <v>6422</v>
      </c>
      <c r="D3991" s="21">
        <v>2</v>
      </c>
      <c r="E3991" s="21"/>
      <c r="F3991" s="21" t="s">
        <v>10438</v>
      </c>
      <c r="G3991" s="21"/>
      <c r="H3991" s="54">
        <v>73</v>
      </c>
      <c r="I3991" s="51"/>
      <c r="J3991" s="27"/>
      <c r="K3991" s="27"/>
      <c r="L3991" s="15"/>
      <c r="M3991" s="15"/>
      <c r="N3991" s="4" t="s">
        <v>3981</v>
      </c>
      <c r="O3991" s="4"/>
    </row>
    <row r="3992" spans="1:15" x14ac:dyDescent="0.2">
      <c r="A3992" s="2">
        <v>40006082</v>
      </c>
      <c r="B3992" s="2" t="s">
        <v>1474</v>
      </c>
      <c r="C3992" s="5" t="s">
        <v>7179</v>
      </c>
      <c r="D3992" s="21">
        <v>8</v>
      </c>
      <c r="E3992" s="21"/>
      <c r="F3992" s="21" t="s">
        <v>10438</v>
      </c>
      <c r="G3992" s="21"/>
      <c r="H3992" s="54">
        <v>8</v>
      </c>
      <c r="I3992" s="51"/>
      <c r="J3992" s="27"/>
      <c r="K3992" s="27"/>
      <c r="L3992" s="15"/>
      <c r="M3992" s="15"/>
      <c r="N3992" s="4" t="s">
        <v>4402</v>
      </c>
      <c r="O3992" s="4"/>
    </row>
    <row r="3993" spans="1:15" x14ac:dyDescent="0.2">
      <c r="A3993" s="2">
        <v>10018191</v>
      </c>
      <c r="B3993" s="2" t="s">
        <v>93</v>
      </c>
      <c r="C3993" s="5" t="s">
        <v>5630</v>
      </c>
      <c r="D3993" s="21">
        <v>2</v>
      </c>
      <c r="E3993" s="21"/>
      <c r="F3993" s="21" t="s">
        <v>10438</v>
      </c>
      <c r="G3993" s="21"/>
      <c r="H3993" s="54">
        <v>349</v>
      </c>
      <c r="I3993" s="51"/>
      <c r="J3993" s="27"/>
      <c r="K3993" s="27"/>
      <c r="L3993" s="15"/>
      <c r="M3993" s="15"/>
      <c r="N3993" s="4"/>
      <c r="O3993" s="4"/>
    </row>
    <row r="3994" spans="1:15" x14ac:dyDescent="0.2">
      <c r="A3994" s="2">
        <v>40005370</v>
      </c>
      <c r="B3994" s="2" t="s">
        <v>851</v>
      </c>
      <c r="C3994" s="5" t="s">
        <v>6571</v>
      </c>
      <c r="D3994" s="21">
        <v>1</v>
      </c>
      <c r="E3994" s="21"/>
      <c r="F3994" s="21" t="s">
        <v>10438</v>
      </c>
      <c r="G3994" s="21"/>
      <c r="H3994" s="54">
        <v>49</v>
      </c>
      <c r="I3994" s="51"/>
      <c r="J3994" s="27"/>
      <c r="K3994" s="27"/>
      <c r="L3994" s="15"/>
      <c r="M3994" s="15"/>
      <c r="N3994" s="4" t="s">
        <v>4079</v>
      </c>
      <c r="O3994" s="4"/>
    </row>
    <row r="3995" spans="1:15" x14ac:dyDescent="0.2">
      <c r="A3995" s="2">
        <v>10019183</v>
      </c>
      <c r="B3995" s="2" t="s">
        <v>3666</v>
      </c>
      <c r="C3995" s="5" t="s">
        <v>6060</v>
      </c>
      <c r="D3995" s="21"/>
      <c r="E3995" s="21"/>
      <c r="F3995" s="21" t="s">
        <v>10438</v>
      </c>
      <c r="G3995" s="21"/>
      <c r="H3995" s="54">
        <v>130</v>
      </c>
      <c r="I3995" s="51"/>
      <c r="J3995" s="27"/>
      <c r="K3995" s="27"/>
      <c r="L3995" s="15"/>
      <c r="M3995" s="15"/>
      <c r="N3995" s="4">
        <v>75</v>
      </c>
      <c r="O3995" s="4"/>
    </row>
    <row r="3996" spans="1:15" x14ac:dyDescent="0.2">
      <c r="A3996" s="2">
        <v>40007991</v>
      </c>
      <c r="B3996" s="2" t="s">
        <v>3132</v>
      </c>
      <c r="C3996" s="5" t="s">
        <v>8830</v>
      </c>
      <c r="D3996" s="21">
        <v>2</v>
      </c>
      <c r="E3996" s="21"/>
      <c r="F3996" s="21" t="s">
        <v>10438</v>
      </c>
      <c r="G3996" s="21"/>
      <c r="H3996" s="54">
        <v>327</v>
      </c>
      <c r="I3996" s="51"/>
      <c r="J3996" s="27"/>
      <c r="K3996" s="27"/>
      <c r="L3996" s="15"/>
      <c r="M3996" s="15"/>
      <c r="N3996" s="4" t="s">
        <v>4563</v>
      </c>
      <c r="O3996" s="4"/>
    </row>
    <row r="3997" spans="1:15" x14ac:dyDescent="0.2">
      <c r="A3997" s="2">
        <v>10019533</v>
      </c>
      <c r="B3997" s="2" t="s">
        <v>5370</v>
      </c>
      <c r="C3997" s="5" t="s">
        <v>6161</v>
      </c>
      <c r="D3997" s="21">
        <v>1</v>
      </c>
      <c r="E3997" s="21"/>
      <c r="F3997" s="21" t="s">
        <v>10438</v>
      </c>
      <c r="G3997" s="21"/>
      <c r="H3997" s="54">
        <v>8115</v>
      </c>
      <c r="I3997" s="51">
        <v>6900</v>
      </c>
      <c r="J3997" s="27"/>
      <c r="K3997" s="27"/>
      <c r="L3997" s="15"/>
      <c r="M3997" s="15"/>
      <c r="N3997" s="4"/>
      <c r="O3997" s="4" t="s">
        <v>10455</v>
      </c>
    </row>
    <row r="3998" spans="1:15" x14ac:dyDescent="0.2">
      <c r="A3998" s="2">
        <v>10018144</v>
      </c>
      <c r="B3998" s="2" t="s">
        <v>3623</v>
      </c>
      <c r="C3998" s="5" t="s">
        <v>5615</v>
      </c>
      <c r="D3998" s="21">
        <v>1</v>
      </c>
      <c r="E3998" s="21"/>
      <c r="F3998" s="21" t="s">
        <v>10438</v>
      </c>
      <c r="G3998" s="21"/>
      <c r="H3998" s="54">
        <v>9936</v>
      </c>
      <c r="I3998" s="51">
        <v>8450</v>
      </c>
      <c r="J3998" s="27">
        <v>3</v>
      </c>
      <c r="K3998" s="27"/>
      <c r="L3998" s="15"/>
      <c r="M3998" s="15"/>
      <c r="N3998" s="4"/>
      <c r="O3998" s="4" t="s">
        <v>10455</v>
      </c>
    </row>
    <row r="3999" spans="1:15" x14ac:dyDescent="0.2">
      <c r="A3999" s="2">
        <v>10018249</v>
      </c>
      <c r="B3999" s="2" t="s">
        <v>124</v>
      </c>
      <c r="C3999" s="5" t="s">
        <v>5663</v>
      </c>
      <c r="D3999" s="21">
        <v>4</v>
      </c>
      <c r="E3999" s="21"/>
      <c r="F3999" s="21" t="s">
        <v>10438</v>
      </c>
      <c r="G3999" s="21"/>
      <c r="H3999" s="54">
        <v>362</v>
      </c>
      <c r="I3999" s="51"/>
      <c r="J3999" s="27"/>
      <c r="K3999" s="27"/>
      <c r="L3999" s="15"/>
      <c r="M3999" s="15"/>
      <c r="N3999" s="4">
        <v>73</v>
      </c>
      <c r="O3999" s="4"/>
    </row>
    <row r="4000" spans="1:15" x14ac:dyDescent="0.2">
      <c r="A4000" s="2">
        <v>10018980</v>
      </c>
      <c r="B4000" s="2" t="s">
        <v>392</v>
      </c>
      <c r="C4000" s="5" t="s">
        <v>5990</v>
      </c>
      <c r="D4000" s="21">
        <v>3</v>
      </c>
      <c r="E4000" s="21"/>
      <c r="F4000" s="21" t="s">
        <v>10438</v>
      </c>
      <c r="G4000" s="21"/>
      <c r="H4000" s="54">
        <v>200</v>
      </c>
      <c r="I4000" s="51"/>
      <c r="J4000" s="27"/>
      <c r="K4000" s="27"/>
      <c r="L4000" s="15"/>
      <c r="M4000" s="15"/>
      <c r="N4000" s="4">
        <v>73</v>
      </c>
      <c r="O4000" s="4"/>
    </row>
    <row r="4001" spans="1:15" x14ac:dyDescent="0.2">
      <c r="A4001" s="2">
        <v>10018976</v>
      </c>
      <c r="B4001" s="2" t="s">
        <v>391</v>
      </c>
      <c r="C4001" s="5" t="s">
        <v>5988</v>
      </c>
      <c r="D4001" s="21">
        <v>3</v>
      </c>
      <c r="E4001" s="21"/>
      <c r="F4001" s="21" t="s">
        <v>10438</v>
      </c>
      <c r="G4001" s="21"/>
      <c r="H4001" s="54">
        <v>230</v>
      </c>
      <c r="I4001" s="51"/>
      <c r="J4001" s="27"/>
      <c r="K4001" s="27"/>
      <c r="L4001" s="15"/>
      <c r="M4001" s="15"/>
      <c r="N4001" s="4">
        <v>73</v>
      </c>
      <c r="O4001" s="4"/>
    </row>
    <row r="4002" spans="1:15" x14ac:dyDescent="0.2">
      <c r="A4002" s="2">
        <v>40007920</v>
      </c>
      <c r="B4002" s="2" t="s">
        <v>3075</v>
      </c>
      <c r="C4002" s="5" t="s">
        <v>8766</v>
      </c>
      <c r="D4002" s="21">
        <v>5</v>
      </c>
      <c r="E4002" s="21"/>
      <c r="F4002" s="21" t="s">
        <v>10438</v>
      </c>
      <c r="G4002" s="21"/>
      <c r="H4002" s="54">
        <v>10</v>
      </c>
      <c r="I4002" s="51"/>
      <c r="J4002" s="27"/>
      <c r="K4002" s="27"/>
      <c r="L4002" s="15"/>
      <c r="M4002" s="15"/>
      <c r="N4002" s="4" t="s">
        <v>4569</v>
      </c>
      <c r="O4002" s="4"/>
    </row>
    <row r="4003" spans="1:15" x14ac:dyDescent="0.2">
      <c r="A4003" s="2">
        <v>40005500</v>
      </c>
      <c r="B4003" s="2" t="s">
        <v>968</v>
      </c>
      <c r="C4003" s="5" t="s">
        <v>6690</v>
      </c>
      <c r="D4003" s="21">
        <v>2</v>
      </c>
      <c r="E4003" s="21"/>
      <c r="F4003" s="21" t="s">
        <v>10438</v>
      </c>
      <c r="G4003" s="21"/>
      <c r="H4003" s="54">
        <v>8</v>
      </c>
      <c r="I4003" s="51"/>
      <c r="J4003" s="27"/>
      <c r="K4003" s="27"/>
      <c r="L4003" s="15"/>
      <c r="M4003" s="15"/>
      <c r="N4003" s="4"/>
      <c r="O4003" s="4" t="s">
        <v>10092</v>
      </c>
    </row>
    <row r="4004" spans="1:15" x14ac:dyDescent="0.2">
      <c r="A4004" s="2">
        <v>10019835</v>
      </c>
      <c r="B4004" s="2" t="s">
        <v>3799</v>
      </c>
      <c r="C4004" s="5" t="s">
        <v>6226</v>
      </c>
      <c r="D4004" s="21">
        <v>2</v>
      </c>
      <c r="E4004" s="21"/>
      <c r="F4004" s="21" t="s">
        <v>10438</v>
      </c>
      <c r="G4004" s="21"/>
      <c r="H4004" s="54">
        <v>273</v>
      </c>
      <c r="I4004" s="51"/>
      <c r="J4004" s="27"/>
      <c r="K4004" s="27"/>
      <c r="L4004" s="15"/>
      <c r="M4004" s="15"/>
      <c r="N4004" s="4">
        <v>77</v>
      </c>
      <c r="O4004" s="4"/>
    </row>
    <row r="4005" spans="1:15" x14ac:dyDescent="0.2">
      <c r="A4005" s="2">
        <v>40010402</v>
      </c>
      <c r="B4005" s="2" t="s">
        <v>3884</v>
      </c>
      <c r="C4005" s="5" t="s">
        <v>9243</v>
      </c>
      <c r="D4005" s="21"/>
      <c r="E4005" s="21"/>
      <c r="F4005" s="21" t="s">
        <v>10438</v>
      </c>
      <c r="G4005" s="21"/>
      <c r="H4005" s="54">
        <v>293</v>
      </c>
      <c r="I4005" s="51"/>
      <c r="J4005" s="27"/>
      <c r="K4005" s="27"/>
      <c r="L4005" s="15"/>
      <c r="M4005" s="15">
        <v>2</v>
      </c>
      <c r="N4005" s="4"/>
      <c r="O4005" s="4" t="s">
        <v>10133</v>
      </c>
    </row>
    <row r="4006" spans="1:15" x14ac:dyDescent="0.2">
      <c r="A4006" s="2">
        <v>10018254</v>
      </c>
      <c r="B4006" s="2" t="s">
        <v>128</v>
      </c>
      <c r="C4006" s="5" t="s">
        <v>5667</v>
      </c>
      <c r="D4006" s="21">
        <v>5</v>
      </c>
      <c r="E4006" s="21"/>
      <c r="F4006" s="21" t="s">
        <v>10438</v>
      </c>
      <c r="G4006" s="21"/>
      <c r="H4006" s="54">
        <v>301</v>
      </c>
      <c r="I4006" s="51"/>
      <c r="J4006" s="27"/>
      <c r="K4006" s="27"/>
      <c r="L4006" s="15"/>
      <c r="M4006" s="15"/>
      <c r="N4006" s="4"/>
      <c r="O4006" s="4" t="s">
        <v>10243</v>
      </c>
    </row>
    <row r="4007" spans="1:15" x14ac:dyDescent="0.2">
      <c r="A4007" s="2">
        <v>40006293</v>
      </c>
      <c r="B4007" s="2" t="s">
        <v>1666</v>
      </c>
      <c r="C4007" s="5" t="s">
        <v>7374</v>
      </c>
      <c r="D4007" s="21">
        <v>1</v>
      </c>
      <c r="E4007" s="21"/>
      <c r="F4007" s="21" t="s">
        <v>10438</v>
      </c>
      <c r="G4007" s="21"/>
      <c r="H4007" s="54">
        <v>79</v>
      </c>
      <c r="I4007" s="51"/>
      <c r="J4007" s="27"/>
      <c r="K4007" s="27"/>
      <c r="L4007" s="15"/>
      <c r="M4007" s="15"/>
      <c r="N4007" s="4" t="s">
        <v>4481</v>
      </c>
      <c r="O4007" s="4"/>
    </row>
    <row r="4008" spans="1:15" x14ac:dyDescent="0.2">
      <c r="A4008" s="2">
        <v>40005382</v>
      </c>
      <c r="B4008" s="2" t="s">
        <v>860</v>
      </c>
      <c r="C4008" s="5" t="s">
        <v>6582</v>
      </c>
      <c r="D4008" s="21">
        <v>3</v>
      </c>
      <c r="E4008" s="21"/>
      <c r="F4008" s="21" t="s">
        <v>10438</v>
      </c>
      <c r="G4008" s="21"/>
      <c r="H4008" s="54">
        <v>89</v>
      </c>
      <c r="I4008" s="51"/>
      <c r="J4008" s="27"/>
      <c r="K4008" s="27"/>
      <c r="L4008" s="15"/>
      <c r="M4008" s="15"/>
      <c r="N4008" s="4" t="s">
        <v>4086</v>
      </c>
      <c r="O4008" s="4"/>
    </row>
    <row r="4009" spans="1:15" x14ac:dyDescent="0.2">
      <c r="A4009" s="2">
        <v>40007275</v>
      </c>
      <c r="B4009" s="2" t="s">
        <v>2523</v>
      </c>
      <c r="C4009" s="5" t="s">
        <v>8220</v>
      </c>
      <c r="D4009" s="21">
        <v>1</v>
      </c>
      <c r="E4009" s="21"/>
      <c r="F4009" s="21" t="s">
        <v>10438</v>
      </c>
      <c r="G4009" s="21"/>
      <c r="H4009" s="54">
        <v>28</v>
      </c>
      <c r="I4009" s="51"/>
      <c r="J4009" s="27"/>
      <c r="K4009" s="27"/>
      <c r="L4009" s="15"/>
      <c r="M4009" s="15"/>
      <c r="N4009" s="4" t="s">
        <v>4837</v>
      </c>
      <c r="O4009" s="4"/>
    </row>
    <row r="4010" spans="1:15" x14ac:dyDescent="0.2">
      <c r="A4010" s="2">
        <v>40008047</v>
      </c>
      <c r="B4010" s="2" t="s">
        <v>3182</v>
      </c>
      <c r="C4010" s="5" t="s">
        <v>8877</v>
      </c>
      <c r="D4010" s="21">
        <v>4</v>
      </c>
      <c r="E4010" s="21"/>
      <c r="F4010" s="21" t="s">
        <v>10438</v>
      </c>
      <c r="G4010" s="21"/>
      <c r="H4010" s="54">
        <v>41</v>
      </c>
      <c r="I4010" s="51"/>
      <c r="J4010" s="27"/>
      <c r="K4010" s="27"/>
      <c r="L4010" s="15"/>
      <c r="M4010" s="15"/>
      <c r="N4010" s="4" t="s">
        <v>5046</v>
      </c>
      <c r="O4010" s="4"/>
    </row>
    <row r="4011" spans="1:15" x14ac:dyDescent="0.2">
      <c r="A4011" s="2">
        <v>40008046</v>
      </c>
      <c r="B4011" s="2" t="s">
        <v>3181</v>
      </c>
      <c r="C4011" s="5" t="s">
        <v>8876</v>
      </c>
      <c r="D4011" s="21">
        <v>7</v>
      </c>
      <c r="E4011" s="21"/>
      <c r="F4011" s="21" t="s">
        <v>10438</v>
      </c>
      <c r="G4011" s="21"/>
      <c r="H4011" s="54">
        <v>77</v>
      </c>
      <c r="I4011" s="51"/>
      <c r="J4011" s="27"/>
      <c r="K4011" s="27"/>
      <c r="L4011" s="15"/>
      <c r="M4011" s="15"/>
      <c r="N4011" s="4" t="s">
        <v>4646</v>
      </c>
      <c r="O4011" s="4"/>
    </row>
    <row r="4012" spans="1:15" x14ac:dyDescent="0.2">
      <c r="A4012" s="2">
        <v>40008045</v>
      </c>
      <c r="B4012" s="2" t="s">
        <v>3180</v>
      </c>
      <c r="C4012" s="5" t="s">
        <v>8875</v>
      </c>
      <c r="D4012" s="21">
        <v>3</v>
      </c>
      <c r="E4012" s="21"/>
      <c r="F4012" s="21" t="s">
        <v>10438</v>
      </c>
      <c r="G4012" s="21"/>
      <c r="H4012" s="54">
        <v>17</v>
      </c>
      <c r="I4012" s="51"/>
      <c r="J4012" s="27"/>
      <c r="K4012" s="27"/>
      <c r="L4012" s="15"/>
      <c r="M4012" s="15"/>
      <c r="N4012" s="4" t="s">
        <v>5175</v>
      </c>
      <c r="O4012" s="4"/>
    </row>
    <row r="4013" spans="1:15" x14ac:dyDescent="0.2">
      <c r="A4013" s="2">
        <v>10018518</v>
      </c>
      <c r="B4013" s="2" t="s">
        <v>198</v>
      </c>
      <c r="C4013" s="5" t="s">
        <v>5754</v>
      </c>
      <c r="D4013" s="21"/>
      <c r="E4013" s="21"/>
      <c r="F4013" s="21" t="s">
        <v>10438</v>
      </c>
      <c r="G4013" s="21"/>
      <c r="H4013" s="54">
        <v>10555</v>
      </c>
      <c r="I4013" s="51">
        <v>8975</v>
      </c>
      <c r="J4013" s="27"/>
      <c r="K4013" s="27"/>
      <c r="L4013" s="15">
        <v>2</v>
      </c>
      <c r="M4013" s="15"/>
      <c r="N4013" s="4" t="s">
        <v>3607</v>
      </c>
      <c r="O4013" s="4"/>
    </row>
    <row r="4014" spans="1:15" x14ac:dyDescent="0.2">
      <c r="A4014" s="2">
        <v>40007593</v>
      </c>
      <c r="B4014" s="2" t="s">
        <v>2788</v>
      </c>
      <c r="C4014" s="5" t="s">
        <v>8487</v>
      </c>
      <c r="D4014" s="21">
        <v>18</v>
      </c>
      <c r="E4014" s="21"/>
      <c r="F4014" s="21" t="s">
        <v>10438</v>
      </c>
      <c r="G4014" s="21"/>
      <c r="H4014" s="54">
        <v>2</v>
      </c>
      <c r="I4014" s="51"/>
      <c r="J4014" s="27"/>
      <c r="K4014" s="27"/>
      <c r="L4014" s="15"/>
      <c r="M4014" s="15"/>
      <c r="N4014" s="4" t="s">
        <v>4150</v>
      </c>
      <c r="O4014" s="4"/>
    </row>
    <row r="4015" spans="1:15" x14ac:dyDescent="0.2">
      <c r="A4015" s="2">
        <v>40007420</v>
      </c>
      <c r="B4015" s="2" t="s">
        <v>2643</v>
      </c>
      <c r="C4015" s="5" t="s">
        <v>8341</v>
      </c>
      <c r="D4015" s="21"/>
      <c r="E4015" s="21"/>
      <c r="F4015" s="21" t="s">
        <v>10438</v>
      </c>
      <c r="G4015" s="21"/>
      <c r="H4015" s="54">
        <v>13</v>
      </c>
      <c r="I4015" s="51"/>
      <c r="J4015" s="27"/>
      <c r="K4015" s="27"/>
      <c r="L4015" s="15">
        <v>10</v>
      </c>
      <c r="M4015" s="15"/>
      <c r="N4015" s="4" t="s">
        <v>4954</v>
      </c>
      <c r="O4015" s="4"/>
    </row>
    <row r="4016" spans="1:15" x14ac:dyDescent="0.2">
      <c r="A4016" s="2">
        <v>40007595</v>
      </c>
      <c r="B4016" s="2" t="s">
        <v>2790</v>
      </c>
      <c r="C4016" s="5" t="s">
        <v>8489</v>
      </c>
      <c r="D4016" s="21">
        <v>8</v>
      </c>
      <c r="E4016" s="21"/>
      <c r="F4016" s="21" t="s">
        <v>10438</v>
      </c>
      <c r="G4016" s="21"/>
      <c r="H4016" s="54">
        <v>14</v>
      </c>
      <c r="I4016" s="51"/>
      <c r="J4016" s="27"/>
      <c r="K4016" s="27"/>
      <c r="L4016" s="15"/>
      <c r="M4016" s="15"/>
      <c r="N4016" s="4" t="s">
        <v>5010</v>
      </c>
      <c r="O4016" s="4"/>
    </row>
    <row r="4017" spans="1:15" x14ac:dyDescent="0.2">
      <c r="A4017" s="2">
        <v>40006866</v>
      </c>
      <c r="B4017" s="2" t="s">
        <v>2162</v>
      </c>
      <c r="C4017" s="5" t="s">
        <v>7871</v>
      </c>
      <c r="D4017" s="21">
        <v>1</v>
      </c>
      <c r="E4017" s="21"/>
      <c r="F4017" s="21" t="s">
        <v>10438</v>
      </c>
      <c r="G4017" s="21"/>
      <c r="H4017" s="54">
        <v>1</v>
      </c>
      <c r="I4017" s="51"/>
      <c r="J4017" s="27"/>
      <c r="K4017" s="27"/>
      <c r="L4017" s="15"/>
      <c r="M4017" s="15"/>
      <c r="N4017" s="4" t="s">
        <v>3991</v>
      </c>
      <c r="O4017" s="4"/>
    </row>
    <row r="4018" spans="1:15" x14ac:dyDescent="0.2">
      <c r="A4018" s="2">
        <v>10019253</v>
      </c>
      <c r="B4018" s="2" t="s">
        <v>474</v>
      </c>
      <c r="C4018" s="5" t="s">
        <v>6087</v>
      </c>
      <c r="D4018" s="21">
        <v>11</v>
      </c>
      <c r="E4018" s="21"/>
      <c r="F4018" s="21" t="s">
        <v>10438</v>
      </c>
      <c r="G4018" s="21"/>
      <c r="H4018" s="54">
        <v>3</v>
      </c>
      <c r="I4018" s="51"/>
      <c r="J4018" s="27"/>
      <c r="K4018" s="27"/>
      <c r="L4018" s="15"/>
      <c r="M4018" s="15"/>
      <c r="N4018" s="4" t="s">
        <v>3954</v>
      </c>
      <c r="O4018" s="4"/>
    </row>
    <row r="4019" spans="1:15" x14ac:dyDescent="0.2">
      <c r="A4019" s="2">
        <v>40006294</v>
      </c>
      <c r="B4019" s="2" t="s">
        <v>1667</v>
      </c>
      <c r="C4019" s="5" t="s">
        <v>7375</v>
      </c>
      <c r="D4019" s="21">
        <v>18</v>
      </c>
      <c r="E4019" s="21"/>
      <c r="F4019" s="21" t="s">
        <v>10438</v>
      </c>
      <c r="G4019" s="21"/>
      <c r="H4019" s="54">
        <v>11</v>
      </c>
      <c r="I4019" s="51"/>
      <c r="J4019" s="27"/>
      <c r="K4019" s="27"/>
      <c r="L4019" s="15"/>
      <c r="M4019" s="15"/>
      <c r="N4019" s="4" t="s">
        <v>4513</v>
      </c>
      <c r="O4019" s="4"/>
    </row>
    <row r="4020" spans="1:15" x14ac:dyDescent="0.2">
      <c r="A4020" s="2">
        <v>40008085</v>
      </c>
      <c r="B4020" s="2" t="s">
        <v>3214</v>
      </c>
      <c r="C4020" s="5" t="s">
        <v>8910</v>
      </c>
      <c r="D4020" s="21">
        <v>1</v>
      </c>
      <c r="E4020" s="21"/>
      <c r="F4020" s="21" t="s">
        <v>10438</v>
      </c>
      <c r="G4020" s="21"/>
      <c r="H4020" s="54">
        <v>13</v>
      </c>
      <c r="I4020" s="51"/>
      <c r="J4020" s="27"/>
      <c r="K4020" s="27"/>
      <c r="L4020" s="15"/>
      <c r="M4020" s="15"/>
      <c r="N4020" s="4" t="s">
        <v>4551</v>
      </c>
      <c r="O4020" s="4"/>
    </row>
    <row r="4021" spans="1:15" x14ac:dyDescent="0.2">
      <c r="A4021" s="2">
        <v>40006375</v>
      </c>
      <c r="B4021" s="2" t="s">
        <v>1735</v>
      </c>
      <c r="C4021" s="5" t="s">
        <v>7446</v>
      </c>
      <c r="D4021" s="21">
        <v>1</v>
      </c>
      <c r="E4021" s="21"/>
      <c r="F4021" s="21" t="s">
        <v>10438</v>
      </c>
      <c r="G4021" s="21"/>
      <c r="H4021" s="54">
        <v>18</v>
      </c>
      <c r="I4021" s="51"/>
      <c r="J4021" s="27"/>
      <c r="K4021" s="27"/>
      <c r="L4021" s="15"/>
      <c r="M4021" s="15"/>
      <c r="N4021" s="4" t="s">
        <v>4553</v>
      </c>
      <c r="O4021" s="4"/>
    </row>
    <row r="4022" spans="1:15" x14ac:dyDescent="0.2">
      <c r="A4022" s="2">
        <v>40007538</v>
      </c>
      <c r="B4022" s="2" t="s">
        <v>2739</v>
      </c>
      <c r="C4022" s="5">
        <v>927408000</v>
      </c>
      <c r="D4022" s="21">
        <v>4</v>
      </c>
      <c r="E4022" s="21"/>
      <c r="F4022" s="21" t="s">
        <v>10438</v>
      </c>
      <c r="G4022" s="21"/>
      <c r="H4022" s="54">
        <v>10</v>
      </c>
      <c r="I4022" s="51"/>
      <c r="J4022" s="27"/>
      <c r="K4022" s="27"/>
      <c r="L4022" s="15"/>
      <c r="M4022" s="15"/>
      <c r="N4022" s="4" t="s">
        <v>4519</v>
      </c>
      <c r="O4022" s="4"/>
    </row>
    <row r="4023" spans="1:15" x14ac:dyDescent="0.2">
      <c r="A4023" s="2">
        <v>10019049</v>
      </c>
      <c r="B4023" s="2" t="s">
        <v>416</v>
      </c>
      <c r="C4023" s="5">
        <v>41154</v>
      </c>
      <c r="D4023" s="21">
        <v>9</v>
      </c>
      <c r="E4023" s="21"/>
      <c r="F4023" s="21" t="s">
        <v>10438</v>
      </c>
      <c r="G4023" s="21"/>
      <c r="H4023" s="54">
        <v>505</v>
      </c>
      <c r="I4023" s="51"/>
      <c r="J4023" s="27"/>
      <c r="K4023" s="27"/>
      <c r="L4023" s="15"/>
      <c r="M4023" s="15"/>
      <c r="N4023" s="4"/>
      <c r="O4023" s="4">
        <v>79</v>
      </c>
    </row>
    <row r="4024" spans="1:15" x14ac:dyDescent="0.2">
      <c r="A4024" s="2">
        <v>40006336</v>
      </c>
      <c r="B4024" s="7" t="s">
        <v>1702</v>
      </c>
      <c r="C4024" s="5">
        <v>3640960</v>
      </c>
      <c r="D4024" s="21">
        <v>1</v>
      </c>
      <c r="E4024" s="21"/>
      <c r="F4024" s="21" t="s">
        <v>10438</v>
      </c>
      <c r="G4024" s="21"/>
      <c r="H4024" s="54">
        <v>1132</v>
      </c>
      <c r="I4024" s="51"/>
      <c r="J4024" s="27"/>
      <c r="K4024" s="27"/>
      <c r="L4024" s="15"/>
      <c r="M4024" s="15"/>
      <c r="N4024" s="4"/>
      <c r="O4024" s="4">
        <v>21</v>
      </c>
    </row>
    <row r="4025" spans="1:15" x14ac:dyDescent="0.2">
      <c r="A4025" s="2">
        <v>40006335</v>
      </c>
      <c r="B4025" s="2" t="s">
        <v>1701</v>
      </c>
      <c r="C4025" s="5">
        <v>40167</v>
      </c>
      <c r="D4025" s="21">
        <v>1</v>
      </c>
      <c r="E4025" s="21"/>
      <c r="F4025" s="21" t="s">
        <v>10438</v>
      </c>
      <c r="G4025" s="21"/>
      <c r="H4025" s="54">
        <v>495</v>
      </c>
      <c r="I4025" s="51"/>
      <c r="J4025" s="27"/>
      <c r="K4025" s="27"/>
      <c r="L4025" s="15"/>
      <c r="M4025" s="15"/>
      <c r="N4025" s="4"/>
      <c r="O4025" s="4">
        <v>80</v>
      </c>
    </row>
    <row r="4026" spans="1:15" x14ac:dyDescent="0.2">
      <c r="A4026" s="2">
        <v>40007545</v>
      </c>
      <c r="B4026" s="2" t="s">
        <v>2746</v>
      </c>
      <c r="C4026" s="5">
        <v>40551</v>
      </c>
      <c r="D4026" s="21">
        <v>5</v>
      </c>
      <c r="E4026" s="21"/>
      <c r="F4026" s="21" t="s">
        <v>10438</v>
      </c>
      <c r="G4026" s="21"/>
      <c r="H4026" s="54">
        <v>549</v>
      </c>
      <c r="I4026" s="51"/>
      <c r="J4026" s="27"/>
      <c r="K4026" s="27"/>
      <c r="L4026" s="15"/>
      <c r="M4026" s="15"/>
      <c r="N4026" s="4"/>
      <c r="O4026" s="4">
        <v>80</v>
      </c>
    </row>
    <row r="4027" spans="1:15" x14ac:dyDescent="0.2">
      <c r="A4027" s="2">
        <v>40007375</v>
      </c>
      <c r="B4027" s="2" t="s">
        <v>2603</v>
      </c>
      <c r="C4027" s="5">
        <v>221229180</v>
      </c>
      <c r="D4027" s="21">
        <v>11</v>
      </c>
      <c r="E4027" s="21"/>
      <c r="F4027" s="21" t="s">
        <v>10438</v>
      </c>
      <c r="G4027" s="21"/>
      <c r="H4027" s="54">
        <v>14</v>
      </c>
      <c r="I4027" s="51"/>
      <c r="J4027" s="27"/>
      <c r="K4027" s="27"/>
      <c r="L4027" s="15"/>
      <c r="M4027" s="15"/>
      <c r="N4027" s="4" t="s">
        <v>4793</v>
      </c>
      <c r="O4027" s="4"/>
    </row>
    <row r="4028" spans="1:15" x14ac:dyDescent="0.2">
      <c r="A4028" s="2">
        <v>40005628</v>
      </c>
      <c r="B4028" s="2" t="s">
        <v>1071</v>
      </c>
      <c r="C4028" s="5">
        <v>3082130</v>
      </c>
      <c r="D4028" s="21"/>
      <c r="E4028" s="21"/>
      <c r="F4028" s="21" t="s">
        <v>10438</v>
      </c>
      <c r="G4028" s="21"/>
      <c r="H4028" s="54">
        <v>23</v>
      </c>
      <c r="I4028" s="51"/>
      <c r="J4028" s="27"/>
      <c r="K4028" s="27"/>
      <c r="L4028" s="15"/>
      <c r="M4028" s="15">
        <v>3</v>
      </c>
      <c r="N4028" s="4" t="s">
        <v>4182</v>
      </c>
      <c r="O4028" s="4"/>
    </row>
    <row r="4029" spans="1:15" x14ac:dyDescent="0.2">
      <c r="A4029" s="2">
        <v>40005634</v>
      </c>
      <c r="B4029" s="2" t="s">
        <v>1077</v>
      </c>
      <c r="C4029" s="5">
        <v>3640850</v>
      </c>
      <c r="D4029" s="21">
        <v>1</v>
      </c>
      <c r="E4029" s="21"/>
      <c r="F4029" s="21" t="s">
        <v>10438</v>
      </c>
      <c r="G4029" s="21"/>
      <c r="H4029" s="54">
        <v>50</v>
      </c>
      <c r="I4029" s="51"/>
      <c r="J4029" s="27"/>
      <c r="K4029" s="27"/>
      <c r="L4029" s="15"/>
      <c r="M4029" s="15"/>
      <c r="N4029" s="4" t="s">
        <v>10727</v>
      </c>
      <c r="O4029" s="4"/>
    </row>
    <row r="4030" spans="1:15" x14ac:dyDescent="0.2">
      <c r="A4030" s="2">
        <v>40006075</v>
      </c>
      <c r="B4030" s="2" t="s">
        <v>1468</v>
      </c>
      <c r="C4030" s="5" t="s">
        <v>7173</v>
      </c>
      <c r="D4030" s="21">
        <v>57</v>
      </c>
      <c r="E4030" s="21"/>
      <c r="F4030" s="21" t="s">
        <v>10438</v>
      </c>
      <c r="G4030" s="21"/>
      <c r="H4030" s="54">
        <v>4</v>
      </c>
      <c r="I4030" s="51"/>
      <c r="J4030" s="27"/>
      <c r="K4030" s="27"/>
      <c r="L4030" s="15"/>
      <c r="M4030" s="15"/>
      <c r="N4030" s="4" t="s">
        <v>4398</v>
      </c>
      <c r="O4030" s="4"/>
    </row>
    <row r="4031" spans="1:15" x14ac:dyDescent="0.2">
      <c r="A4031" s="2">
        <v>40006342</v>
      </c>
      <c r="B4031" s="2" t="s">
        <v>1707</v>
      </c>
      <c r="C4031" s="5" t="s">
        <v>7416</v>
      </c>
      <c r="D4031" s="21">
        <v>3</v>
      </c>
      <c r="E4031" s="21"/>
      <c r="F4031" s="21" t="s">
        <v>10438</v>
      </c>
      <c r="G4031" s="21"/>
      <c r="H4031" s="54">
        <v>3</v>
      </c>
      <c r="I4031" s="51"/>
      <c r="J4031" s="27"/>
      <c r="K4031" s="27"/>
      <c r="L4031" s="15"/>
      <c r="M4031" s="15">
        <v>2</v>
      </c>
      <c r="N4031" s="4" t="s">
        <v>4535</v>
      </c>
      <c r="O4031" s="4"/>
    </row>
    <row r="4032" spans="1:15" x14ac:dyDescent="0.2">
      <c r="A4032" s="2">
        <v>40006442</v>
      </c>
      <c r="B4032" s="2" t="s">
        <v>1800</v>
      </c>
      <c r="C4032" s="5" t="s">
        <v>7507</v>
      </c>
      <c r="D4032" s="21">
        <v>8</v>
      </c>
      <c r="E4032" s="21"/>
      <c r="F4032" s="21" t="s">
        <v>10438</v>
      </c>
      <c r="G4032" s="21"/>
      <c r="H4032" s="54">
        <v>3</v>
      </c>
      <c r="I4032" s="51"/>
      <c r="J4032" s="27"/>
      <c r="K4032" s="27"/>
      <c r="L4032" s="15">
        <v>5</v>
      </c>
      <c r="M4032" s="15"/>
      <c r="N4032" s="4" t="s">
        <v>4596</v>
      </c>
      <c r="O4032" s="4"/>
    </row>
    <row r="4033" spans="1:15" x14ac:dyDescent="0.2">
      <c r="A4033" s="2">
        <v>40006412</v>
      </c>
      <c r="B4033" s="2" t="s">
        <v>1771</v>
      </c>
      <c r="C4033" s="5" t="s">
        <v>7481</v>
      </c>
      <c r="D4033" s="21">
        <v>3</v>
      </c>
      <c r="E4033" s="21"/>
      <c r="F4033" s="21" t="s">
        <v>10438</v>
      </c>
      <c r="G4033" s="21"/>
      <c r="H4033" s="54">
        <v>6</v>
      </c>
      <c r="I4033" s="51"/>
      <c r="J4033" s="27"/>
      <c r="K4033" s="27"/>
      <c r="L4033" s="15"/>
      <c r="M4033" s="15"/>
      <c r="N4033" s="4" t="s">
        <v>4578</v>
      </c>
      <c r="O4033" s="4"/>
    </row>
    <row r="4034" spans="1:15" x14ac:dyDescent="0.2">
      <c r="A4034" s="2">
        <v>40010370</v>
      </c>
      <c r="B4034" s="2" t="s">
        <v>3516</v>
      </c>
      <c r="C4034" s="5" t="s">
        <v>9217</v>
      </c>
      <c r="D4034" s="21">
        <v>4</v>
      </c>
      <c r="E4034" s="21"/>
      <c r="F4034" s="21" t="s">
        <v>10438</v>
      </c>
      <c r="G4034" s="21"/>
      <c r="H4034" s="54">
        <v>7</v>
      </c>
      <c r="I4034" s="51"/>
      <c r="J4034" s="27"/>
      <c r="K4034" s="27"/>
      <c r="L4034" s="15"/>
      <c r="M4034" s="15"/>
      <c r="N4034" s="4" t="s">
        <v>5045</v>
      </c>
      <c r="O4034" s="4"/>
    </row>
    <row r="4035" spans="1:15" x14ac:dyDescent="0.2">
      <c r="A4035" s="2">
        <v>40007232</v>
      </c>
      <c r="B4035" s="2" t="s">
        <v>2488</v>
      </c>
      <c r="C4035" s="5">
        <v>226213340</v>
      </c>
      <c r="D4035" s="21">
        <v>6</v>
      </c>
      <c r="E4035" s="21"/>
      <c r="F4035" s="21" t="s">
        <v>10438</v>
      </c>
      <c r="G4035" s="21"/>
      <c r="H4035" s="54">
        <v>37</v>
      </c>
      <c r="I4035" s="51"/>
      <c r="J4035" s="27"/>
      <c r="K4035" s="27"/>
      <c r="L4035" s="15"/>
      <c r="M4035" s="15"/>
      <c r="N4035" s="4" t="s">
        <v>4885</v>
      </c>
      <c r="O4035" s="4"/>
    </row>
    <row r="4036" spans="1:15" x14ac:dyDescent="0.2">
      <c r="A4036" s="2">
        <v>40005443</v>
      </c>
      <c r="B4036" s="2" t="s">
        <v>917</v>
      </c>
      <c r="C4036" s="5" t="s">
        <v>6639</v>
      </c>
      <c r="D4036" s="21">
        <v>6</v>
      </c>
      <c r="E4036" s="21"/>
      <c r="F4036" s="21" t="s">
        <v>10438</v>
      </c>
      <c r="G4036" s="21"/>
      <c r="H4036" s="54">
        <v>355</v>
      </c>
      <c r="I4036" s="51"/>
      <c r="J4036" s="27"/>
      <c r="K4036" s="27"/>
      <c r="L4036" s="15"/>
      <c r="M4036" s="15"/>
      <c r="N4036" s="4"/>
      <c r="O4036" s="4" t="s">
        <v>10092</v>
      </c>
    </row>
    <row r="4037" spans="1:15" x14ac:dyDescent="0.2">
      <c r="A4037" s="2">
        <v>40005445</v>
      </c>
      <c r="B4037" s="2" t="s">
        <v>918</v>
      </c>
      <c r="C4037" s="5" t="s">
        <v>6640</v>
      </c>
      <c r="D4037" s="21">
        <v>1</v>
      </c>
      <c r="E4037" s="21"/>
      <c r="F4037" s="21" t="s">
        <v>10438</v>
      </c>
      <c r="G4037" s="21"/>
      <c r="H4037" s="54">
        <v>86</v>
      </c>
      <c r="I4037" s="51"/>
      <c r="J4037" s="27"/>
      <c r="K4037" s="27"/>
      <c r="L4037" s="15"/>
      <c r="M4037" s="15"/>
      <c r="N4037" s="4"/>
      <c r="O4037" s="4" t="s">
        <v>10132</v>
      </c>
    </row>
    <row r="4038" spans="1:15" x14ac:dyDescent="0.2">
      <c r="A4038" s="2">
        <v>40006099</v>
      </c>
      <c r="B4038" s="2" t="s">
        <v>1490</v>
      </c>
      <c r="C4038" s="5" t="s">
        <v>7196</v>
      </c>
      <c r="D4038" s="21">
        <v>3</v>
      </c>
      <c r="E4038" s="21"/>
      <c r="F4038" s="21" t="s">
        <v>10438</v>
      </c>
      <c r="G4038" s="21"/>
      <c r="H4038" s="54">
        <v>51</v>
      </c>
      <c r="I4038" s="51"/>
      <c r="J4038" s="27"/>
      <c r="K4038" s="27"/>
      <c r="L4038" s="15">
        <v>15</v>
      </c>
      <c r="M4038" s="15"/>
      <c r="N4038" s="4" t="s">
        <v>5007</v>
      </c>
      <c r="O4038" s="4"/>
    </row>
    <row r="4039" spans="1:15" x14ac:dyDescent="0.2">
      <c r="A4039" s="2">
        <v>40006210</v>
      </c>
      <c r="B4039" s="2" t="s">
        <v>1593</v>
      </c>
      <c r="C4039" s="5" t="s">
        <v>7300</v>
      </c>
      <c r="D4039" s="21">
        <v>1</v>
      </c>
      <c r="E4039" s="21"/>
      <c r="F4039" s="21" t="s">
        <v>10438</v>
      </c>
      <c r="G4039" s="21"/>
      <c r="H4039" s="54">
        <v>118</v>
      </c>
      <c r="I4039" s="51"/>
      <c r="J4039" s="27"/>
      <c r="K4039" s="27"/>
      <c r="L4039" s="15"/>
      <c r="M4039" s="15"/>
      <c r="N4039" s="4"/>
      <c r="O4039" s="4">
        <v>83</v>
      </c>
    </row>
    <row r="4040" spans="1:15" x14ac:dyDescent="0.2">
      <c r="A4040" s="2">
        <v>40005590</v>
      </c>
      <c r="B4040" s="2" t="s">
        <v>1038</v>
      </c>
      <c r="C4040" s="5" t="s">
        <v>6764</v>
      </c>
      <c r="D4040" s="21">
        <v>14</v>
      </c>
      <c r="E4040" s="21"/>
      <c r="F4040" s="21" t="s">
        <v>10438</v>
      </c>
      <c r="G4040" s="21"/>
      <c r="H4040" s="54">
        <v>46</v>
      </c>
      <c r="I4040" s="51"/>
      <c r="J4040" s="27"/>
      <c r="K4040" s="27"/>
      <c r="L4040" s="15"/>
      <c r="M4040" s="15"/>
      <c r="N4040" s="4"/>
      <c r="O4040" s="4">
        <v>89</v>
      </c>
    </row>
    <row r="4041" spans="1:15" x14ac:dyDescent="0.2">
      <c r="A4041" s="2">
        <v>10019402</v>
      </c>
      <c r="B4041" s="2" t="s">
        <v>509</v>
      </c>
      <c r="C4041" s="5" t="s">
        <v>6129</v>
      </c>
      <c r="D4041" s="21">
        <v>16</v>
      </c>
      <c r="E4041" s="21"/>
      <c r="F4041" s="21" t="s">
        <v>10438</v>
      </c>
      <c r="G4041" s="21"/>
      <c r="H4041" s="54">
        <v>243</v>
      </c>
      <c r="I4041" s="51"/>
      <c r="J4041" s="27"/>
      <c r="K4041" s="27"/>
      <c r="L4041" s="15"/>
      <c r="M4041" s="15"/>
      <c r="N4041" s="4">
        <v>60</v>
      </c>
      <c r="O4041" s="4"/>
    </row>
    <row r="4042" spans="1:15" x14ac:dyDescent="0.2">
      <c r="A4042" s="2">
        <v>10018202</v>
      </c>
      <c r="B4042" s="2" t="s">
        <v>101</v>
      </c>
      <c r="C4042" s="5" t="s">
        <v>5638</v>
      </c>
      <c r="D4042" s="21">
        <v>1</v>
      </c>
      <c r="E4042" s="21"/>
      <c r="F4042" s="21" t="s">
        <v>10438</v>
      </c>
      <c r="G4042" s="21"/>
      <c r="H4042" s="54">
        <v>75</v>
      </c>
      <c r="I4042" s="51"/>
      <c r="J4042" s="27"/>
      <c r="K4042" s="27"/>
      <c r="L4042" s="15"/>
      <c r="M4042" s="15"/>
      <c r="N4042" s="4"/>
      <c r="O4042" s="4"/>
    </row>
    <row r="4043" spans="1:15" x14ac:dyDescent="0.2">
      <c r="A4043" s="2">
        <v>40007402</v>
      </c>
      <c r="B4043" s="2" t="s">
        <v>3920</v>
      </c>
      <c r="C4043" s="5" t="s">
        <v>8326</v>
      </c>
      <c r="D4043" s="21">
        <v>5</v>
      </c>
      <c r="E4043" s="21"/>
      <c r="F4043" s="21" t="s">
        <v>10438</v>
      </c>
      <c r="G4043" s="21"/>
      <c r="H4043" s="54">
        <v>14</v>
      </c>
      <c r="I4043" s="51"/>
      <c r="J4043" s="27"/>
      <c r="K4043" s="27"/>
      <c r="L4043" s="15"/>
      <c r="M4043" s="15"/>
      <c r="N4043" s="4" t="s">
        <v>5295</v>
      </c>
      <c r="O4043" s="4"/>
    </row>
    <row r="4044" spans="1:15" x14ac:dyDescent="0.2">
      <c r="A4044" s="2">
        <v>40005686</v>
      </c>
      <c r="B4044" s="2" t="s">
        <v>1120</v>
      </c>
      <c r="C4044" s="5" t="s">
        <v>6838</v>
      </c>
      <c r="D4044" s="21">
        <v>3</v>
      </c>
      <c r="E4044" s="21"/>
      <c r="F4044" s="21" t="s">
        <v>10438</v>
      </c>
      <c r="G4044" s="21"/>
      <c r="H4044" s="54">
        <v>5</v>
      </c>
      <c r="I4044" s="51"/>
      <c r="J4044" s="27"/>
      <c r="K4044" s="27"/>
      <c r="L4044" s="15"/>
      <c r="M4044" s="15"/>
      <c r="N4044" s="4" t="s">
        <v>4216</v>
      </c>
      <c r="O4044" s="4"/>
    </row>
    <row r="4045" spans="1:15" x14ac:dyDescent="0.2">
      <c r="A4045" s="2">
        <v>40005801</v>
      </c>
      <c r="B4045" s="2" t="s">
        <v>1223</v>
      </c>
      <c r="C4045" s="5" t="s">
        <v>6936</v>
      </c>
      <c r="D4045" s="21">
        <v>19</v>
      </c>
      <c r="E4045" s="21"/>
      <c r="F4045" s="21" t="s">
        <v>10438</v>
      </c>
      <c r="G4045" s="21"/>
      <c r="H4045" s="54">
        <v>8</v>
      </c>
      <c r="I4045" s="51"/>
      <c r="J4045" s="27"/>
      <c r="K4045" s="27"/>
      <c r="L4045" s="15"/>
      <c r="M4045" s="15"/>
      <c r="N4045" s="4" t="s">
        <v>4268</v>
      </c>
      <c r="O4045" s="4"/>
    </row>
    <row r="4046" spans="1:15" x14ac:dyDescent="0.2">
      <c r="A4046" s="2">
        <v>40006661</v>
      </c>
      <c r="B4046" s="2" t="s">
        <v>1987</v>
      </c>
      <c r="C4046" s="5" t="s">
        <v>7696</v>
      </c>
      <c r="D4046" s="21">
        <v>3</v>
      </c>
      <c r="E4046" s="21"/>
      <c r="F4046" s="21" t="s">
        <v>10438</v>
      </c>
      <c r="G4046" s="21"/>
      <c r="H4046" s="54">
        <v>9</v>
      </c>
      <c r="I4046" s="51"/>
      <c r="J4046" s="27"/>
      <c r="K4046" s="27"/>
      <c r="L4046" s="15"/>
      <c r="M4046" s="15"/>
      <c r="N4046" s="4" t="s">
        <v>4135</v>
      </c>
      <c r="O4046" s="4"/>
    </row>
    <row r="4047" spans="1:15" x14ac:dyDescent="0.2">
      <c r="A4047" s="2">
        <v>40006059</v>
      </c>
      <c r="B4047" s="2" t="s">
        <v>1455</v>
      </c>
      <c r="C4047" s="5" t="s">
        <v>7160</v>
      </c>
      <c r="D4047" s="21">
        <v>24</v>
      </c>
      <c r="E4047" s="21"/>
      <c r="F4047" s="30">
        <v>1</v>
      </c>
      <c r="G4047" s="21"/>
      <c r="H4047" s="54">
        <v>10</v>
      </c>
      <c r="I4047" s="51"/>
      <c r="J4047" s="27"/>
      <c r="K4047" s="27"/>
      <c r="L4047" s="15"/>
      <c r="M4047" s="15"/>
      <c r="N4047" s="4" t="s">
        <v>4389</v>
      </c>
      <c r="O4047" s="4"/>
    </row>
    <row r="4048" spans="1:15" x14ac:dyDescent="0.2">
      <c r="A4048" s="2">
        <v>10018195</v>
      </c>
      <c r="B4048" s="2" t="s">
        <v>97</v>
      </c>
      <c r="C4048" s="5" t="s">
        <v>5634</v>
      </c>
      <c r="D4048" s="21">
        <v>24</v>
      </c>
      <c r="E4048" s="21"/>
      <c r="F4048" s="21" t="s">
        <v>10438</v>
      </c>
      <c r="G4048" s="21"/>
      <c r="H4048" s="54">
        <v>74</v>
      </c>
      <c r="I4048" s="51"/>
      <c r="J4048" s="27"/>
      <c r="K4048" s="27"/>
      <c r="L4048" s="15"/>
      <c r="M4048" s="15"/>
      <c r="N4048" s="4">
        <v>83</v>
      </c>
      <c r="O4048" s="4"/>
    </row>
    <row r="4049" spans="1:15" x14ac:dyDescent="0.2">
      <c r="A4049" s="2">
        <v>10018620</v>
      </c>
      <c r="B4049" s="2" t="s">
        <v>3656</v>
      </c>
      <c r="C4049" s="5" t="s">
        <v>5803</v>
      </c>
      <c r="D4049" s="21"/>
      <c r="E4049" s="21"/>
      <c r="F4049" s="21" t="s">
        <v>10438</v>
      </c>
      <c r="G4049" s="21"/>
      <c r="H4049" s="54">
        <v>48</v>
      </c>
      <c r="I4049" s="51"/>
      <c r="J4049" s="27"/>
      <c r="K4049" s="27"/>
      <c r="L4049" s="15">
        <v>10</v>
      </c>
      <c r="M4049" s="15">
        <v>10</v>
      </c>
      <c r="N4049" s="4"/>
      <c r="O4049" s="4"/>
    </row>
    <row r="4050" spans="1:15" x14ac:dyDescent="0.2">
      <c r="A4050" s="2">
        <v>10019094</v>
      </c>
      <c r="B4050" s="2" t="s">
        <v>426</v>
      </c>
      <c r="C4050" s="5" t="s">
        <v>6028</v>
      </c>
      <c r="D4050" s="21"/>
      <c r="E4050" s="21"/>
      <c r="F4050" s="21" t="s">
        <v>10438</v>
      </c>
      <c r="G4050" s="21"/>
      <c r="H4050" s="54">
        <v>62</v>
      </c>
      <c r="I4050" s="51"/>
      <c r="J4050" s="27"/>
      <c r="K4050" s="27"/>
      <c r="L4050" s="15">
        <v>15</v>
      </c>
      <c r="M4050" s="15">
        <v>20</v>
      </c>
      <c r="N4050" s="4">
        <v>83</v>
      </c>
      <c r="O4050" s="4"/>
    </row>
    <row r="4051" spans="1:15" x14ac:dyDescent="0.2">
      <c r="A4051" s="2">
        <v>10018133</v>
      </c>
      <c r="B4051" s="2" t="s">
        <v>76</v>
      </c>
      <c r="C4051" s="5" t="s">
        <v>5611</v>
      </c>
      <c r="D4051" s="21"/>
      <c r="E4051" s="21"/>
      <c r="F4051" s="21" t="s">
        <v>10438</v>
      </c>
      <c r="G4051" s="21"/>
      <c r="H4051" s="54">
        <v>90</v>
      </c>
      <c r="I4051" s="51"/>
      <c r="J4051" s="27"/>
      <c r="K4051" s="27"/>
      <c r="L4051" s="15"/>
      <c r="M4051" s="15"/>
      <c r="N4051" s="4">
        <v>83</v>
      </c>
      <c r="O4051" s="4"/>
    </row>
    <row r="4052" spans="1:15" x14ac:dyDescent="0.2">
      <c r="A4052" s="2">
        <v>10019239</v>
      </c>
      <c r="B4052" s="2" t="s">
        <v>467</v>
      </c>
      <c r="C4052" s="5" t="s">
        <v>6079</v>
      </c>
      <c r="D4052" s="21"/>
      <c r="E4052" s="21"/>
      <c r="F4052" s="21" t="s">
        <v>10438</v>
      </c>
      <c r="G4052" s="21"/>
      <c r="H4052" s="54">
        <v>29</v>
      </c>
      <c r="I4052" s="51"/>
      <c r="J4052" s="27"/>
      <c r="K4052" s="27"/>
      <c r="L4052" s="15">
        <v>10</v>
      </c>
      <c r="M4052" s="15"/>
      <c r="N4052" s="4">
        <v>56</v>
      </c>
      <c r="O4052" s="4"/>
    </row>
    <row r="4053" spans="1:15" x14ac:dyDescent="0.2">
      <c r="A4053" s="2">
        <v>10018632</v>
      </c>
      <c r="B4053" s="2" t="s">
        <v>3650</v>
      </c>
      <c r="C4053" s="5" t="s">
        <v>5807</v>
      </c>
      <c r="D4053" s="21"/>
      <c r="E4053" s="21"/>
      <c r="F4053" s="21" t="s">
        <v>10438</v>
      </c>
      <c r="G4053" s="21"/>
      <c r="H4053" s="54">
        <v>88</v>
      </c>
      <c r="I4053" s="51"/>
      <c r="J4053" s="27"/>
      <c r="K4053" s="27"/>
      <c r="L4053" s="15">
        <v>10</v>
      </c>
      <c r="M4053" s="15"/>
      <c r="N4053" s="4">
        <v>53</v>
      </c>
      <c r="O4053" s="4"/>
    </row>
    <row r="4054" spans="1:15" x14ac:dyDescent="0.2">
      <c r="A4054" s="2">
        <v>10018633</v>
      </c>
      <c r="B4054" s="2" t="s">
        <v>242</v>
      </c>
      <c r="C4054" s="5" t="s">
        <v>5808</v>
      </c>
      <c r="D4054" s="21"/>
      <c r="E4054" s="21"/>
      <c r="F4054" s="21" t="s">
        <v>10438</v>
      </c>
      <c r="G4054" s="21"/>
      <c r="H4054" s="54">
        <v>115</v>
      </c>
      <c r="I4054" s="51"/>
      <c r="J4054" s="27"/>
      <c r="K4054" s="27"/>
      <c r="L4054" s="15">
        <v>5</v>
      </c>
      <c r="M4054" s="15">
        <v>10</v>
      </c>
      <c r="N4054" s="4">
        <v>54</v>
      </c>
      <c r="O4054" s="4"/>
    </row>
    <row r="4055" spans="1:15" x14ac:dyDescent="0.2">
      <c r="A4055" s="2">
        <v>10018634</v>
      </c>
      <c r="B4055" s="2" t="s">
        <v>243</v>
      </c>
      <c r="C4055" s="5" t="s">
        <v>5809</v>
      </c>
      <c r="D4055" s="21">
        <v>10</v>
      </c>
      <c r="E4055" s="21"/>
      <c r="F4055" s="21" t="s">
        <v>10438</v>
      </c>
      <c r="G4055" s="21"/>
      <c r="H4055" s="54">
        <v>140</v>
      </c>
      <c r="I4055" s="51"/>
      <c r="J4055" s="27"/>
      <c r="K4055" s="27"/>
      <c r="L4055" s="15"/>
      <c r="M4055" s="15"/>
      <c r="N4055" s="4">
        <v>54</v>
      </c>
      <c r="O4055" s="4"/>
    </row>
    <row r="4056" spans="1:15" x14ac:dyDescent="0.2">
      <c r="A4056" s="2">
        <v>10019576</v>
      </c>
      <c r="B4056" s="2" t="s">
        <v>3649</v>
      </c>
      <c r="C4056" s="5" t="s">
        <v>9436</v>
      </c>
      <c r="D4056" s="21">
        <v>33</v>
      </c>
      <c r="E4056" s="21"/>
      <c r="F4056" s="21" t="s">
        <v>10438</v>
      </c>
      <c r="G4056" s="21"/>
      <c r="H4056" s="54">
        <v>13</v>
      </c>
      <c r="I4056" s="51"/>
      <c r="J4056" s="27"/>
      <c r="K4056" s="27"/>
      <c r="L4056" s="15"/>
      <c r="M4056" s="15"/>
      <c r="N4056" s="4">
        <v>51</v>
      </c>
      <c r="O4056" s="4"/>
    </row>
    <row r="4057" spans="1:15" x14ac:dyDescent="0.2">
      <c r="A4057" s="2">
        <v>10019578</v>
      </c>
      <c r="B4057" s="2" t="s">
        <v>552</v>
      </c>
      <c r="C4057" s="5" t="s">
        <v>6178</v>
      </c>
      <c r="D4057" s="21">
        <v>7</v>
      </c>
      <c r="E4057" s="21"/>
      <c r="F4057" s="21" t="s">
        <v>10438</v>
      </c>
      <c r="G4057" s="21"/>
      <c r="H4057" s="54">
        <v>17</v>
      </c>
      <c r="I4057" s="51"/>
      <c r="J4057" s="27"/>
      <c r="K4057" s="27"/>
      <c r="L4057" s="15"/>
      <c r="M4057" s="15"/>
      <c r="N4057" s="4">
        <v>51</v>
      </c>
      <c r="O4057" s="4"/>
    </row>
    <row r="4058" spans="1:15" x14ac:dyDescent="0.2">
      <c r="A4058" s="2">
        <v>10019579</v>
      </c>
      <c r="B4058" s="2" t="s">
        <v>553</v>
      </c>
      <c r="C4058" s="5" t="s">
        <v>6179</v>
      </c>
      <c r="D4058" s="21"/>
      <c r="E4058" s="21"/>
      <c r="F4058" s="21" t="s">
        <v>10438</v>
      </c>
      <c r="G4058" s="21"/>
      <c r="H4058" s="54">
        <v>20</v>
      </c>
      <c r="I4058" s="51"/>
      <c r="J4058" s="27"/>
      <c r="K4058" s="27"/>
      <c r="L4058" s="15"/>
      <c r="M4058" s="15"/>
      <c r="N4058" s="4">
        <v>54</v>
      </c>
      <c r="O4058" s="4"/>
    </row>
    <row r="4059" spans="1:15" x14ac:dyDescent="0.2">
      <c r="A4059" s="2">
        <v>40007643</v>
      </c>
      <c r="B4059" s="2" t="s">
        <v>2827</v>
      </c>
      <c r="C4059" s="5" t="s">
        <v>8527</v>
      </c>
      <c r="D4059" s="21">
        <v>19</v>
      </c>
      <c r="E4059" s="21"/>
      <c r="F4059" s="30">
        <v>1</v>
      </c>
      <c r="G4059" s="21"/>
      <c r="H4059" s="54">
        <v>5</v>
      </c>
      <c r="I4059" s="51"/>
      <c r="J4059" s="27"/>
      <c r="K4059" s="27"/>
      <c r="L4059" s="15"/>
      <c r="M4059" s="15">
        <v>2</v>
      </c>
      <c r="N4059" s="4" t="s">
        <v>4077</v>
      </c>
      <c r="O4059" s="4"/>
    </row>
    <row r="4060" spans="1:15" x14ac:dyDescent="0.2">
      <c r="A4060" s="2">
        <v>40007855</v>
      </c>
      <c r="B4060" s="2" t="s">
        <v>3012</v>
      </c>
      <c r="C4060" s="5" t="s">
        <v>8712</v>
      </c>
      <c r="D4060" s="21">
        <v>96</v>
      </c>
      <c r="E4060" s="21"/>
      <c r="F4060" s="21" t="s">
        <v>10438</v>
      </c>
      <c r="G4060" s="21"/>
      <c r="H4060" s="54">
        <v>10</v>
      </c>
      <c r="I4060" s="51"/>
      <c r="J4060" s="27"/>
      <c r="K4060" s="27"/>
      <c r="L4060" s="15"/>
      <c r="M4060" s="15"/>
      <c r="N4060" s="4" t="s">
        <v>4097</v>
      </c>
      <c r="O4060" s="4"/>
    </row>
    <row r="4061" spans="1:15" x14ac:dyDescent="0.2">
      <c r="A4061" s="2">
        <v>40008135</v>
      </c>
      <c r="B4061" s="2" t="s">
        <v>3258</v>
      </c>
      <c r="C4061" s="5" t="s">
        <v>8954</v>
      </c>
      <c r="D4061" s="21"/>
      <c r="E4061" s="21"/>
      <c r="F4061" s="21" t="s">
        <v>10438</v>
      </c>
      <c r="G4061" s="21"/>
      <c r="H4061" s="54">
        <v>16</v>
      </c>
      <c r="I4061" s="51"/>
      <c r="J4061" s="27"/>
      <c r="K4061" s="27"/>
      <c r="L4061" s="15"/>
      <c r="M4061" s="15"/>
      <c r="N4061" s="4" t="s">
        <v>5143</v>
      </c>
      <c r="O4061" s="4"/>
    </row>
    <row r="4062" spans="1:15" x14ac:dyDescent="0.2">
      <c r="A4062" s="2">
        <v>10019912</v>
      </c>
      <c r="B4062" s="2" t="s">
        <v>623</v>
      </c>
      <c r="C4062" s="5" t="s">
        <v>6262</v>
      </c>
      <c r="D4062" s="21">
        <v>24</v>
      </c>
      <c r="E4062" s="21"/>
      <c r="F4062" s="21" t="s">
        <v>10438</v>
      </c>
      <c r="G4062" s="21"/>
      <c r="H4062" s="54">
        <v>371</v>
      </c>
      <c r="I4062" s="51"/>
      <c r="J4062" s="27"/>
      <c r="K4062" s="27"/>
      <c r="L4062" s="15"/>
      <c r="M4062" s="15"/>
      <c r="N4062" s="4">
        <v>104</v>
      </c>
      <c r="O4062" s="4"/>
    </row>
    <row r="4063" spans="1:15" x14ac:dyDescent="0.2">
      <c r="A4063" s="2">
        <v>10019853</v>
      </c>
      <c r="B4063" s="2" t="s">
        <v>600</v>
      </c>
      <c r="C4063" s="5" t="s">
        <v>6236</v>
      </c>
      <c r="D4063" s="21">
        <v>100</v>
      </c>
      <c r="E4063" s="21"/>
      <c r="F4063" s="21" t="s">
        <v>10438</v>
      </c>
      <c r="G4063" s="21"/>
      <c r="H4063" s="54">
        <v>256</v>
      </c>
      <c r="I4063" s="51"/>
      <c r="J4063" s="27"/>
      <c r="K4063" s="27"/>
      <c r="L4063" s="15"/>
      <c r="M4063" s="15"/>
      <c r="N4063" s="4">
        <v>104</v>
      </c>
      <c r="O4063" s="4">
        <v>102</v>
      </c>
    </row>
    <row r="4064" spans="1:15" x14ac:dyDescent="0.2">
      <c r="A4064" s="2">
        <v>40007962</v>
      </c>
      <c r="B4064" s="2" t="s">
        <v>3111</v>
      </c>
      <c r="C4064" s="5" t="s">
        <v>8806</v>
      </c>
      <c r="D4064" s="21">
        <v>10</v>
      </c>
      <c r="E4064" s="21"/>
      <c r="F4064" s="21" t="s">
        <v>10438</v>
      </c>
      <c r="G4064" s="21"/>
      <c r="H4064" s="54">
        <v>38</v>
      </c>
      <c r="I4064" s="51"/>
      <c r="J4064" s="27"/>
      <c r="K4064" s="27"/>
      <c r="L4064" s="15"/>
      <c r="M4064" s="15"/>
      <c r="N4064" s="4" t="s">
        <v>5149</v>
      </c>
      <c r="O4064" s="4"/>
    </row>
    <row r="4065" spans="1:15" x14ac:dyDescent="0.2">
      <c r="A4065" s="2">
        <v>40007374</v>
      </c>
      <c r="B4065" s="2" t="s">
        <v>2602</v>
      </c>
      <c r="C4065" s="5" t="s">
        <v>8302</v>
      </c>
      <c r="D4065" s="21">
        <v>76</v>
      </c>
      <c r="E4065" s="21"/>
      <c r="F4065" s="21" t="s">
        <v>10438</v>
      </c>
      <c r="G4065" s="21"/>
      <c r="H4065" s="54">
        <v>8</v>
      </c>
      <c r="I4065" s="51"/>
      <c r="J4065" s="27"/>
      <c r="K4065" s="27"/>
      <c r="L4065" s="15"/>
      <c r="M4065" s="15"/>
      <c r="N4065" s="4" t="s">
        <v>4932</v>
      </c>
      <c r="O4065" s="4"/>
    </row>
    <row r="4066" spans="1:15" x14ac:dyDescent="0.2">
      <c r="A4066" s="2">
        <v>40006494</v>
      </c>
      <c r="B4066" s="2" t="s">
        <v>1845</v>
      </c>
      <c r="C4066" s="5" t="s">
        <v>7552</v>
      </c>
      <c r="D4066" s="21"/>
      <c r="E4066" s="21"/>
      <c r="F4066" s="21" t="s">
        <v>10438</v>
      </c>
      <c r="G4066" s="21"/>
      <c r="H4066" s="54">
        <v>50</v>
      </c>
      <c r="I4066" s="51"/>
      <c r="J4066" s="27"/>
      <c r="K4066" s="27"/>
      <c r="L4066" s="15"/>
      <c r="M4066" s="15"/>
      <c r="N4066" s="4" t="s">
        <v>4056</v>
      </c>
      <c r="O4066" s="4"/>
    </row>
    <row r="4067" spans="1:15" x14ac:dyDescent="0.2">
      <c r="A4067" s="2">
        <v>40007734</v>
      </c>
      <c r="B4067" s="2" t="s">
        <v>2909</v>
      </c>
      <c r="C4067" s="5" t="s">
        <v>8606</v>
      </c>
      <c r="D4067" s="21">
        <v>2</v>
      </c>
      <c r="E4067" s="21"/>
      <c r="F4067" s="21" t="s">
        <v>10438</v>
      </c>
      <c r="G4067" s="21"/>
      <c r="H4067" s="54">
        <v>69</v>
      </c>
      <c r="I4067" s="51"/>
      <c r="J4067" s="27"/>
      <c r="K4067" s="27"/>
      <c r="L4067" s="15"/>
      <c r="M4067" s="15"/>
      <c r="N4067" s="4" t="s">
        <v>5051</v>
      </c>
      <c r="O4067" s="4"/>
    </row>
    <row r="4068" spans="1:15" x14ac:dyDescent="0.2">
      <c r="A4068" s="2">
        <v>40010403</v>
      </c>
      <c r="B4068" s="2" t="s">
        <v>3540</v>
      </c>
      <c r="C4068" s="5" t="s">
        <v>9244</v>
      </c>
      <c r="D4068" s="21">
        <v>4</v>
      </c>
      <c r="E4068" s="21"/>
      <c r="F4068" s="21" t="s">
        <v>10438</v>
      </c>
      <c r="G4068" s="21"/>
      <c r="H4068" s="54">
        <v>85</v>
      </c>
      <c r="I4068" s="51"/>
      <c r="J4068" s="27"/>
      <c r="K4068" s="27"/>
      <c r="L4068" s="15"/>
      <c r="M4068" s="15"/>
      <c r="N4068" s="4" t="s">
        <v>5259</v>
      </c>
      <c r="O4068" s="4"/>
    </row>
    <row r="4069" spans="1:15" x14ac:dyDescent="0.2">
      <c r="A4069" s="2">
        <v>40007386</v>
      </c>
      <c r="B4069" s="2" t="s">
        <v>2613</v>
      </c>
      <c r="C4069" s="5" t="s">
        <v>8311</v>
      </c>
      <c r="D4069" s="21">
        <v>4</v>
      </c>
      <c r="E4069" s="21"/>
      <c r="F4069" s="21" t="s">
        <v>10438</v>
      </c>
      <c r="G4069" s="21"/>
      <c r="H4069" s="54">
        <v>56</v>
      </c>
      <c r="I4069" s="51"/>
      <c r="J4069" s="27"/>
      <c r="K4069" s="27"/>
      <c r="L4069" s="15"/>
      <c r="M4069" s="15"/>
      <c r="N4069" s="4" t="s">
        <v>4695</v>
      </c>
      <c r="O4069" s="4"/>
    </row>
    <row r="4070" spans="1:15" x14ac:dyDescent="0.2">
      <c r="A4070" s="2">
        <v>40006705</v>
      </c>
      <c r="B4070" s="2" t="s">
        <v>5303</v>
      </c>
      <c r="C4070" s="5" t="s">
        <v>7729</v>
      </c>
      <c r="D4070" s="21">
        <v>8</v>
      </c>
      <c r="E4070" s="21"/>
      <c r="F4070" s="21" t="s">
        <v>10438</v>
      </c>
      <c r="G4070" s="21"/>
      <c r="H4070" s="54">
        <v>46</v>
      </c>
      <c r="I4070" s="51"/>
      <c r="J4070" s="27"/>
      <c r="K4070" s="27"/>
      <c r="L4070" s="15"/>
      <c r="M4070" s="15"/>
      <c r="N4070" s="4" t="s">
        <v>3966</v>
      </c>
      <c r="O4070" s="4"/>
    </row>
    <row r="4071" spans="1:15" x14ac:dyDescent="0.2">
      <c r="A4071" s="2">
        <v>40007738</v>
      </c>
      <c r="B4071" s="2" t="s">
        <v>2913</v>
      </c>
      <c r="C4071" s="5" t="s">
        <v>8609</v>
      </c>
      <c r="D4071" s="21">
        <v>7</v>
      </c>
      <c r="E4071" s="21"/>
      <c r="F4071" s="21" t="s">
        <v>10438</v>
      </c>
      <c r="G4071" s="21"/>
      <c r="H4071" s="54">
        <v>46</v>
      </c>
      <c r="I4071" s="51"/>
      <c r="J4071" s="27"/>
      <c r="K4071" s="27"/>
      <c r="L4071" s="15"/>
      <c r="M4071" s="15"/>
      <c r="N4071" s="4" t="s">
        <v>5053</v>
      </c>
      <c r="O4071" s="4"/>
    </row>
    <row r="4072" spans="1:15" x14ac:dyDescent="0.2">
      <c r="A4072" s="2">
        <v>40006063</v>
      </c>
      <c r="B4072" s="2" t="s">
        <v>1457</v>
      </c>
      <c r="C4072" s="5" t="s">
        <v>7164</v>
      </c>
      <c r="D4072" s="21">
        <v>4</v>
      </c>
      <c r="E4072" s="21"/>
      <c r="F4072" s="30">
        <v>1</v>
      </c>
      <c r="G4072" s="21"/>
      <c r="H4072" s="54">
        <v>119</v>
      </c>
      <c r="I4072" s="51"/>
      <c r="J4072" s="27"/>
      <c r="K4072" s="27"/>
      <c r="L4072" s="15"/>
      <c r="M4072" s="15"/>
      <c r="N4072" s="4"/>
      <c r="O4072" s="4" t="s">
        <v>5232</v>
      </c>
    </row>
    <row r="4073" spans="1:15" x14ac:dyDescent="0.2">
      <c r="A4073" s="2">
        <v>40006440</v>
      </c>
      <c r="B4073" s="2" t="s">
        <v>1798</v>
      </c>
      <c r="C4073" s="5" t="s">
        <v>7505</v>
      </c>
      <c r="D4073" s="21">
        <v>42</v>
      </c>
      <c r="E4073" s="21"/>
      <c r="F4073" s="30">
        <v>8</v>
      </c>
      <c r="G4073" s="21"/>
      <c r="H4073" s="54">
        <v>153</v>
      </c>
      <c r="I4073" s="51"/>
      <c r="J4073" s="27"/>
      <c r="K4073" s="27"/>
      <c r="L4073" s="15">
        <v>30</v>
      </c>
      <c r="M4073" s="15">
        <v>20</v>
      </c>
      <c r="N4073" s="4" t="s">
        <v>4594</v>
      </c>
      <c r="O4073" s="4"/>
    </row>
    <row r="4074" spans="1:15" x14ac:dyDescent="0.2">
      <c r="A4074" s="2">
        <v>40006862</v>
      </c>
      <c r="B4074" s="2" t="s">
        <v>2160</v>
      </c>
      <c r="C4074" s="5" t="s">
        <v>7869</v>
      </c>
      <c r="D4074" s="21">
        <v>4</v>
      </c>
      <c r="E4074" s="21"/>
      <c r="F4074" s="21" t="s">
        <v>10438</v>
      </c>
      <c r="G4074" s="21"/>
      <c r="H4074" s="54">
        <v>365</v>
      </c>
      <c r="I4074" s="51"/>
      <c r="J4074" s="27"/>
      <c r="K4074" s="27"/>
      <c r="L4074" s="15"/>
      <c r="M4074" s="15"/>
      <c r="N4074" s="4"/>
      <c r="O4074" s="4">
        <v>48</v>
      </c>
    </row>
    <row r="4075" spans="1:15" x14ac:dyDescent="0.2">
      <c r="A4075" s="2">
        <v>40006123</v>
      </c>
      <c r="B4075" s="2" t="s">
        <v>1514</v>
      </c>
      <c r="C4075" s="5" t="s">
        <v>7219</v>
      </c>
      <c r="D4075" s="21">
        <v>6</v>
      </c>
      <c r="E4075" s="21"/>
      <c r="F4075" s="21" t="s">
        <v>10438</v>
      </c>
      <c r="G4075" s="21"/>
      <c r="H4075" s="54">
        <v>207</v>
      </c>
      <c r="I4075" s="51"/>
      <c r="J4075" s="27"/>
      <c r="K4075" s="27"/>
      <c r="L4075" s="15"/>
      <c r="M4075" s="15"/>
      <c r="N4075" s="4" t="s">
        <v>4143</v>
      </c>
      <c r="O4075" s="4"/>
    </row>
    <row r="4076" spans="1:15" x14ac:dyDescent="0.2">
      <c r="A4076" s="2">
        <v>40005933</v>
      </c>
      <c r="B4076" s="2" t="s">
        <v>1342</v>
      </c>
      <c r="C4076" s="5" t="s">
        <v>7048</v>
      </c>
      <c r="D4076" s="21">
        <v>7</v>
      </c>
      <c r="E4076" s="21"/>
      <c r="F4076" s="21" t="s">
        <v>10438</v>
      </c>
      <c r="G4076" s="21"/>
      <c r="H4076" s="54">
        <v>175</v>
      </c>
      <c r="I4076" s="51"/>
      <c r="J4076" s="27"/>
      <c r="K4076" s="27"/>
      <c r="L4076" s="15"/>
      <c r="M4076" s="15"/>
      <c r="N4076" s="4" t="s">
        <v>4324</v>
      </c>
      <c r="O4076" s="4"/>
    </row>
    <row r="4077" spans="1:15" x14ac:dyDescent="0.2">
      <c r="A4077" s="2">
        <v>40005785</v>
      </c>
      <c r="B4077" s="2" t="s">
        <v>3835</v>
      </c>
      <c r="C4077" s="5" t="s">
        <v>6922</v>
      </c>
      <c r="D4077" s="21">
        <v>7</v>
      </c>
      <c r="E4077" s="21"/>
      <c r="F4077" s="21" t="s">
        <v>10438</v>
      </c>
      <c r="G4077" s="21"/>
      <c r="H4077" s="54">
        <v>321</v>
      </c>
      <c r="I4077" s="51"/>
      <c r="J4077" s="27"/>
      <c r="K4077" s="27"/>
      <c r="L4077" s="15"/>
      <c r="M4077" s="15"/>
      <c r="N4077" s="4" t="s">
        <v>4260</v>
      </c>
      <c r="O4077" s="4"/>
    </row>
    <row r="4078" spans="1:15" x14ac:dyDescent="0.2">
      <c r="A4078" s="2">
        <v>40006539</v>
      </c>
      <c r="B4078" s="2" t="s">
        <v>1879</v>
      </c>
      <c r="C4078" s="5" t="s">
        <v>7587</v>
      </c>
      <c r="D4078" s="21"/>
      <c r="E4078" s="21"/>
      <c r="F4078" s="21" t="s">
        <v>10438</v>
      </c>
      <c r="G4078" s="21"/>
      <c r="H4078" s="54">
        <v>177</v>
      </c>
      <c r="I4078" s="51"/>
      <c r="J4078" s="27"/>
      <c r="K4078" s="27"/>
      <c r="L4078" s="15"/>
      <c r="M4078" s="15"/>
      <c r="N4078" s="4" t="s">
        <v>4627</v>
      </c>
      <c r="O4078" s="4"/>
    </row>
    <row r="4079" spans="1:15" x14ac:dyDescent="0.2">
      <c r="A4079" s="2">
        <v>40005361</v>
      </c>
      <c r="B4079" s="2" t="s">
        <v>843</v>
      </c>
      <c r="C4079" s="5" t="s">
        <v>6562</v>
      </c>
      <c r="D4079" s="21">
        <v>5</v>
      </c>
      <c r="E4079" s="21"/>
      <c r="F4079" s="21" t="s">
        <v>10438</v>
      </c>
      <c r="G4079" s="21"/>
      <c r="H4079" s="54">
        <v>122</v>
      </c>
      <c r="I4079" s="51"/>
      <c r="J4079" s="27"/>
      <c r="K4079" s="27"/>
      <c r="L4079" s="15"/>
      <c r="M4079" s="15"/>
      <c r="N4079" s="4" t="s">
        <v>4072</v>
      </c>
      <c r="O4079" s="4"/>
    </row>
    <row r="4080" spans="1:15" x14ac:dyDescent="0.2">
      <c r="A4080" s="2">
        <v>10018654</v>
      </c>
      <c r="B4080" s="2" t="s">
        <v>254</v>
      </c>
      <c r="C4080" s="5" t="s">
        <v>5822</v>
      </c>
      <c r="D4080" s="21"/>
      <c r="E4080" s="21"/>
      <c r="F4080" s="21" t="s">
        <v>10438</v>
      </c>
      <c r="G4080" s="21"/>
      <c r="H4080" s="54">
        <v>162</v>
      </c>
      <c r="I4080" s="51"/>
      <c r="J4080" s="27"/>
      <c r="K4080" s="27"/>
      <c r="L4080" s="15"/>
      <c r="M4080" s="15"/>
      <c r="N4080" s="4">
        <v>66</v>
      </c>
      <c r="O4080" s="4"/>
    </row>
    <row r="4081" spans="1:15" x14ac:dyDescent="0.2">
      <c r="A4081" s="2">
        <v>40007582</v>
      </c>
      <c r="B4081" s="2" t="s">
        <v>2777</v>
      </c>
      <c r="C4081" s="5" t="s">
        <v>8476</v>
      </c>
      <c r="D4081" s="21">
        <v>2</v>
      </c>
      <c r="E4081" s="21"/>
      <c r="F4081" s="21" t="s">
        <v>10438</v>
      </c>
      <c r="G4081" s="21"/>
      <c r="H4081" s="54">
        <v>376</v>
      </c>
      <c r="I4081" s="51"/>
      <c r="J4081" s="27"/>
      <c r="K4081" s="27"/>
      <c r="L4081" s="15"/>
      <c r="M4081" s="15"/>
      <c r="N4081" s="4" t="s">
        <v>4232</v>
      </c>
      <c r="O4081" s="4"/>
    </row>
    <row r="4082" spans="1:15" x14ac:dyDescent="0.2">
      <c r="A4082" s="2">
        <v>40007583</v>
      </c>
      <c r="B4082" s="2" t="s">
        <v>2778</v>
      </c>
      <c r="C4082" s="5" t="s">
        <v>8477</v>
      </c>
      <c r="D4082" s="21">
        <v>2</v>
      </c>
      <c r="E4082" s="21"/>
      <c r="F4082" s="21" t="s">
        <v>10438</v>
      </c>
      <c r="G4082" s="21"/>
      <c r="H4082" s="54">
        <v>224</v>
      </c>
      <c r="I4082" s="51"/>
      <c r="J4082" s="27"/>
      <c r="K4082" s="27"/>
      <c r="L4082" s="15"/>
      <c r="M4082" s="15"/>
      <c r="N4082" s="4" t="s">
        <v>4535</v>
      </c>
      <c r="O4082" s="4"/>
    </row>
    <row r="4083" spans="1:15" x14ac:dyDescent="0.2">
      <c r="A4083" s="2">
        <v>40010320</v>
      </c>
      <c r="B4083" s="2" t="s">
        <v>3852</v>
      </c>
      <c r="C4083" s="5" t="s">
        <v>9200</v>
      </c>
      <c r="D4083" s="21">
        <v>1</v>
      </c>
      <c r="E4083" s="21"/>
      <c r="F4083" s="21" t="s">
        <v>10438</v>
      </c>
      <c r="G4083" s="21"/>
      <c r="H4083" s="54">
        <v>91</v>
      </c>
      <c r="I4083" s="51"/>
      <c r="J4083" s="27"/>
      <c r="K4083" s="27"/>
      <c r="L4083" s="15"/>
      <c r="M4083" s="15"/>
      <c r="N4083" s="4" t="s">
        <v>5266</v>
      </c>
      <c r="O4083" s="4"/>
    </row>
    <row r="4084" spans="1:15" x14ac:dyDescent="0.2">
      <c r="A4084" s="2">
        <v>40007493</v>
      </c>
      <c r="B4084" s="2" t="s">
        <v>2703</v>
      </c>
      <c r="C4084" s="5" t="s">
        <v>8405</v>
      </c>
      <c r="D4084" s="21">
        <v>5</v>
      </c>
      <c r="E4084" s="21"/>
      <c r="F4084" s="21" t="s">
        <v>10438</v>
      </c>
      <c r="G4084" s="21"/>
      <c r="H4084" s="54">
        <v>367</v>
      </c>
      <c r="I4084" s="51"/>
      <c r="J4084" s="27"/>
      <c r="K4084" s="27"/>
      <c r="L4084" s="15"/>
      <c r="M4084" s="15"/>
      <c r="N4084" s="4" t="s">
        <v>4975</v>
      </c>
      <c r="O4084" s="4">
        <v>72</v>
      </c>
    </row>
    <row r="4085" spans="1:15" x14ac:dyDescent="0.2">
      <c r="A4085" s="2">
        <v>40010264</v>
      </c>
      <c r="B4085" s="2" t="s">
        <v>3457</v>
      </c>
      <c r="C4085" s="5" t="s">
        <v>9151</v>
      </c>
      <c r="D4085" s="21">
        <v>3</v>
      </c>
      <c r="E4085" s="21"/>
      <c r="F4085" s="21" t="s">
        <v>10438</v>
      </c>
      <c r="G4085" s="21"/>
      <c r="H4085" s="54">
        <v>2</v>
      </c>
      <c r="I4085" s="51"/>
      <c r="J4085" s="27"/>
      <c r="K4085" s="27"/>
      <c r="L4085" s="15"/>
      <c r="M4085" s="15"/>
      <c r="N4085" s="4" t="s">
        <v>5254</v>
      </c>
      <c r="O4085" s="4"/>
    </row>
    <row r="4086" spans="1:15" x14ac:dyDescent="0.2">
      <c r="A4086" s="2">
        <v>40007621</v>
      </c>
      <c r="B4086" s="2" t="s">
        <v>2808</v>
      </c>
      <c r="C4086" s="5" t="s">
        <v>8508</v>
      </c>
      <c r="D4086" s="21">
        <v>119</v>
      </c>
      <c r="E4086" s="21"/>
      <c r="F4086" s="30">
        <v>4</v>
      </c>
      <c r="G4086" s="21"/>
      <c r="H4086" s="54">
        <v>34</v>
      </c>
      <c r="I4086" s="51"/>
      <c r="J4086" s="27"/>
      <c r="K4086" s="27"/>
      <c r="L4086" s="15"/>
      <c r="M4086" s="15">
        <v>26</v>
      </c>
      <c r="N4086" s="4" t="s">
        <v>5015</v>
      </c>
      <c r="O4086" s="4"/>
    </row>
    <row r="4087" spans="1:15" x14ac:dyDescent="0.2">
      <c r="A4087" s="2">
        <v>40006347</v>
      </c>
      <c r="B4087" s="2" t="s">
        <v>1711</v>
      </c>
      <c r="C4087" s="5" t="s">
        <v>7420</v>
      </c>
      <c r="D4087" s="21"/>
      <c r="E4087" s="21"/>
      <c r="F4087" s="21" t="s">
        <v>10438</v>
      </c>
      <c r="G4087" s="21"/>
      <c r="H4087" s="54">
        <v>341</v>
      </c>
      <c r="I4087" s="51"/>
      <c r="J4087" s="27"/>
      <c r="K4087" s="27"/>
      <c r="L4087" s="15"/>
      <c r="M4087" s="15"/>
      <c r="N4087" s="4" t="s">
        <v>4538</v>
      </c>
      <c r="O4087" s="4"/>
    </row>
    <row r="4088" spans="1:15" x14ac:dyDescent="0.2">
      <c r="A4088" s="2">
        <v>40006144</v>
      </c>
      <c r="B4088" s="2" t="s">
        <v>1535</v>
      </c>
      <c r="C4088" s="5" t="s">
        <v>7239</v>
      </c>
      <c r="D4088" s="21">
        <v>10</v>
      </c>
      <c r="E4088" s="21"/>
      <c r="F4088" s="21" t="s">
        <v>10438</v>
      </c>
      <c r="G4088" s="21"/>
      <c r="H4088" s="54">
        <v>19</v>
      </c>
      <c r="I4088" s="51"/>
      <c r="J4088" s="27"/>
      <c r="K4088" s="27"/>
      <c r="L4088" s="15"/>
      <c r="M4088" s="15"/>
      <c r="N4088" s="4" t="s">
        <v>4439</v>
      </c>
      <c r="O4088" s="4"/>
    </row>
    <row r="4089" spans="1:15" x14ac:dyDescent="0.2">
      <c r="A4089" s="2">
        <v>40006222</v>
      </c>
      <c r="B4089" s="2" t="s">
        <v>1603</v>
      </c>
      <c r="C4089" s="5" t="s">
        <v>7308</v>
      </c>
      <c r="D4089" s="21">
        <v>1</v>
      </c>
      <c r="E4089" s="21"/>
      <c r="F4089" s="21" t="s">
        <v>10438</v>
      </c>
      <c r="G4089" s="21"/>
      <c r="H4089" s="54">
        <v>41</v>
      </c>
      <c r="I4089" s="51"/>
      <c r="J4089" s="27"/>
      <c r="K4089" s="27"/>
      <c r="L4089" s="15"/>
      <c r="M4089" s="15"/>
      <c r="N4089" s="4"/>
      <c r="O4089" s="4">
        <v>75</v>
      </c>
    </row>
    <row r="4090" spans="1:15" x14ac:dyDescent="0.2">
      <c r="A4090" s="2">
        <v>40007472</v>
      </c>
      <c r="B4090" s="2" t="s">
        <v>5397</v>
      </c>
      <c r="C4090" s="5" t="s">
        <v>8385</v>
      </c>
      <c r="D4090" s="21">
        <v>12</v>
      </c>
      <c r="E4090" s="21"/>
      <c r="F4090" s="21" t="s">
        <v>10438</v>
      </c>
      <c r="G4090" s="21"/>
      <c r="H4090" s="54">
        <v>340</v>
      </c>
      <c r="I4090" s="51"/>
      <c r="J4090" s="27"/>
      <c r="K4090" s="27"/>
      <c r="L4090" s="15">
        <v>5</v>
      </c>
      <c r="M4090" s="15">
        <v>15</v>
      </c>
      <c r="N4090" s="4">
        <v>6</v>
      </c>
      <c r="O4090" s="4">
        <v>18</v>
      </c>
    </row>
    <row r="4091" spans="1:15" x14ac:dyDescent="0.2">
      <c r="A4091" s="2">
        <v>40007480</v>
      </c>
      <c r="B4091" s="2" t="s">
        <v>2691</v>
      </c>
      <c r="C4091" s="5" t="s">
        <v>8392</v>
      </c>
      <c r="D4091" s="21">
        <v>8</v>
      </c>
      <c r="E4091" s="21"/>
      <c r="F4091" s="21" t="s">
        <v>10438</v>
      </c>
      <c r="G4091" s="21"/>
      <c r="H4091" s="54">
        <v>266</v>
      </c>
      <c r="I4091" s="51"/>
      <c r="J4091" s="27"/>
      <c r="K4091" s="27"/>
      <c r="L4091" s="15"/>
      <c r="M4091" s="15"/>
      <c r="N4091" s="4" t="s">
        <v>4974</v>
      </c>
      <c r="O4091" s="4">
        <v>60</v>
      </c>
    </row>
    <row r="4092" spans="1:15" x14ac:dyDescent="0.2">
      <c r="A4092" s="2">
        <v>40007499</v>
      </c>
      <c r="B4092" s="2" t="s">
        <v>2708</v>
      </c>
      <c r="C4092" s="5" t="s">
        <v>8410</v>
      </c>
      <c r="D4092" s="21">
        <v>10</v>
      </c>
      <c r="E4092" s="21"/>
      <c r="F4092" s="21" t="s">
        <v>10438</v>
      </c>
      <c r="G4092" s="21"/>
      <c r="H4092" s="54">
        <v>225</v>
      </c>
      <c r="I4092" s="51"/>
      <c r="J4092" s="27"/>
      <c r="K4092" s="27"/>
      <c r="L4092" s="15"/>
      <c r="M4092" s="15"/>
      <c r="N4092" s="4" t="s">
        <v>4979</v>
      </c>
      <c r="O4092" s="4">
        <v>98</v>
      </c>
    </row>
    <row r="4093" spans="1:15" x14ac:dyDescent="0.2">
      <c r="A4093" s="2">
        <v>40007743</v>
      </c>
      <c r="B4093" s="2" t="s">
        <v>2918</v>
      </c>
      <c r="C4093" s="5" t="s">
        <v>8614</v>
      </c>
      <c r="D4093" s="21">
        <v>7</v>
      </c>
      <c r="E4093" s="21"/>
      <c r="F4093" s="21" t="s">
        <v>10438</v>
      </c>
      <c r="G4093" s="21"/>
      <c r="H4093" s="54">
        <v>186</v>
      </c>
      <c r="I4093" s="51"/>
      <c r="J4093" s="27"/>
      <c r="K4093" s="27"/>
      <c r="L4093" s="15"/>
      <c r="M4093" s="15"/>
      <c r="N4093" s="4"/>
      <c r="O4093" s="4">
        <v>98</v>
      </c>
    </row>
    <row r="4094" spans="1:15" x14ac:dyDescent="0.2">
      <c r="A4094" s="2">
        <v>40007475</v>
      </c>
      <c r="B4094" s="2" t="s">
        <v>2686</v>
      </c>
      <c r="C4094" s="5" t="s">
        <v>8387</v>
      </c>
      <c r="D4094" s="21">
        <v>12</v>
      </c>
      <c r="E4094" s="21"/>
      <c r="F4094" s="21" t="s">
        <v>10438</v>
      </c>
      <c r="G4094" s="21"/>
      <c r="H4094" s="54">
        <v>981</v>
      </c>
      <c r="I4094" s="51"/>
      <c r="J4094" s="27"/>
      <c r="K4094" s="27"/>
      <c r="L4094" s="15"/>
      <c r="M4094" s="15"/>
      <c r="N4094" s="4">
        <v>2</v>
      </c>
      <c r="O4094" s="4">
        <v>93</v>
      </c>
    </row>
    <row r="4095" spans="1:15" x14ac:dyDescent="0.2">
      <c r="A4095" s="2">
        <v>40007750</v>
      </c>
      <c r="B4095" s="2" t="s">
        <v>2924</v>
      </c>
      <c r="C4095" s="5" t="s">
        <v>8621</v>
      </c>
      <c r="D4095" s="21">
        <v>3</v>
      </c>
      <c r="E4095" s="21"/>
      <c r="F4095" s="21" t="s">
        <v>10438</v>
      </c>
      <c r="G4095" s="21"/>
      <c r="H4095" s="54">
        <v>586</v>
      </c>
      <c r="I4095" s="51"/>
      <c r="J4095" s="27"/>
      <c r="K4095" s="27"/>
      <c r="L4095" s="15"/>
      <c r="M4095" s="15"/>
      <c r="N4095" s="4">
        <v>23</v>
      </c>
      <c r="O4095" s="4"/>
    </row>
    <row r="4096" spans="1:15" x14ac:dyDescent="0.2">
      <c r="A4096" s="2">
        <v>40007051</v>
      </c>
      <c r="B4096" s="2" t="s">
        <v>2328</v>
      </c>
      <c r="C4096" s="5" t="s">
        <v>8037</v>
      </c>
      <c r="D4096" s="21">
        <v>4</v>
      </c>
      <c r="E4096" s="21"/>
      <c r="F4096" s="21" t="s">
        <v>10438</v>
      </c>
      <c r="G4096" s="21"/>
      <c r="H4096" s="54">
        <v>347</v>
      </c>
      <c r="I4096" s="51"/>
      <c r="J4096" s="27"/>
      <c r="K4096" s="27"/>
      <c r="L4096" s="15"/>
      <c r="M4096" s="15"/>
      <c r="N4096" s="4">
        <v>86</v>
      </c>
      <c r="O4096" s="4"/>
    </row>
    <row r="4097" spans="1:15" x14ac:dyDescent="0.2">
      <c r="A4097" s="2">
        <v>40007042</v>
      </c>
      <c r="B4097" s="2" t="s">
        <v>2321</v>
      </c>
      <c r="C4097" s="5" t="s">
        <v>8031</v>
      </c>
      <c r="D4097" s="21">
        <v>6</v>
      </c>
      <c r="E4097" s="21"/>
      <c r="F4097" s="21" t="s">
        <v>10438</v>
      </c>
      <c r="G4097" s="21"/>
      <c r="H4097" s="54">
        <v>627</v>
      </c>
      <c r="I4097" s="51"/>
      <c r="J4097" s="27"/>
      <c r="K4097" s="27"/>
      <c r="L4097" s="15"/>
      <c r="M4097" s="15"/>
      <c r="N4097" s="4">
        <v>85</v>
      </c>
      <c r="O4097" s="4"/>
    </row>
    <row r="4098" spans="1:15" x14ac:dyDescent="0.2">
      <c r="A4098" s="2">
        <v>40007188</v>
      </c>
      <c r="B4098" s="2" t="s">
        <v>2454</v>
      </c>
      <c r="C4098" s="5" t="s">
        <v>8157</v>
      </c>
      <c r="D4098" s="21">
        <v>21</v>
      </c>
      <c r="E4098" s="21"/>
      <c r="F4098" s="21" t="s">
        <v>10438</v>
      </c>
      <c r="G4098" s="21"/>
      <c r="H4098" s="54">
        <v>41</v>
      </c>
      <c r="I4098" s="51"/>
      <c r="J4098" s="27"/>
      <c r="K4098" s="27"/>
      <c r="L4098" s="15"/>
      <c r="M4098" s="15"/>
      <c r="N4098" s="4" t="s">
        <v>4606</v>
      </c>
      <c r="O4098" s="4"/>
    </row>
    <row r="4099" spans="1:15" x14ac:dyDescent="0.2">
      <c r="A4099" s="2">
        <v>40007058</v>
      </c>
      <c r="B4099" s="2" t="s">
        <v>2335</v>
      </c>
      <c r="C4099" s="5" t="s">
        <v>8044</v>
      </c>
      <c r="D4099" s="21">
        <v>2</v>
      </c>
      <c r="E4099" s="21"/>
      <c r="F4099" s="21" t="s">
        <v>10438</v>
      </c>
      <c r="G4099" s="21"/>
      <c r="H4099" s="54">
        <v>673</v>
      </c>
      <c r="I4099" s="51"/>
      <c r="J4099" s="27"/>
      <c r="K4099" s="27"/>
      <c r="L4099" s="15"/>
      <c r="M4099" s="15"/>
      <c r="N4099" s="4">
        <v>85</v>
      </c>
      <c r="O4099" s="4"/>
    </row>
    <row r="4100" spans="1:15" x14ac:dyDescent="0.2">
      <c r="A4100" s="2">
        <v>10019954</v>
      </c>
      <c r="B4100" s="2" t="s">
        <v>642</v>
      </c>
      <c r="C4100" s="5" t="s">
        <v>6282</v>
      </c>
      <c r="D4100" s="21">
        <v>14</v>
      </c>
      <c r="E4100" s="21"/>
      <c r="F4100" s="21" t="s">
        <v>10438</v>
      </c>
      <c r="G4100" s="21"/>
      <c r="H4100" s="54">
        <v>16</v>
      </c>
      <c r="I4100" s="51"/>
      <c r="J4100" s="27"/>
      <c r="K4100" s="27"/>
      <c r="L4100" s="15"/>
      <c r="M4100" s="15"/>
      <c r="N4100" s="4" t="s">
        <v>3956</v>
      </c>
      <c r="O4100" s="4"/>
    </row>
    <row r="4101" spans="1:15" x14ac:dyDescent="0.2">
      <c r="A4101" s="2">
        <v>10019955</v>
      </c>
      <c r="B4101" s="2" t="s">
        <v>643</v>
      </c>
      <c r="C4101" s="5" t="s">
        <v>6283</v>
      </c>
      <c r="D4101" s="21">
        <v>7</v>
      </c>
      <c r="E4101" s="21"/>
      <c r="F4101" s="30">
        <v>1</v>
      </c>
      <c r="G4101" s="21"/>
      <c r="H4101" s="54">
        <v>97</v>
      </c>
      <c r="I4101" s="51"/>
      <c r="J4101" s="27"/>
      <c r="K4101" s="27"/>
      <c r="L4101" s="15">
        <v>20</v>
      </c>
      <c r="M4101" s="15">
        <v>30</v>
      </c>
      <c r="N4101" s="4" t="s">
        <v>3941</v>
      </c>
      <c r="O4101" s="4"/>
    </row>
    <row r="4102" spans="1:15" x14ac:dyDescent="0.2">
      <c r="A4102" s="2">
        <v>10019957</v>
      </c>
      <c r="B4102" s="2" t="s">
        <v>644</v>
      </c>
      <c r="C4102" s="5" t="s">
        <v>6284</v>
      </c>
      <c r="D4102" s="21">
        <v>8</v>
      </c>
      <c r="E4102" s="21"/>
      <c r="F4102" s="21" t="s">
        <v>10438</v>
      </c>
      <c r="G4102" s="21"/>
      <c r="H4102" s="54">
        <v>75</v>
      </c>
      <c r="I4102" s="51"/>
      <c r="J4102" s="27"/>
      <c r="K4102" s="27"/>
      <c r="L4102" s="15"/>
      <c r="M4102" s="15"/>
      <c r="N4102" s="4" t="s">
        <v>3941</v>
      </c>
      <c r="O4102" s="4" t="s">
        <v>10205</v>
      </c>
    </row>
    <row r="4103" spans="1:15" x14ac:dyDescent="0.2">
      <c r="A4103" s="2">
        <v>40007052</v>
      </c>
      <c r="B4103" s="2" t="s">
        <v>2329</v>
      </c>
      <c r="C4103" s="5" t="s">
        <v>8038</v>
      </c>
      <c r="D4103" s="21">
        <v>26</v>
      </c>
      <c r="E4103" s="21"/>
      <c r="F4103" s="21" t="s">
        <v>10438</v>
      </c>
      <c r="G4103" s="21"/>
      <c r="H4103" s="54">
        <v>52</v>
      </c>
      <c r="I4103" s="51"/>
      <c r="J4103" s="27"/>
      <c r="K4103" s="27"/>
      <c r="L4103" s="15"/>
      <c r="M4103" s="15"/>
      <c r="N4103" s="4" t="s">
        <v>4807</v>
      </c>
      <c r="O4103" s="4"/>
    </row>
    <row r="4104" spans="1:15" x14ac:dyDescent="0.2">
      <c r="A4104" s="2">
        <v>40007189</v>
      </c>
      <c r="B4104" s="2" t="s">
        <v>2455</v>
      </c>
      <c r="C4104" s="5" t="s">
        <v>8158</v>
      </c>
      <c r="D4104" s="21">
        <v>9</v>
      </c>
      <c r="E4104" s="21"/>
      <c r="F4104" s="21" t="s">
        <v>10438</v>
      </c>
      <c r="G4104" s="21"/>
      <c r="H4104" s="54">
        <v>1</v>
      </c>
      <c r="I4104" s="51"/>
      <c r="J4104" s="27"/>
      <c r="K4104" s="27"/>
      <c r="L4104" s="15"/>
      <c r="M4104" s="15"/>
      <c r="N4104" s="4" t="s">
        <v>4866</v>
      </c>
      <c r="O4104" s="4"/>
    </row>
    <row r="4105" spans="1:15" x14ac:dyDescent="0.2">
      <c r="A4105" s="2">
        <v>40007327</v>
      </c>
      <c r="B4105" s="2" t="s">
        <v>2567</v>
      </c>
      <c r="C4105" s="5" t="s">
        <v>8261</v>
      </c>
      <c r="D4105" s="21">
        <v>12</v>
      </c>
      <c r="E4105" s="21"/>
      <c r="F4105" s="30">
        <v>1</v>
      </c>
      <c r="G4105" s="21"/>
      <c r="H4105" s="54">
        <v>27</v>
      </c>
      <c r="I4105" s="51"/>
      <c r="J4105" s="27"/>
      <c r="K4105" s="27"/>
      <c r="L4105" s="15">
        <v>10</v>
      </c>
      <c r="M4105" s="15"/>
      <c r="N4105" s="4" t="s">
        <v>4334</v>
      </c>
      <c r="O4105" s="4" t="s">
        <v>10138</v>
      </c>
    </row>
    <row r="4106" spans="1:15" x14ac:dyDescent="0.2">
      <c r="A4106" s="2">
        <v>10018188</v>
      </c>
      <c r="B4106" s="2" t="s">
        <v>9464</v>
      </c>
      <c r="C4106" s="5" t="s">
        <v>9509</v>
      </c>
      <c r="D4106" s="21">
        <v>2</v>
      </c>
      <c r="E4106" s="21"/>
      <c r="F4106" s="21" t="s">
        <v>10438</v>
      </c>
      <c r="G4106" s="21"/>
      <c r="H4106" s="54">
        <v>11515</v>
      </c>
      <c r="I4106" s="51"/>
      <c r="J4106" s="27"/>
      <c r="K4106" s="27"/>
      <c r="L4106" s="15"/>
      <c r="M4106" s="15"/>
      <c r="N4106" s="4"/>
      <c r="O4106" s="4"/>
    </row>
    <row r="4107" spans="1:15" x14ac:dyDescent="0.2">
      <c r="A4107" s="2">
        <v>10018691</v>
      </c>
      <c r="B4107" s="2" t="s">
        <v>9465</v>
      </c>
      <c r="C4107" s="5" t="s">
        <v>9510</v>
      </c>
      <c r="D4107" s="21">
        <v>2</v>
      </c>
      <c r="E4107" s="21"/>
      <c r="F4107" s="21" t="s">
        <v>10438</v>
      </c>
      <c r="G4107" s="21"/>
      <c r="H4107" s="54">
        <v>2550</v>
      </c>
      <c r="I4107" s="51">
        <v>2350</v>
      </c>
      <c r="J4107" s="27"/>
      <c r="K4107" s="27"/>
      <c r="L4107" s="15"/>
      <c r="M4107" s="15"/>
      <c r="N4107" s="4"/>
      <c r="O4107" s="4"/>
    </row>
    <row r="4108" spans="1:15" x14ac:dyDescent="0.2">
      <c r="A4108" s="2">
        <v>10018436</v>
      </c>
      <c r="B4108" s="2" t="s">
        <v>9466</v>
      </c>
      <c r="C4108" s="5" t="s">
        <v>9511</v>
      </c>
      <c r="D4108" s="21">
        <v>9</v>
      </c>
      <c r="E4108" s="21"/>
      <c r="F4108" s="21" t="s">
        <v>10438</v>
      </c>
      <c r="G4108" s="21"/>
      <c r="H4108" s="54">
        <v>3070</v>
      </c>
      <c r="I4108" s="51">
        <v>2825</v>
      </c>
      <c r="J4108" s="27"/>
      <c r="K4108" s="27"/>
      <c r="L4108" s="15"/>
      <c r="M4108" s="15"/>
      <c r="N4108" s="4"/>
      <c r="O4108" s="4"/>
    </row>
    <row r="4109" spans="1:15" x14ac:dyDescent="0.2">
      <c r="A4109" s="2">
        <v>10017970</v>
      </c>
      <c r="B4109" s="2" t="s">
        <v>9467</v>
      </c>
      <c r="C4109" s="5" t="s">
        <v>9512</v>
      </c>
      <c r="D4109" s="21"/>
      <c r="E4109" s="21"/>
      <c r="F4109" s="21" t="s">
        <v>10438</v>
      </c>
      <c r="G4109" s="21"/>
      <c r="H4109" s="54">
        <v>7965</v>
      </c>
      <c r="I4109" s="51">
        <v>6775</v>
      </c>
      <c r="J4109" s="27"/>
      <c r="K4109" s="27"/>
      <c r="L4109" s="15"/>
      <c r="M4109" s="15">
        <v>3</v>
      </c>
      <c r="N4109" s="4"/>
      <c r="O4109" s="4" t="s">
        <v>10452</v>
      </c>
    </row>
    <row r="4110" spans="1:15" x14ac:dyDescent="0.2">
      <c r="A4110" s="2">
        <v>10017982</v>
      </c>
      <c r="B4110" s="2" t="s">
        <v>9468</v>
      </c>
      <c r="C4110" s="5" t="s">
        <v>9513</v>
      </c>
      <c r="D4110" s="21"/>
      <c r="E4110" s="21"/>
      <c r="F4110" s="21" t="s">
        <v>10438</v>
      </c>
      <c r="G4110" s="21"/>
      <c r="H4110" s="54">
        <v>1260</v>
      </c>
      <c r="I4110" s="51">
        <v>1160</v>
      </c>
      <c r="J4110" s="27"/>
      <c r="K4110" s="27"/>
      <c r="L4110" s="15">
        <v>5</v>
      </c>
      <c r="M4110" s="15"/>
      <c r="N4110" s="4"/>
      <c r="O4110" s="4"/>
    </row>
    <row r="4111" spans="1:15" x14ac:dyDescent="0.2">
      <c r="A4111" s="2">
        <v>10018245</v>
      </c>
      <c r="B4111" s="2" t="s">
        <v>9469</v>
      </c>
      <c r="C4111" s="5" t="s">
        <v>9489</v>
      </c>
      <c r="D4111" s="21">
        <v>4</v>
      </c>
      <c r="E4111" s="21"/>
      <c r="F4111" s="21" t="s">
        <v>10438</v>
      </c>
      <c r="G4111" s="21"/>
      <c r="H4111" s="54">
        <v>788</v>
      </c>
      <c r="I4111" s="51"/>
      <c r="J4111" s="27"/>
      <c r="K4111" s="27"/>
      <c r="L4111" s="15">
        <v>3</v>
      </c>
      <c r="M4111" s="15">
        <v>5</v>
      </c>
      <c r="N4111" s="4"/>
      <c r="O4111" s="4"/>
    </row>
    <row r="4112" spans="1:15" x14ac:dyDescent="0.2">
      <c r="A4112" s="2">
        <v>10018304</v>
      </c>
      <c r="B4112" s="2" t="s">
        <v>9470</v>
      </c>
      <c r="C4112" s="56" t="s">
        <v>9490</v>
      </c>
      <c r="D4112" s="21">
        <v>11</v>
      </c>
      <c r="E4112" s="21"/>
      <c r="F4112" s="21" t="s">
        <v>10438</v>
      </c>
      <c r="G4112" s="21"/>
      <c r="H4112" s="54">
        <v>135</v>
      </c>
      <c r="I4112" s="51"/>
      <c r="J4112" s="27"/>
      <c r="K4112" s="27"/>
      <c r="L4112" s="15"/>
      <c r="M4112" s="15"/>
      <c r="N4112" s="4">
        <v>81</v>
      </c>
      <c r="O4112" s="4"/>
    </row>
    <row r="4113" spans="1:15" x14ac:dyDescent="0.2">
      <c r="A4113" s="2">
        <v>40010588</v>
      </c>
      <c r="B4113" s="2" t="s">
        <v>9471</v>
      </c>
      <c r="C4113" s="5" t="s">
        <v>9491</v>
      </c>
      <c r="D4113" s="21"/>
      <c r="E4113" s="21"/>
      <c r="F4113" s="21" t="s">
        <v>10438</v>
      </c>
      <c r="G4113" s="21"/>
      <c r="H4113" s="54">
        <v>99</v>
      </c>
      <c r="I4113" s="51"/>
      <c r="J4113" s="27"/>
      <c r="K4113" s="27"/>
      <c r="L4113" s="15"/>
      <c r="M4113" s="15">
        <v>4</v>
      </c>
      <c r="N4113" s="4" t="s">
        <v>9515</v>
      </c>
      <c r="O4113" s="4"/>
    </row>
    <row r="4114" spans="1:15" x14ac:dyDescent="0.2">
      <c r="A4114" s="2">
        <v>40005444</v>
      </c>
      <c r="B4114" s="2" t="s">
        <v>9472</v>
      </c>
      <c r="C4114" s="5" t="s">
        <v>9492</v>
      </c>
      <c r="D4114" s="21">
        <v>2</v>
      </c>
      <c r="E4114" s="21"/>
      <c r="F4114" s="21" t="s">
        <v>10438</v>
      </c>
      <c r="G4114" s="21"/>
      <c r="H4114" s="54">
        <v>139</v>
      </c>
      <c r="I4114" s="51"/>
      <c r="J4114" s="27"/>
      <c r="K4114" s="27"/>
      <c r="L4114" s="15"/>
      <c r="M4114" s="15"/>
      <c r="N4114" s="4" t="s">
        <v>4107</v>
      </c>
      <c r="O4114" s="4"/>
    </row>
    <row r="4115" spans="1:15" x14ac:dyDescent="0.2">
      <c r="A4115" s="2">
        <v>40007827</v>
      </c>
      <c r="B4115" s="2" t="s">
        <v>9473</v>
      </c>
      <c r="C4115" s="5" t="s">
        <v>9493</v>
      </c>
      <c r="D4115" s="21">
        <v>5</v>
      </c>
      <c r="E4115" s="21"/>
      <c r="F4115" s="21" t="s">
        <v>10438</v>
      </c>
      <c r="G4115" s="21"/>
      <c r="H4115" s="54">
        <v>180</v>
      </c>
      <c r="I4115" s="51"/>
      <c r="J4115" s="27"/>
      <c r="K4115" s="27"/>
      <c r="L4115" s="15"/>
      <c r="M4115" s="15"/>
      <c r="N4115" s="4"/>
      <c r="O4115" s="4">
        <v>79</v>
      </c>
    </row>
    <row r="4116" spans="1:15" x14ac:dyDescent="0.2">
      <c r="A4116" s="2">
        <v>40006673</v>
      </c>
      <c r="B4116" s="2" t="s">
        <v>9474</v>
      </c>
      <c r="C4116" s="5" t="s">
        <v>9494</v>
      </c>
      <c r="D4116" s="21">
        <v>17</v>
      </c>
      <c r="E4116" s="21"/>
      <c r="F4116" s="21" t="s">
        <v>10438</v>
      </c>
      <c r="G4116" s="21"/>
      <c r="H4116" s="54">
        <v>38</v>
      </c>
      <c r="I4116" s="51"/>
      <c r="J4116" s="27"/>
      <c r="K4116" s="27"/>
      <c r="L4116" s="15"/>
      <c r="M4116" s="15">
        <v>10</v>
      </c>
      <c r="N4116" s="4" t="s">
        <v>4639</v>
      </c>
      <c r="O4116" s="4"/>
    </row>
    <row r="4117" spans="1:15" x14ac:dyDescent="0.2">
      <c r="A4117" s="2">
        <v>40005533</v>
      </c>
      <c r="B4117" s="2" t="s">
        <v>9475</v>
      </c>
      <c r="C4117" s="5" t="s">
        <v>9495</v>
      </c>
      <c r="D4117" s="21"/>
      <c r="E4117" s="21"/>
      <c r="F4117" s="21" t="s">
        <v>10438</v>
      </c>
      <c r="G4117" s="21"/>
      <c r="H4117" s="54">
        <v>104</v>
      </c>
      <c r="I4117" s="51"/>
      <c r="J4117" s="27"/>
      <c r="K4117" s="27"/>
      <c r="L4117" s="15"/>
      <c r="M4117" s="15">
        <v>3</v>
      </c>
      <c r="N4117" s="4" t="s">
        <v>9516</v>
      </c>
      <c r="O4117" s="4"/>
    </row>
    <row r="4118" spans="1:15" x14ac:dyDescent="0.2">
      <c r="A4118" s="2">
        <v>40005938</v>
      </c>
      <c r="B4118" s="2" t="s">
        <v>9476</v>
      </c>
      <c r="C4118" s="5" t="s">
        <v>9496</v>
      </c>
      <c r="D4118" s="21">
        <v>2</v>
      </c>
      <c r="E4118" s="21"/>
      <c r="F4118" s="21" t="s">
        <v>10438</v>
      </c>
      <c r="G4118" s="21"/>
      <c r="H4118" s="54">
        <v>265</v>
      </c>
      <c r="I4118" s="51"/>
      <c r="J4118" s="27"/>
      <c r="K4118" s="27"/>
      <c r="L4118" s="15"/>
      <c r="M4118" s="15"/>
      <c r="N4118" s="4" t="s">
        <v>4344</v>
      </c>
      <c r="O4118" s="4"/>
    </row>
    <row r="4119" spans="1:15" x14ac:dyDescent="0.2">
      <c r="A4119" s="2">
        <v>40006864</v>
      </c>
      <c r="B4119" s="2" t="s">
        <v>9477</v>
      </c>
      <c r="C4119" s="5" t="s">
        <v>9497</v>
      </c>
      <c r="D4119" s="21">
        <v>17</v>
      </c>
      <c r="E4119" s="21"/>
      <c r="F4119" s="21" t="s">
        <v>10438</v>
      </c>
      <c r="G4119" s="21"/>
      <c r="H4119" s="54">
        <v>4</v>
      </c>
      <c r="I4119" s="51"/>
      <c r="J4119" s="27"/>
      <c r="K4119" s="27"/>
      <c r="L4119" s="15">
        <v>8</v>
      </c>
      <c r="M4119" s="15"/>
      <c r="N4119" s="4" t="s">
        <v>4720</v>
      </c>
      <c r="O4119" s="4"/>
    </row>
    <row r="4120" spans="1:15" x14ac:dyDescent="0.2">
      <c r="A4120" s="2">
        <v>40006936</v>
      </c>
      <c r="B4120" s="2" t="s">
        <v>9478</v>
      </c>
      <c r="C4120" s="5" t="s">
        <v>9498</v>
      </c>
      <c r="D4120" s="21">
        <v>17</v>
      </c>
      <c r="E4120" s="21"/>
      <c r="F4120" s="21" t="s">
        <v>10438</v>
      </c>
      <c r="G4120" s="21"/>
      <c r="H4120" s="54">
        <v>2</v>
      </c>
      <c r="I4120" s="51"/>
      <c r="J4120" s="27"/>
      <c r="K4120" s="27"/>
      <c r="L4120" s="15"/>
      <c r="M4120" s="15"/>
      <c r="N4120" s="4" t="s">
        <v>4729</v>
      </c>
      <c r="O4120" s="4"/>
    </row>
    <row r="4121" spans="1:15" x14ac:dyDescent="0.2">
      <c r="A4121" s="2">
        <v>40010564</v>
      </c>
      <c r="B4121" s="2" t="s">
        <v>9479</v>
      </c>
      <c r="C4121" s="10" t="s">
        <v>9499</v>
      </c>
      <c r="D4121" s="21"/>
      <c r="E4121" s="21"/>
      <c r="F4121" s="21" t="s">
        <v>10438</v>
      </c>
      <c r="G4121" s="21"/>
      <c r="H4121" s="54">
        <v>112</v>
      </c>
      <c r="I4121" s="51"/>
      <c r="J4121" s="27"/>
      <c r="K4121" s="27"/>
      <c r="L4121" s="15">
        <v>3</v>
      </c>
      <c r="M4121" s="15">
        <v>2</v>
      </c>
      <c r="N4121" s="4" t="s">
        <v>9517</v>
      </c>
      <c r="O4121" s="4"/>
    </row>
    <row r="4122" spans="1:15" x14ac:dyDescent="0.2">
      <c r="A4122" s="2">
        <v>40005829</v>
      </c>
      <c r="B4122" s="2" t="s">
        <v>9480</v>
      </c>
      <c r="C4122" s="5" t="s">
        <v>9500</v>
      </c>
      <c r="D4122" s="21">
        <v>3</v>
      </c>
      <c r="E4122" s="21"/>
      <c r="F4122" s="21" t="s">
        <v>10438</v>
      </c>
      <c r="G4122" s="21"/>
      <c r="H4122" s="54">
        <v>33</v>
      </c>
      <c r="I4122" s="51"/>
      <c r="J4122" s="27"/>
      <c r="K4122" s="27"/>
      <c r="L4122" s="15"/>
      <c r="M4122" s="15"/>
      <c r="N4122" s="4" t="s">
        <v>10728</v>
      </c>
      <c r="O4122" s="4" t="s">
        <v>10084</v>
      </c>
    </row>
    <row r="4123" spans="1:15" x14ac:dyDescent="0.2">
      <c r="A4123" s="2">
        <v>40006489</v>
      </c>
      <c r="B4123" s="2" t="s">
        <v>9481</v>
      </c>
      <c r="C4123" s="5" t="s">
        <v>9501</v>
      </c>
      <c r="D4123" s="21">
        <v>5</v>
      </c>
      <c r="E4123" s="21"/>
      <c r="F4123" s="21" t="s">
        <v>10438</v>
      </c>
      <c r="G4123" s="21"/>
      <c r="H4123" s="54">
        <v>35</v>
      </c>
      <c r="I4123" s="51"/>
      <c r="J4123" s="27"/>
      <c r="K4123" s="27"/>
      <c r="L4123" s="15"/>
      <c r="M4123" s="15"/>
      <c r="N4123" s="4" t="s">
        <v>4618</v>
      </c>
      <c r="O4123" s="4"/>
    </row>
    <row r="4124" spans="1:15" x14ac:dyDescent="0.2">
      <c r="A4124" s="2">
        <v>40010774</v>
      </c>
      <c r="B4124" s="2" t="s">
        <v>9482</v>
      </c>
      <c r="C4124" s="5" t="s">
        <v>9502</v>
      </c>
      <c r="D4124" s="21">
        <v>5</v>
      </c>
      <c r="E4124" s="21"/>
      <c r="F4124" s="21" t="s">
        <v>10438</v>
      </c>
      <c r="G4124" s="21"/>
      <c r="H4124" s="54">
        <v>402</v>
      </c>
      <c r="I4124" s="51"/>
      <c r="J4124" s="27"/>
      <c r="K4124" s="27"/>
      <c r="L4124" s="15"/>
      <c r="M4124" s="15"/>
      <c r="N4124" s="4">
        <v>1</v>
      </c>
      <c r="O4124" s="4"/>
    </row>
    <row r="4125" spans="1:15" x14ac:dyDescent="0.2">
      <c r="A4125" s="2">
        <v>40007815</v>
      </c>
      <c r="B4125" s="2" t="s">
        <v>9483</v>
      </c>
      <c r="C4125" s="5" t="s">
        <v>9503</v>
      </c>
      <c r="D4125" s="21">
        <v>2</v>
      </c>
      <c r="E4125" s="21"/>
      <c r="F4125" s="21" t="s">
        <v>10438</v>
      </c>
      <c r="G4125" s="21"/>
      <c r="H4125" s="54">
        <v>473</v>
      </c>
      <c r="I4125" s="51"/>
      <c r="J4125" s="27"/>
      <c r="K4125" s="27"/>
      <c r="L4125" s="15">
        <v>10</v>
      </c>
      <c r="M4125" s="15">
        <v>8</v>
      </c>
      <c r="N4125" s="4" t="s">
        <v>4845</v>
      </c>
      <c r="O4125" s="4"/>
    </row>
    <row r="4126" spans="1:15" x14ac:dyDescent="0.2">
      <c r="A4126" s="2">
        <v>40008317</v>
      </c>
      <c r="B4126" s="2" t="s">
        <v>9484</v>
      </c>
      <c r="C4126" s="5" t="s">
        <v>9504</v>
      </c>
      <c r="D4126" s="21"/>
      <c r="E4126" s="21"/>
      <c r="F4126" s="21" t="s">
        <v>10438</v>
      </c>
      <c r="G4126" s="21"/>
      <c r="H4126" s="54">
        <v>159</v>
      </c>
      <c r="I4126" s="51"/>
      <c r="J4126" s="27"/>
      <c r="K4126" s="27"/>
      <c r="L4126" s="15"/>
      <c r="M4126" s="15"/>
      <c r="N4126" s="4" t="s">
        <v>5238</v>
      </c>
      <c r="O4126" s="4"/>
    </row>
    <row r="4127" spans="1:15" x14ac:dyDescent="0.2">
      <c r="A4127" s="2">
        <v>40008234</v>
      </c>
      <c r="B4127" s="2" t="s">
        <v>9485</v>
      </c>
      <c r="C4127" s="5" t="s">
        <v>9505</v>
      </c>
      <c r="D4127" s="21">
        <v>11</v>
      </c>
      <c r="E4127" s="21"/>
      <c r="F4127" s="30">
        <v>1</v>
      </c>
      <c r="G4127" s="21"/>
      <c r="H4127" s="54">
        <v>34</v>
      </c>
      <c r="I4127" s="51"/>
      <c r="J4127" s="27"/>
      <c r="K4127" s="27"/>
      <c r="L4127" s="15">
        <v>10</v>
      </c>
      <c r="M4127" s="15">
        <v>10</v>
      </c>
      <c r="N4127" s="4" t="s">
        <v>4633</v>
      </c>
      <c r="O4127" s="4"/>
    </row>
    <row r="4128" spans="1:15" x14ac:dyDescent="0.2">
      <c r="A4128" s="2">
        <v>40007372</v>
      </c>
      <c r="B4128" s="2" t="s">
        <v>9486</v>
      </c>
      <c r="C4128" s="5" t="s">
        <v>9506</v>
      </c>
      <c r="D4128" s="21">
        <v>33</v>
      </c>
      <c r="E4128" s="21"/>
      <c r="F4128" s="21" t="s">
        <v>10438</v>
      </c>
      <c r="G4128" s="21"/>
      <c r="H4128" s="54">
        <v>2</v>
      </c>
      <c r="I4128" s="51"/>
      <c r="J4128" s="27"/>
      <c r="K4128" s="27"/>
      <c r="L4128" s="15"/>
      <c r="M4128" s="15"/>
      <c r="N4128" s="4" t="s">
        <v>3952</v>
      </c>
      <c r="O4128" s="4"/>
    </row>
    <row r="4129" spans="1:15" x14ac:dyDescent="0.2">
      <c r="A4129" s="2">
        <v>10020052</v>
      </c>
      <c r="B4129" s="2" t="s">
        <v>9487</v>
      </c>
      <c r="C4129" s="5" t="s">
        <v>9507</v>
      </c>
      <c r="D4129" s="21">
        <v>2</v>
      </c>
      <c r="E4129" s="21"/>
      <c r="F4129" s="21" t="s">
        <v>10438</v>
      </c>
      <c r="G4129" s="21"/>
      <c r="H4129" s="54">
        <v>669</v>
      </c>
      <c r="I4129" s="51"/>
      <c r="J4129" s="27"/>
      <c r="K4129" s="27"/>
      <c r="L4129" s="15">
        <v>15</v>
      </c>
      <c r="M4129" s="15"/>
      <c r="N4129" s="4">
        <v>116</v>
      </c>
      <c r="O4129" s="4"/>
    </row>
    <row r="4130" spans="1:15" x14ac:dyDescent="0.2">
      <c r="A4130" s="2">
        <v>10018848</v>
      </c>
      <c r="B4130" s="2" t="s">
        <v>9488</v>
      </c>
      <c r="C4130" s="5" t="s">
        <v>9508</v>
      </c>
      <c r="D4130" s="21">
        <v>1</v>
      </c>
      <c r="E4130" s="21"/>
      <c r="F4130" s="21" t="s">
        <v>10438</v>
      </c>
      <c r="G4130" s="21"/>
      <c r="H4130" s="54">
        <v>733</v>
      </c>
      <c r="I4130" s="51"/>
      <c r="J4130" s="27"/>
      <c r="K4130" s="27"/>
      <c r="L4130" s="15"/>
      <c r="M4130" s="15">
        <v>9</v>
      </c>
      <c r="N4130" s="4">
        <v>116</v>
      </c>
      <c r="O4130" s="4"/>
    </row>
    <row r="4131" spans="1:15" x14ac:dyDescent="0.2">
      <c r="A4131" s="2">
        <v>10018574</v>
      </c>
      <c r="B4131" s="2" t="s">
        <v>9550</v>
      </c>
      <c r="C4131" s="5" t="s">
        <v>9564</v>
      </c>
      <c r="D4131" s="21">
        <v>1</v>
      </c>
      <c r="E4131" s="21"/>
      <c r="F4131" s="21" t="s">
        <v>10438</v>
      </c>
      <c r="G4131" s="21"/>
      <c r="H4131" s="54">
        <v>6895</v>
      </c>
      <c r="I4131" s="51">
        <v>1725</v>
      </c>
      <c r="J4131" s="27"/>
      <c r="K4131" s="27"/>
      <c r="L4131" s="15"/>
      <c r="M4131" s="15"/>
      <c r="N4131" s="4"/>
      <c r="O4131" s="4"/>
    </row>
    <row r="4132" spans="1:15" x14ac:dyDescent="0.2">
      <c r="A4132" s="2">
        <v>10018923</v>
      </c>
      <c r="B4132" s="2" t="s">
        <v>9551</v>
      </c>
      <c r="C4132" s="5" t="s">
        <v>9565</v>
      </c>
      <c r="D4132" s="21"/>
      <c r="E4132" s="21"/>
      <c r="F4132" s="21" t="s">
        <v>10438</v>
      </c>
      <c r="G4132" s="21"/>
      <c r="H4132" s="54">
        <v>2120</v>
      </c>
      <c r="I4132" s="51"/>
      <c r="J4132" s="27"/>
      <c r="K4132" s="27"/>
      <c r="L4132" s="15"/>
      <c r="M4132" s="15">
        <v>50</v>
      </c>
      <c r="N4132" s="4" t="s">
        <v>10713</v>
      </c>
      <c r="O4132" s="4"/>
    </row>
    <row r="4133" spans="1:15" x14ac:dyDescent="0.2">
      <c r="A4133" s="2">
        <v>40005269</v>
      </c>
      <c r="B4133" s="2" t="s">
        <v>9552</v>
      </c>
      <c r="C4133" s="5" t="s">
        <v>9566</v>
      </c>
      <c r="D4133" s="21"/>
      <c r="E4133" s="21"/>
      <c r="F4133" s="21" t="s">
        <v>10438</v>
      </c>
      <c r="G4133" s="21"/>
      <c r="H4133" s="54">
        <v>55</v>
      </c>
      <c r="I4133" s="51"/>
      <c r="J4133" s="27"/>
      <c r="K4133" s="27"/>
      <c r="L4133" s="15"/>
      <c r="M4133" s="15"/>
      <c r="N4133" s="4"/>
      <c r="O4133" s="4">
        <v>65</v>
      </c>
    </row>
    <row r="4134" spans="1:15" x14ac:dyDescent="0.2">
      <c r="A4134" s="2">
        <v>40005295</v>
      </c>
      <c r="B4134" s="2" t="s">
        <v>9553</v>
      </c>
      <c r="C4134" s="5" t="s">
        <v>9567</v>
      </c>
      <c r="D4134" s="21">
        <v>1</v>
      </c>
      <c r="E4134" s="21"/>
      <c r="F4134" s="21" t="s">
        <v>10438</v>
      </c>
      <c r="G4134" s="21"/>
      <c r="H4134" s="54">
        <v>5</v>
      </c>
      <c r="I4134" s="51"/>
      <c r="J4134" s="27"/>
      <c r="K4134" s="27"/>
      <c r="L4134" s="15"/>
      <c r="M4134" s="15"/>
      <c r="N4134" s="4" t="s">
        <v>4037</v>
      </c>
      <c r="O4134" s="4"/>
    </row>
    <row r="4135" spans="1:15" x14ac:dyDescent="0.2">
      <c r="A4135" s="2">
        <v>40005639</v>
      </c>
      <c r="B4135" s="2" t="s">
        <v>9554</v>
      </c>
      <c r="C4135" s="5" t="s">
        <v>9568</v>
      </c>
      <c r="D4135" s="21">
        <v>2</v>
      </c>
      <c r="E4135" s="21"/>
      <c r="F4135" s="21" t="s">
        <v>10438</v>
      </c>
      <c r="G4135" s="21"/>
      <c r="H4135" s="54">
        <v>7</v>
      </c>
      <c r="I4135" s="51"/>
      <c r="J4135" s="27"/>
      <c r="K4135" s="27"/>
      <c r="L4135" s="15"/>
      <c r="M4135" s="15"/>
      <c r="N4135" s="4" t="s">
        <v>4169</v>
      </c>
      <c r="O4135" s="4"/>
    </row>
    <row r="4136" spans="1:15" x14ac:dyDescent="0.2">
      <c r="A4136" s="2">
        <v>40006410</v>
      </c>
      <c r="B4136" s="2" t="s">
        <v>9555</v>
      </c>
      <c r="C4136" s="5" t="s">
        <v>9569</v>
      </c>
      <c r="D4136" s="21">
        <v>9</v>
      </c>
      <c r="E4136" s="21"/>
      <c r="F4136" s="21" t="s">
        <v>10438</v>
      </c>
      <c r="G4136" s="21"/>
      <c r="H4136" s="54">
        <v>34</v>
      </c>
      <c r="I4136" s="51"/>
      <c r="J4136" s="27"/>
      <c r="K4136" s="27"/>
      <c r="L4136" s="15"/>
      <c r="M4136" s="15"/>
      <c r="N4136" s="4" t="s">
        <v>4036</v>
      </c>
      <c r="O4136" s="4"/>
    </row>
    <row r="4137" spans="1:15" x14ac:dyDescent="0.2">
      <c r="A4137" s="2">
        <v>40007092</v>
      </c>
      <c r="B4137" s="2" t="s">
        <v>9556</v>
      </c>
      <c r="C4137" s="5" t="s">
        <v>9570</v>
      </c>
      <c r="D4137" s="21"/>
      <c r="E4137" s="21"/>
      <c r="F4137" s="21" t="s">
        <v>10438</v>
      </c>
      <c r="G4137" s="21"/>
      <c r="H4137" s="54">
        <v>14</v>
      </c>
      <c r="I4137" s="51"/>
      <c r="J4137" s="27"/>
      <c r="K4137" s="27"/>
      <c r="L4137" s="15"/>
      <c r="M4137" s="15"/>
      <c r="N4137" s="4" t="s">
        <v>4103</v>
      </c>
      <c r="O4137" s="4"/>
    </row>
    <row r="4138" spans="1:15" x14ac:dyDescent="0.2">
      <c r="A4138" s="2">
        <v>40007103</v>
      </c>
      <c r="B4138" s="2" t="s">
        <v>9557</v>
      </c>
      <c r="C4138" s="5" t="s">
        <v>9571</v>
      </c>
      <c r="D4138" s="21"/>
      <c r="E4138" s="21"/>
      <c r="F4138" s="21" t="s">
        <v>10438</v>
      </c>
      <c r="G4138" s="21"/>
      <c r="H4138" s="54">
        <v>2</v>
      </c>
      <c r="I4138" s="51"/>
      <c r="J4138" s="27"/>
      <c r="K4138" s="27"/>
      <c r="L4138" s="15">
        <v>6</v>
      </c>
      <c r="M4138" s="15">
        <v>5</v>
      </c>
      <c r="N4138" s="4" t="s">
        <v>5298</v>
      </c>
      <c r="O4138" s="4"/>
    </row>
    <row r="4139" spans="1:15" x14ac:dyDescent="0.2">
      <c r="A4139" s="2">
        <v>40007415</v>
      </c>
      <c r="B4139" s="2" t="s">
        <v>9558</v>
      </c>
      <c r="C4139" s="5" t="s">
        <v>9572</v>
      </c>
      <c r="D4139" s="21"/>
      <c r="E4139" s="21"/>
      <c r="F4139" s="21" t="s">
        <v>10438</v>
      </c>
      <c r="G4139" s="21"/>
      <c r="H4139" s="54">
        <v>6</v>
      </c>
      <c r="I4139" s="51"/>
      <c r="J4139" s="27"/>
      <c r="K4139" s="27"/>
      <c r="L4139" s="15">
        <v>15</v>
      </c>
      <c r="M4139" s="15">
        <v>5</v>
      </c>
      <c r="N4139" s="4" t="s">
        <v>5113</v>
      </c>
      <c r="O4139" s="4"/>
    </row>
    <row r="4140" spans="1:15" x14ac:dyDescent="0.2">
      <c r="A4140" s="2">
        <v>40007960</v>
      </c>
      <c r="B4140" s="2" t="s">
        <v>9559</v>
      </c>
      <c r="C4140" s="5" t="s">
        <v>9573</v>
      </c>
      <c r="D4140" s="21"/>
      <c r="E4140" s="21"/>
      <c r="F4140" s="21" t="s">
        <v>10438</v>
      </c>
      <c r="G4140" s="21"/>
      <c r="H4140" s="54">
        <v>4</v>
      </c>
      <c r="I4140" s="51"/>
      <c r="J4140" s="27"/>
      <c r="K4140" s="27"/>
      <c r="L4140" s="15"/>
      <c r="M4140" s="15"/>
      <c r="N4140" s="4" t="s">
        <v>5150</v>
      </c>
      <c r="O4140" s="4"/>
    </row>
    <row r="4141" spans="1:15" x14ac:dyDescent="0.2">
      <c r="A4141" s="2">
        <v>40008110</v>
      </c>
      <c r="B4141" s="2" t="s">
        <v>9560</v>
      </c>
      <c r="C4141" s="5" t="s">
        <v>9574</v>
      </c>
      <c r="D4141" s="21">
        <v>1</v>
      </c>
      <c r="E4141" s="21"/>
      <c r="F4141" s="21" t="s">
        <v>10438</v>
      </c>
      <c r="G4141" s="21"/>
      <c r="H4141" s="54">
        <v>5</v>
      </c>
      <c r="I4141" s="51"/>
      <c r="J4141" s="27"/>
      <c r="K4141" s="27"/>
      <c r="L4141" s="15"/>
      <c r="M4141" s="15">
        <v>2</v>
      </c>
      <c r="N4141" s="4" t="s">
        <v>4506</v>
      </c>
      <c r="O4141" s="4"/>
    </row>
    <row r="4142" spans="1:15" x14ac:dyDescent="0.2">
      <c r="A4142" s="2">
        <v>40008266</v>
      </c>
      <c r="B4142" s="2" t="s">
        <v>9561</v>
      </c>
      <c r="C4142" s="5" t="s">
        <v>9575</v>
      </c>
      <c r="D4142" s="21">
        <v>3</v>
      </c>
      <c r="E4142" s="21"/>
      <c r="F4142" s="21" t="s">
        <v>10438</v>
      </c>
      <c r="G4142" s="21"/>
      <c r="H4142" s="54">
        <v>47</v>
      </c>
      <c r="I4142" s="51"/>
      <c r="J4142" s="27"/>
      <c r="K4142" s="27"/>
      <c r="L4142" s="15"/>
      <c r="M4142" s="15"/>
      <c r="N4142" s="4"/>
      <c r="O4142" s="4">
        <v>84</v>
      </c>
    </row>
    <row r="4143" spans="1:15" x14ac:dyDescent="0.2">
      <c r="A4143" s="2">
        <v>40008532</v>
      </c>
      <c r="B4143" s="2" t="s">
        <v>9562</v>
      </c>
      <c r="C4143" s="5" t="s">
        <v>9576</v>
      </c>
      <c r="D4143" s="21"/>
      <c r="E4143" s="21"/>
      <c r="F4143" s="21" t="s">
        <v>10438</v>
      </c>
      <c r="G4143" s="21"/>
      <c r="H4143" s="54">
        <v>104</v>
      </c>
      <c r="I4143" s="51"/>
      <c r="J4143" s="27"/>
      <c r="K4143" s="27"/>
      <c r="L4143" s="15"/>
      <c r="M4143" s="15"/>
      <c r="N4143" s="4" t="s">
        <v>10720</v>
      </c>
      <c r="O4143" s="4"/>
    </row>
    <row r="4144" spans="1:15" x14ac:dyDescent="0.2">
      <c r="A4144" s="2">
        <v>40010306</v>
      </c>
      <c r="B4144" s="2" t="s">
        <v>9563</v>
      </c>
      <c r="C4144" s="5" t="s">
        <v>9577</v>
      </c>
      <c r="D4144" s="21">
        <v>2</v>
      </c>
      <c r="E4144" s="21"/>
      <c r="F4144" s="21" t="s">
        <v>10438</v>
      </c>
      <c r="G4144" s="21"/>
      <c r="H4144" s="54">
        <v>53</v>
      </c>
      <c r="I4144" s="51"/>
      <c r="J4144" s="27"/>
      <c r="K4144" s="27"/>
      <c r="L4144" s="15"/>
      <c r="M4144" s="15"/>
      <c r="N4144" s="4" t="s">
        <v>4013</v>
      </c>
      <c r="O4144" s="4"/>
    </row>
    <row r="4145" spans="1:15" x14ac:dyDescent="0.2">
      <c r="A4145" s="2">
        <v>40011584</v>
      </c>
      <c r="B4145" s="2" t="s">
        <v>9518</v>
      </c>
      <c r="C4145" s="5" t="s">
        <v>9578</v>
      </c>
      <c r="D4145" s="21">
        <v>2</v>
      </c>
      <c r="E4145" s="21"/>
      <c r="F4145" s="21" t="s">
        <v>10438</v>
      </c>
      <c r="G4145" s="21"/>
      <c r="H4145" s="54">
        <v>1003</v>
      </c>
      <c r="I4145" s="51"/>
      <c r="J4145" s="27"/>
      <c r="K4145" s="27"/>
      <c r="L4145" s="15"/>
      <c r="M4145" s="15"/>
      <c r="N4145" s="4" t="s">
        <v>4970</v>
      </c>
      <c r="O4145" s="4"/>
    </row>
    <row r="4146" spans="1:15" x14ac:dyDescent="0.2">
      <c r="A4146" s="2">
        <v>40011585</v>
      </c>
      <c r="B4146" s="2" t="s">
        <v>9519</v>
      </c>
      <c r="C4146" s="5" t="s">
        <v>9579</v>
      </c>
      <c r="D4146" s="21">
        <v>2</v>
      </c>
      <c r="E4146" s="21"/>
      <c r="F4146" s="21" t="s">
        <v>10438</v>
      </c>
      <c r="G4146" s="21"/>
      <c r="H4146" s="54">
        <v>293</v>
      </c>
      <c r="I4146" s="51"/>
      <c r="J4146" s="27"/>
      <c r="K4146" s="27"/>
      <c r="L4146" s="15"/>
      <c r="M4146" s="15"/>
      <c r="N4146" s="4" t="s">
        <v>4864</v>
      </c>
      <c r="O4146" s="4"/>
    </row>
    <row r="4147" spans="1:15" x14ac:dyDescent="0.2">
      <c r="A4147" s="2">
        <v>40011586</v>
      </c>
      <c r="B4147" s="2" t="s">
        <v>9520</v>
      </c>
      <c r="C4147" s="5" t="s">
        <v>9580</v>
      </c>
      <c r="D4147" s="21"/>
      <c r="E4147" s="21"/>
      <c r="F4147" s="21" t="s">
        <v>10438</v>
      </c>
      <c r="G4147" s="21"/>
      <c r="H4147" s="54">
        <v>109</v>
      </c>
      <c r="I4147" s="51"/>
      <c r="J4147" s="27"/>
      <c r="K4147" s="27"/>
      <c r="L4147" s="15"/>
      <c r="M4147" s="15"/>
      <c r="N4147" s="4" t="s">
        <v>5269</v>
      </c>
      <c r="O4147" s="4"/>
    </row>
    <row r="4148" spans="1:15" x14ac:dyDescent="0.2">
      <c r="A4148" s="2">
        <v>40011587</v>
      </c>
      <c r="B4148" s="2" t="s">
        <v>9521</v>
      </c>
      <c r="C4148" s="5" t="s">
        <v>9581</v>
      </c>
      <c r="D4148" s="21">
        <v>1</v>
      </c>
      <c r="E4148" s="21"/>
      <c r="F4148" s="21" t="s">
        <v>10438</v>
      </c>
      <c r="G4148" s="21"/>
      <c r="H4148" s="54">
        <v>10</v>
      </c>
      <c r="I4148" s="51"/>
      <c r="J4148" s="27"/>
      <c r="K4148" s="27"/>
      <c r="L4148" s="15"/>
      <c r="M4148" s="15"/>
      <c r="N4148" s="4" t="s">
        <v>9823</v>
      </c>
      <c r="O4148" s="4"/>
    </row>
    <row r="4149" spans="1:15" x14ac:dyDescent="0.2">
      <c r="A4149" s="2">
        <v>40011588</v>
      </c>
      <c r="B4149" s="2" t="s">
        <v>9522</v>
      </c>
      <c r="C4149" s="5" t="s">
        <v>9582</v>
      </c>
      <c r="D4149" s="21">
        <v>3</v>
      </c>
      <c r="E4149" s="21"/>
      <c r="F4149" s="21" t="s">
        <v>10438</v>
      </c>
      <c r="G4149" s="21"/>
      <c r="H4149" s="54">
        <v>445</v>
      </c>
      <c r="I4149" s="51"/>
      <c r="J4149" s="27"/>
      <c r="K4149" s="27"/>
      <c r="L4149" s="15"/>
      <c r="M4149" s="15"/>
      <c r="N4149" s="4" t="s">
        <v>4322</v>
      </c>
      <c r="O4149" s="4"/>
    </row>
    <row r="4150" spans="1:15" x14ac:dyDescent="0.2">
      <c r="A4150" s="2">
        <v>40011589</v>
      </c>
      <c r="B4150" s="2" t="s">
        <v>9523</v>
      </c>
      <c r="C4150" s="5" t="s">
        <v>9583</v>
      </c>
      <c r="D4150" s="21">
        <v>2</v>
      </c>
      <c r="E4150" s="21"/>
      <c r="F4150" s="21" t="s">
        <v>10438</v>
      </c>
      <c r="G4150" s="21"/>
      <c r="H4150" s="54">
        <v>7</v>
      </c>
      <c r="I4150" s="51"/>
      <c r="J4150" s="27"/>
      <c r="K4150" s="27"/>
      <c r="L4150" s="15"/>
      <c r="M4150" s="15"/>
      <c r="N4150" s="4" t="s">
        <v>9824</v>
      </c>
      <c r="O4150" s="4"/>
    </row>
    <row r="4151" spans="1:15" x14ac:dyDescent="0.2">
      <c r="A4151" s="2">
        <v>40011591</v>
      </c>
      <c r="B4151" s="2" t="s">
        <v>9524</v>
      </c>
      <c r="C4151" s="10" t="s">
        <v>9584</v>
      </c>
      <c r="D4151" s="21"/>
      <c r="E4151" s="21"/>
      <c r="F4151" s="21" t="s">
        <v>10438</v>
      </c>
      <c r="G4151" s="21"/>
      <c r="H4151" s="54">
        <v>61</v>
      </c>
      <c r="I4151" s="51"/>
      <c r="J4151" s="27"/>
      <c r="K4151" s="27"/>
      <c r="L4151" s="15"/>
      <c r="M4151" s="15"/>
      <c r="N4151" s="4" t="s">
        <v>4344</v>
      </c>
      <c r="O4151" s="4"/>
    </row>
    <row r="4152" spans="1:15" x14ac:dyDescent="0.2">
      <c r="A4152" s="2">
        <v>40011592</v>
      </c>
      <c r="B4152" s="2" t="s">
        <v>9525</v>
      </c>
      <c r="C4152" s="5" t="s">
        <v>9585</v>
      </c>
      <c r="D4152" s="21">
        <v>2</v>
      </c>
      <c r="E4152" s="21"/>
      <c r="F4152" s="21" t="s">
        <v>10438</v>
      </c>
      <c r="G4152" s="21"/>
      <c r="H4152" s="54">
        <v>331</v>
      </c>
      <c r="I4152" s="51"/>
      <c r="J4152" s="27"/>
      <c r="K4152" s="27"/>
      <c r="L4152" s="15"/>
      <c r="M4152" s="15"/>
      <c r="N4152" s="4"/>
      <c r="O4152" s="4" t="s">
        <v>10078</v>
      </c>
    </row>
    <row r="4153" spans="1:15" x14ac:dyDescent="0.2">
      <c r="A4153" s="2">
        <v>40011594</v>
      </c>
      <c r="B4153" s="2" t="s">
        <v>9526</v>
      </c>
      <c r="C4153" s="5" t="s">
        <v>9586</v>
      </c>
      <c r="D4153" s="21">
        <v>2</v>
      </c>
      <c r="E4153" s="21"/>
      <c r="F4153" s="21" t="s">
        <v>10438</v>
      </c>
      <c r="G4153" s="21"/>
      <c r="H4153" s="54">
        <v>21</v>
      </c>
      <c r="I4153" s="51"/>
      <c r="J4153" s="27"/>
      <c r="K4153" s="27"/>
      <c r="L4153" s="15"/>
      <c r="M4153" s="15"/>
      <c r="N4153" s="4" t="s">
        <v>9823</v>
      </c>
      <c r="O4153" s="4"/>
    </row>
    <row r="4154" spans="1:15" x14ac:dyDescent="0.2">
      <c r="A4154" s="2">
        <v>40011595</v>
      </c>
      <c r="B4154" s="2" t="s">
        <v>9527</v>
      </c>
      <c r="C4154" s="5" t="s">
        <v>9587</v>
      </c>
      <c r="D4154" s="21">
        <v>1</v>
      </c>
      <c r="E4154" s="21"/>
      <c r="F4154" s="21" t="s">
        <v>10438</v>
      </c>
      <c r="G4154" s="21"/>
      <c r="H4154" s="54">
        <v>229</v>
      </c>
      <c r="I4154" s="51"/>
      <c r="J4154" s="27"/>
      <c r="K4154" s="27"/>
      <c r="L4154" s="15"/>
      <c r="M4154" s="15"/>
      <c r="N4154" s="4"/>
      <c r="O4154" s="4" t="s">
        <v>10166</v>
      </c>
    </row>
    <row r="4155" spans="1:15" x14ac:dyDescent="0.2">
      <c r="A4155" s="2">
        <v>40011596</v>
      </c>
      <c r="B4155" s="2" t="s">
        <v>9528</v>
      </c>
      <c r="C4155" s="5" t="s">
        <v>9588</v>
      </c>
      <c r="D4155" s="21">
        <v>4</v>
      </c>
      <c r="E4155" s="21"/>
      <c r="F4155" s="21" t="s">
        <v>10438</v>
      </c>
      <c r="G4155" s="21"/>
      <c r="H4155" s="54">
        <v>11</v>
      </c>
      <c r="I4155" s="51"/>
      <c r="J4155" s="27"/>
      <c r="K4155" s="27"/>
      <c r="L4155" s="15"/>
      <c r="M4155" s="15"/>
      <c r="N4155" s="4" t="s">
        <v>9823</v>
      </c>
      <c r="O4155" s="4"/>
    </row>
    <row r="4156" spans="1:15" x14ac:dyDescent="0.2">
      <c r="A4156" s="2">
        <v>40011597</v>
      </c>
      <c r="B4156" s="2" t="s">
        <v>9529</v>
      </c>
      <c r="C4156" s="5" t="s">
        <v>9589</v>
      </c>
      <c r="D4156" s="21">
        <v>1</v>
      </c>
      <c r="E4156" s="21"/>
      <c r="F4156" s="21" t="s">
        <v>10438</v>
      </c>
      <c r="G4156" s="21"/>
      <c r="H4156" s="54">
        <v>805</v>
      </c>
      <c r="I4156" s="51"/>
      <c r="J4156" s="27"/>
      <c r="K4156" s="27"/>
      <c r="L4156" s="15"/>
      <c r="M4156" s="15"/>
      <c r="N4156" s="4"/>
      <c r="O4156" s="4" t="s">
        <v>5233</v>
      </c>
    </row>
    <row r="4157" spans="1:15" x14ac:dyDescent="0.2">
      <c r="A4157" s="2">
        <v>40011599</v>
      </c>
      <c r="B4157" s="2" t="s">
        <v>9530</v>
      </c>
      <c r="C4157" s="5" t="s">
        <v>9590</v>
      </c>
      <c r="D4157" s="21">
        <v>2</v>
      </c>
      <c r="E4157" s="21"/>
      <c r="F4157" s="21" t="s">
        <v>10438</v>
      </c>
      <c r="G4157" s="21"/>
      <c r="H4157" s="54">
        <v>619</v>
      </c>
      <c r="I4157" s="51"/>
      <c r="J4157" s="27"/>
      <c r="K4157" s="27"/>
      <c r="L4157" s="15"/>
      <c r="M4157" s="15"/>
      <c r="N4157" s="4" t="s">
        <v>4864</v>
      </c>
      <c r="O4157" s="4"/>
    </row>
    <row r="4158" spans="1:15" x14ac:dyDescent="0.2">
      <c r="A4158" s="2">
        <v>40011600</v>
      </c>
      <c r="B4158" s="2" t="s">
        <v>9531</v>
      </c>
      <c r="C4158" s="5" t="s">
        <v>9591</v>
      </c>
      <c r="D4158" s="21">
        <v>2</v>
      </c>
      <c r="E4158" s="21"/>
      <c r="F4158" s="21" t="s">
        <v>10438</v>
      </c>
      <c r="G4158" s="21"/>
      <c r="H4158" s="54">
        <v>11</v>
      </c>
      <c r="I4158" s="51"/>
      <c r="J4158" s="27"/>
      <c r="K4158" s="27"/>
      <c r="L4158" s="15"/>
      <c r="M4158" s="15">
        <v>10</v>
      </c>
      <c r="N4158" s="4" t="s">
        <v>9825</v>
      </c>
      <c r="O4158" s="4"/>
    </row>
    <row r="4159" spans="1:15" x14ac:dyDescent="0.2">
      <c r="A4159" s="2">
        <v>40011601</v>
      </c>
      <c r="B4159" s="2" t="s">
        <v>9532</v>
      </c>
      <c r="C4159" s="5" t="s">
        <v>9592</v>
      </c>
      <c r="D4159" s="21">
        <v>3</v>
      </c>
      <c r="E4159" s="21"/>
      <c r="F4159" s="21" t="s">
        <v>10438</v>
      </c>
      <c r="G4159" s="21"/>
      <c r="H4159" s="54">
        <v>79</v>
      </c>
      <c r="I4159" s="51"/>
      <c r="J4159" s="27"/>
      <c r="K4159" s="27"/>
      <c r="L4159" s="15"/>
      <c r="M4159" s="15"/>
      <c r="N4159" s="4" t="s">
        <v>10050</v>
      </c>
      <c r="O4159" s="4"/>
    </row>
    <row r="4160" spans="1:15" x14ac:dyDescent="0.2">
      <c r="A4160" s="2">
        <v>40011602</v>
      </c>
      <c r="B4160" s="2" t="s">
        <v>9533</v>
      </c>
      <c r="C4160" s="5" t="s">
        <v>9593</v>
      </c>
      <c r="D4160" s="21"/>
      <c r="E4160" s="21"/>
      <c r="F4160" s="21" t="s">
        <v>10438</v>
      </c>
      <c r="G4160" s="21"/>
      <c r="H4160" s="54">
        <v>21</v>
      </c>
      <c r="I4160" s="51"/>
      <c r="J4160" s="27"/>
      <c r="K4160" s="27"/>
      <c r="L4160" s="15"/>
      <c r="M4160" s="15"/>
      <c r="N4160" s="4" t="s">
        <v>10050</v>
      </c>
      <c r="O4160" s="4"/>
    </row>
    <row r="4161" spans="1:15" x14ac:dyDescent="0.2">
      <c r="A4161" s="2">
        <v>40011603</v>
      </c>
      <c r="B4161" s="2" t="s">
        <v>9534</v>
      </c>
      <c r="C4161" s="5" t="s">
        <v>9594</v>
      </c>
      <c r="D4161" s="21">
        <v>4</v>
      </c>
      <c r="E4161" s="21"/>
      <c r="F4161" s="21" t="s">
        <v>10438</v>
      </c>
      <c r="G4161" s="21"/>
      <c r="H4161" s="54">
        <v>425</v>
      </c>
      <c r="I4161" s="51"/>
      <c r="J4161" s="27"/>
      <c r="K4161" s="27"/>
      <c r="L4161" s="15"/>
      <c r="M4161" s="15"/>
      <c r="N4161" s="4"/>
      <c r="O4161" s="4" t="s">
        <v>4090</v>
      </c>
    </row>
    <row r="4162" spans="1:15" x14ac:dyDescent="0.2">
      <c r="A4162" s="2">
        <v>40011604</v>
      </c>
      <c r="B4162" s="2" t="s">
        <v>9535</v>
      </c>
      <c r="C4162" s="5" t="s">
        <v>9595</v>
      </c>
      <c r="D4162" s="21">
        <v>4</v>
      </c>
      <c r="E4162" s="21"/>
      <c r="F4162" s="21" t="s">
        <v>10438</v>
      </c>
      <c r="G4162" s="21"/>
      <c r="H4162" s="54">
        <v>73</v>
      </c>
      <c r="I4162" s="51"/>
      <c r="J4162" s="27"/>
      <c r="K4162" s="27"/>
      <c r="L4162" s="15"/>
      <c r="M4162" s="15"/>
      <c r="N4162" s="4" t="s">
        <v>4328</v>
      </c>
      <c r="O4162" s="4"/>
    </row>
    <row r="4163" spans="1:15" x14ac:dyDescent="0.2">
      <c r="A4163" s="2">
        <v>40011605</v>
      </c>
      <c r="B4163" s="2" t="s">
        <v>9536</v>
      </c>
      <c r="C4163" s="5" t="s">
        <v>9596</v>
      </c>
      <c r="D4163" s="21">
        <v>1</v>
      </c>
      <c r="E4163" s="21"/>
      <c r="F4163" s="21" t="s">
        <v>10438</v>
      </c>
      <c r="G4163" s="21"/>
      <c r="H4163" s="54">
        <v>14</v>
      </c>
      <c r="I4163" s="51"/>
      <c r="J4163" s="27"/>
      <c r="K4163" s="27"/>
      <c r="L4163" s="15"/>
      <c r="M4163" s="15"/>
      <c r="N4163" s="4" t="s">
        <v>9825</v>
      </c>
      <c r="O4163" s="4"/>
    </row>
    <row r="4164" spans="1:15" x14ac:dyDescent="0.2">
      <c r="A4164" s="2">
        <v>40011651</v>
      </c>
      <c r="B4164" s="2" t="s">
        <v>9537</v>
      </c>
      <c r="C4164" s="5" t="s">
        <v>9597</v>
      </c>
      <c r="D4164" s="21"/>
      <c r="E4164" s="21"/>
      <c r="F4164" s="21" t="s">
        <v>10438</v>
      </c>
      <c r="G4164" s="21"/>
      <c r="H4164" s="54">
        <v>482</v>
      </c>
      <c r="I4164" s="51"/>
      <c r="J4164" s="27"/>
      <c r="K4164" s="27"/>
      <c r="L4164" s="15">
        <v>2</v>
      </c>
      <c r="M4164" s="15">
        <v>2</v>
      </c>
      <c r="N4164" s="4" t="s">
        <v>5180</v>
      </c>
      <c r="O4164" s="4"/>
    </row>
    <row r="4165" spans="1:15" x14ac:dyDescent="0.2">
      <c r="A4165" s="2">
        <v>40011652</v>
      </c>
      <c r="B4165" s="2" t="s">
        <v>9538</v>
      </c>
      <c r="C4165" s="5" t="s">
        <v>9598</v>
      </c>
      <c r="D4165" s="21">
        <v>8</v>
      </c>
      <c r="E4165" s="21"/>
      <c r="F4165" s="21" t="s">
        <v>10438</v>
      </c>
      <c r="G4165" s="21"/>
      <c r="H4165" s="54">
        <v>5</v>
      </c>
      <c r="I4165" s="51"/>
      <c r="J4165" s="27"/>
      <c r="K4165" s="27"/>
      <c r="L4165" s="15"/>
      <c r="M4165" s="15"/>
      <c r="N4165" s="4" t="s">
        <v>5298</v>
      </c>
      <c r="O4165" s="4"/>
    </row>
    <row r="4166" spans="1:15" x14ac:dyDescent="0.2">
      <c r="A4166" s="2">
        <v>40011653</v>
      </c>
      <c r="B4166" s="2" t="s">
        <v>9539</v>
      </c>
      <c r="C4166" s="5" t="s">
        <v>9599</v>
      </c>
      <c r="D4166" s="21">
        <v>3</v>
      </c>
      <c r="E4166" s="21"/>
      <c r="F4166" s="21" t="s">
        <v>10438</v>
      </c>
      <c r="G4166" s="21"/>
      <c r="H4166" s="54">
        <v>104</v>
      </c>
      <c r="I4166" s="51"/>
      <c r="J4166" s="27"/>
      <c r="K4166" s="27"/>
      <c r="L4166" s="15"/>
      <c r="M4166" s="15"/>
      <c r="N4166" s="4" t="s">
        <v>4297</v>
      </c>
      <c r="O4166" s="4"/>
    </row>
    <row r="4167" spans="1:15" x14ac:dyDescent="0.2">
      <c r="A4167" s="2">
        <v>40011654</v>
      </c>
      <c r="B4167" s="2" t="s">
        <v>9540</v>
      </c>
      <c r="C4167" s="5" t="s">
        <v>9600</v>
      </c>
      <c r="D4167" s="21">
        <v>1</v>
      </c>
      <c r="E4167" s="21"/>
      <c r="F4167" s="21" t="s">
        <v>10438</v>
      </c>
      <c r="G4167" s="21"/>
      <c r="H4167" s="54">
        <v>85</v>
      </c>
      <c r="I4167" s="51"/>
      <c r="J4167" s="27"/>
      <c r="K4167" s="27"/>
      <c r="L4167" s="15"/>
      <c r="M4167" s="15">
        <v>2</v>
      </c>
      <c r="N4167" s="4"/>
      <c r="O4167" s="4" t="s">
        <v>10366</v>
      </c>
    </row>
    <row r="4168" spans="1:15" x14ac:dyDescent="0.2">
      <c r="A4168" s="2">
        <v>40011656</v>
      </c>
      <c r="B4168" s="2" t="s">
        <v>9541</v>
      </c>
      <c r="C4168" s="5" t="s">
        <v>9601</v>
      </c>
      <c r="D4168" s="21">
        <v>2</v>
      </c>
      <c r="E4168" s="21"/>
      <c r="F4168" s="21" t="s">
        <v>10438</v>
      </c>
      <c r="G4168" s="21"/>
      <c r="H4168" s="54">
        <v>565</v>
      </c>
      <c r="I4168" s="51"/>
      <c r="J4168" s="27"/>
      <c r="K4168" s="27"/>
      <c r="L4168" s="15"/>
      <c r="M4168" s="15"/>
      <c r="N4168" s="4"/>
      <c r="O4168" s="4" t="s">
        <v>4654</v>
      </c>
    </row>
    <row r="4169" spans="1:15" x14ac:dyDescent="0.2">
      <c r="A4169" s="2">
        <v>40011657</v>
      </c>
      <c r="B4169" s="2" t="s">
        <v>9542</v>
      </c>
      <c r="C4169" s="5" t="s">
        <v>9602</v>
      </c>
      <c r="D4169" s="21">
        <v>1</v>
      </c>
      <c r="E4169" s="21"/>
      <c r="F4169" s="21" t="s">
        <v>10438</v>
      </c>
      <c r="G4169" s="21"/>
      <c r="H4169" s="54">
        <v>414</v>
      </c>
      <c r="I4169" s="51"/>
      <c r="J4169" s="27"/>
      <c r="K4169" s="27"/>
      <c r="L4169" s="15"/>
      <c r="M4169" s="15">
        <v>2</v>
      </c>
      <c r="N4169" s="4"/>
      <c r="O4169" s="4" t="s">
        <v>10352</v>
      </c>
    </row>
    <row r="4170" spans="1:15" x14ac:dyDescent="0.2">
      <c r="A4170" s="2">
        <v>40011658</v>
      </c>
      <c r="B4170" s="2" t="s">
        <v>9543</v>
      </c>
      <c r="C4170" s="5">
        <v>1349285</v>
      </c>
      <c r="D4170" s="21">
        <v>1</v>
      </c>
      <c r="E4170" s="21"/>
      <c r="F4170" s="21" t="s">
        <v>10438</v>
      </c>
      <c r="G4170" s="21"/>
      <c r="H4170" s="54">
        <v>5205</v>
      </c>
      <c r="I4170" s="51"/>
      <c r="J4170" s="27"/>
      <c r="K4170" s="27"/>
      <c r="L4170" s="15"/>
      <c r="M4170" s="15"/>
      <c r="N4170" s="4"/>
      <c r="O4170" s="4">
        <v>84</v>
      </c>
    </row>
    <row r="4171" spans="1:15" x14ac:dyDescent="0.2">
      <c r="A4171" s="2">
        <v>40011659</v>
      </c>
      <c r="B4171" s="2" t="s">
        <v>9544</v>
      </c>
      <c r="C4171" s="5" t="s">
        <v>9603</v>
      </c>
      <c r="D4171" s="21">
        <v>1</v>
      </c>
      <c r="E4171" s="21"/>
      <c r="F4171" s="21" t="s">
        <v>10438</v>
      </c>
      <c r="G4171" s="21"/>
      <c r="H4171" s="54">
        <v>2</v>
      </c>
      <c r="I4171" s="51"/>
      <c r="J4171" s="27"/>
      <c r="K4171" s="27"/>
      <c r="L4171" s="15"/>
      <c r="M4171" s="15"/>
      <c r="N4171" s="4" t="s">
        <v>9826</v>
      </c>
      <c r="O4171" s="4"/>
    </row>
    <row r="4172" spans="1:15" x14ac:dyDescent="0.2">
      <c r="A4172" s="2">
        <v>40011660</v>
      </c>
      <c r="B4172" s="2" t="s">
        <v>9545</v>
      </c>
      <c r="C4172" s="5" t="s">
        <v>9604</v>
      </c>
      <c r="D4172" s="21">
        <v>1</v>
      </c>
      <c r="E4172" s="21"/>
      <c r="F4172" s="21" t="s">
        <v>10438</v>
      </c>
      <c r="G4172" s="21"/>
      <c r="H4172" s="54">
        <v>11</v>
      </c>
      <c r="I4172" s="51"/>
      <c r="J4172" s="27"/>
      <c r="K4172" s="27"/>
      <c r="L4172" s="15"/>
      <c r="M4172" s="15"/>
      <c r="N4172" s="4" t="s">
        <v>9826</v>
      </c>
      <c r="O4172" s="4"/>
    </row>
    <row r="4173" spans="1:15" x14ac:dyDescent="0.2">
      <c r="A4173" s="2">
        <v>40011661</v>
      </c>
      <c r="B4173" s="2" t="s">
        <v>9546</v>
      </c>
      <c r="C4173" s="5" t="s">
        <v>9605</v>
      </c>
      <c r="D4173" s="21">
        <v>1</v>
      </c>
      <c r="E4173" s="21"/>
      <c r="F4173" s="21" t="s">
        <v>10438</v>
      </c>
      <c r="G4173" s="21"/>
      <c r="H4173" s="54">
        <v>389</v>
      </c>
      <c r="I4173" s="51"/>
      <c r="J4173" s="27"/>
      <c r="K4173" s="27"/>
      <c r="L4173" s="15"/>
      <c r="M4173" s="15"/>
      <c r="N4173" s="4" t="s">
        <v>4926</v>
      </c>
      <c r="O4173" s="4"/>
    </row>
    <row r="4174" spans="1:15" x14ac:dyDescent="0.2">
      <c r="A4174" s="2">
        <v>40011662</v>
      </c>
      <c r="B4174" s="2" t="s">
        <v>9547</v>
      </c>
      <c r="C4174" s="5" t="s">
        <v>9606</v>
      </c>
      <c r="D4174" s="21">
        <v>1</v>
      </c>
      <c r="E4174" s="21"/>
      <c r="F4174" s="21" t="s">
        <v>10438</v>
      </c>
      <c r="G4174" s="21"/>
      <c r="H4174" s="54">
        <v>156</v>
      </c>
      <c r="I4174" s="51"/>
      <c r="J4174" s="27"/>
      <c r="K4174" s="27"/>
      <c r="L4174" s="15"/>
      <c r="M4174" s="15"/>
      <c r="N4174" s="4" t="s">
        <v>4926</v>
      </c>
      <c r="O4174" s="4"/>
    </row>
    <row r="4175" spans="1:15" x14ac:dyDescent="0.2">
      <c r="A4175" s="2">
        <v>40011664</v>
      </c>
      <c r="B4175" s="2" t="s">
        <v>9548</v>
      </c>
      <c r="C4175" s="5" t="s">
        <v>9607</v>
      </c>
      <c r="D4175" s="21">
        <v>2</v>
      </c>
      <c r="E4175" s="21"/>
      <c r="F4175" s="21" t="s">
        <v>10438</v>
      </c>
      <c r="G4175" s="21"/>
      <c r="H4175" s="54">
        <v>1042</v>
      </c>
      <c r="I4175" s="51"/>
      <c r="J4175" s="27"/>
      <c r="K4175" s="27"/>
      <c r="L4175" s="15"/>
      <c r="M4175" s="15"/>
      <c r="N4175" s="4"/>
      <c r="O4175" s="4">
        <v>86</v>
      </c>
    </row>
    <row r="4176" spans="1:15" x14ac:dyDescent="0.2">
      <c r="A4176" s="2">
        <v>40011665</v>
      </c>
      <c r="B4176" s="2" t="s">
        <v>9549</v>
      </c>
      <c r="C4176" s="5">
        <v>957114011</v>
      </c>
      <c r="D4176" s="21">
        <v>3</v>
      </c>
      <c r="E4176" s="21"/>
      <c r="F4176" s="21" t="s">
        <v>10438</v>
      </c>
      <c r="G4176" s="21"/>
      <c r="H4176" s="54">
        <v>97</v>
      </c>
      <c r="I4176" s="51"/>
      <c r="J4176" s="27"/>
      <c r="K4176" s="27"/>
      <c r="L4176" s="15"/>
      <c r="M4176" s="15"/>
      <c r="N4176" s="4" t="s">
        <v>3986</v>
      </c>
      <c r="O4176" s="4"/>
    </row>
    <row r="4177" spans="1:15" x14ac:dyDescent="0.2">
      <c r="A4177" s="2">
        <v>10018156</v>
      </c>
      <c r="B4177" s="2" t="s">
        <v>9642</v>
      </c>
      <c r="C4177" s="5" t="s">
        <v>9646</v>
      </c>
      <c r="D4177" s="21">
        <v>1</v>
      </c>
      <c r="E4177" s="21"/>
      <c r="F4177" s="21" t="s">
        <v>10438</v>
      </c>
      <c r="G4177" s="21"/>
      <c r="H4177" s="54">
        <v>2075</v>
      </c>
      <c r="I4177" s="51">
        <v>1910</v>
      </c>
      <c r="J4177" s="27"/>
      <c r="K4177" s="27"/>
      <c r="L4177" s="15"/>
      <c r="M4177" s="15"/>
      <c r="N4177" s="4">
        <v>103</v>
      </c>
      <c r="O4177" s="4"/>
    </row>
    <row r="4178" spans="1:15" x14ac:dyDescent="0.2">
      <c r="A4178" s="2">
        <v>10019154</v>
      </c>
      <c r="B4178" s="2" t="s">
        <v>9643</v>
      </c>
      <c r="C4178" s="5" t="s">
        <v>9647</v>
      </c>
      <c r="D4178" s="21"/>
      <c r="E4178" s="21"/>
      <c r="F4178" s="21" t="s">
        <v>10438</v>
      </c>
      <c r="G4178" s="21"/>
      <c r="H4178" s="54">
        <v>7850</v>
      </c>
      <c r="I4178" s="51"/>
      <c r="J4178" s="27"/>
      <c r="K4178" s="27"/>
      <c r="L4178" s="15"/>
      <c r="M4178" s="15">
        <v>5</v>
      </c>
      <c r="N4178" s="4"/>
      <c r="O4178" s="4"/>
    </row>
    <row r="4179" spans="1:15" x14ac:dyDescent="0.2">
      <c r="A4179" s="2">
        <v>10019170</v>
      </c>
      <c r="B4179" s="2" t="s">
        <v>9644</v>
      </c>
      <c r="C4179" s="5">
        <v>531492652</v>
      </c>
      <c r="D4179" s="21"/>
      <c r="E4179" s="21"/>
      <c r="F4179" s="21" t="s">
        <v>10438</v>
      </c>
      <c r="G4179" s="21"/>
      <c r="H4179" s="54">
        <v>262</v>
      </c>
      <c r="I4179" s="51"/>
      <c r="J4179" s="27"/>
      <c r="K4179" s="27"/>
      <c r="L4179" s="15"/>
      <c r="M4179" s="15"/>
      <c r="N4179" s="4">
        <v>104</v>
      </c>
      <c r="O4179" s="4"/>
    </row>
    <row r="4180" spans="1:15" x14ac:dyDescent="0.2">
      <c r="A4180" s="2">
        <v>40010351</v>
      </c>
      <c r="B4180" s="2" t="s">
        <v>9645</v>
      </c>
      <c r="C4180" s="5" t="s">
        <v>9648</v>
      </c>
      <c r="D4180" s="21">
        <v>2</v>
      </c>
      <c r="E4180" s="21"/>
      <c r="F4180" s="21" t="s">
        <v>10438</v>
      </c>
      <c r="G4180" s="21"/>
      <c r="H4180" s="54">
        <v>37</v>
      </c>
      <c r="I4180" s="51"/>
      <c r="J4180" s="27"/>
      <c r="K4180" s="27"/>
      <c r="L4180" s="15"/>
      <c r="M4180" s="15">
        <v>3</v>
      </c>
      <c r="N4180" s="4" t="s">
        <v>4743</v>
      </c>
      <c r="O4180" s="4"/>
    </row>
    <row r="4181" spans="1:15" x14ac:dyDescent="0.2">
      <c r="A4181" s="2">
        <v>10017943</v>
      </c>
      <c r="B4181" s="2" t="s">
        <v>9650</v>
      </c>
      <c r="C4181" s="5" t="s">
        <v>9649</v>
      </c>
      <c r="D4181" s="21">
        <v>2</v>
      </c>
      <c r="E4181" s="21"/>
      <c r="F4181" s="21" t="s">
        <v>10438</v>
      </c>
      <c r="G4181" s="21"/>
      <c r="H4181" s="54">
        <v>1500</v>
      </c>
      <c r="I4181" s="51">
        <v>1380</v>
      </c>
      <c r="J4181" s="27"/>
      <c r="K4181" s="27"/>
      <c r="L4181" s="15">
        <v>2</v>
      </c>
      <c r="M4181" s="15"/>
      <c r="N4181" s="4"/>
      <c r="O4181" s="4" t="s">
        <v>10456</v>
      </c>
    </row>
    <row r="4182" spans="1:15" x14ac:dyDescent="0.2">
      <c r="A4182" s="2">
        <v>10029920</v>
      </c>
      <c r="B4182" s="2" t="s">
        <v>9652</v>
      </c>
      <c r="C4182" s="5" t="s">
        <v>9651</v>
      </c>
      <c r="D4182" s="21">
        <v>2</v>
      </c>
      <c r="E4182" s="21"/>
      <c r="F4182" s="21" t="s">
        <v>10438</v>
      </c>
      <c r="G4182" s="21"/>
      <c r="H4182" s="54">
        <v>3023</v>
      </c>
      <c r="I4182" s="51"/>
      <c r="J4182" s="27"/>
      <c r="K4182" s="27"/>
      <c r="L4182" s="15"/>
      <c r="M4182" s="15"/>
      <c r="N4182" s="4"/>
      <c r="O4182" s="4"/>
    </row>
    <row r="4183" spans="1:15" x14ac:dyDescent="0.2">
      <c r="A4183" s="2">
        <v>10017984</v>
      </c>
      <c r="B4183" s="2" t="s">
        <v>9654</v>
      </c>
      <c r="C4183" s="5" t="s">
        <v>9653</v>
      </c>
      <c r="D4183" s="21"/>
      <c r="E4183" s="21"/>
      <c r="F4183" s="21" t="s">
        <v>10438</v>
      </c>
      <c r="G4183" s="21"/>
      <c r="H4183" s="54">
        <v>8460</v>
      </c>
      <c r="I4183" s="51">
        <v>7195</v>
      </c>
      <c r="J4183" s="27"/>
      <c r="K4183" s="27"/>
      <c r="L4183" s="15"/>
      <c r="M4183" s="15"/>
      <c r="N4183" s="4"/>
      <c r="O4183" s="4" t="s">
        <v>10469</v>
      </c>
    </row>
    <row r="4184" spans="1:15" x14ac:dyDescent="0.2">
      <c r="A4184" s="2">
        <v>10044059</v>
      </c>
      <c r="B4184" s="2" t="s">
        <v>9611</v>
      </c>
      <c r="C4184" s="5" t="s">
        <v>9655</v>
      </c>
      <c r="D4184" s="21">
        <v>1</v>
      </c>
      <c r="E4184" s="21"/>
      <c r="F4184" s="21" t="s">
        <v>10438</v>
      </c>
      <c r="G4184" s="21"/>
      <c r="H4184" s="54">
        <v>5420</v>
      </c>
      <c r="I4184" s="51">
        <v>4610</v>
      </c>
      <c r="J4184" s="27"/>
      <c r="K4184" s="27"/>
      <c r="L4184" s="15"/>
      <c r="M4184" s="15"/>
      <c r="N4184" s="4"/>
      <c r="O4184" s="4"/>
    </row>
    <row r="4185" spans="1:15" x14ac:dyDescent="0.2">
      <c r="A4185" s="2">
        <v>10018507</v>
      </c>
      <c r="B4185" s="2" t="s">
        <v>9657</v>
      </c>
      <c r="C4185" s="5" t="s">
        <v>9656</v>
      </c>
      <c r="D4185" s="21">
        <v>2</v>
      </c>
      <c r="E4185" s="21"/>
      <c r="F4185" s="21" t="s">
        <v>10438</v>
      </c>
      <c r="G4185" s="21"/>
      <c r="H4185" s="54">
        <v>16920</v>
      </c>
      <c r="I4185" s="51">
        <v>11845</v>
      </c>
      <c r="J4185" s="27"/>
      <c r="K4185" s="27"/>
      <c r="L4185" s="15"/>
      <c r="M4185" s="15"/>
      <c r="N4185" s="4"/>
      <c r="O4185" s="4" t="s">
        <v>10446</v>
      </c>
    </row>
    <row r="4186" spans="1:15" x14ac:dyDescent="0.2">
      <c r="A4186" s="2">
        <v>10044049</v>
      </c>
      <c r="B4186" s="2" t="s">
        <v>9659</v>
      </c>
      <c r="C4186" s="5" t="s">
        <v>9658</v>
      </c>
      <c r="D4186" s="21">
        <v>5</v>
      </c>
      <c r="E4186" s="21"/>
      <c r="F4186" s="21" t="s">
        <v>10438</v>
      </c>
      <c r="G4186" s="21"/>
      <c r="H4186" s="54">
        <v>5945</v>
      </c>
      <c r="I4186" s="51">
        <v>5055</v>
      </c>
      <c r="J4186" s="27">
        <v>3</v>
      </c>
      <c r="K4186" s="27"/>
      <c r="L4186" s="15"/>
      <c r="M4186" s="15"/>
      <c r="N4186" s="4"/>
      <c r="O4186" s="4" t="s">
        <v>10445</v>
      </c>
    </row>
    <row r="4187" spans="1:15" x14ac:dyDescent="0.2">
      <c r="A4187" s="2">
        <v>10019054</v>
      </c>
      <c r="B4187" s="2" t="s">
        <v>9661</v>
      </c>
      <c r="C4187" s="5" t="s">
        <v>9660</v>
      </c>
      <c r="D4187" s="21">
        <v>7</v>
      </c>
      <c r="E4187" s="21"/>
      <c r="F4187" s="21" t="s">
        <v>10438</v>
      </c>
      <c r="G4187" s="21"/>
      <c r="H4187" s="54">
        <v>7945</v>
      </c>
      <c r="I4187" s="51">
        <v>6755</v>
      </c>
      <c r="J4187" s="27">
        <v>38</v>
      </c>
      <c r="K4187" s="27"/>
      <c r="L4187" s="15"/>
      <c r="M4187" s="15"/>
      <c r="N4187" s="4"/>
      <c r="O4187" s="4" t="s">
        <v>10449</v>
      </c>
    </row>
    <row r="4188" spans="1:15" x14ac:dyDescent="0.2">
      <c r="A4188" s="2">
        <v>10018588</v>
      </c>
      <c r="B4188" s="2" t="s">
        <v>9663</v>
      </c>
      <c r="C4188" s="5" t="s">
        <v>9662</v>
      </c>
      <c r="D4188" s="21"/>
      <c r="E4188" s="21"/>
      <c r="F4188" s="21" t="s">
        <v>10438</v>
      </c>
      <c r="G4188" s="21"/>
      <c r="H4188" s="54">
        <v>2325</v>
      </c>
      <c r="I4188" s="51"/>
      <c r="J4188" s="27"/>
      <c r="K4188" s="27"/>
      <c r="L4188" s="15"/>
      <c r="M4188" s="15">
        <v>2</v>
      </c>
      <c r="N4188" s="4"/>
      <c r="O4188" s="4"/>
    </row>
    <row r="4189" spans="1:15" x14ac:dyDescent="0.2">
      <c r="A4189" s="2">
        <v>10017908</v>
      </c>
      <c r="B4189" s="2" t="s">
        <v>9665</v>
      </c>
      <c r="C4189" s="5" t="s">
        <v>9664</v>
      </c>
      <c r="D4189" s="21">
        <v>5</v>
      </c>
      <c r="E4189" s="21"/>
      <c r="F4189" s="21" t="s">
        <v>10438</v>
      </c>
      <c r="G4189" s="21"/>
      <c r="H4189" s="54">
        <v>1500</v>
      </c>
      <c r="I4189" s="51"/>
      <c r="J4189" s="27"/>
      <c r="K4189" s="27"/>
      <c r="L4189" s="15"/>
      <c r="M4189" s="15"/>
      <c r="N4189" s="4"/>
      <c r="O4189" s="4"/>
    </row>
    <row r="4190" spans="1:15" x14ac:dyDescent="0.2">
      <c r="A4190" s="2">
        <v>10044060</v>
      </c>
      <c r="B4190" s="2" t="s">
        <v>9612</v>
      </c>
      <c r="C4190" s="5" t="s">
        <v>9666</v>
      </c>
      <c r="D4190" s="21">
        <v>3</v>
      </c>
      <c r="E4190" s="21"/>
      <c r="F4190" s="21" t="s">
        <v>10438</v>
      </c>
      <c r="G4190" s="21"/>
      <c r="H4190" s="54">
        <v>4575</v>
      </c>
      <c r="I4190" s="51">
        <v>3890</v>
      </c>
      <c r="J4190" s="27"/>
      <c r="K4190" s="27"/>
      <c r="L4190" s="15"/>
      <c r="M4190" s="15"/>
      <c r="N4190" s="4"/>
      <c r="O4190" s="4"/>
    </row>
    <row r="4191" spans="1:15" x14ac:dyDescent="0.2">
      <c r="A4191" s="2">
        <v>10044062</v>
      </c>
      <c r="B4191" s="2" t="s">
        <v>9614</v>
      </c>
      <c r="C4191" s="5" t="s">
        <v>9667</v>
      </c>
      <c r="D4191" s="21">
        <v>1</v>
      </c>
      <c r="E4191" s="21"/>
      <c r="F4191" s="21" t="s">
        <v>10438</v>
      </c>
      <c r="G4191" s="21"/>
      <c r="H4191" s="54">
        <v>30240</v>
      </c>
      <c r="I4191" s="51">
        <v>7560</v>
      </c>
      <c r="J4191" s="27"/>
      <c r="K4191" s="27"/>
      <c r="L4191" s="15"/>
      <c r="M4191" s="15"/>
      <c r="N4191" s="4"/>
      <c r="O4191" s="4"/>
    </row>
    <row r="4192" spans="1:15" x14ac:dyDescent="0.2">
      <c r="A4192" s="2">
        <v>10044044</v>
      </c>
      <c r="B4192" s="2" t="s">
        <v>9669</v>
      </c>
      <c r="C4192" s="5" t="s">
        <v>9668</v>
      </c>
      <c r="D4192" s="21"/>
      <c r="E4192" s="21"/>
      <c r="F4192" s="21" t="s">
        <v>10438</v>
      </c>
      <c r="G4192" s="21"/>
      <c r="H4192" s="54">
        <v>1295</v>
      </c>
      <c r="I4192" s="51"/>
      <c r="J4192" s="27"/>
      <c r="K4192" s="27"/>
      <c r="L4192" s="15"/>
      <c r="M4192" s="15">
        <v>100</v>
      </c>
      <c r="N4192" s="4"/>
      <c r="O4192" s="4"/>
    </row>
    <row r="4193" spans="1:15" x14ac:dyDescent="0.2">
      <c r="A4193" s="2">
        <v>10044063</v>
      </c>
      <c r="B4193" s="2" t="s">
        <v>9615</v>
      </c>
      <c r="C4193" s="5" t="s">
        <v>9670</v>
      </c>
      <c r="D4193" s="21"/>
      <c r="E4193" s="21"/>
      <c r="F4193" s="21" t="s">
        <v>10438</v>
      </c>
      <c r="G4193" s="21"/>
      <c r="H4193" s="54">
        <v>2465</v>
      </c>
      <c r="I4193" s="51"/>
      <c r="J4193" s="27"/>
      <c r="K4193" s="27"/>
      <c r="L4193" s="15"/>
      <c r="M4193" s="15">
        <v>3</v>
      </c>
      <c r="N4193" s="4"/>
      <c r="O4193" s="4"/>
    </row>
    <row r="4194" spans="1:15" x14ac:dyDescent="0.2">
      <c r="A4194" s="2">
        <v>10044064</v>
      </c>
      <c r="B4194" s="2" t="s">
        <v>9616</v>
      </c>
      <c r="C4194" s="5" t="s">
        <v>9671</v>
      </c>
      <c r="D4194" s="21">
        <v>1</v>
      </c>
      <c r="E4194" s="21"/>
      <c r="F4194" s="21" t="s">
        <v>10438</v>
      </c>
      <c r="G4194" s="21"/>
      <c r="H4194" s="54">
        <v>4620</v>
      </c>
      <c r="I4194" s="51">
        <v>3700</v>
      </c>
      <c r="J4194" s="27"/>
      <c r="K4194" s="27"/>
      <c r="L4194" s="15"/>
      <c r="M4194" s="15"/>
      <c r="N4194" s="4"/>
      <c r="O4194" s="4"/>
    </row>
    <row r="4195" spans="1:15" x14ac:dyDescent="0.2">
      <c r="A4195" s="2">
        <v>10044077</v>
      </c>
      <c r="B4195" s="2" t="s">
        <v>9626</v>
      </c>
      <c r="C4195" s="5" t="s">
        <v>9672</v>
      </c>
      <c r="D4195" s="21"/>
      <c r="E4195" s="21"/>
      <c r="F4195" s="21" t="s">
        <v>10438</v>
      </c>
      <c r="G4195" s="21"/>
      <c r="H4195" s="54">
        <v>3035</v>
      </c>
      <c r="I4195" s="51"/>
      <c r="J4195" s="27"/>
      <c r="K4195" s="27"/>
      <c r="L4195" s="15"/>
      <c r="M4195" s="15">
        <v>1</v>
      </c>
      <c r="N4195" s="4"/>
      <c r="O4195" s="4"/>
    </row>
    <row r="4196" spans="1:15" x14ac:dyDescent="0.2">
      <c r="A4196" s="2">
        <v>10044073</v>
      </c>
      <c r="B4196" s="2" t="s">
        <v>9622</v>
      </c>
      <c r="C4196" s="5" t="s">
        <v>9673</v>
      </c>
      <c r="D4196" s="21"/>
      <c r="E4196" s="21"/>
      <c r="F4196" s="21" t="s">
        <v>10438</v>
      </c>
      <c r="G4196" s="21"/>
      <c r="H4196" s="54">
        <v>785</v>
      </c>
      <c r="I4196" s="51"/>
      <c r="J4196" s="27"/>
      <c r="K4196" s="27"/>
      <c r="L4196" s="15">
        <v>1</v>
      </c>
      <c r="M4196" s="15"/>
      <c r="N4196" s="4"/>
      <c r="O4196" s="4"/>
    </row>
    <row r="4197" spans="1:15" x14ac:dyDescent="0.2">
      <c r="A4197" s="2">
        <v>10044065</v>
      </c>
      <c r="B4197" s="2" t="s">
        <v>9617</v>
      </c>
      <c r="C4197" s="5" t="s">
        <v>9674</v>
      </c>
      <c r="D4197" s="21">
        <v>1</v>
      </c>
      <c r="E4197" s="21"/>
      <c r="F4197" s="21" t="s">
        <v>10438</v>
      </c>
      <c r="G4197" s="21"/>
      <c r="H4197" s="54">
        <v>26885</v>
      </c>
      <c r="I4197" s="51">
        <v>6725</v>
      </c>
      <c r="J4197" s="27"/>
      <c r="K4197" s="27"/>
      <c r="L4197" s="15"/>
      <c r="M4197" s="15"/>
      <c r="N4197" s="4"/>
      <c r="O4197" s="4"/>
    </row>
    <row r="4198" spans="1:15" x14ac:dyDescent="0.2">
      <c r="A4198" s="2">
        <v>10044074</v>
      </c>
      <c r="B4198" s="2" t="s">
        <v>9623</v>
      </c>
      <c r="C4198" s="5" t="s">
        <v>9675</v>
      </c>
      <c r="D4198" s="21">
        <v>1</v>
      </c>
      <c r="E4198" s="21"/>
      <c r="F4198" s="21" t="s">
        <v>10438</v>
      </c>
      <c r="G4198" s="21"/>
      <c r="H4198" s="54">
        <v>2450</v>
      </c>
      <c r="I4198" s="51">
        <v>2205</v>
      </c>
      <c r="J4198" s="27"/>
      <c r="K4198" s="27"/>
      <c r="L4198" s="15"/>
      <c r="M4198" s="15"/>
      <c r="N4198" s="4"/>
      <c r="O4198" s="4"/>
    </row>
    <row r="4199" spans="1:15" x14ac:dyDescent="0.2">
      <c r="A4199" s="2">
        <v>10041621</v>
      </c>
      <c r="B4199" s="2" t="s">
        <v>9677</v>
      </c>
      <c r="C4199" s="5" t="s">
        <v>9676</v>
      </c>
      <c r="D4199" s="21">
        <v>5</v>
      </c>
      <c r="E4199" s="21"/>
      <c r="F4199" s="21" t="s">
        <v>10438</v>
      </c>
      <c r="G4199" s="21"/>
      <c r="H4199" s="54">
        <v>815</v>
      </c>
      <c r="I4199" s="51">
        <v>750</v>
      </c>
      <c r="J4199" s="27">
        <v>2</v>
      </c>
      <c r="K4199" s="27"/>
      <c r="L4199" s="15"/>
      <c r="M4199" s="15"/>
      <c r="N4199" s="4"/>
      <c r="O4199" s="4" t="s">
        <v>10447</v>
      </c>
    </row>
    <row r="4200" spans="1:15" x14ac:dyDescent="0.2">
      <c r="A4200" s="2">
        <v>10018010</v>
      </c>
      <c r="B4200" s="2" t="s">
        <v>9679</v>
      </c>
      <c r="C4200" s="5" t="s">
        <v>9678</v>
      </c>
      <c r="D4200" s="21">
        <v>3</v>
      </c>
      <c r="E4200" s="21"/>
      <c r="F4200" s="21" t="s">
        <v>10438</v>
      </c>
      <c r="G4200" s="21"/>
      <c r="H4200" s="54">
        <v>815</v>
      </c>
      <c r="I4200" s="51">
        <v>750</v>
      </c>
      <c r="J4200" s="27"/>
      <c r="K4200" s="27"/>
      <c r="L4200" s="15"/>
      <c r="M4200" s="15"/>
      <c r="N4200" s="4"/>
      <c r="O4200" s="4" t="s">
        <v>10448</v>
      </c>
    </row>
    <row r="4201" spans="1:15" x14ac:dyDescent="0.2">
      <c r="A4201" s="2">
        <v>10017934</v>
      </c>
      <c r="B4201" s="2" t="s">
        <v>9681</v>
      </c>
      <c r="C4201" s="5" t="s">
        <v>9680</v>
      </c>
      <c r="D4201" s="21">
        <v>6</v>
      </c>
      <c r="E4201" s="21"/>
      <c r="F4201" s="21" t="s">
        <v>10438</v>
      </c>
      <c r="G4201" s="21"/>
      <c r="H4201" s="54">
        <v>410</v>
      </c>
      <c r="I4201" s="51"/>
      <c r="J4201" s="27"/>
      <c r="K4201" s="27"/>
      <c r="L4201" s="15"/>
      <c r="M4201" s="15"/>
      <c r="N4201" s="4"/>
      <c r="O4201" s="4" t="s">
        <v>10449</v>
      </c>
    </row>
    <row r="4202" spans="1:15" x14ac:dyDescent="0.2">
      <c r="A4202" s="2">
        <v>10044051</v>
      </c>
      <c r="B4202" s="2" t="s">
        <v>9683</v>
      </c>
      <c r="C4202" s="5" t="s">
        <v>9682</v>
      </c>
      <c r="D4202" s="21">
        <v>2</v>
      </c>
      <c r="E4202" s="21"/>
      <c r="F4202" s="21" t="s">
        <v>10438</v>
      </c>
      <c r="G4202" s="21"/>
      <c r="H4202" s="54">
        <v>2205</v>
      </c>
      <c r="I4202" s="51"/>
      <c r="J4202" s="27"/>
      <c r="K4202" s="27"/>
      <c r="L4202" s="15"/>
      <c r="M4202" s="15"/>
      <c r="N4202" s="4"/>
      <c r="O4202" s="4"/>
    </row>
    <row r="4203" spans="1:15" x14ac:dyDescent="0.2">
      <c r="A4203" s="2">
        <v>10044061</v>
      </c>
      <c r="B4203" s="2" t="s">
        <v>9613</v>
      </c>
      <c r="C4203" s="5" t="s">
        <v>9684</v>
      </c>
      <c r="D4203" s="21">
        <v>3</v>
      </c>
      <c r="E4203" s="21"/>
      <c r="F4203" s="21" t="s">
        <v>10438</v>
      </c>
      <c r="G4203" s="21"/>
      <c r="H4203" s="54">
        <v>4575</v>
      </c>
      <c r="I4203" s="51">
        <v>3660</v>
      </c>
      <c r="J4203" s="27"/>
      <c r="K4203" s="27"/>
      <c r="L4203" s="15"/>
      <c r="M4203" s="15"/>
      <c r="N4203" s="4"/>
      <c r="O4203" s="4"/>
    </row>
    <row r="4204" spans="1:15" x14ac:dyDescent="0.2">
      <c r="A4204" s="2">
        <v>10018628</v>
      </c>
      <c r="B4204" s="2" t="s">
        <v>9686</v>
      </c>
      <c r="C4204" s="5" t="s">
        <v>9685</v>
      </c>
      <c r="D4204" s="21">
        <v>3</v>
      </c>
      <c r="E4204" s="21"/>
      <c r="F4204" s="21" t="s">
        <v>10438</v>
      </c>
      <c r="G4204" s="21"/>
      <c r="H4204" s="54">
        <v>12330</v>
      </c>
      <c r="I4204" s="51">
        <v>10485</v>
      </c>
      <c r="J4204" s="27"/>
      <c r="K4204" s="27"/>
      <c r="L4204" s="15"/>
      <c r="M4204" s="15"/>
      <c r="N4204" s="4"/>
      <c r="O4204" s="4"/>
    </row>
    <row r="4205" spans="1:15" x14ac:dyDescent="0.2">
      <c r="A4205" s="2">
        <v>10044079</v>
      </c>
      <c r="B4205" s="2" t="s">
        <v>9627</v>
      </c>
      <c r="C4205" s="5" t="s">
        <v>9687</v>
      </c>
      <c r="D4205" s="21">
        <v>2</v>
      </c>
      <c r="E4205" s="21"/>
      <c r="F4205" s="21" t="s">
        <v>10438</v>
      </c>
      <c r="G4205" s="21"/>
      <c r="H4205" s="54">
        <v>4590</v>
      </c>
      <c r="I4205" s="51">
        <v>3675</v>
      </c>
      <c r="J4205" s="27">
        <v>2</v>
      </c>
      <c r="K4205" s="27"/>
      <c r="L4205" s="15"/>
      <c r="M4205" s="15"/>
      <c r="N4205" s="4"/>
      <c r="O4205" s="4" t="s">
        <v>10452</v>
      </c>
    </row>
    <row r="4206" spans="1:15" x14ac:dyDescent="0.2">
      <c r="A4206" s="2">
        <v>10044052</v>
      </c>
      <c r="B4206" s="2" t="s">
        <v>9689</v>
      </c>
      <c r="C4206" s="5" t="s">
        <v>9688</v>
      </c>
      <c r="D4206" s="21">
        <v>3</v>
      </c>
      <c r="E4206" s="21"/>
      <c r="F4206" s="21" t="s">
        <v>10438</v>
      </c>
      <c r="G4206" s="21"/>
      <c r="H4206" s="54">
        <v>1200</v>
      </c>
      <c r="I4206" s="51">
        <v>1105</v>
      </c>
      <c r="J4206" s="27">
        <v>4</v>
      </c>
      <c r="K4206" s="27"/>
      <c r="L4206" s="15"/>
      <c r="M4206" s="15"/>
      <c r="N4206" s="4"/>
      <c r="O4206" s="4"/>
    </row>
    <row r="4207" spans="1:15" x14ac:dyDescent="0.2">
      <c r="A4207" s="2">
        <v>10044075</v>
      </c>
      <c r="B4207" s="2" t="s">
        <v>9624</v>
      </c>
      <c r="C4207" s="5" t="s">
        <v>9690</v>
      </c>
      <c r="D4207" s="21">
        <v>3</v>
      </c>
      <c r="E4207" s="21"/>
      <c r="F4207" s="21" t="s">
        <v>10438</v>
      </c>
      <c r="G4207" s="21"/>
      <c r="H4207" s="54">
        <v>4130</v>
      </c>
      <c r="I4207" s="51">
        <v>3305</v>
      </c>
      <c r="J4207" s="27"/>
      <c r="K4207" s="27"/>
      <c r="L4207" s="15"/>
      <c r="M4207" s="15"/>
      <c r="N4207" s="4"/>
      <c r="O4207" s="4" t="s">
        <v>10462</v>
      </c>
    </row>
    <row r="4208" spans="1:15" x14ac:dyDescent="0.2">
      <c r="A4208" s="2">
        <v>10044076</v>
      </c>
      <c r="B4208" s="2" t="s">
        <v>9625</v>
      </c>
      <c r="C4208" s="5" t="s">
        <v>9691</v>
      </c>
      <c r="D4208" s="21">
        <v>3</v>
      </c>
      <c r="E4208" s="21"/>
      <c r="F4208" s="21" t="s">
        <v>10438</v>
      </c>
      <c r="G4208" s="21"/>
      <c r="H4208" s="54">
        <v>1500</v>
      </c>
      <c r="I4208" s="51">
        <v>1380</v>
      </c>
      <c r="J4208" s="27"/>
      <c r="K4208" s="27"/>
      <c r="L4208" s="15"/>
      <c r="M4208" s="15"/>
      <c r="N4208" s="4"/>
      <c r="O4208" s="4" t="s">
        <v>10462</v>
      </c>
    </row>
    <row r="4209" spans="1:15" x14ac:dyDescent="0.2">
      <c r="A4209" s="2">
        <v>10044066</v>
      </c>
      <c r="B4209" s="2" t="s">
        <v>9618</v>
      </c>
      <c r="C4209" s="5" t="s">
        <v>9692</v>
      </c>
      <c r="D4209" s="21">
        <v>2</v>
      </c>
      <c r="E4209" s="21"/>
      <c r="F4209" s="21" t="s">
        <v>10438</v>
      </c>
      <c r="G4209" s="21"/>
      <c r="H4209" s="54">
        <v>1500</v>
      </c>
      <c r="I4209" s="51">
        <v>1380</v>
      </c>
      <c r="J4209" s="27">
        <v>2</v>
      </c>
      <c r="K4209" s="27"/>
      <c r="L4209" s="15"/>
      <c r="M4209" s="15"/>
      <c r="N4209" s="4"/>
      <c r="O4209" s="4" t="s">
        <v>10469</v>
      </c>
    </row>
    <row r="4210" spans="1:15" x14ac:dyDescent="0.2">
      <c r="A4210" s="2">
        <v>10044067</v>
      </c>
      <c r="B4210" s="2" t="s">
        <v>9619</v>
      </c>
      <c r="C4210" s="5" t="s">
        <v>9693</v>
      </c>
      <c r="D4210" s="21">
        <v>2</v>
      </c>
      <c r="E4210" s="21"/>
      <c r="F4210" s="21" t="s">
        <v>10438</v>
      </c>
      <c r="G4210" s="21"/>
      <c r="H4210" s="54">
        <v>500</v>
      </c>
      <c r="I4210" s="51">
        <v>460</v>
      </c>
      <c r="J4210" s="27">
        <v>2</v>
      </c>
      <c r="K4210" s="27"/>
      <c r="L4210" s="15"/>
      <c r="M4210" s="15"/>
      <c r="N4210" s="4"/>
      <c r="O4210" s="4" t="s">
        <v>10469</v>
      </c>
    </row>
    <row r="4211" spans="1:15" x14ac:dyDescent="0.2">
      <c r="A4211" s="2">
        <v>10044047</v>
      </c>
      <c r="B4211" s="2" t="s">
        <v>9695</v>
      </c>
      <c r="C4211" s="5" t="s">
        <v>9694</v>
      </c>
      <c r="D4211" s="21">
        <v>1</v>
      </c>
      <c r="E4211" s="21"/>
      <c r="F4211" s="21" t="s">
        <v>10438</v>
      </c>
      <c r="G4211" s="21"/>
      <c r="H4211" s="54">
        <v>835</v>
      </c>
      <c r="I4211" s="51">
        <v>770</v>
      </c>
      <c r="J4211" s="27"/>
      <c r="K4211" s="27"/>
      <c r="L4211" s="15"/>
      <c r="M4211" s="15"/>
      <c r="N4211" s="4"/>
      <c r="O4211" s="4"/>
    </row>
    <row r="4212" spans="1:15" x14ac:dyDescent="0.2">
      <c r="A4212" s="2">
        <v>10017948</v>
      </c>
      <c r="B4212" s="2" t="s">
        <v>9697</v>
      </c>
      <c r="C4212" s="5" t="s">
        <v>9696</v>
      </c>
      <c r="D4212" s="21">
        <v>4</v>
      </c>
      <c r="E4212" s="21"/>
      <c r="F4212" s="21" t="s">
        <v>10438</v>
      </c>
      <c r="G4212" s="21"/>
      <c r="H4212" s="54">
        <v>1240</v>
      </c>
      <c r="I4212" s="51">
        <v>1145</v>
      </c>
      <c r="J4212" s="27">
        <v>5</v>
      </c>
      <c r="K4212" s="27"/>
      <c r="L4212" s="15"/>
      <c r="M4212" s="15"/>
      <c r="N4212" s="4">
        <v>99</v>
      </c>
      <c r="O4212" s="4"/>
    </row>
    <row r="4213" spans="1:15" x14ac:dyDescent="0.2">
      <c r="A4213" s="2">
        <v>10044068</v>
      </c>
      <c r="B4213" s="2" t="s">
        <v>9620</v>
      </c>
      <c r="C4213" s="5" t="s">
        <v>9698</v>
      </c>
      <c r="D4213" s="21"/>
      <c r="E4213" s="21"/>
      <c r="F4213" s="21" t="s">
        <v>10438</v>
      </c>
      <c r="G4213" s="21"/>
      <c r="H4213" s="54">
        <v>2895</v>
      </c>
      <c r="I4213" s="51">
        <v>2665</v>
      </c>
      <c r="J4213" s="27"/>
      <c r="K4213" s="27"/>
      <c r="L4213" s="15"/>
      <c r="M4213" s="15"/>
      <c r="N4213" s="4"/>
      <c r="O4213" s="4" t="s">
        <v>10469</v>
      </c>
    </row>
    <row r="4214" spans="1:15" x14ac:dyDescent="0.2">
      <c r="A4214" s="2">
        <v>10044080</v>
      </c>
      <c r="B4214" s="2" t="s">
        <v>9628</v>
      </c>
      <c r="C4214" s="5" t="s">
        <v>9699</v>
      </c>
      <c r="D4214" s="21">
        <v>1</v>
      </c>
      <c r="E4214" s="21"/>
      <c r="F4214" s="21" t="s">
        <v>10438</v>
      </c>
      <c r="G4214" s="21"/>
      <c r="H4214" s="54">
        <v>1080</v>
      </c>
      <c r="I4214" s="51">
        <v>995</v>
      </c>
      <c r="J4214" s="27"/>
      <c r="K4214" s="27"/>
      <c r="L4214" s="15"/>
      <c r="M4214" s="15"/>
      <c r="N4214" s="4"/>
      <c r="O4214" s="4"/>
    </row>
    <row r="4215" spans="1:15" x14ac:dyDescent="0.2">
      <c r="A4215" s="2">
        <v>10044083</v>
      </c>
      <c r="B4215" s="2" t="s">
        <v>9630</v>
      </c>
      <c r="C4215" s="5" t="s">
        <v>9700</v>
      </c>
      <c r="D4215" s="21">
        <v>2</v>
      </c>
      <c r="E4215" s="21"/>
      <c r="F4215" s="21" t="s">
        <v>10438</v>
      </c>
      <c r="G4215" s="21"/>
      <c r="H4215" s="54">
        <v>1295</v>
      </c>
      <c r="I4215" s="51">
        <v>1195</v>
      </c>
      <c r="J4215" s="27"/>
      <c r="K4215" s="27"/>
      <c r="L4215" s="15"/>
      <c r="M4215" s="15"/>
      <c r="N4215" s="4"/>
      <c r="O4215" s="4" t="s">
        <v>10445</v>
      </c>
    </row>
    <row r="4216" spans="1:15" x14ac:dyDescent="0.2">
      <c r="A4216" s="2">
        <v>10044112</v>
      </c>
      <c r="B4216" s="2" t="s">
        <v>9635</v>
      </c>
      <c r="C4216" s="5" t="s">
        <v>9701</v>
      </c>
      <c r="D4216" s="21">
        <v>1</v>
      </c>
      <c r="E4216" s="21"/>
      <c r="F4216" s="21" t="s">
        <v>10438</v>
      </c>
      <c r="G4216" s="21"/>
      <c r="H4216" s="54">
        <v>5274</v>
      </c>
      <c r="I4216" s="51">
        <v>4747</v>
      </c>
      <c r="J4216" s="27"/>
      <c r="K4216" s="27"/>
      <c r="L4216" s="15"/>
      <c r="M4216" s="15"/>
      <c r="N4216" s="4"/>
      <c r="O4216" s="4" t="s">
        <v>10469</v>
      </c>
    </row>
    <row r="4217" spans="1:15" x14ac:dyDescent="0.2">
      <c r="A4217" s="2">
        <v>10019539</v>
      </c>
      <c r="B4217" s="2" t="s">
        <v>9703</v>
      </c>
      <c r="C4217" s="5" t="s">
        <v>9702</v>
      </c>
      <c r="D4217" s="21">
        <v>3</v>
      </c>
      <c r="E4217" s="21"/>
      <c r="F4217" s="21" t="s">
        <v>10438</v>
      </c>
      <c r="G4217" s="21"/>
      <c r="H4217" s="54">
        <v>110</v>
      </c>
      <c r="I4217" s="51"/>
      <c r="J4217" s="27"/>
      <c r="K4217" s="27"/>
      <c r="L4217" s="15"/>
      <c r="M4217" s="15"/>
      <c r="N4217" s="4">
        <v>80</v>
      </c>
      <c r="O4217" s="4"/>
    </row>
    <row r="4218" spans="1:15" x14ac:dyDescent="0.2">
      <c r="A4218" s="2">
        <v>10044113</v>
      </c>
      <c r="B4218" s="2" t="s">
        <v>9636</v>
      </c>
      <c r="C4218" s="5" t="s">
        <v>9704</v>
      </c>
      <c r="D4218" s="21">
        <v>2</v>
      </c>
      <c r="E4218" s="21"/>
      <c r="F4218" s="21" t="s">
        <v>10438</v>
      </c>
      <c r="G4218" s="21"/>
      <c r="H4218" s="54">
        <v>271</v>
      </c>
      <c r="I4218" s="51"/>
      <c r="J4218" s="27"/>
      <c r="K4218" s="27"/>
      <c r="L4218" s="15"/>
      <c r="M4218" s="15"/>
      <c r="N4218" s="4"/>
      <c r="O4218" s="4"/>
    </row>
    <row r="4219" spans="1:15" x14ac:dyDescent="0.2">
      <c r="A4219" s="2">
        <v>10044114</v>
      </c>
      <c r="B4219" s="2" t="s">
        <v>9637</v>
      </c>
      <c r="C4219" s="5" t="s">
        <v>9705</v>
      </c>
      <c r="D4219" s="21">
        <v>3</v>
      </c>
      <c r="E4219" s="21"/>
      <c r="F4219" s="21" t="s">
        <v>10438</v>
      </c>
      <c r="G4219" s="21"/>
      <c r="H4219" s="54">
        <v>274</v>
      </c>
      <c r="I4219" s="51"/>
      <c r="J4219" s="27"/>
      <c r="K4219" s="27"/>
      <c r="L4219" s="15"/>
      <c r="M4219" s="15"/>
      <c r="N4219" s="4"/>
      <c r="O4219" s="4"/>
    </row>
    <row r="4220" spans="1:15" x14ac:dyDescent="0.2">
      <c r="A4220" s="2">
        <v>10019568</v>
      </c>
      <c r="B4220" s="2" t="s">
        <v>9707</v>
      </c>
      <c r="C4220" s="5" t="s">
        <v>9706</v>
      </c>
      <c r="D4220" s="21">
        <v>4</v>
      </c>
      <c r="E4220" s="21"/>
      <c r="F4220" s="21" t="s">
        <v>10438</v>
      </c>
      <c r="G4220" s="21"/>
      <c r="H4220" s="54">
        <v>62</v>
      </c>
      <c r="I4220" s="51"/>
      <c r="J4220" s="27"/>
      <c r="K4220" s="27"/>
      <c r="L4220" s="15"/>
      <c r="M4220" s="15"/>
      <c r="N4220" s="4">
        <v>65</v>
      </c>
      <c r="O4220" s="4"/>
    </row>
    <row r="4221" spans="1:15" x14ac:dyDescent="0.2">
      <c r="A4221" s="2">
        <v>10018221</v>
      </c>
      <c r="B4221" s="2" t="s">
        <v>9709</v>
      </c>
      <c r="C4221" s="5" t="s">
        <v>9708</v>
      </c>
      <c r="D4221" s="21"/>
      <c r="E4221" s="21"/>
      <c r="F4221" s="21" t="s">
        <v>10438</v>
      </c>
      <c r="G4221" s="21"/>
      <c r="H4221" s="54">
        <v>580</v>
      </c>
      <c r="I4221" s="51"/>
      <c r="J4221" s="27"/>
      <c r="K4221" s="27"/>
      <c r="L4221" s="15">
        <v>6</v>
      </c>
      <c r="M4221" s="15"/>
      <c r="N4221" s="4"/>
      <c r="O4221" s="4" t="s">
        <v>10445</v>
      </c>
    </row>
    <row r="4222" spans="1:15" x14ac:dyDescent="0.2">
      <c r="A4222" s="2">
        <v>10018244</v>
      </c>
      <c r="B4222" s="2" t="s">
        <v>9711</v>
      </c>
      <c r="C4222" s="5" t="s">
        <v>9710</v>
      </c>
      <c r="D4222" s="21"/>
      <c r="E4222" s="21"/>
      <c r="F4222" s="21" t="s">
        <v>10438</v>
      </c>
      <c r="G4222" s="21"/>
      <c r="H4222" s="54">
        <v>839</v>
      </c>
      <c r="I4222" s="51"/>
      <c r="J4222" s="27"/>
      <c r="K4222" s="27"/>
      <c r="L4222" s="15"/>
      <c r="M4222" s="15">
        <v>5</v>
      </c>
      <c r="N4222" s="4"/>
      <c r="O4222" s="4"/>
    </row>
    <row r="4223" spans="1:15" x14ac:dyDescent="0.2">
      <c r="A4223" s="2">
        <v>10018467</v>
      </c>
      <c r="B4223" s="2" t="s">
        <v>9713</v>
      </c>
      <c r="C4223" s="5" t="s">
        <v>9712</v>
      </c>
      <c r="D4223" s="21">
        <v>2</v>
      </c>
      <c r="E4223" s="21"/>
      <c r="F4223" s="21" t="s">
        <v>10438</v>
      </c>
      <c r="G4223" s="21"/>
      <c r="H4223" s="54">
        <v>1033</v>
      </c>
      <c r="I4223" s="51"/>
      <c r="J4223" s="27"/>
      <c r="K4223" s="27"/>
      <c r="L4223" s="15"/>
      <c r="M4223" s="15"/>
      <c r="N4223" s="4">
        <v>48</v>
      </c>
      <c r="O4223" s="4"/>
    </row>
    <row r="4224" spans="1:15" x14ac:dyDescent="0.2">
      <c r="A4224" s="2">
        <v>10018838</v>
      </c>
      <c r="B4224" s="2" t="s">
        <v>9715</v>
      </c>
      <c r="C4224" s="5" t="s">
        <v>9714</v>
      </c>
      <c r="D4224" s="21">
        <v>4</v>
      </c>
      <c r="E4224" s="21"/>
      <c r="F4224" s="21" t="s">
        <v>10438</v>
      </c>
      <c r="G4224" s="21"/>
      <c r="H4224" s="54">
        <v>150</v>
      </c>
      <c r="I4224" s="51"/>
      <c r="J4224" s="27"/>
      <c r="K4224" s="27"/>
      <c r="L4224" s="15"/>
      <c r="M4224" s="15"/>
      <c r="N4224" s="4">
        <v>51</v>
      </c>
      <c r="O4224" s="4"/>
    </row>
    <row r="4225" spans="1:15" x14ac:dyDescent="0.2">
      <c r="A4225" s="2">
        <v>10018837</v>
      </c>
      <c r="B4225" s="2" t="s">
        <v>9717</v>
      </c>
      <c r="C4225" s="5" t="s">
        <v>9716</v>
      </c>
      <c r="D4225" s="21">
        <v>5</v>
      </c>
      <c r="E4225" s="21"/>
      <c r="F4225" s="21" t="s">
        <v>10438</v>
      </c>
      <c r="G4225" s="21"/>
      <c r="H4225" s="54">
        <v>150</v>
      </c>
      <c r="I4225" s="51"/>
      <c r="J4225" s="27"/>
      <c r="K4225" s="27"/>
      <c r="L4225" s="15"/>
      <c r="M4225" s="15"/>
      <c r="N4225" s="4">
        <v>51</v>
      </c>
      <c r="O4225" s="4"/>
    </row>
    <row r="4226" spans="1:15" x14ac:dyDescent="0.2">
      <c r="A4226" s="2">
        <v>10018397</v>
      </c>
      <c r="B4226" s="2" t="s">
        <v>9719</v>
      </c>
      <c r="C4226" s="5" t="s">
        <v>9718</v>
      </c>
      <c r="D4226" s="21">
        <v>3</v>
      </c>
      <c r="E4226" s="21"/>
      <c r="F4226" s="21" t="s">
        <v>10438</v>
      </c>
      <c r="G4226" s="21"/>
      <c r="H4226" s="54">
        <v>47</v>
      </c>
      <c r="I4226" s="51"/>
      <c r="J4226" s="27"/>
      <c r="K4226" s="27"/>
      <c r="L4226" s="15"/>
      <c r="M4226" s="15"/>
      <c r="N4226" s="4"/>
      <c r="O4226" s="4"/>
    </row>
    <row r="4227" spans="1:15" x14ac:dyDescent="0.2">
      <c r="A4227" s="2">
        <v>10018401</v>
      </c>
      <c r="B4227" s="2" t="s">
        <v>9721</v>
      </c>
      <c r="C4227" s="5" t="s">
        <v>9720</v>
      </c>
      <c r="D4227" s="21">
        <v>2</v>
      </c>
      <c r="E4227" s="21"/>
      <c r="F4227" s="21" t="s">
        <v>10438</v>
      </c>
      <c r="G4227" s="21"/>
      <c r="H4227" s="54">
        <v>45</v>
      </c>
      <c r="I4227" s="51"/>
      <c r="J4227" s="27"/>
      <c r="K4227" s="27"/>
      <c r="L4227" s="15"/>
      <c r="M4227" s="15"/>
      <c r="N4227" s="4"/>
      <c r="O4227" s="4"/>
    </row>
    <row r="4228" spans="1:15" x14ac:dyDescent="0.2">
      <c r="A4228" s="2">
        <v>10017967</v>
      </c>
      <c r="B4228" s="2" t="s">
        <v>9723</v>
      </c>
      <c r="C4228" s="5" t="s">
        <v>9722</v>
      </c>
      <c r="D4228" s="21">
        <v>2</v>
      </c>
      <c r="E4228" s="21"/>
      <c r="F4228" s="21" t="s">
        <v>10438</v>
      </c>
      <c r="G4228" s="21"/>
      <c r="H4228" s="54">
        <v>1085</v>
      </c>
      <c r="I4228" s="51"/>
      <c r="J4228" s="27"/>
      <c r="K4228" s="27"/>
      <c r="L4228" s="15"/>
      <c r="M4228" s="15"/>
      <c r="N4228" s="4">
        <v>116</v>
      </c>
      <c r="O4228" s="4"/>
    </row>
    <row r="4229" spans="1:15" x14ac:dyDescent="0.2">
      <c r="A4229" s="2">
        <v>10044086</v>
      </c>
      <c r="B4229" s="2" t="s">
        <v>9631</v>
      </c>
      <c r="C4229" s="5" t="s">
        <v>9724</v>
      </c>
      <c r="D4229" s="21">
        <v>5</v>
      </c>
      <c r="E4229" s="21"/>
      <c r="F4229" s="21" t="s">
        <v>10438</v>
      </c>
      <c r="G4229" s="21"/>
      <c r="H4229" s="54">
        <v>398</v>
      </c>
      <c r="I4229" s="51"/>
      <c r="J4229" s="27"/>
      <c r="K4229" s="27"/>
      <c r="L4229" s="15"/>
      <c r="M4229" s="15"/>
      <c r="N4229" s="4">
        <v>70</v>
      </c>
      <c r="O4229" s="4"/>
    </row>
    <row r="4230" spans="1:15" x14ac:dyDescent="0.2">
      <c r="A4230" s="2">
        <v>10019577</v>
      </c>
      <c r="B4230" s="2" t="s">
        <v>9726</v>
      </c>
      <c r="C4230" s="5" t="s">
        <v>9725</v>
      </c>
      <c r="D4230" s="21">
        <v>20</v>
      </c>
      <c r="E4230" s="21"/>
      <c r="F4230" s="21" t="s">
        <v>10438</v>
      </c>
      <c r="G4230" s="21"/>
      <c r="H4230" s="54">
        <v>11</v>
      </c>
      <c r="I4230" s="51"/>
      <c r="J4230" s="27"/>
      <c r="K4230" s="27"/>
      <c r="L4230" s="15"/>
      <c r="M4230" s="15"/>
      <c r="N4230" s="4">
        <v>51</v>
      </c>
      <c r="O4230" s="4"/>
    </row>
    <row r="4231" spans="1:15" x14ac:dyDescent="0.2">
      <c r="A4231" s="2">
        <v>10044115</v>
      </c>
      <c r="B4231" s="2" t="s">
        <v>9638</v>
      </c>
      <c r="C4231" s="5" t="s">
        <v>9727</v>
      </c>
      <c r="D4231" s="21">
        <v>4</v>
      </c>
      <c r="E4231" s="21"/>
      <c r="F4231" s="21" t="s">
        <v>10438</v>
      </c>
      <c r="G4231" s="21"/>
      <c r="H4231" s="54">
        <v>30</v>
      </c>
      <c r="I4231" s="51"/>
      <c r="J4231" s="27"/>
      <c r="K4231" s="27"/>
      <c r="L4231" s="15"/>
      <c r="M4231" s="15"/>
      <c r="N4231" s="4">
        <v>48</v>
      </c>
      <c r="O4231" s="4"/>
    </row>
    <row r="4232" spans="1:15" x14ac:dyDescent="0.2">
      <c r="A4232" s="2">
        <v>40007450</v>
      </c>
      <c r="B4232" s="2" t="s">
        <v>9610</v>
      </c>
      <c r="C4232" s="5" t="s">
        <v>9728</v>
      </c>
      <c r="D4232" s="21">
        <v>5</v>
      </c>
      <c r="E4232" s="21"/>
      <c r="F4232" s="30">
        <v>1</v>
      </c>
      <c r="G4232" s="21"/>
      <c r="H4232" s="54">
        <v>1410</v>
      </c>
      <c r="I4232" s="51"/>
      <c r="J4232" s="27"/>
      <c r="K4232" s="27"/>
      <c r="L4232" s="15">
        <v>2</v>
      </c>
      <c r="M4232" s="15">
        <v>4</v>
      </c>
      <c r="N4232" s="4">
        <v>27</v>
      </c>
      <c r="O4232" s="4"/>
    </row>
    <row r="4233" spans="1:15" x14ac:dyDescent="0.2">
      <c r="A4233" s="2">
        <v>40011409</v>
      </c>
      <c r="B4233" s="2" t="s">
        <v>9730</v>
      </c>
      <c r="C4233" s="5" t="s">
        <v>9729</v>
      </c>
      <c r="D4233" s="21">
        <v>2</v>
      </c>
      <c r="E4233" s="21"/>
      <c r="F4233" s="21" t="s">
        <v>10438</v>
      </c>
      <c r="G4233" s="21"/>
      <c r="H4233" s="54">
        <v>1433</v>
      </c>
      <c r="I4233" s="51"/>
      <c r="J4233" s="27"/>
      <c r="K4233" s="27"/>
      <c r="L4233" s="15"/>
      <c r="M4233" s="15"/>
      <c r="N4233" s="4" t="s">
        <v>9934</v>
      </c>
      <c r="O4233" s="4"/>
    </row>
    <row r="4234" spans="1:15" x14ac:dyDescent="0.2">
      <c r="A4234" s="2">
        <v>40005194</v>
      </c>
      <c r="B4234" s="2" t="s">
        <v>9732</v>
      </c>
      <c r="C4234" s="5" t="s">
        <v>9731</v>
      </c>
      <c r="D4234" s="21">
        <v>2</v>
      </c>
      <c r="E4234" s="21"/>
      <c r="F4234" s="21" t="s">
        <v>10438</v>
      </c>
      <c r="G4234" s="21"/>
      <c r="H4234" s="54">
        <v>680</v>
      </c>
      <c r="I4234" s="51"/>
      <c r="J4234" s="27"/>
      <c r="K4234" s="27"/>
      <c r="L4234" s="15"/>
      <c r="M4234" s="15"/>
      <c r="N4234" s="4">
        <v>28</v>
      </c>
      <c r="O4234" s="4"/>
    </row>
    <row r="4235" spans="1:15" x14ac:dyDescent="0.2">
      <c r="A4235" s="2">
        <v>40011725</v>
      </c>
      <c r="B4235" s="2" t="s">
        <v>9733</v>
      </c>
      <c r="C4235" s="5" t="s">
        <v>9454</v>
      </c>
      <c r="D4235" s="21">
        <v>2</v>
      </c>
      <c r="E4235" s="21"/>
      <c r="F4235" s="21" t="s">
        <v>10438</v>
      </c>
      <c r="G4235" s="21"/>
      <c r="H4235" s="54">
        <v>1491</v>
      </c>
      <c r="I4235" s="51"/>
      <c r="J4235" s="27"/>
      <c r="K4235" s="27"/>
      <c r="L4235" s="15"/>
      <c r="M4235" s="15"/>
      <c r="N4235" s="4"/>
      <c r="O4235" s="4">
        <v>22</v>
      </c>
    </row>
    <row r="4236" spans="1:15" x14ac:dyDescent="0.2">
      <c r="A4236" s="2">
        <v>40011738</v>
      </c>
      <c r="B4236" s="2" t="s">
        <v>9735</v>
      </c>
      <c r="C4236" s="5" t="s">
        <v>9734</v>
      </c>
      <c r="D4236" s="21">
        <v>2</v>
      </c>
      <c r="E4236" s="21"/>
      <c r="F4236" s="21" t="s">
        <v>10438</v>
      </c>
      <c r="G4236" s="21"/>
      <c r="H4236" s="54">
        <v>351</v>
      </c>
      <c r="I4236" s="51"/>
      <c r="J4236" s="27"/>
      <c r="K4236" s="27"/>
      <c r="L4236" s="15"/>
      <c r="M4236" s="15"/>
      <c r="N4236" s="4" t="s">
        <v>9827</v>
      </c>
      <c r="O4236" s="4"/>
    </row>
    <row r="4237" spans="1:15" x14ac:dyDescent="0.2">
      <c r="A4237" s="2">
        <v>40005378</v>
      </c>
      <c r="B4237" s="2" t="s">
        <v>9737</v>
      </c>
      <c r="C4237" s="5" t="s">
        <v>9736</v>
      </c>
      <c r="D4237" s="21">
        <v>6</v>
      </c>
      <c r="E4237" s="21"/>
      <c r="F4237" s="21" t="s">
        <v>10438</v>
      </c>
      <c r="G4237" s="21"/>
      <c r="H4237" s="54">
        <v>35</v>
      </c>
      <c r="I4237" s="51"/>
      <c r="J4237" s="27"/>
      <c r="K4237" s="27"/>
      <c r="L4237" s="15"/>
      <c r="M4237" s="15"/>
      <c r="N4237" s="4" t="s">
        <v>4084</v>
      </c>
      <c r="O4237" s="4"/>
    </row>
    <row r="4238" spans="1:15" x14ac:dyDescent="0.2">
      <c r="A4238" s="2">
        <v>40006443</v>
      </c>
      <c r="B4238" s="2" t="s">
        <v>9739</v>
      </c>
      <c r="C4238" s="5" t="s">
        <v>9738</v>
      </c>
      <c r="D4238" s="21">
        <v>3</v>
      </c>
      <c r="E4238" s="21"/>
      <c r="F4238" s="21" t="s">
        <v>10438</v>
      </c>
      <c r="G4238" s="21"/>
      <c r="H4238" s="54">
        <v>108</v>
      </c>
      <c r="I4238" s="51"/>
      <c r="J4238" s="27"/>
      <c r="K4238" s="27"/>
      <c r="L4238" s="15"/>
      <c r="M4238" s="15"/>
      <c r="N4238" s="4" t="s">
        <v>4127</v>
      </c>
      <c r="O4238" s="4"/>
    </row>
    <row r="4239" spans="1:15" x14ac:dyDescent="0.2">
      <c r="A4239" s="2">
        <v>40008041</v>
      </c>
      <c r="B4239" s="2" t="s">
        <v>9741</v>
      </c>
      <c r="C4239" s="5" t="s">
        <v>9740</v>
      </c>
      <c r="D4239" s="21">
        <v>12</v>
      </c>
      <c r="E4239" s="21"/>
      <c r="F4239" s="21" t="s">
        <v>10438</v>
      </c>
      <c r="G4239" s="21"/>
      <c r="H4239" s="54">
        <v>19</v>
      </c>
      <c r="I4239" s="51"/>
      <c r="J4239" s="27"/>
      <c r="K4239" s="27"/>
      <c r="L4239" s="15"/>
      <c r="M4239" s="15">
        <v>1</v>
      </c>
      <c r="N4239" s="4" t="s">
        <v>5174</v>
      </c>
      <c r="O4239" s="4"/>
    </row>
    <row r="4240" spans="1:15" x14ac:dyDescent="0.2">
      <c r="A4240" s="2">
        <v>40011728</v>
      </c>
      <c r="B4240" s="2" t="s">
        <v>9742</v>
      </c>
      <c r="C4240" s="5" t="s">
        <v>9457</v>
      </c>
      <c r="D4240" s="21">
        <v>2</v>
      </c>
      <c r="E4240" s="21"/>
      <c r="F4240" s="21" t="s">
        <v>10438</v>
      </c>
      <c r="G4240" s="21"/>
      <c r="H4240" s="54">
        <v>157</v>
      </c>
      <c r="I4240" s="51"/>
      <c r="J4240" s="27"/>
      <c r="K4240" s="27"/>
      <c r="L4240" s="15"/>
      <c r="M4240" s="15"/>
      <c r="N4240" s="4"/>
      <c r="O4240" s="4">
        <v>50</v>
      </c>
    </row>
    <row r="4241" spans="1:15" x14ac:dyDescent="0.2">
      <c r="A4241" s="2">
        <v>40007532</v>
      </c>
      <c r="B4241" s="2" t="s">
        <v>9744</v>
      </c>
      <c r="C4241" s="5" t="s">
        <v>9743</v>
      </c>
      <c r="D4241" s="21"/>
      <c r="E4241" s="21"/>
      <c r="F4241" s="21" t="s">
        <v>10438</v>
      </c>
      <c r="G4241" s="21"/>
      <c r="H4241" s="54">
        <v>7</v>
      </c>
      <c r="I4241" s="51"/>
      <c r="J4241" s="27"/>
      <c r="K4241" s="27"/>
      <c r="L4241" s="15">
        <v>10</v>
      </c>
      <c r="M4241" s="15"/>
      <c r="N4241" s="4" t="s">
        <v>5314</v>
      </c>
      <c r="O4241" s="4"/>
    </row>
    <row r="4242" spans="1:15" x14ac:dyDescent="0.2">
      <c r="A4242" s="2">
        <v>40005331</v>
      </c>
      <c r="B4242" s="2" t="s">
        <v>9746</v>
      </c>
      <c r="C4242" s="5" t="s">
        <v>9745</v>
      </c>
      <c r="D4242" s="21"/>
      <c r="E4242" s="21"/>
      <c r="F4242" s="21" t="s">
        <v>10438</v>
      </c>
      <c r="G4242" s="21"/>
      <c r="H4242" s="54">
        <v>100</v>
      </c>
      <c r="I4242" s="51"/>
      <c r="J4242" s="27"/>
      <c r="K4242" s="27"/>
      <c r="L4242" s="15"/>
      <c r="M4242" s="15"/>
      <c r="N4242" s="4"/>
      <c r="O4242" s="4">
        <v>65</v>
      </c>
    </row>
    <row r="4243" spans="1:15" x14ac:dyDescent="0.2">
      <c r="A4243" s="2">
        <v>40010316</v>
      </c>
      <c r="B4243" s="2" t="s">
        <v>9748</v>
      </c>
      <c r="C4243" s="5" t="s">
        <v>9747</v>
      </c>
      <c r="D4243" s="21">
        <v>2</v>
      </c>
      <c r="E4243" s="21"/>
      <c r="F4243" s="21" t="s">
        <v>10438</v>
      </c>
      <c r="G4243" s="21"/>
      <c r="H4243" s="54">
        <v>21</v>
      </c>
      <c r="I4243" s="51"/>
      <c r="J4243" s="27"/>
      <c r="K4243" s="27"/>
      <c r="L4243" s="15"/>
      <c r="M4243" s="15"/>
      <c r="N4243" s="4" t="s">
        <v>5257</v>
      </c>
      <c r="O4243" s="4"/>
    </row>
    <row r="4244" spans="1:15" x14ac:dyDescent="0.2">
      <c r="A4244" s="2">
        <v>40011743</v>
      </c>
      <c r="B4244" s="2" t="s">
        <v>9750</v>
      </c>
      <c r="C4244" s="5" t="s">
        <v>9749</v>
      </c>
      <c r="D4244" s="21"/>
      <c r="E4244" s="21"/>
      <c r="F4244" s="21" t="s">
        <v>10438</v>
      </c>
      <c r="G4244" s="21"/>
      <c r="H4244" s="54">
        <v>173</v>
      </c>
      <c r="I4244" s="51"/>
      <c r="J4244" s="27"/>
      <c r="K4244" s="27"/>
      <c r="L4244" s="15"/>
      <c r="M4244" s="15"/>
      <c r="N4244" s="4" t="s">
        <v>4161</v>
      </c>
      <c r="O4244" s="4"/>
    </row>
    <row r="4245" spans="1:15" x14ac:dyDescent="0.2">
      <c r="A4245" s="2">
        <v>40007663</v>
      </c>
      <c r="B4245" s="2" t="s">
        <v>9752</v>
      </c>
      <c r="C4245" s="5" t="s">
        <v>9751</v>
      </c>
      <c r="D4245" s="21">
        <v>2</v>
      </c>
      <c r="E4245" s="21"/>
      <c r="F4245" s="21" t="s">
        <v>10438</v>
      </c>
      <c r="G4245" s="21"/>
      <c r="H4245" s="54">
        <v>82</v>
      </c>
      <c r="I4245" s="51"/>
      <c r="J4245" s="27"/>
      <c r="K4245" s="27"/>
      <c r="L4245" s="15"/>
      <c r="M4245" s="15"/>
      <c r="N4245" s="4" t="s">
        <v>4310</v>
      </c>
      <c r="O4245" s="4"/>
    </row>
    <row r="4246" spans="1:15" x14ac:dyDescent="0.2">
      <c r="A4246" s="2">
        <v>40005464</v>
      </c>
      <c r="B4246" s="2" t="s">
        <v>9754</v>
      </c>
      <c r="C4246" s="5" t="s">
        <v>9753</v>
      </c>
      <c r="D4246" s="21">
        <v>2</v>
      </c>
      <c r="E4246" s="21"/>
      <c r="F4246" s="21" t="s">
        <v>10438</v>
      </c>
      <c r="G4246" s="21"/>
      <c r="H4246" s="54">
        <v>34</v>
      </c>
      <c r="I4246" s="51"/>
      <c r="J4246" s="27"/>
      <c r="K4246" s="27"/>
      <c r="L4246" s="15">
        <v>3</v>
      </c>
      <c r="M4246" s="15"/>
      <c r="N4246" s="4" t="s">
        <v>4124</v>
      </c>
      <c r="O4246" s="4"/>
    </row>
    <row r="4247" spans="1:15" x14ac:dyDescent="0.2">
      <c r="A4247" s="2">
        <v>40011726</v>
      </c>
      <c r="B4247" s="2" t="s">
        <v>9755</v>
      </c>
      <c r="C4247" s="5" t="s">
        <v>9455</v>
      </c>
      <c r="D4247" s="21">
        <v>2</v>
      </c>
      <c r="E4247" s="21"/>
      <c r="F4247" s="21" t="s">
        <v>10438</v>
      </c>
      <c r="G4247" s="21"/>
      <c r="H4247" s="54">
        <v>882</v>
      </c>
      <c r="I4247" s="51"/>
      <c r="J4247" s="27"/>
      <c r="K4247" s="27"/>
      <c r="L4247" s="15"/>
      <c r="M4247" s="15"/>
      <c r="N4247" s="4"/>
      <c r="O4247" s="4">
        <v>50</v>
      </c>
    </row>
    <row r="4248" spans="1:15" x14ac:dyDescent="0.2">
      <c r="A4248" s="2">
        <v>40011739</v>
      </c>
      <c r="B4248" s="2" t="s">
        <v>9757</v>
      </c>
      <c r="C4248" s="5" t="s">
        <v>9756</v>
      </c>
      <c r="D4248" s="21">
        <v>1</v>
      </c>
      <c r="E4248" s="21"/>
      <c r="F4248" s="21" t="s">
        <v>10438</v>
      </c>
      <c r="G4248" s="21"/>
      <c r="H4248" s="54">
        <v>187</v>
      </c>
      <c r="I4248" s="51"/>
      <c r="J4248" s="27"/>
      <c r="K4248" s="27"/>
      <c r="L4248" s="15"/>
      <c r="M4248" s="15"/>
      <c r="N4248" s="4" t="s">
        <v>4853</v>
      </c>
      <c r="O4248" s="4"/>
    </row>
    <row r="4249" spans="1:15" x14ac:dyDescent="0.2">
      <c r="A4249" s="2">
        <v>40007974</v>
      </c>
      <c r="B4249" s="2" t="s">
        <v>9759</v>
      </c>
      <c r="C4249" s="5" t="s">
        <v>9758</v>
      </c>
      <c r="D4249" s="21">
        <v>9</v>
      </c>
      <c r="E4249" s="21"/>
      <c r="F4249" s="21" t="s">
        <v>10438</v>
      </c>
      <c r="G4249" s="21"/>
      <c r="H4249" s="54">
        <v>4</v>
      </c>
      <c r="I4249" s="51"/>
      <c r="J4249" s="27"/>
      <c r="K4249" s="27"/>
      <c r="L4249" s="15"/>
      <c r="M4249" s="15"/>
      <c r="N4249" s="4" t="s">
        <v>4648</v>
      </c>
      <c r="O4249" s="4"/>
    </row>
    <row r="4250" spans="1:15" x14ac:dyDescent="0.2">
      <c r="A4250" s="2">
        <v>40010299</v>
      </c>
      <c r="B4250" s="2" t="s">
        <v>9761</v>
      </c>
      <c r="C4250" s="5" t="s">
        <v>9760</v>
      </c>
      <c r="D4250" s="21"/>
      <c r="E4250" s="21"/>
      <c r="F4250" s="21" t="s">
        <v>10438</v>
      </c>
      <c r="G4250" s="21"/>
      <c r="H4250" s="54">
        <v>277</v>
      </c>
      <c r="I4250" s="51"/>
      <c r="J4250" s="27"/>
      <c r="K4250" s="27"/>
      <c r="L4250" s="15"/>
      <c r="M4250" s="15"/>
      <c r="N4250" s="4" t="s">
        <v>5250</v>
      </c>
      <c r="O4250" s="4"/>
    </row>
    <row r="4251" spans="1:15" x14ac:dyDescent="0.2">
      <c r="A4251" s="2">
        <v>40005254</v>
      </c>
      <c r="B4251" s="2" t="s">
        <v>9763</v>
      </c>
      <c r="C4251" s="5" t="s">
        <v>9762</v>
      </c>
      <c r="D4251" s="21">
        <v>5</v>
      </c>
      <c r="E4251" s="21"/>
      <c r="F4251" s="21" t="s">
        <v>10438</v>
      </c>
      <c r="G4251" s="21"/>
      <c r="H4251" s="54">
        <v>342</v>
      </c>
      <c r="I4251" s="51"/>
      <c r="J4251" s="27"/>
      <c r="K4251" s="27"/>
      <c r="L4251" s="15"/>
      <c r="M4251" s="15"/>
      <c r="N4251" s="4" t="s">
        <v>4964</v>
      </c>
      <c r="O4251" s="4"/>
    </row>
    <row r="4252" spans="1:15" x14ac:dyDescent="0.2">
      <c r="A4252" s="2">
        <v>40011744</v>
      </c>
      <c r="B4252" s="2" t="s">
        <v>9765</v>
      </c>
      <c r="C4252" s="5" t="s">
        <v>9764</v>
      </c>
      <c r="D4252" s="21"/>
      <c r="E4252" s="21"/>
      <c r="F4252" s="21" t="s">
        <v>10438</v>
      </c>
      <c r="G4252" s="21"/>
      <c r="H4252" s="54">
        <v>11</v>
      </c>
      <c r="I4252" s="51"/>
      <c r="J4252" s="27"/>
      <c r="K4252" s="27"/>
      <c r="L4252" s="15"/>
      <c r="M4252" s="15"/>
      <c r="N4252" s="4" t="s">
        <v>4753</v>
      </c>
      <c r="O4252" s="4"/>
    </row>
    <row r="4253" spans="1:15" x14ac:dyDescent="0.2">
      <c r="A4253" s="2">
        <v>40005274</v>
      </c>
      <c r="B4253" s="2" t="s">
        <v>9767</v>
      </c>
      <c r="C4253" s="5" t="s">
        <v>9766</v>
      </c>
      <c r="D4253" s="21">
        <v>3</v>
      </c>
      <c r="E4253" s="21"/>
      <c r="F4253" s="30">
        <v>2</v>
      </c>
      <c r="G4253" s="21"/>
      <c r="H4253" s="54">
        <v>12</v>
      </c>
      <c r="I4253" s="51"/>
      <c r="J4253" s="27"/>
      <c r="K4253" s="27"/>
      <c r="L4253" s="15"/>
      <c r="M4253" s="15"/>
      <c r="N4253" s="4" t="s">
        <v>4027</v>
      </c>
      <c r="O4253" s="4"/>
    </row>
    <row r="4254" spans="1:15" x14ac:dyDescent="0.2">
      <c r="A4254" s="2">
        <v>40011745</v>
      </c>
      <c r="B4254" s="2" t="s">
        <v>9769</v>
      </c>
      <c r="C4254" s="5" t="s">
        <v>9768</v>
      </c>
      <c r="D4254" s="21">
        <v>4</v>
      </c>
      <c r="E4254" s="21"/>
      <c r="F4254" s="21" t="s">
        <v>10438</v>
      </c>
      <c r="G4254" s="21"/>
      <c r="H4254" s="54">
        <v>11</v>
      </c>
      <c r="I4254" s="51"/>
      <c r="J4254" s="27"/>
      <c r="K4254" s="27"/>
      <c r="L4254" s="15"/>
      <c r="M4254" s="15"/>
      <c r="N4254" s="4" t="s">
        <v>4753</v>
      </c>
      <c r="O4254" s="4"/>
    </row>
    <row r="4255" spans="1:15" x14ac:dyDescent="0.2">
      <c r="A4255" s="2">
        <v>40005204</v>
      </c>
      <c r="B4255" s="2" t="s">
        <v>9771</v>
      </c>
      <c r="C4255" s="5" t="s">
        <v>9770</v>
      </c>
      <c r="D4255" s="21">
        <v>2</v>
      </c>
      <c r="E4255" s="21"/>
      <c r="F4255" s="21" t="s">
        <v>10438</v>
      </c>
      <c r="G4255" s="21"/>
      <c r="H4255" s="54">
        <v>6</v>
      </c>
      <c r="I4255" s="51"/>
      <c r="J4255" s="27"/>
      <c r="K4255" s="27"/>
      <c r="L4255" s="15"/>
      <c r="M4255" s="15"/>
      <c r="N4255" s="4" t="s">
        <v>4007</v>
      </c>
      <c r="O4255" s="4"/>
    </row>
    <row r="4256" spans="1:15" x14ac:dyDescent="0.2">
      <c r="A4256" s="2">
        <v>40008107</v>
      </c>
      <c r="B4256" s="2" t="s">
        <v>9773</v>
      </c>
      <c r="C4256" s="5" t="s">
        <v>9772</v>
      </c>
      <c r="D4256" s="21">
        <v>6</v>
      </c>
      <c r="E4256" s="21"/>
      <c r="F4256" s="21" t="s">
        <v>10438</v>
      </c>
      <c r="G4256" s="21"/>
      <c r="H4256" s="54">
        <v>56</v>
      </c>
      <c r="I4256" s="51"/>
      <c r="J4256" s="27"/>
      <c r="K4256" s="27"/>
      <c r="L4256" s="15"/>
      <c r="M4256" s="15"/>
      <c r="N4256" s="4" t="s">
        <v>4125</v>
      </c>
      <c r="O4256" s="4"/>
    </row>
    <row r="4257" spans="1:15" x14ac:dyDescent="0.2">
      <c r="A4257" s="2">
        <v>40011746</v>
      </c>
      <c r="B4257" s="2" t="s">
        <v>9775</v>
      </c>
      <c r="C4257" s="5" t="s">
        <v>9774</v>
      </c>
      <c r="D4257" s="21"/>
      <c r="E4257" s="21"/>
      <c r="F4257" s="21" t="s">
        <v>10438</v>
      </c>
      <c r="G4257" s="21"/>
      <c r="H4257" s="54">
        <v>4</v>
      </c>
      <c r="I4257" s="51"/>
      <c r="J4257" s="27"/>
      <c r="K4257" s="27"/>
      <c r="L4257" s="15"/>
      <c r="M4257" s="15"/>
      <c r="N4257" s="4" t="s">
        <v>4435</v>
      </c>
      <c r="O4257" s="4"/>
    </row>
    <row r="4258" spans="1:15" x14ac:dyDescent="0.2">
      <c r="A4258" s="2">
        <v>40005908</v>
      </c>
      <c r="B4258" s="2" t="s">
        <v>9777</v>
      </c>
      <c r="C4258" s="5" t="s">
        <v>9776</v>
      </c>
      <c r="D4258" s="21">
        <v>2</v>
      </c>
      <c r="E4258" s="21"/>
      <c r="F4258" s="21" t="s">
        <v>10438</v>
      </c>
      <c r="G4258" s="21"/>
      <c r="H4258" s="54">
        <v>305</v>
      </c>
      <c r="I4258" s="51"/>
      <c r="J4258" s="27"/>
      <c r="K4258" s="27"/>
      <c r="L4258" s="15"/>
      <c r="M4258" s="15"/>
      <c r="N4258" s="4"/>
      <c r="O4258" s="4">
        <v>75</v>
      </c>
    </row>
    <row r="4259" spans="1:15" x14ac:dyDescent="0.2">
      <c r="A4259" s="2">
        <v>40005900</v>
      </c>
      <c r="B4259" s="2" t="s">
        <v>9779</v>
      </c>
      <c r="C4259" s="5" t="s">
        <v>9778</v>
      </c>
      <c r="D4259" s="21">
        <v>4</v>
      </c>
      <c r="E4259" s="21"/>
      <c r="F4259" s="21" t="s">
        <v>10438</v>
      </c>
      <c r="G4259" s="21"/>
      <c r="H4259" s="54">
        <v>179</v>
      </c>
      <c r="I4259" s="51"/>
      <c r="J4259" s="27"/>
      <c r="K4259" s="27"/>
      <c r="L4259" s="15"/>
      <c r="M4259" s="15"/>
      <c r="N4259" s="4"/>
      <c r="O4259" s="4">
        <v>88</v>
      </c>
    </row>
    <row r="4260" spans="1:15" x14ac:dyDescent="0.2">
      <c r="A4260" s="2">
        <v>40011160</v>
      </c>
      <c r="B4260" s="2" t="s">
        <v>9781</v>
      </c>
      <c r="C4260" s="5" t="s">
        <v>9780</v>
      </c>
      <c r="D4260" s="21">
        <v>19</v>
      </c>
      <c r="E4260" s="21"/>
      <c r="F4260" s="21" t="s">
        <v>10438</v>
      </c>
      <c r="G4260" s="21"/>
      <c r="H4260" s="54">
        <v>66</v>
      </c>
      <c r="I4260" s="51"/>
      <c r="J4260" s="27"/>
      <c r="K4260" s="27"/>
      <c r="L4260" s="15"/>
      <c r="M4260" s="15"/>
      <c r="N4260" s="4" t="s">
        <v>4882</v>
      </c>
      <c r="O4260" s="4"/>
    </row>
    <row r="4261" spans="1:15" x14ac:dyDescent="0.2">
      <c r="A4261" s="2">
        <v>40011747</v>
      </c>
      <c r="B4261" s="2" t="s">
        <v>9783</v>
      </c>
      <c r="C4261" s="5" t="s">
        <v>9782</v>
      </c>
      <c r="D4261" s="21">
        <v>5</v>
      </c>
      <c r="E4261" s="21"/>
      <c r="F4261" s="21" t="s">
        <v>10438</v>
      </c>
      <c r="G4261" s="21"/>
      <c r="H4261" s="54">
        <v>44</v>
      </c>
      <c r="I4261" s="51"/>
      <c r="J4261" s="27"/>
      <c r="K4261" s="27"/>
      <c r="L4261" s="15"/>
      <c r="M4261" s="15"/>
      <c r="N4261" s="4" t="s">
        <v>5228</v>
      </c>
      <c r="O4261" s="4"/>
    </row>
    <row r="4262" spans="1:15" x14ac:dyDescent="0.2">
      <c r="A4262" s="2">
        <v>40011748</v>
      </c>
      <c r="B4262" s="2" t="s">
        <v>9785</v>
      </c>
      <c r="C4262" s="5" t="s">
        <v>9784</v>
      </c>
      <c r="D4262" s="21">
        <v>4</v>
      </c>
      <c r="E4262" s="21"/>
      <c r="F4262" s="21" t="s">
        <v>10438</v>
      </c>
      <c r="G4262" s="21"/>
      <c r="H4262" s="54">
        <v>9</v>
      </c>
      <c r="I4262" s="51"/>
      <c r="J4262" s="27"/>
      <c r="K4262" s="27"/>
      <c r="L4262" s="15"/>
      <c r="M4262" s="15"/>
      <c r="N4262" s="4" t="s">
        <v>4895</v>
      </c>
      <c r="O4262" s="4"/>
    </row>
    <row r="4263" spans="1:15" x14ac:dyDescent="0.2">
      <c r="A4263" s="2">
        <v>40011749</v>
      </c>
      <c r="B4263" s="2" t="s">
        <v>9787</v>
      </c>
      <c r="C4263" s="5" t="s">
        <v>9786</v>
      </c>
      <c r="D4263" s="21">
        <v>14</v>
      </c>
      <c r="E4263" s="21"/>
      <c r="F4263" s="21" t="s">
        <v>10438</v>
      </c>
      <c r="G4263" s="21"/>
      <c r="H4263" s="54">
        <v>14</v>
      </c>
      <c r="I4263" s="51"/>
      <c r="J4263" s="27"/>
      <c r="K4263" s="27"/>
      <c r="L4263" s="15"/>
      <c r="M4263" s="15"/>
      <c r="N4263" s="4" t="s">
        <v>4644</v>
      </c>
      <c r="O4263" s="4"/>
    </row>
    <row r="4264" spans="1:15" x14ac:dyDescent="0.2">
      <c r="A4264" s="2">
        <v>40011750</v>
      </c>
      <c r="B4264" s="2" t="s">
        <v>9789</v>
      </c>
      <c r="C4264" s="5" t="s">
        <v>9788</v>
      </c>
      <c r="D4264" s="21"/>
      <c r="E4264" s="21"/>
      <c r="F4264" s="21" t="s">
        <v>10438</v>
      </c>
      <c r="G4264" s="21"/>
      <c r="H4264" s="54">
        <v>19</v>
      </c>
      <c r="I4264" s="51"/>
      <c r="J4264" s="27"/>
      <c r="K4264" s="27"/>
      <c r="L4264" s="15"/>
      <c r="M4264" s="15"/>
      <c r="N4264" s="4" t="s">
        <v>4435</v>
      </c>
      <c r="O4264" s="4"/>
    </row>
    <row r="4265" spans="1:15" x14ac:dyDescent="0.2">
      <c r="A4265" s="2">
        <v>40005257</v>
      </c>
      <c r="B4265" s="2" t="s">
        <v>9791</v>
      </c>
      <c r="C4265" s="5" t="s">
        <v>9790</v>
      </c>
      <c r="D4265" s="21">
        <v>1</v>
      </c>
      <c r="E4265" s="21"/>
      <c r="F4265" s="21" t="s">
        <v>10438</v>
      </c>
      <c r="G4265" s="21"/>
      <c r="H4265" s="54">
        <v>115</v>
      </c>
      <c r="I4265" s="51"/>
      <c r="J4265" s="27"/>
      <c r="K4265" s="27"/>
      <c r="L4265" s="15"/>
      <c r="M4265" s="15"/>
      <c r="N4265" s="4"/>
      <c r="O4265" s="4">
        <v>80</v>
      </c>
    </row>
    <row r="4266" spans="1:15" x14ac:dyDescent="0.2">
      <c r="A4266" s="2">
        <v>40005256</v>
      </c>
      <c r="B4266" s="2" t="s">
        <v>9793</v>
      </c>
      <c r="C4266" s="5" t="s">
        <v>9792</v>
      </c>
      <c r="D4266" s="21">
        <v>1</v>
      </c>
      <c r="E4266" s="21"/>
      <c r="F4266" s="21" t="s">
        <v>10438</v>
      </c>
      <c r="G4266" s="21"/>
      <c r="H4266" s="54">
        <v>98</v>
      </c>
      <c r="I4266" s="51"/>
      <c r="J4266" s="27"/>
      <c r="K4266" s="27"/>
      <c r="L4266" s="15"/>
      <c r="M4266" s="15"/>
      <c r="N4266" s="4"/>
      <c r="O4266" s="4">
        <v>65</v>
      </c>
    </row>
    <row r="4267" spans="1:15" x14ac:dyDescent="0.2">
      <c r="A4267" s="2">
        <v>40006707</v>
      </c>
      <c r="B4267" s="2" t="s">
        <v>9795</v>
      </c>
      <c r="C4267" s="5" t="s">
        <v>9794</v>
      </c>
      <c r="D4267" s="21">
        <v>2</v>
      </c>
      <c r="E4267" s="21"/>
      <c r="F4267" s="21" t="s">
        <v>10438</v>
      </c>
      <c r="G4267" s="21"/>
      <c r="H4267" s="54">
        <v>11</v>
      </c>
      <c r="I4267" s="51"/>
      <c r="J4267" s="27"/>
      <c r="K4267" s="27"/>
      <c r="L4267" s="15"/>
      <c r="M4267" s="15"/>
      <c r="N4267" s="4" t="s">
        <v>4655</v>
      </c>
      <c r="O4267" s="4"/>
    </row>
    <row r="4268" spans="1:15" x14ac:dyDescent="0.2">
      <c r="A4268" s="2">
        <v>40011740</v>
      </c>
      <c r="B4268" s="2" t="s">
        <v>9797</v>
      </c>
      <c r="C4268" s="5" t="s">
        <v>9796</v>
      </c>
      <c r="D4268" s="21">
        <v>7</v>
      </c>
      <c r="E4268" s="21"/>
      <c r="F4268" s="21" t="s">
        <v>10438</v>
      </c>
      <c r="G4268" s="21"/>
      <c r="H4268" s="54">
        <v>184</v>
      </c>
      <c r="I4268" s="51"/>
      <c r="J4268" s="27"/>
      <c r="K4268" s="27"/>
      <c r="L4268" s="15"/>
      <c r="M4268" s="15"/>
      <c r="N4268" s="4" t="s">
        <v>9935</v>
      </c>
      <c r="O4268" s="4"/>
    </row>
    <row r="4269" spans="1:15" x14ac:dyDescent="0.2">
      <c r="A4269" s="2">
        <v>40005258</v>
      </c>
      <c r="B4269" s="2" t="s">
        <v>9799</v>
      </c>
      <c r="C4269" s="5" t="s">
        <v>9798</v>
      </c>
      <c r="D4269" s="21">
        <v>1</v>
      </c>
      <c r="E4269" s="21"/>
      <c r="F4269" s="21" t="s">
        <v>10438</v>
      </c>
      <c r="G4269" s="21"/>
      <c r="H4269" s="54">
        <v>95</v>
      </c>
      <c r="I4269" s="51"/>
      <c r="J4269" s="27"/>
      <c r="K4269" s="27"/>
      <c r="L4269" s="15">
        <v>1</v>
      </c>
      <c r="M4269" s="15"/>
      <c r="N4269" s="4" t="s">
        <v>4414</v>
      </c>
      <c r="O4269" s="4"/>
    </row>
    <row r="4270" spans="1:15" x14ac:dyDescent="0.2">
      <c r="A4270" s="2">
        <v>40011741</v>
      </c>
      <c r="B4270" s="2" t="s">
        <v>9801</v>
      </c>
      <c r="C4270" s="5" t="s">
        <v>9800</v>
      </c>
      <c r="D4270" s="21"/>
      <c r="E4270" s="21"/>
      <c r="F4270" s="21" t="s">
        <v>10438</v>
      </c>
      <c r="G4270" s="21"/>
      <c r="H4270" s="54">
        <v>150</v>
      </c>
      <c r="I4270" s="51"/>
      <c r="J4270" s="27"/>
      <c r="K4270" s="27"/>
      <c r="L4270" s="15"/>
      <c r="M4270" s="15"/>
      <c r="N4270" s="4" t="s">
        <v>10729</v>
      </c>
      <c r="O4270" s="4"/>
    </row>
    <row r="4271" spans="1:15" x14ac:dyDescent="0.2">
      <c r="A4271" s="2">
        <v>40005595</v>
      </c>
      <c r="B4271" s="2" t="s">
        <v>9803</v>
      </c>
      <c r="C4271" s="5" t="s">
        <v>9802</v>
      </c>
      <c r="D4271" s="21"/>
      <c r="E4271" s="21"/>
      <c r="F4271" s="21" t="s">
        <v>10438</v>
      </c>
      <c r="G4271" s="21"/>
      <c r="H4271" s="54">
        <v>3</v>
      </c>
      <c r="I4271" s="51"/>
      <c r="J4271" s="27"/>
      <c r="K4271" s="27"/>
      <c r="L4271" s="15">
        <v>5</v>
      </c>
      <c r="M4271" s="15"/>
      <c r="N4271" s="4" t="s">
        <v>9828</v>
      </c>
      <c r="O4271" s="4"/>
    </row>
    <row r="4272" spans="1:15" x14ac:dyDescent="0.2">
      <c r="A4272" s="2">
        <v>40007990</v>
      </c>
      <c r="B4272" s="2" t="s">
        <v>9805</v>
      </c>
      <c r="C4272" s="5" t="s">
        <v>9804</v>
      </c>
      <c r="D4272" s="21">
        <v>12</v>
      </c>
      <c r="E4272" s="21"/>
      <c r="F4272" s="21" t="s">
        <v>10438</v>
      </c>
      <c r="G4272" s="21"/>
      <c r="H4272" s="54">
        <v>4</v>
      </c>
      <c r="I4272" s="51"/>
      <c r="J4272" s="27"/>
      <c r="K4272" s="27"/>
      <c r="L4272" s="15"/>
      <c r="M4272" s="15"/>
      <c r="N4272" s="4" t="s">
        <v>4217</v>
      </c>
      <c r="O4272" s="4"/>
    </row>
    <row r="4273" spans="1:15" x14ac:dyDescent="0.2">
      <c r="A4273" s="2">
        <v>10019089</v>
      </c>
      <c r="B4273" s="2" t="s">
        <v>9807</v>
      </c>
      <c r="C4273" s="10" t="s">
        <v>9806</v>
      </c>
      <c r="D4273" s="21">
        <v>5</v>
      </c>
      <c r="E4273" s="21"/>
      <c r="F4273" s="21" t="s">
        <v>10438</v>
      </c>
      <c r="G4273" s="21"/>
      <c r="H4273" s="54">
        <v>90</v>
      </c>
      <c r="I4273" s="51"/>
      <c r="J4273" s="27"/>
      <c r="K4273" s="27"/>
      <c r="L4273" s="15"/>
      <c r="M4273" s="15"/>
      <c r="N4273" s="4">
        <v>108</v>
      </c>
      <c r="O4273" s="4"/>
    </row>
    <row r="4274" spans="1:15" x14ac:dyDescent="0.2">
      <c r="A4274" s="2">
        <v>40011751</v>
      </c>
      <c r="B4274" s="2" t="s">
        <v>9809</v>
      </c>
      <c r="C4274" s="57" t="s">
        <v>9808</v>
      </c>
      <c r="D4274" s="21">
        <v>9</v>
      </c>
      <c r="E4274" s="21"/>
      <c r="F4274" s="21" t="s">
        <v>10438</v>
      </c>
      <c r="G4274" s="21"/>
      <c r="H4274" s="54">
        <v>17</v>
      </c>
      <c r="I4274" s="51"/>
      <c r="J4274" s="27"/>
      <c r="K4274" s="27"/>
      <c r="L4274" s="15">
        <v>100</v>
      </c>
      <c r="M4274" s="15"/>
      <c r="N4274" s="4" t="s">
        <v>3937</v>
      </c>
      <c r="O4274" s="4"/>
    </row>
    <row r="4275" spans="1:15" x14ac:dyDescent="0.2">
      <c r="A4275" s="2">
        <v>40011752</v>
      </c>
      <c r="B4275" s="2" t="s">
        <v>9811</v>
      </c>
      <c r="C4275" s="5" t="s">
        <v>9810</v>
      </c>
      <c r="D4275" s="21">
        <v>14</v>
      </c>
      <c r="E4275" s="21"/>
      <c r="F4275" s="21" t="s">
        <v>10438</v>
      </c>
      <c r="G4275" s="21"/>
      <c r="H4275" s="54">
        <v>10</v>
      </c>
      <c r="I4275" s="51"/>
      <c r="J4275" s="27"/>
      <c r="K4275" s="27"/>
      <c r="L4275" s="15"/>
      <c r="M4275" s="15"/>
      <c r="N4275" s="4" t="s">
        <v>3937</v>
      </c>
      <c r="O4275" s="4"/>
    </row>
    <row r="4276" spans="1:15" x14ac:dyDescent="0.2">
      <c r="A4276" s="2">
        <v>10044088</v>
      </c>
      <c r="B4276" s="2" t="s">
        <v>9632</v>
      </c>
      <c r="C4276" s="5" t="s">
        <v>9812</v>
      </c>
      <c r="D4276" s="21">
        <v>5</v>
      </c>
      <c r="E4276" s="21"/>
      <c r="F4276" s="21" t="s">
        <v>10438</v>
      </c>
      <c r="G4276" s="21"/>
      <c r="H4276" s="54">
        <v>395</v>
      </c>
      <c r="I4276" s="51"/>
      <c r="J4276" s="27"/>
      <c r="K4276" s="27"/>
      <c r="L4276" s="15"/>
      <c r="M4276" s="15"/>
      <c r="N4276" s="4">
        <v>83</v>
      </c>
      <c r="O4276" s="4"/>
    </row>
    <row r="4277" spans="1:15" x14ac:dyDescent="0.2">
      <c r="A4277" s="2">
        <v>10044116</v>
      </c>
      <c r="B4277" s="2" t="s">
        <v>9639</v>
      </c>
      <c r="C4277" s="5" t="s">
        <v>9813</v>
      </c>
      <c r="D4277" s="21">
        <v>5</v>
      </c>
      <c r="E4277" s="21"/>
      <c r="F4277" s="21" t="s">
        <v>10438</v>
      </c>
      <c r="G4277" s="21"/>
      <c r="H4277" s="54">
        <v>19</v>
      </c>
      <c r="I4277" s="51"/>
      <c r="J4277" s="27"/>
      <c r="K4277" s="27"/>
      <c r="L4277" s="15"/>
      <c r="M4277" s="15"/>
      <c r="N4277" s="4">
        <v>48</v>
      </c>
      <c r="O4277" s="4"/>
    </row>
    <row r="4278" spans="1:15" x14ac:dyDescent="0.2">
      <c r="A4278" s="2">
        <v>40011753</v>
      </c>
      <c r="B4278" s="2" t="s">
        <v>9815</v>
      </c>
      <c r="C4278" s="5" t="s">
        <v>9814</v>
      </c>
      <c r="D4278" s="21">
        <v>7</v>
      </c>
      <c r="E4278" s="21"/>
      <c r="F4278" s="21" t="s">
        <v>10438</v>
      </c>
      <c r="G4278" s="21"/>
      <c r="H4278" s="54">
        <v>102</v>
      </c>
      <c r="I4278" s="51"/>
      <c r="J4278" s="27"/>
      <c r="K4278" s="27"/>
      <c r="L4278" s="15"/>
      <c r="M4278" s="15"/>
      <c r="N4278" s="4" t="s">
        <v>4414</v>
      </c>
      <c r="O4278" s="4"/>
    </row>
    <row r="4279" spans="1:15" x14ac:dyDescent="0.2">
      <c r="A4279" s="2">
        <v>40011754</v>
      </c>
      <c r="B4279" s="2" t="s">
        <v>9817</v>
      </c>
      <c r="C4279" s="5" t="s">
        <v>9816</v>
      </c>
      <c r="D4279" s="21">
        <v>15</v>
      </c>
      <c r="E4279" s="21"/>
      <c r="F4279" s="21" t="s">
        <v>10438</v>
      </c>
      <c r="G4279" s="21"/>
      <c r="H4279" s="54">
        <v>17</v>
      </c>
      <c r="I4279" s="51"/>
      <c r="J4279" s="27"/>
      <c r="K4279" s="27"/>
      <c r="L4279" s="15"/>
      <c r="M4279" s="15"/>
      <c r="N4279" s="4" t="s">
        <v>4593</v>
      </c>
      <c r="O4279" s="4"/>
    </row>
    <row r="4280" spans="1:15" x14ac:dyDescent="0.2">
      <c r="A4280" s="2">
        <v>40011742</v>
      </c>
      <c r="B4280" s="2" t="s">
        <v>9819</v>
      </c>
      <c r="C4280" s="5" t="s">
        <v>9818</v>
      </c>
      <c r="D4280" s="21">
        <v>49</v>
      </c>
      <c r="E4280" s="21"/>
      <c r="F4280" s="21" t="s">
        <v>10438</v>
      </c>
      <c r="G4280" s="21"/>
      <c r="H4280" s="54">
        <v>2</v>
      </c>
      <c r="I4280" s="51"/>
      <c r="J4280" s="27"/>
      <c r="K4280" s="27"/>
      <c r="L4280" s="15">
        <v>2</v>
      </c>
      <c r="M4280" s="15"/>
      <c r="N4280" s="4" t="s">
        <v>4412</v>
      </c>
      <c r="O4280" s="4"/>
    </row>
    <row r="4281" spans="1:15" x14ac:dyDescent="0.2">
      <c r="A4281" s="2">
        <v>10044117</v>
      </c>
      <c r="B4281" s="2" t="s">
        <v>9640</v>
      </c>
      <c r="C4281" s="5" t="s">
        <v>9820</v>
      </c>
      <c r="D4281" s="21">
        <v>1</v>
      </c>
      <c r="E4281" s="21"/>
      <c r="F4281" s="21" t="s">
        <v>10438</v>
      </c>
      <c r="G4281" s="21"/>
      <c r="H4281" s="54">
        <v>2676</v>
      </c>
      <c r="I4281" s="51">
        <v>2409</v>
      </c>
      <c r="J4281" s="27"/>
      <c r="K4281" s="27"/>
      <c r="L4281" s="15"/>
      <c r="M4281" s="15"/>
      <c r="N4281" s="4"/>
      <c r="O4281" s="4" t="s">
        <v>10469</v>
      </c>
    </row>
    <row r="4282" spans="1:15" x14ac:dyDescent="0.2">
      <c r="A4282" s="2">
        <v>10044118</v>
      </c>
      <c r="B4282" s="2" t="s">
        <v>9641</v>
      </c>
      <c r="C4282" s="5" t="s">
        <v>9821</v>
      </c>
      <c r="D4282" s="21">
        <v>42</v>
      </c>
      <c r="E4282" s="21"/>
      <c r="F4282" s="21" t="s">
        <v>10438</v>
      </c>
      <c r="G4282" s="21"/>
      <c r="H4282" s="54">
        <v>129</v>
      </c>
      <c r="I4282" s="51"/>
      <c r="J4282" s="27"/>
      <c r="K4282" s="27"/>
      <c r="L4282" s="15"/>
      <c r="M4282" s="15"/>
      <c r="N4282" s="4"/>
      <c r="O4282" s="4"/>
    </row>
    <row r="4283" spans="1:15" x14ac:dyDescent="0.2">
      <c r="A4283" s="2">
        <v>10044110</v>
      </c>
      <c r="B4283" s="2" t="s">
        <v>9634</v>
      </c>
      <c r="C4283" s="5" t="s">
        <v>9822</v>
      </c>
      <c r="D4283" s="21">
        <v>4</v>
      </c>
      <c r="E4283" s="21"/>
      <c r="F4283" s="21" t="s">
        <v>10438</v>
      </c>
      <c r="G4283" s="21"/>
      <c r="H4283" s="54">
        <v>5323</v>
      </c>
      <c r="I4283" s="51">
        <v>4791</v>
      </c>
      <c r="J4283" s="27"/>
      <c r="K4283" s="27"/>
      <c r="L4283" s="15">
        <v>5</v>
      </c>
      <c r="M4283" s="15">
        <v>2</v>
      </c>
      <c r="N4283" s="4"/>
      <c r="O4283" s="4">
        <v>106</v>
      </c>
    </row>
    <row r="4284" spans="1:15" x14ac:dyDescent="0.2">
      <c r="A4284" s="2">
        <v>10043840</v>
      </c>
      <c r="B4284" s="2" t="s">
        <v>9829</v>
      </c>
      <c r="C4284" s="5" t="s">
        <v>9451</v>
      </c>
      <c r="D4284" s="21">
        <v>23</v>
      </c>
      <c r="E4284" s="21"/>
      <c r="F4284" s="21" t="s">
        <v>10438</v>
      </c>
      <c r="G4284" s="21"/>
      <c r="H4284" s="54">
        <v>145</v>
      </c>
      <c r="I4284" s="51"/>
      <c r="J4284" s="27"/>
      <c r="K4284" s="27"/>
      <c r="L4284" s="15"/>
      <c r="M4284" s="15"/>
      <c r="N4284" s="4">
        <v>75</v>
      </c>
      <c r="O4284" s="4"/>
    </row>
    <row r="4285" spans="1:15" x14ac:dyDescent="0.2">
      <c r="A4285" s="2">
        <v>40007121</v>
      </c>
      <c r="B4285" s="2" t="s">
        <v>9830</v>
      </c>
      <c r="C4285" s="5" t="s">
        <v>9843</v>
      </c>
      <c r="D4285" s="21">
        <v>2</v>
      </c>
      <c r="E4285" s="21"/>
      <c r="F4285" s="21" t="s">
        <v>10438</v>
      </c>
      <c r="G4285" s="21"/>
      <c r="H4285" s="54">
        <v>97</v>
      </c>
      <c r="I4285" s="51"/>
      <c r="J4285" s="27"/>
      <c r="K4285" s="27"/>
      <c r="L4285" s="15"/>
      <c r="M4285" s="15"/>
      <c r="N4285" s="4" t="s">
        <v>4364</v>
      </c>
      <c r="O4285" s="4"/>
    </row>
    <row r="4286" spans="1:15" x14ac:dyDescent="0.2">
      <c r="A4286" s="2">
        <v>40007161</v>
      </c>
      <c r="B4286" s="2" t="s">
        <v>9831</v>
      </c>
      <c r="C4286" s="5">
        <v>38245011</v>
      </c>
      <c r="D4286" s="21"/>
      <c r="E4286" s="21"/>
      <c r="F4286" s="21" t="s">
        <v>10438</v>
      </c>
      <c r="G4286" s="21"/>
      <c r="H4286" s="54">
        <v>861</v>
      </c>
      <c r="I4286" s="51"/>
      <c r="J4286" s="27"/>
      <c r="K4286" s="27"/>
      <c r="L4286" s="15"/>
      <c r="M4286" s="15"/>
      <c r="N4286" s="4" t="s">
        <v>9936</v>
      </c>
      <c r="O4286" s="4"/>
    </row>
    <row r="4287" spans="1:15" x14ac:dyDescent="0.2">
      <c r="A4287" s="2">
        <v>40011723</v>
      </c>
      <c r="B4287" s="2" t="s">
        <v>9832</v>
      </c>
      <c r="C4287" s="5" t="s">
        <v>9452</v>
      </c>
      <c r="D4287" s="21">
        <v>1</v>
      </c>
      <c r="E4287" s="21"/>
      <c r="F4287" s="21" t="s">
        <v>10438</v>
      </c>
      <c r="G4287" s="21"/>
      <c r="H4287" s="54">
        <v>897</v>
      </c>
      <c r="I4287" s="51"/>
      <c r="J4287" s="27"/>
      <c r="K4287" s="27"/>
      <c r="L4287" s="15"/>
      <c r="M4287" s="15"/>
      <c r="N4287" s="4" t="s">
        <v>3986</v>
      </c>
      <c r="O4287" s="4">
        <v>40</v>
      </c>
    </row>
    <row r="4288" spans="1:15" x14ac:dyDescent="0.2">
      <c r="A4288" s="2">
        <v>40011724</v>
      </c>
      <c r="B4288" s="2" t="s">
        <v>9833</v>
      </c>
      <c r="C4288" s="5" t="s">
        <v>9453</v>
      </c>
      <c r="D4288" s="21">
        <v>8</v>
      </c>
      <c r="E4288" s="21"/>
      <c r="F4288" s="21" t="s">
        <v>10438</v>
      </c>
      <c r="G4288" s="21"/>
      <c r="H4288" s="54">
        <v>311</v>
      </c>
      <c r="I4288" s="51"/>
      <c r="J4288" s="27"/>
      <c r="K4288" s="27"/>
      <c r="L4288" s="15"/>
      <c r="M4288" s="15"/>
      <c r="N4288" s="4" t="s">
        <v>3986</v>
      </c>
      <c r="O4288" s="4"/>
    </row>
    <row r="4289" spans="1:15" x14ac:dyDescent="0.2">
      <c r="A4289" s="2">
        <v>40011727</v>
      </c>
      <c r="B4289" s="2" t="s">
        <v>9834</v>
      </c>
      <c r="C4289" s="5" t="s">
        <v>9456</v>
      </c>
      <c r="D4289" s="21">
        <v>14</v>
      </c>
      <c r="E4289" s="21"/>
      <c r="F4289" s="21" t="s">
        <v>10438</v>
      </c>
      <c r="G4289" s="21"/>
      <c r="H4289" s="54">
        <v>39</v>
      </c>
      <c r="I4289" s="51"/>
      <c r="J4289" s="27"/>
      <c r="K4289" s="27"/>
      <c r="L4289" s="15"/>
      <c r="M4289" s="15"/>
      <c r="N4289" s="4" t="s">
        <v>5176</v>
      </c>
      <c r="O4289" s="4"/>
    </row>
    <row r="4290" spans="1:15" x14ac:dyDescent="0.2">
      <c r="A4290" s="2">
        <v>40011731</v>
      </c>
      <c r="B4290" s="2" t="s">
        <v>9835</v>
      </c>
      <c r="C4290" s="5" t="s">
        <v>9458</v>
      </c>
      <c r="D4290" s="21">
        <v>5</v>
      </c>
      <c r="E4290" s="21"/>
      <c r="F4290" s="21" t="s">
        <v>10438</v>
      </c>
      <c r="G4290" s="21"/>
      <c r="H4290" s="54">
        <v>97</v>
      </c>
      <c r="I4290" s="51"/>
      <c r="J4290" s="27"/>
      <c r="K4290" s="27"/>
      <c r="L4290" s="15"/>
      <c r="M4290" s="15"/>
      <c r="N4290" s="4" t="s">
        <v>4335</v>
      </c>
      <c r="O4290" s="4"/>
    </row>
    <row r="4291" spans="1:15" x14ac:dyDescent="0.2">
      <c r="A4291" s="2">
        <v>40011732</v>
      </c>
      <c r="B4291" s="2" t="s">
        <v>9836</v>
      </c>
      <c r="C4291" s="5" t="s">
        <v>9459</v>
      </c>
      <c r="D4291" s="21">
        <v>3</v>
      </c>
      <c r="E4291" s="21"/>
      <c r="F4291" s="21" t="s">
        <v>10438</v>
      </c>
      <c r="G4291" s="21"/>
      <c r="H4291" s="54">
        <v>10</v>
      </c>
      <c r="I4291" s="51"/>
      <c r="J4291" s="27"/>
      <c r="K4291" s="27"/>
      <c r="L4291" s="15"/>
      <c r="M4291" s="15"/>
      <c r="N4291" s="4" t="s">
        <v>5137</v>
      </c>
      <c r="O4291" s="4"/>
    </row>
    <row r="4292" spans="1:15" x14ac:dyDescent="0.2">
      <c r="A4292" s="2">
        <v>40011733</v>
      </c>
      <c r="B4292" s="2" t="s">
        <v>9837</v>
      </c>
      <c r="C4292" s="5" t="s">
        <v>9460</v>
      </c>
      <c r="D4292" s="21">
        <v>1</v>
      </c>
      <c r="E4292" s="21"/>
      <c r="F4292" s="21" t="s">
        <v>10438</v>
      </c>
      <c r="G4292" s="21"/>
      <c r="H4292" s="54">
        <v>45</v>
      </c>
      <c r="I4292" s="51"/>
      <c r="J4292" s="27"/>
      <c r="K4292" s="27"/>
      <c r="L4292" s="15"/>
      <c r="M4292" s="15"/>
      <c r="N4292" s="4" t="s">
        <v>5137</v>
      </c>
      <c r="O4292" s="4"/>
    </row>
    <row r="4293" spans="1:15" x14ac:dyDescent="0.2">
      <c r="A4293" s="2">
        <v>40011734</v>
      </c>
      <c r="B4293" s="2" t="s">
        <v>9838</v>
      </c>
      <c r="C4293" s="5" t="s">
        <v>9461</v>
      </c>
      <c r="D4293" s="21">
        <v>2</v>
      </c>
      <c r="E4293" s="21"/>
      <c r="F4293" s="21" t="s">
        <v>10438</v>
      </c>
      <c r="G4293" s="21"/>
      <c r="H4293" s="54">
        <v>33</v>
      </c>
      <c r="I4293" s="51"/>
      <c r="J4293" s="27"/>
      <c r="K4293" s="27"/>
      <c r="L4293" s="15"/>
      <c r="M4293" s="15"/>
      <c r="N4293" s="4" t="s">
        <v>9515</v>
      </c>
      <c r="O4293" s="4"/>
    </row>
    <row r="4294" spans="1:15" x14ac:dyDescent="0.2">
      <c r="A4294" s="2">
        <v>40011735</v>
      </c>
      <c r="B4294" s="2" t="s">
        <v>9839</v>
      </c>
      <c r="C4294" s="10" t="s">
        <v>9462</v>
      </c>
      <c r="D4294" s="21">
        <v>5</v>
      </c>
      <c r="E4294" s="21"/>
      <c r="F4294" s="21" t="s">
        <v>10438</v>
      </c>
      <c r="G4294" s="21"/>
      <c r="H4294" s="54">
        <v>419</v>
      </c>
      <c r="I4294" s="51"/>
      <c r="J4294" s="27"/>
      <c r="K4294" s="27"/>
      <c r="L4294" s="15"/>
      <c r="M4294" s="15"/>
      <c r="N4294" s="4"/>
      <c r="O4294" s="4" t="s">
        <v>10367</v>
      </c>
    </row>
    <row r="4295" spans="1:15" x14ac:dyDescent="0.2">
      <c r="A4295" s="2">
        <v>40011736</v>
      </c>
      <c r="B4295" s="2" t="s">
        <v>9840</v>
      </c>
      <c r="C4295" s="5" t="s">
        <v>9463</v>
      </c>
      <c r="D4295" s="21">
        <v>2</v>
      </c>
      <c r="E4295" s="21"/>
      <c r="F4295" s="21" t="s">
        <v>10438</v>
      </c>
      <c r="G4295" s="21"/>
      <c r="H4295" s="54">
        <v>2042</v>
      </c>
      <c r="I4295" s="51"/>
      <c r="J4295" s="27"/>
      <c r="K4295" s="27"/>
      <c r="L4295" s="15"/>
      <c r="M4295" s="15"/>
      <c r="N4295" s="4"/>
      <c r="O4295" s="4" t="s">
        <v>10197</v>
      </c>
    </row>
    <row r="4296" spans="1:15" x14ac:dyDescent="0.2">
      <c r="A4296" s="2">
        <v>10044812</v>
      </c>
      <c r="B4296" s="7" t="s">
        <v>9844</v>
      </c>
      <c r="C4296" s="5" t="s">
        <v>9845</v>
      </c>
      <c r="D4296" s="21">
        <v>1</v>
      </c>
      <c r="E4296" s="21"/>
      <c r="F4296" s="21" t="s">
        <v>10438</v>
      </c>
      <c r="G4296" s="21"/>
      <c r="H4296" s="54">
        <v>11425</v>
      </c>
      <c r="I4296" s="51">
        <v>10055</v>
      </c>
      <c r="J4296" s="27"/>
      <c r="K4296" s="27"/>
      <c r="L4296" s="15"/>
      <c r="M4296" s="15"/>
      <c r="N4296" s="4"/>
      <c r="O4296" s="4"/>
    </row>
    <row r="4297" spans="1:15" x14ac:dyDescent="0.2">
      <c r="A4297" s="2">
        <v>10044813</v>
      </c>
      <c r="B4297" s="2" t="s">
        <v>9846</v>
      </c>
      <c r="C4297" s="10" t="s">
        <v>9847</v>
      </c>
      <c r="D4297" s="21"/>
      <c r="E4297" s="21"/>
      <c r="F4297" s="21" t="s">
        <v>10438</v>
      </c>
      <c r="G4297" s="21"/>
      <c r="H4297" s="54">
        <v>4850</v>
      </c>
      <c r="I4297" s="51"/>
      <c r="J4297" s="27"/>
      <c r="K4297" s="27"/>
      <c r="L4297" s="15"/>
      <c r="M4297" s="15">
        <v>3</v>
      </c>
      <c r="N4297" s="4"/>
      <c r="O4297" s="4"/>
    </row>
    <row r="4298" spans="1:15" x14ac:dyDescent="0.2">
      <c r="A4298" s="2">
        <v>10044815</v>
      </c>
      <c r="B4298" s="2" t="s">
        <v>9848</v>
      </c>
      <c r="C4298" s="5" t="s">
        <v>9849</v>
      </c>
      <c r="D4298" s="21">
        <v>3</v>
      </c>
      <c r="E4298" s="21"/>
      <c r="F4298" s="21" t="s">
        <v>10438</v>
      </c>
      <c r="G4298" s="21"/>
      <c r="H4298" s="54">
        <v>3835</v>
      </c>
      <c r="I4298" s="51">
        <v>3455</v>
      </c>
      <c r="J4298" s="27"/>
      <c r="K4298" s="27"/>
      <c r="L4298" s="15"/>
      <c r="M4298" s="15"/>
      <c r="N4298" s="4"/>
      <c r="O4298" s="4" t="s">
        <v>10450</v>
      </c>
    </row>
    <row r="4299" spans="1:15" x14ac:dyDescent="0.2">
      <c r="A4299" s="2">
        <v>10044814</v>
      </c>
      <c r="B4299" s="2" t="s">
        <v>9850</v>
      </c>
      <c r="C4299" s="5" t="s">
        <v>9851</v>
      </c>
      <c r="D4299" s="21"/>
      <c r="E4299" s="21"/>
      <c r="F4299" s="21" t="s">
        <v>10438</v>
      </c>
      <c r="G4299" s="21"/>
      <c r="H4299" s="54">
        <v>7990</v>
      </c>
      <c r="I4299" s="51"/>
      <c r="J4299" s="27"/>
      <c r="K4299" s="27"/>
      <c r="L4299" s="15"/>
      <c r="M4299" s="15"/>
      <c r="N4299" s="4"/>
      <c r="O4299" s="4" t="s">
        <v>10456</v>
      </c>
    </row>
    <row r="4300" spans="1:15" x14ac:dyDescent="0.2">
      <c r="A4300" s="2">
        <v>40006071</v>
      </c>
      <c r="B4300" s="2" t="s">
        <v>9852</v>
      </c>
      <c r="C4300" s="5" t="s">
        <v>9853</v>
      </c>
      <c r="D4300" s="21">
        <v>14</v>
      </c>
      <c r="E4300" s="21"/>
      <c r="F4300" s="21" t="s">
        <v>10438</v>
      </c>
      <c r="G4300" s="21"/>
      <c r="H4300" s="54">
        <v>80</v>
      </c>
      <c r="I4300" s="51"/>
      <c r="J4300" s="27"/>
      <c r="K4300" s="27"/>
      <c r="L4300" s="15">
        <v>16</v>
      </c>
      <c r="M4300" s="15">
        <v>15</v>
      </c>
      <c r="N4300" s="4" t="s">
        <v>4394</v>
      </c>
      <c r="O4300" s="4"/>
    </row>
    <row r="4301" spans="1:15" x14ac:dyDescent="0.2">
      <c r="A4301" s="2">
        <v>40005597</v>
      </c>
      <c r="B4301" s="2" t="s">
        <v>9854</v>
      </c>
      <c r="C4301" s="5" t="s">
        <v>9855</v>
      </c>
      <c r="D4301" s="21">
        <v>3</v>
      </c>
      <c r="E4301" s="21"/>
      <c r="F4301" s="21" t="s">
        <v>10438</v>
      </c>
      <c r="G4301" s="21"/>
      <c r="H4301" s="54">
        <v>271</v>
      </c>
      <c r="I4301" s="51"/>
      <c r="J4301" s="27"/>
      <c r="K4301" s="27"/>
      <c r="L4301" s="15"/>
      <c r="M4301" s="15"/>
      <c r="N4301" s="4" t="s">
        <v>4098</v>
      </c>
      <c r="O4301" s="4"/>
    </row>
    <row r="4302" spans="1:15" x14ac:dyDescent="0.2">
      <c r="A4302" s="2">
        <v>40011829</v>
      </c>
      <c r="B4302" s="2" t="s">
        <v>9856</v>
      </c>
      <c r="C4302" s="5" t="s">
        <v>9857</v>
      </c>
      <c r="D4302" s="21">
        <v>1</v>
      </c>
      <c r="E4302" s="21"/>
      <c r="F4302" s="21" t="s">
        <v>10438</v>
      </c>
      <c r="G4302" s="21"/>
      <c r="H4302" s="54">
        <v>30</v>
      </c>
      <c r="I4302" s="51"/>
      <c r="J4302" s="27"/>
      <c r="K4302" s="27"/>
      <c r="L4302" s="15"/>
      <c r="M4302" s="15"/>
      <c r="N4302" s="4" t="s">
        <v>9937</v>
      </c>
      <c r="O4302" s="4"/>
    </row>
    <row r="4303" spans="1:15" x14ac:dyDescent="0.2">
      <c r="A4303" s="2">
        <v>40011832</v>
      </c>
      <c r="B4303" s="2" t="s">
        <v>9858</v>
      </c>
      <c r="C4303" s="5" t="s">
        <v>9859</v>
      </c>
      <c r="D4303" s="21">
        <v>1</v>
      </c>
      <c r="E4303" s="21"/>
      <c r="F4303" s="21" t="s">
        <v>10438</v>
      </c>
      <c r="G4303" s="21"/>
      <c r="H4303" s="54">
        <v>57</v>
      </c>
      <c r="I4303" s="51"/>
      <c r="J4303" s="27"/>
      <c r="K4303" s="27"/>
      <c r="L4303" s="15"/>
      <c r="M4303" s="15"/>
      <c r="N4303" s="4"/>
      <c r="O4303" s="4">
        <v>86</v>
      </c>
    </row>
    <row r="4304" spans="1:15" x14ac:dyDescent="0.2">
      <c r="A4304" s="2">
        <v>40006166</v>
      </c>
      <c r="B4304" s="2" t="s">
        <v>9860</v>
      </c>
      <c r="C4304" s="5" t="s">
        <v>9861</v>
      </c>
      <c r="D4304" s="21">
        <v>2</v>
      </c>
      <c r="E4304" s="21"/>
      <c r="F4304" s="21" t="s">
        <v>10438</v>
      </c>
      <c r="G4304" s="21"/>
      <c r="H4304" s="54">
        <v>34</v>
      </c>
      <c r="I4304" s="51"/>
      <c r="J4304" s="27"/>
      <c r="K4304" s="27"/>
      <c r="L4304" s="15"/>
      <c r="M4304" s="15"/>
      <c r="N4304" s="4"/>
      <c r="O4304" s="4">
        <v>75</v>
      </c>
    </row>
    <row r="4305" spans="1:15" x14ac:dyDescent="0.2">
      <c r="A4305" s="2">
        <v>40007338</v>
      </c>
      <c r="B4305" s="2" t="s">
        <v>9862</v>
      </c>
      <c r="C4305" s="5" t="s">
        <v>9863</v>
      </c>
      <c r="D4305" s="21"/>
      <c r="E4305" s="21"/>
      <c r="F4305" s="21" t="s">
        <v>10438</v>
      </c>
      <c r="G4305" s="21"/>
      <c r="H4305" s="54">
        <v>343</v>
      </c>
      <c r="I4305" s="51"/>
      <c r="J4305" s="27"/>
      <c r="K4305" s="27"/>
      <c r="L4305" s="15">
        <v>5</v>
      </c>
      <c r="M4305" s="15"/>
      <c r="N4305" s="4" t="s">
        <v>5111</v>
      </c>
      <c r="O4305" s="4"/>
    </row>
    <row r="4306" spans="1:15" x14ac:dyDescent="0.2">
      <c r="A4306" s="2">
        <v>40006972</v>
      </c>
      <c r="B4306" s="2" t="s">
        <v>9864</v>
      </c>
      <c r="C4306" s="5" t="s">
        <v>9865</v>
      </c>
      <c r="D4306" s="21">
        <v>1</v>
      </c>
      <c r="E4306" s="21"/>
      <c r="F4306" s="21" t="s">
        <v>10438</v>
      </c>
      <c r="G4306" s="21"/>
      <c r="H4306" s="54">
        <v>62</v>
      </c>
      <c r="I4306" s="51"/>
      <c r="J4306" s="27"/>
      <c r="K4306" s="27"/>
      <c r="L4306" s="15"/>
      <c r="M4306" s="15"/>
      <c r="N4306" s="4" t="s">
        <v>4582</v>
      </c>
      <c r="O4306" s="4"/>
    </row>
    <row r="4307" spans="1:15" x14ac:dyDescent="0.2">
      <c r="A4307" s="2">
        <v>40005663</v>
      </c>
      <c r="B4307" s="2" t="s">
        <v>9866</v>
      </c>
      <c r="C4307" s="5" t="s">
        <v>9867</v>
      </c>
      <c r="D4307" s="21">
        <v>4</v>
      </c>
      <c r="E4307" s="21"/>
      <c r="F4307" s="21" t="s">
        <v>10438</v>
      </c>
      <c r="G4307" s="21"/>
      <c r="H4307" s="54">
        <v>107</v>
      </c>
      <c r="I4307" s="51"/>
      <c r="J4307" s="27"/>
      <c r="K4307" s="27"/>
      <c r="L4307" s="15"/>
      <c r="M4307" s="15"/>
      <c r="N4307" s="4" t="s">
        <v>4202</v>
      </c>
      <c r="O4307" s="4"/>
    </row>
    <row r="4308" spans="1:15" x14ac:dyDescent="0.2">
      <c r="A4308" s="2">
        <v>40006968</v>
      </c>
      <c r="B4308" s="2" t="s">
        <v>9868</v>
      </c>
      <c r="C4308" s="5" t="s">
        <v>9869</v>
      </c>
      <c r="D4308" s="21">
        <v>1</v>
      </c>
      <c r="E4308" s="21"/>
      <c r="F4308" s="21" t="s">
        <v>10438</v>
      </c>
      <c r="G4308" s="21"/>
      <c r="H4308" s="54">
        <v>108</v>
      </c>
      <c r="I4308" s="51"/>
      <c r="J4308" s="27"/>
      <c r="K4308" s="27"/>
      <c r="L4308" s="15"/>
      <c r="M4308" s="15"/>
      <c r="N4308" s="4" t="s">
        <v>4084</v>
      </c>
      <c r="O4308" s="4"/>
    </row>
    <row r="4309" spans="1:15" x14ac:dyDescent="0.2">
      <c r="A4309" s="2">
        <v>40006683</v>
      </c>
      <c r="B4309" s="2" t="s">
        <v>9870</v>
      </c>
      <c r="C4309" s="5" t="s">
        <v>9871</v>
      </c>
      <c r="D4309" s="21">
        <v>2</v>
      </c>
      <c r="E4309" s="21"/>
      <c r="F4309" s="21" t="s">
        <v>10438</v>
      </c>
      <c r="G4309" s="21"/>
      <c r="H4309" s="54">
        <v>13</v>
      </c>
      <c r="I4309" s="51"/>
      <c r="J4309" s="27"/>
      <c r="K4309" s="27"/>
      <c r="L4309" s="15"/>
      <c r="M4309" s="15"/>
      <c r="N4309" s="4" t="s">
        <v>4643</v>
      </c>
      <c r="O4309" s="4"/>
    </row>
    <row r="4310" spans="1:15" x14ac:dyDescent="0.2">
      <c r="A4310" s="2">
        <v>40005734</v>
      </c>
      <c r="B4310" s="2" t="s">
        <v>9872</v>
      </c>
      <c r="C4310" s="5" t="s">
        <v>9873</v>
      </c>
      <c r="D4310" s="21">
        <v>1</v>
      </c>
      <c r="E4310" s="21"/>
      <c r="F4310" s="21" t="s">
        <v>10438</v>
      </c>
      <c r="G4310" s="21"/>
      <c r="H4310" s="54">
        <v>17</v>
      </c>
      <c r="I4310" s="51"/>
      <c r="J4310" s="27"/>
      <c r="K4310" s="27"/>
      <c r="L4310" s="15"/>
      <c r="M4310" s="15"/>
      <c r="N4310" s="4" t="s">
        <v>4244</v>
      </c>
      <c r="O4310" s="4"/>
    </row>
    <row r="4311" spans="1:15" x14ac:dyDescent="0.2">
      <c r="A4311" s="2">
        <v>40010778</v>
      </c>
      <c r="B4311" s="2" t="s">
        <v>9874</v>
      </c>
      <c r="C4311" s="5" t="s">
        <v>9875</v>
      </c>
      <c r="D4311" s="21">
        <v>1</v>
      </c>
      <c r="E4311" s="21"/>
      <c r="F4311" s="21" t="s">
        <v>10438</v>
      </c>
      <c r="G4311" s="21"/>
      <c r="H4311" s="54">
        <v>373</v>
      </c>
      <c r="I4311" s="51"/>
      <c r="J4311" s="27"/>
      <c r="K4311" s="27"/>
      <c r="L4311" s="15"/>
      <c r="M4311" s="15"/>
      <c r="N4311" s="4" t="s">
        <v>4862</v>
      </c>
      <c r="O4311" s="4"/>
    </row>
    <row r="4312" spans="1:15" x14ac:dyDescent="0.2">
      <c r="A4312" s="2">
        <v>40011828</v>
      </c>
      <c r="B4312" s="2" t="s">
        <v>9876</v>
      </c>
      <c r="C4312" s="5" t="s">
        <v>9877</v>
      </c>
      <c r="D4312" s="21">
        <v>1</v>
      </c>
      <c r="E4312" s="21"/>
      <c r="F4312" s="21" t="s">
        <v>10438</v>
      </c>
      <c r="G4312" s="21"/>
      <c r="H4312" s="54">
        <v>645</v>
      </c>
      <c r="I4312" s="51"/>
      <c r="J4312" s="27"/>
      <c r="K4312" s="27"/>
      <c r="L4312" s="15"/>
      <c r="M4312" s="15">
        <v>2</v>
      </c>
      <c r="N4312" s="4"/>
      <c r="O4312" s="4"/>
    </row>
    <row r="4313" spans="1:15" x14ac:dyDescent="0.2">
      <c r="A4313" s="2">
        <v>40011834</v>
      </c>
      <c r="B4313" s="7" t="s">
        <v>9841</v>
      </c>
      <c r="C4313" s="5" t="s">
        <v>9878</v>
      </c>
      <c r="D4313" s="21">
        <v>2</v>
      </c>
      <c r="E4313" s="21"/>
      <c r="F4313" s="21" t="s">
        <v>10438</v>
      </c>
      <c r="G4313" s="21"/>
      <c r="H4313" s="54">
        <v>122</v>
      </c>
      <c r="I4313" s="51"/>
      <c r="J4313" s="27"/>
      <c r="K4313" s="27"/>
      <c r="L4313" s="15"/>
      <c r="M4313" s="15"/>
      <c r="N4313" s="4"/>
      <c r="O4313" s="4">
        <v>75</v>
      </c>
    </row>
    <row r="4314" spans="1:15" x14ac:dyDescent="0.2">
      <c r="A4314" s="2">
        <v>40011830</v>
      </c>
      <c r="B4314" s="2" t="s">
        <v>9842</v>
      </c>
      <c r="C4314" s="5" t="s">
        <v>9879</v>
      </c>
      <c r="D4314" s="21">
        <v>7</v>
      </c>
      <c r="E4314" s="21"/>
      <c r="F4314" s="30">
        <v>1</v>
      </c>
      <c r="G4314" s="21"/>
      <c r="H4314" s="54">
        <v>7</v>
      </c>
      <c r="I4314" s="51"/>
      <c r="J4314" s="27"/>
      <c r="K4314" s="27"/>
      <c r="L4314" s="15"/>
      <c r="M4314" s="15"/>
      <c r="N4314" s="4" t="s">
        <v>4858</v>
      </c>
      <c r="O4314" s="4"/>
    </row>
    <row r="4315" spans="1:15" x14ac:dyDescent="0.2">
      <c r="A4315" s="2">
        <v>10019036</v>
      </c>
      <c r="B4315" s="2" t="s">
        <v>9880</v>
      </c>
      <c r="C4315" s="5" t="s">
        <v>9881</v>
      </c>
      <c r="D4315" s="21">
        <v>1</v>
      </c>
      <c r="E4315" s="21"/>
      <c r="F4315" s="21" t="s">
        <v>10438</v>
      </c>
      <c r="G4315" s="21"/>
      <c r="H4315" s="54">
        <v>55</v>
      </c>
      <c r="I4315" s="51"/>
      <c r="J4315" s="27"/>
      <c r="K4315" s="27"/>
      <c r="L4315" s="15"/>
      <c r="M4315" s="15"/>
      <c r="N4315" s="4"/>
      <c r="O4315" s="4"/>
    </row>
    <row r="4316" spans="1:15" x14ac:dyDescent="0.2">
      <c r="A4316" s="2">
        <v>40005961</v>
      </c>
      <c r="B4316" s="2" t="s">
        <v>9882</v>
      </c>
      <c r="C4316" s="5" t="s">
        <v>9883</v>
      </c>
      <c r="D4316" s="21">
        <v>7</v>
      </c>
      <c r="E4316" s="21"/>
      <c r="F4316" s="21" t="s">
        <v>10438</v>
      </c>
      <c r="G4316" s="21"/>
      <c r="H4316" s="54">
        <v>5</v>
      </c>
      <c r="I4316" s="51"/>
      <c r="J4316" s="27"/>
      <c r="K4316" s="27"/>
      <c r="L4316" s="15"/>
      <c r="M4316" s="15"/>
      <c r="N4316" s="4" t="s">
        <v>9937</v>
      </c>
      <c r="O4316" s="4"/>
    </row>
    <row r="4317" spans="1:15" x14ac:dyDescent="0.2">
      <c r="A4317" s="2">
        <v>40005811</v>
      </c>
      <c r="B4317" s="2" t="s">
        <v>9884</v>
      </c>
      <c r="C4317" s="5" t="s">
        <v>9885</v>
      </c>
      <c r="D4317" s="21">
        <v>1</v>
      </c>
      <c r="E4317" s="21"/>
      <c r="F4317" s="21" t="s">
        <v>10438</v>
      </c>
      <c r="G4317" s="21"/>
      <c r="H4317" s="54">
        <v>125</v>
      </c>
      <c r="I4317" s="51"/>
      <c r="J4317" s="27"/>
      <c r="K4317" s="27"/>
      <c r="L4317" s="15"/>
      <c r="M4317" s="15"/>
      <c r="N4317" s="4" t="s">
        <v>4868</v>
      </c>
      <c r="O4317" s="4"/>
    </row>
    <row r="4318" spans="1:15" x14ac:dyDescent="0.2">
      <c r="A4318" s="2">
        <v>10044098</v>
      </c>
      <c r="B4318" s="2" t="s">
        <v>9886</v>
      </c>
      <c r="C4318" s="5" t="s">
        <v>9887</v>
      </c>
      <c r="D4318" s="21">
        <v>1</v>
      </c>
      <c r="E4318" s="21"/>
      <c r="F4318" s="21" t="s">
        <v>10438</v>
      </c>
      <c r="G4318" s="21"/>
      <c r="H4318" s="54">
        <v>119</v>
      </c>
      <c r="I4318" s="51"/>
      <c r="J4318" s="27"/>
      <c r="K4318" s="27"/>
      <c r="L4318" s="15"/>
      <c r="M4318" s="15">
        <v>2</v>
      </c>
      <c r="N4318" s="4"/>
      <c r="O4318" s="4"/>
    </row>
    <row r="4319" spans="1:15" x14ac:dyDescent="0.2">
      <c r="A4319" s="2">
        <v>10044099</v>
      </c>
      <c r="B4319" s="2" t="s">
        <v>9888</v>
      </c>
      <c r="C4319" s="5" t="s">
        <v>9889</v>
      </c>
      <c r="D4319" s="21">
        <v>1</v>
      </c>
      <c r="E4319" s="21"/>
      <c r="F4319" s="21" t="s">
        <v>10438</v>
      </c>
      <c r="G4319" s="21"/>
      <c r="H4319" s="54">
        <v>119</v>
      </c>
      <c r="I4319" s="51"/>
      <c r="J4319" s="27"/>
      <c r="K4319" s="27"/>
      <c r="L4319" s="15"/>
      <c r="M4319" s="15">
        <v>2</v>
      </c>
      <c r="N4319" s="4"/>
      <c r="O4319" s="4"/>
    </row>
    <row r="4320" spans="1:15" x14ac:dyDescent="0.2">
      <c r="A4320" s="2">
        <v>10044100</v>
      </c>
      <c r="B4320" s="2" t="s">
        <v>9890</v>
      </c>
      <c r="C4320" s="5" t="s">
        <v>9891</v>
      </c>
      <c r="D4320" s="21">
        <v>2</v>
      </c>
      <c r="E4320" s="21"/>
      <c r="F4320" s="21" t="s">
        <v>10438</v>
      </c>
      <c r="G4320" s="21"/>
      <c r="H4320" s="54">
        <v>119</v>
      </c>
      <c r="I4320" s="51"/>
      <c r="J4320" s="27"/>
      <c r="K4320" s="27"/>
      <c r="L4320" s="15"/>
      <c r="M4320" s="15">
        <v>2</v>
      </c>
      <c r="N4320" s="4"/>
      <c r="O4320" s="4"/>
    </row>
    <row r="4321" spans="1:15" x14ac:dyDescent="0.2">
      <c r="A4321" s="2">
        <v>10044101</v>
      </c>
      <c r="B4321" s="2" t="s">
        <v>9892</v>
      </c>
      <c r="C4321" s="5" t="s">
        <v>9893</v>
      </c>
      <c r="D4321" s="21">
        <v>1</v>
      </c>
      <c r="E4321" s="21"/>
      <c r="F4321" s="21" t="s">
        <v>10438</v>
      </c>
      <c r="G4321" s="21"/>
      <c r="H4321" s="54">
        <v>119</v>
      </c>
      <c r="I4321" s="51"/>
      <c r="J4321" s="27"/>
      <c r="K4321" s="27"/>
      <c r="L4321" s="15"/>
      <c r="M4321" s="15">
        <v>2</v>
      </c>
      <c r="N4321" s="4"/>
      <c r="O4321" s="4"/>
    </row>
    <row r="4322" spans="1:15" x14ac:dyDescent="0.2">
      <c r="A4322" s="2">
        <v>10044102</v>
      </c>
      <c r="B4322" s="2" t="s">
        <v>9894</v>
      </c>
      <c r="C4322" s="5" t="s">
        <v>9895</v>
      </c>
      <c r="D4322" s="21">
        <v>1</v>
      </c>
      <c r="E4322" s="21"/>
      <c r="F4322" s="21" t="s">
        <v>10438</v>
      </c>
      <c r="G4322" s="21"/>
      <c r="H4322" s="54">
        <v>126</v>
      </c>
      <c r="I4322" s="51"/>
      <c r="J4322" s="27"/>
      <c r="K4322" s="27"/>
      <c r="L4322" s="15"/>
      <c r="M4322" s="15">
        <v>2</v>
      </c>
      <c r="N4322" s="4"/>
      <c r="O4322" s="4"/>
    </row>
    <row r="4323" spans="1:15" x14ac:dyDescent="0.2">
      <c r="A4323" s="2">
        <v>10044103</v>
      </c>
      <c r="B4323" s="2" t="s">
        <v>9896</v>
      </c>
      <c r="C4323" s="5" t="s">
        <v>9897</v>
      </c>
      <c r="D4323" s="21">
        <v>1</v>
      </c>
      <c r="E4323" s="21"/>
      <c r="F4323" s="21" t="s">
        <v>10438</v>
      </c>
      <c r="G4323" s="21"/>
      <c r="H4323" s="54">
        <v>111</v>
      </c>
      <c r="I4323" s="51"/>
      <c r="J4323" s="27"/>
      <c r="K4323" s="27"/>
      <c r="L4323" s="15"/>
      <c r="M4323" s="15"/>
      <c r="N4323" s="4"/>
      <c r="O4323" s="4"/>
    </row>
    <row r="4324" spans="1:15" x14ac:dyDescent="0.2">
      <c r="A4324" s="2">
        <v>10044104</v>
      </c>
      <c r="B4324" s="2" t="s">
        <v>9898</v>
      </c>
      <c r="C4324" s="5" t="s">
        <v>9899</v>
      </c>
      <c r="D4324" s="21">
        <v>1</v>
      </c>
      <c r="E4324" s="21"/>
      <c r="F4324" s="21" t="s">
        <v>10438</v>
      </c>
      <c r="G4324" s="21"/>
      <c r="H4324" s="54">
        <v>111</v>
      </c>
      <c r="I4324" s="51"/>
      <c r="J4324" s="27"/>
      <c r="K4324" s="27"/>
      <c r="L4324" s="15"/>
      <c r="M4324" s="15"/>
      <c r="N4324" s="4"/>
      <c r="O4324" s="4"/>
    </row>
    <row r="4325" spans="1:15" x14ac:dyDescent="0.2">
      <c r="A4325" s="2">
        <v>10044105</v>
      </c>
      <c r="B4325" s="2" t="s">
        <v>9900</v>
      </c>
      <c r="C4325" s="5" t="s">
        <v>9901</v>
      </c>
      <c r="D4325" s="21">
        <v>1</v>
      </c>
      <c r="E4325" s="21"/>
      <c r="F4325" s="21" t="s">
        <v>10438</v>
      </c>
      <c r="G4325" s="21"/>
      <c r="H4325" s="54">
        <v>111</v>
      </c>
      <c r="I4325" s="51"/>
      <c r="J4325" s="27"/>
      <c r="K4325" s="27"/>
      <c r="L4325" s="15"/>
      <c r="M4325" s="15"/>
      <c r="N4325" s="4"/>
      <c r="O4325" s="4"/>
    </row>
    <row r="4326" spans="1:15" x14ac:dyDescent="0.2">
      <c r="A4326" s="2">
        <v>10044106</v>
      </c>
      <c r="B4326" s="2" t="s">
        <v>9902</v>
      </c>
      <c r="C4326" s="5" t="s">
        <v>9903</v>
      </c>
      <c r="D4326" s="21">
        <v>1</v>
      </c>
      <c r="E4326" s="21"/>
      <c r="F4326" s="21" t="s">
        <v>10438</v>
      </c>
      <c r="G4326" s="21"/>
      <c r="H4326" s="54">
        <v>111</v>
      </c>
      <c r="I4326" s="51"/>
      <c r="J4326" s="27"/>
      <c r="K4326" s="27"/>
      <c r="L4326" s="15"/>
      <c r="M4326" s="15"/>
      <c r="N4326" s="4"/>
      <c r="O4326" s="4"/>
    </row>
    <row r="4327" spans="1:15" x14ac:dyDescent="0.2">
      <c r="A4327" s="2">
        <v>10044107</v>
      </c>
      <c r="B4327" s="2" t="s">
        <v>9904</v>
      </c>
      <c r="C4327" s="5" t="s">
        <v>9905</v>
      </c>
      <c r="D4327" s="21">
        <v>1</v>
      </c>
      <c r="E4327" s="21"/>
      <c r="F4327" s="21" t="s">
        <v>10438</v>
      </c>
      <c r="G4327" s="21"/>
      <c r="H4327" s="54">
        <v>119</v>
      </c>
      <c r="I4327" s="51"/>
      <c r="J4327" s="27"/>
      <c r="K4327" s="27"/>
      <c r="L4327" s="15"/>
      <c r="M4327" s="15"/>
      <c r="N4327" s="4"/>
      <c r="O4327" s="4"/>
    </row>
    <row r="4328" spans="1:15" x14ac:dyDescent="0.2">
      <c r="A4328" s="2">
        <v>40007605</v>
      </c>
      <c r="B4328" s="2" t="s">
        <v>9909</v>
      </c>
      <c r="C4328" s="5" t="s">
        <v>10051</v>
      </c>
      <c r="D4328" s="21">
        <v>4</v>
      </c>
      <c r="E4328" s="21"/>
      <c r="F4328" s="21" t="s">
        <v>10438</v>
      </c>
      <c r="G4328" s="21"/>
      <c r="H4328" s="54">
        <v>6</v>
      </c>
      <c r="I4328" s="51"/>
      <c r="J4328" s="27"/>
      <c r="K4328" s="27"/>
      <c r="L4328" s="15"/>
      <c r="M4328" s="15"/>
      <c r="N4328" s="4" t="s">
        <v>3966</v>
      </c>
      <c r="O4328" s="4"/>
    </row>
    <row r="4329" spans="1:15" x14ac:dyDescent="0.2">
      <c r="A4329" s="2">
        <v>40011815</v>
      </c>
      <c r="B4329" s="5" t="s">
        <v>9910</v>
      </c>
      <c r="C4329" s="5" t="s">
        <v>10052</v>
      </c>
      <c r="D4329" s="21"/>
      <c r="E4329" s="21"/>
      <c r="F4329" s="21" t="s">
        <v>10438</v>
      </c>
      <c r="G4329" s="21"/>
      <c r="H4329" s="54">
        <v>4</v>
      </c>
      <c r="I4329" s="51"/>
      <c r="J4329" s="27"/>
      <c r="K4329" s="27"/>
      <c r="L4329" s="15"/>
      <c r="M4329" s="15"/>
      <c r="N4329" s="4" t="s">
        <v>4553</v>
      </c>
      <c r="O4329" s="4"/>
    </row>
    <row r="4330" spans="1:15" x14ac:dyDescent="0.2">
      <c r="A4330" s="2">
        <v>40006298</v>
      </c>
      <c r="B4330" s="5" t="s">
        <v>9911</v>
      </c>
      <c r="C4330" s="5" t="s">
        <v>10053</v>
      </c>
      <c r="D4330" s="21">
        <v>6</v>
      </c>
      <c r="E4330" s="21"/>
      <c r="F4330" s="21" t="s">
        <v>10438</v>
      </c>
      <c r="G4330" s="21"/>
      <c r="H4330" s="54">
        <v>4</v>
      </c>
      <c r="I4330" s="51"/>
      <c r="J4330" s="27"/>
      <c r="K4330" s="27"/>
      <c r="L4330" s="15"/>
      <c r="M4330" s="15"/>
      <c r="N4330" s="4" t="s">
        <v>4948</v>
      </c>
      <c r="O4330" s="4"/>
    </row>
    <row r="4331" spans="1:15" x14ac:dyDescent="0.2">
      <c r="A4331" s="2">
        <v>40011818</v>
      </c>
      <c r="B4331" s="13" t="s">
        <v>9912</v>
      </c>
      <c r="C4331" s="5" t="s">
        <v>10054</v>
      </c>
      <c r="D4331" s="21">
        <v>1</v>
      </c>
      <c r="E4331" s="21"/>
      <c r="F4331" s="21" t="s">
        <v>10438</v>
      </c>
      <c r="G4331" s="21"/>
      <c r="H4331" s="54">
        <v>178</v>
      </c>
      <c r="I4331" s="51"/>
      <c r="J4331" s="27"/>
      <c r="K4331" s="27"/>
      <c r="L4331" s="15"/>
      <c r="M4331" s="15">
        <v>5</v>
      </c>
      <c r="N4331" s="4" t="s">
        <v>4300</v>
      </c>
      <c r="O4331" s="4"/>
    </row>
    <row r="4332" spans="1:15" x14ac:dyDescent="0.2">
      <c r="A4332" s="2">
        <v>40011820</v>
      </c>
      <c r="B4332" s="5" t="s">
        <v>9913</v>
      </c>
      <c r="C4332" s="5" t="s">
        <v>10055</v>
      </c>
      <c r="D4332" s="21">
        <v>3</v>
      </c>
      <c r="E4332" s="21"/>
      <c r="F4332" s="21" t="s">
        <v>10438</v>
      </c>
      <c r="G4332" s="21"/>
      <c r="H4332" s="54">
        <v>969</v>
      </c>
      <c r="I4332" s="51"/>
      <c r="J4332" s="27"/>
      <c r="K4332" s="27"/>
      <c r="L4332" s="15"/>
      <c r="M4332" s="15"/>
      <c r="N4332" s="4" t="s">
        <v>4875</v>
      </c>
      <c r="O4332" s="4"/>
    </row>
    <row r="4333" spans="1:15" x14ac:dyDescent="0.2">
      <c r="A4333" s="2">
        <v>40005635</v>
      </c>
      <c r="B4333" s="5" t="s">
        <v>9914</v>
      </c>
      <c r="C4333" s="10" t="s">
        <v>10056</v>
      </c>
      <c r="D4333" s="21">
        <v>3</v>
      </c>
      <c r="E4333" s="21"/>
      <c r="F4333" s="21" t="s">
        <v>10438</v>
      </c>
      <c r="G4333" s="21"/>
      <c r="H4333" s="54">
        <v>369</v>
      </c>
      <c r="I4333" s="51"/>
      <c r="J4333" s="27"/>
      <c r="K4333" s="27"/>
      <c r="L4333" s="15"/>
      <c r="M4333" s="15"/>
      <c r="N4333" s="4"/>
      <c r="O4333" s="4">
        <v>69</v>
      </c>
    </row>
    <row r="4334" spans="1:15" x14ac:dyDescent="0.2">
      <c r="A4334" s="2">
        <v>40011822</v>
      </c>
      <c r="B4334" s="5" t="s">
        <v>9915</v>
      </c>
      <c r="C4334" s="5" t="s">
        <v>10057</v>
      </c>
      <c r="D4334" s="21"/>
      <c r="E4334" s="21"/>
      <c r="F4334" s="21" t="s">
        <v>10438</v>
      </c>
      <c r="G4334" s="21"/>
      <c r="H4334" s="54">
        <v>15</v>
      </c>
      <c r="I4334" s="51"/>
      <c r="J4334" s="27"/>
      <c r="K4334" s="27"/>
      <c r="L4334" s="15"/>
      <c r="M4334" s="15"/>
      <c r="N4334" s="4" t="s">
        <v>5237</v>
      </c>
      <c r="O4334" s="4"/>
    </row>
    <row r="4335" spans="1:15" x14ac:dyDescent="0.2">
      <c r="A4335" s="2">
        <v>40011814</v>
      </c>
      <c r="B4335" s="5" t="s">
        <v>9916</v>
      </c>
      <c r="C4335" s="5" t="s">
        <v>10058</v>
      </c>
      <c r="D4335" s="21">
        <v>1</v>
      </c>
      <c r="E4335" s="21"/>
      <c r="F4335" s="21" t="s">
        <v>10438</v>
      </c>
      <c r="G4335" s="21"/>
      <c r="H4335" s="54">
        <v>1431</v>
      </c>
      <c r="I4335" s="51"/>
      <c r="J4335" s="27"/>
      <c r="K4335" s="27"/>
      <c r="L4335" s="15"/>
      <c r="M4335" s="15"/>
      <c r="N4335" s="4"/>
      <c r="O4335" s="4">
        <v>76</v>
      </c>
    </row>
    <row r="4336" spans="1:15" x14ac:dyDescent="0.2">
      <c r="A4336" s="2">
        <v>10019914</v>
      </c>
      <c r="B4336" s="5" t="s">
        <v>9917</v>
      </c>
      <c r="C4336" s="5" t="s">
        <v>10059</v>
      </c>
      <c r="D4336" s="21">
        <v>1</v>
      </c>
      <c r="E4336" s="21"/>
      <c r="F4336" s="21" t="s">
        <v>10438</v>
      </c>
      <c r="G4336" s="21"/>
      <c r="H4336" s="54">
        <v>644</v>
      </c>
      <c r="I4336" s="51"/>
      <c r="J4336" s="27"/>
      <c r="K4336" s="27"/>
      <c r="L4336" s="15"/>
      <c r="M4336" s="15"/>
      <c r="N4336" s="4"/>
      <c r="O4336" s="4" t="s">
        <v>10440</v>
      </c>
    </row>
    <row r="4337" spans="1:15" x14ac:dyDescent="0.2">
      <c r="A4337" s="2">
        <v>40011823</v>
      </c>
      <c r="B4337" s="5" t="s">
        <v>9918</v>
      </c>
      <c r="C4337" s="5" t="s">
        <v>10060</v>
      </c>
      <c r="D4337" s="21">
        <v>1</v>
      </c>
      <c r="E4337" s="21"/>
      <c r="F4337" s="21" t="s">
        <v>10438</v>
      </c>
      <c r="G4337" s="21"/>
      <c r="H4337" s="54">
        <v>1154</v>
      </c>
      <c r="I4337" s="51"/>
      <c r="J4337" s="27"/>
      <c r="K4337" s="27"/>
      <c r="L4337" s="15"/>
      <c r="M4337" s="15"/>
      <c r="N4337" s="4"/>
      <c r="O4337" s="4"/>
    </row>
    <row r="4338" spans="1:15" x14ac:dyDescent="0.2">
      <c r="A4338" s="2">
        <v>40011824</v>
      </c>
      <c r="B4338" s="5" t="s">
        <v>9919</v>
      </c>
      <c r="C4338" s="5" t="s">
        <v>10061</v>
      </c>
      <c r="D4338" s="21">
        <v>2</v>
      </c>
      <c r="E4338" s="21"/>
      <c r="F4338" s="21" t="s">
        <v>10438</v>
      </c>
      <c r="G4338" s="21"/>
      <c r="H4338" s="54">
        <v>184</v>
      </c>
      <c r="I4338" s="51"/>
      <c r="J4338" s="27"/>
      <c r="K4338" s="27"/>
      <c r="L4338" s="15"/>
      <c r="M4338" s="15"/>
      <c r="N4338" s="4"/>
      <c r="O4338" s="4">
        <v>86</v>
      </c>
    </row>
    <row r="4339" spans="1:15" x14ac:dyDescent="0.2">
      <c r="A4339" s="2">
        <v>40011825</v>
      </c>
      <c r="B4339" s="5" t="s">
        <v>9920</v>
      </c>
      <c r="C4339" s="5" t="s">
        <v>10062</v>
      </c>
      <c r="D4339" s="21">
        <v>1</v>
      </c>
      <c r="E4339" s="21"/>
      <c r="F4339" s="21" t="s">
        <v>10438</v>
      </c>
      <c r="G4339" s="21"/>
      <c r="H4339" s="54">
        <v>43</v>
      </c>
      <c r="I4339" s="51"/>
      <c r="J4339" s="27"/>
      <c r="K4339" s="27"/>
      <c r="L4339" s="15"/>
      <c r="M4339" s="15"/>
      <c r="N4339" s="4" t="s">
        <v>4592</v>
      </c>
      <c r="O4339" s="4"/>
    </row>
    <row r="4340" spans="1:15" x14ac:dyDescent="0.2">
      <c r="A4340" s="2">
        <v>40011816</v>
      </c>
      <c r="B4340" s="5" t="s">
        <v>9921</v>
      </c>
      <c r="C4340" s="5" t="s">
        <v>10063</v>
      </c>
      <c r="D4340" s="21">
        <v>1</v>
      </c>
      <c r="E4340" s="21"/>
      <c r="F4340" s="21" t="s">
        <v>10438</v>
      </c>
      <c r="G4340" s="21"/>
      <c r="H4340" s="54">
        <v>8</v>
      </c>
      <c r="I4340" s="51"/>
      <c r="J4340" s="27"/>
      <c r="K4340" s="27"/>
      <c r="L4340" s="15"/>
      <c r="M4340" s="15"/>
      <c r="N4340" s="4" t="s">
        <v>3986</v>
      </c>
      <c r="O4340" s="4"/>
    </row>
    <row r="4341" spans="1:15" x14ac:dyDescent="0.2">
      <c r="A4341" s="2">
        <v>40006790</v>
      </c>
      <c r="B4341" s="5" t="s">
        <v>9922</v>
      </c>
      <c r="C4341" s="5" t="s">
        <v>10064</v>
      </c>
      <c r="D4341" s="21"/>
      <c r="E4341" s="21"/>
      <c r="F4341" s="21" t="s">
        <v>10438</v>
      </c>
      <c r="G4341" s="21"/>
      <c r="H4341" s="54">
        <v>33</v>
      </c>
      <c r="I4341" s="51"/>
      <c r="J4341" s="27"/>
      <c r="K4341" s="27"/>
      <c r="L4341" s="15"/>
      <c r="M4341" s="15"/>
      <c r="N4341" s="4" t="s">
        <v>4632</v>
      </c>
      <c r="O4341" s="4"/>
    </row>
    <row r="4342" spans="1:15" x14ac:dyDescent="0.2">
      <c r="A4342" s="2">
        <v>40011826</v>
      </c>
      <c r="B4342" s="10" t="s">
        <v>10368</v>
      </c>
      <c r="C4342" s="5" t="s">
        <v>10065</v>
      </c>
      <c r="D4342" s="21">
        <v>1</v>
      </c>
      <c r="E4342" s="21"/>
      <c r="F4342" s="21" t="s">
        <v>10438</v>
      </c>
      <c r="G4342" s="21"/>
      <c r="H4342" s="54">
        <v>112</v>
      </c>
      <c r="I4342" s="51"/>
      <c r="J4342" s="27"/>
      <c r="K4342" s="27"/>
      <c r="L4342" s="15"/>
      <c r="M4342" s="15"/>
      <c r="N4342" s="4" t="s">
        <v>4002</v>
      </c>
      <c r="O4342" s="4"/>
    </row>
    <row r="4343" spans="1:15" x14ac:dyDescent="0.2">
      <c r="A4343" s="2">
        <v>40011827</v>
      </c>
      <c r="B4343" s="5" t="s">
        <v>9923</v>
      </c>
      <c r="C4343" s="5" t="s">
        <v>10066</v>
      </c>
      <c r="D4343" s="21"/>
      <c r="E4343" s="21"/>
      <c r="F4343" s="21" t="s">
        <v>10438</v>
      </c>
      <c r="G4343" s="21"/>
      <c r="H4343" s="54">
        <v>104</v>
      </c>
      <c r="I4343" s="51"/>
      <c r="J4343" s="27"/>
      <c r="K4343" s="27"/>
      <c r="L4343" s="15"/>
      <c r="M4343" s="15"/>
      <c r="N4343" s="4"/>
      <c r="O4343" s="4">
        <v>86</v>
      </c>
    </row>
    <row r="4344" spans="1:15" x14ac:dyDescent="0.2">
      <c r="A4344" s="2">
        <v>10044811</v>
      </c>
      <c r="B4344" s="5" t="s">
        <v>9924</v>
      </c>
      <c r="C4344" s="5" t="s">
        <v>10067</v>
      </c>
      <c r="D4344" s="21"/>
      <c r="E4344" s="21"/>
      <c r="F4344" s="21" t="s">
        <v>10438</v>
      </c>
      <c r="G4344" s="21"/>
      <c r="H4344" s="54">
        <v>1350</v>
      </c>
      <c r="I4344" s="51"/>
      <c r="J4344" s="27"/>
      <c r="K4344" s="27"/>
      <c r="L4344" s="15">
        <v>3</v>
      </c>
      <c r="M4344" s="15"/>
      <c r="N4344" s="4"/>
      <c r="O4344" s="4"/>
    </row>
    <row r="4345" spans="1:15" x14ac:dyDescent="0.2">
      <c r="A4345" s="2">
        <v>40011882</v>
      </c>
      <c r="B4345" s="5" t="s">
        <v>9925</v>
      </c>
      <c r="C4345" s="5" t="s">
        <v>10068</v>
      </c>
      <c r="D4345" s="21">
        <v>19</v>
      </c>
      <c r="E4345" s="21"/>
      <c r="F4345" s="21" t="s">
        <v>10438</v>
      </c>
      <c r="G4345" s="21"/>
      <c r="H4345" s="54">
        <v>66</v>
      </c>
      <c r="I4345" s="51"/>
      <c r="J4345" s="27"/>
      <c r="K4345" s="27"/>
      <c r="L4345" s="15"/>
      <c r="M4345" s="15"/>
      <c r="N4345" s="4" t="s">
        <v>4002</v>
      </c>
      <c r="O4345" s="4"/>
    </row>
    <row r="4346" spans="1:15" x14ac:dyDescent="0.2">
      <c r="A4346" s="2">
        <v>40011883</v>
      </c>
      <c r="B4346" s="5" t="s">
        <v>9926</v>
      </c>
      <c r="C4346" s="5" t="s">
        <v>10069</v>
      </c>
      <c r="D4346" s="21"/>
      <c r="E4346" s="21"/>
      <c r="F4346" s="21" t="s">
        <v>10438</v>
      </c>
      <c r="G4346" s="21"/>
      <c r="H4346" s="54">
        <v>5</v>
      </c>
      <c r="I4346" s="51"/>
      <c r="J4346" s="27"/>
      <c r="K4346" s="27"/>
      <c r="L4346" s="15"/>
      <c r="M4346" s="15">
        <v>5</v>
      </c>
      <c r="N4346" s="4" t="s">
        <v>4553</v>
      </c>
      <c r="O4346" s="4"/>
    </row>
    <row r="4347" spans="1:15" x14ac:dyDescent="0.2">
      <c r="A4347" s="2">
        <v>40010267</v>
      </c>
      <c r="B4347" s="5" t="s">
        <v>9927</v>
      </c>
      <c r="C4347" s="5" t="s">
        <v>10070</v>
      </c>
      <c r="D4347" s="21">
        <v>1</v>
      </c>
      <c r="E4347" s="21"/>
      <c r="F4347" s="30">
        <v>1</v>
      </c>
      <c r="G4347" s="21"/>
      <c r="H4347" s="54">
        <v>65</v>
      </c>
      <c r="I4347" s="51"/>
      <c r="J4347" s="27"/>
      <c r="K4347" s="27"/>
      <c r="L4347" s="15"/>
      <c r="M4347" s="15"/>
      <c r="N4347" s="4" t="s">
        <v>4495</v>
      </c>
      <c r="O4347" s="4"/>
    </row>
    <row r="4348" spans="1:15" x14ac:dyDescent="0.2">
      <c r="A4348" s="2">
        <v>40011886</v>
      </c>
      <c r="B4348" s="5" t="s">
        <v>9928</v>
      </c>
      <c r="C4348" s="5" t="s">
        <v>10071</v>
      </c>
      <c r="D4348" s="21">
        <v>2</v>
      </c>
      <c r="E4348" s="21"/>
      <c r="F4348" s="21" t="s">
        <v>10438</v>
      </c>
      <c r="G4348" s="21"/>
      <c r="H4348" s="54">
        <v>244</v>
      </c>
      <c r="I4348" s="51"/>
      <c r="J4348" s="27"/>
      <c r="K4348" s="27"/>
      <c r="L4348" s="15"/>
      <c r="M4348" s="15"/>
      <c r="N4348" s="4" t="s">
        <v>3986</v>
      </c>
      <c r="O4348" s="4"/>
    </row>
    <row r="4349" spans="1:15" x14ac:dyDescent="0.2">
      <c r="A4349" s="2">
        <v>40011887</v>
      </c>
      <c r="B4349" s="5" t="s">
        <v>9929</v>
      </c>
      <c r="C4349" s="5" t="s">
        <v>10072</v>
      </c>
      <c r="D4349" s="21"/>
      <c r="E4349" s="21"/>
      <c r="F4349" s="21" t="s">
        <v>10438</v>
      </c>
      <c r="G4349" s="21"/>
      <c r="H4349" s="54">
        <v>3</v>
      </c>
      <c r="I4349" s="51"/>
      <c r="J4349" s="27"/>
      <c r="K4349" s="27"/>
      <c r="L4349" s="15"/>
      <c r="M4349" s="15">
        <v>6</v>
      </c>
      <c r="N4349" s="4" t="s">
        <v>4729</v>
      </c>
      <c r="O4349" s="4"/>
    </row>
    <row r="4350" spans="1:15" x14ac:dyDescent="0.2">
      <c r="A4350" s="2">
        <v>40011888</v>
      </c>
      <c r="B4350" s="5" t="s">
        <v>9930</v>
      </c>
      <c r="C4350" s="5" t="s">
        <v>10073</v>
      </c>
      <c r="D4350" s="21">
        <v>3</v>
      </c>
      <c r="E4350" s="21"/>
      <c r="F4350" s="21" t="s">
        <v>10438</v>
      </c>
      <c r="G4350" s="21"/>
      <c r="H4350" s="54">
        <v>108</v>
      </c>
      <c r="I4350" s="51"/>
      <c r="J4350" s="27"/>
      <c r="K4350" s="27"/>
      <c r="L4350" s="15"/>
      <c r="M4350" s="15"/>
      <c r="N4350" s="4" t="s">
        <v>4553</v>
      </c>
      <c r="O4350" s="4"/>
    </row>
    <row r="4351" spans="1:15" x14ac:dyDescent="0.2">
      <c r="A4351" s="2">
        <v>40010227</v>
      </c>
      <c r="B4351" s="5" t="s">
        <v>9931</v>
      </c>
      <c r="C4351" s="5" t="s">
        <v>10074</v>
      </c>
      <c r="D4351" s="21"/>
      <c r="E4351" s="21"/>
      <c r="F4351" s="21" t="s">
        <v>10438</v>
      </c>
      <c r="G4351" s="21"/>
      <c r="H4351" s="54">
        <v>444</v>
      </c>
      <c r="I4351" s="51"/>
      <c r="J4351" s="27"/>
      <c r="K4351" s="27"/>
      <c r="L4351" s="15"/>
      <c r="M4351" s="15"/>
      <c r="N4351" s="4" t="s">
        <v>4977</v>
      </c>
      <c r="O4351" s="4"/>
    </row>
    <row r="4352" spans="1:15" x14ac:dyDescent="0.2">
      <c r="A4352" s="2">
        <v>10018002</v>
      </c>
      <c r="B4352" s="5" t="s">
        <v>9969</v>
      </c>
      <c r="C4352" s="5" t="s">
        <v>9938</v>
      </c>
      <c r="D4352" s="21">
        <v>8</v>
      </c>
      <c r="E4352" s="21"/>
      <c r="F4352" s="21" t="s">
        <v>10438</v>
      </c>
      <c r="G4352" s="21"/>
      <c r="H4352" s="54">
        <v>4980</v>
      </c>
      <c r="I4352" s="51">
        <v>4235</v>
      </c>
      <c r="J4352" s="27">
        <v>12</v>
      </c>
      <c r="K4352" s="27"/>
      <c r="L4352" s="15"/>
      <c r="M4352" s="15"/>
      <c r="N4352" s="4"/>
      <c r="O4352" s="4" t="s">
        <v>10452</v>
      </c>
    </row>
    <row r="4353" spans="1:15" x14ac:dyDescent="0.2">
      <c r="A4353" s="2">
        <v>10018710</v>
      </c>
      <c r="B4353" s="5" t="s">
        <v>9970</v>
      </c>
      <c r="C4353" s="5" t="s">
        <v>9906</v>
      </c>
      <c r="D4353" s="21"/>
      <c r="E4353" s="21"/>
      <c r="F4353" s="21" t="s">
        <v>10438</v>
      </c>
      <c r="G4353" s="21"/>
      <c r="H4353" s="54">
        <v>6620</v>
      </c>
      <c r="I4353" s="51">
        <v>5960</v>
      </c>
      <c r="J4353" s="27"/>
      <c r="K4353" s="27"/>
      <c r="L4353" s="15"/>
      <c r="M4353" s="15"/>
      <c r="N4353" s="4" t="s">
        <v>3607</v>
      </c>
      <c r="O4353" s="4" t="s">
        <v>10457</v>
      </c>
    </row>
    <row r="4354" spans="1:15" x14ac:dyDescent="0.2">
      <c r="A4354" s="2">
        <v>10036223</v>
      </c>
      <c r="B4354" s="5" t="s">
        <v>9971</v>
      </c>
      <c r="C4354" s="5" t="s">
        <v>9939</v>
      </c>
      <c r="D4354" s="21">
        <v>2</v>
      </c>
      <c r="E4354" s="21"/>
      <c r="F4354" s="21" t="s">
        <v>10438</v>
      </c>
      <c r="G4354" s="21"/>
      <c r="H4354" s="54">
        <v>2530</v>
      </c>
      <c r="I4354" s="51">
        <v>2330</v>
      </c>
      <c r="J4354" s="27"/>
      <c r="K4354" s="27"/>
      <c r="L4354" s="15"/>
      <c r="M4354" s="15"/>
      <c r="N4354" s="4"/>
      <c r="O4354" s="4" t="s">
        <v>10447</v>
      </c>
    </row>
    <row r="4355" spans="1:15" x14ac:dyDescent="0.2">
      <c r="A4355" s="2">
        <v>10036224</v>
      </c>
      <c r="B4355" s="5" t="s">
        <v>9972</v>
      </c>
      <c r="C4355" s="5" t="s">
        <v>9940</v>
      </c>
      <c r="D4355" s="21">
        <v>2</v>
      </c>
      <c r="E4355" s="21"/>
      <c r="F4355" s="21" t="s">
        <v>10438</v>
      </c>
      <c r="G4355" s="21"/>
      <c r="H4355" s="54">
        <v>2640</v>
      </c>
      <c r="I4355" s="51">
        <v>2430</v>
      </c>
      <c r="J4355" s="27"/>
      <c r="K4355" s="27"/>
      <c r="L4355" s="15"/>
      <c r="M4355" s="15"/>
      <c r="N4355" s="4">
        <v>99</v>
      </c>
      <c r="O4355" s="4" t="s">
        <v>10447</v>
      </c>
    </row>
    <row r="4356" spans="1:15" x14ac:dyDescent="0.2">
      <c r="A4356" s="2">
        <v>10013697</v>
      </c>
      <c r="B4356" s="5" t="s">
        <v>9973</v>
      </c>
      <c r="C4356" s="5" t="s">
        <v>9908</v>
      </c>
      <c r="D4356" s="21">
        <v>2</v>
      </c>
      <c r="E4356" s="21"/>
      <c r="F4356" s="21" t="s">
        <v>10438</v>
      </c>
      <c r="G4356" s="21"/>
      <c r="H4356" s="54">
        <v>8401</v>
      </c>
      <c r="I4356" s="51">
        <v>6725</v>
      </c>
      <c r="J4356" s="27"/>
      <c r="K4356" s="27"/>
      <c r="L4356" s="15"/>
      <c r="M4356" s="15"/>
      <c r="N4356" s="4"/>
      <c r="O4356" s="4" t="s">
        <v>10452</v>
      </c>
    </row>
    <row r="4357" spans="1:15" x14ac:dyDescent="0.2">
      <c r="A4357" s="2">
        <v>10017924</v>
      </c>
      <c r="B4357" s="5" t="s">
        <v>9974</v>
      </c>
      <c r="C4357" s="5" t="s">
        <v>9941</v>
      </c>
      <c r="D4357" s="21">
        <v>2</v>
      </c>
      <c r="E4357" s="21"/>
      <c r="F4357" s="21" t="s">
        <v>10438</v>
      </c>
      <c r="G4357" s="21"/>
      <c r="H4357" s="54">
        <v>7205</v>
      </c>
      <c r="I4357" s="51">
        <v>6125</v>
      </c>
      <c r="J4357" s="27"/>
      <c r="K4357" s="27"/>
      <c r="L4357" s="15"/>
      <c r="M4357" s="15"/>
      <c r="N4357" s="4"/>
      <c r="O4357" s="4" t="s">
        <v>10452</v>
      </c>
    </row>
    <row r="4358" spans="1:15" x14ac:dyDescent="0.2">
      <c r="A4358" s="2">
        <v>10018378</v>
      </c>
      <c r="B4358" s="5" t="s">
        <v>9975</v>
      </c>
      <c r="C4358" s="5" t="s">
        <v>9942</v>
      </c>
      <c r="D4358" s="21">
        <v>2</v>
      </c>
      <c r="E4358" s="21"/>
      <c r="F4358" s="21" t="s">
        <v>10438</v>
      </c>
      <c r="G4358" s="21"/>
      <c r="H4358" s="54">
        <v>16075</v>
      </c>
      <c r="I4358" s="51">
        <v>12860</v>
      </c>
      <c r="J4358" s="27"/>
      <c r="K4358" s="27"/>
      <c r="L4358" s="15"/>
      <c r="M4358" s="15"/>
      <c r="N4358" s="4"/>
      <c r="O4358" s="4" t="s">
        <v>10457</v>
      </c>
    </row>
    <row r="4359" spans="1:15" x14ac:dyDescent="0.2">
      <c r="A4359" s="2">
        <v>10018148</v>
      </c>
      <c r="B4359" s="5" t="s">
        <v>9976</v>
      </c>
      <c r="C4359" s="5" t="s">
        <v>9943</v>
      </c>
      <c r="D4359" s="21">
        <v>1</v>
      </c>
      <c r="E4359" s="21"/>
      <c r="F4359" s="21" t="s">
        <v>10438</v>
      </c>
      <c r="G4359" s="21"/>
      <c r="H4359" s="54">
        <v>8490</v>
      </c>
      <c r="I4359" s="51">
        <v>7475</v>
      </c>
      <c r="J4359" s="27"/>
      <c r="K4359" s="27"/>
      <c r="L4359" s="15"/>
      <c r="M4359" s="15"/>
      <c r="N4359" s="4"/>
      <c r="O4359" s="4"/>
    </row>
    <row r="4360" spans="1:15" x14ac:dyDescent="0.2">
      <c r="A4360" s="2">
        <v>10018505</v>
      </c>
      <c r="B4360" s="5" t="s">
        <v>9977</v>
      </c>
      <c r="C4360" s="5" t="s">
        <v>9907</v>
      </c>
      <c r="D4360" s="21">
        <v>1</v>
      </c>
      <c r="E4360" s="21"/>
      <c r="F4360" s="21" t="s">
        <v>10438</v>
      </c>
      <c r="G4360" s="21"/>
      <c r="H4360" s="54">
        <v>21960</v>
      </c>
      <c r="I4360" s="51">
        <v>17570</v>
      </c>
      <c r="J4360" s="27"/>
      <c r="K4360" s="27"/>
      <c r="L4360" s="15"/>
      <c r="M4360" s="15"/>
      <c r="N4360" s="4"/>
      <c r="O4360" s="4"/>
    </row>
    <row r="4361" spans="1:15" x14ac:dyDescent="0.2">
      <c r="A4361" s="2">
        <v>10018981</v>
      </c>
      <c r="B4361" s="5" t="s">
        <v>9978</v>
      </c>
      <c r="C4361" s="5" t="s">
        <v>9944</v>
      </c>
      <c r="D4361" s="21">
        <v>1</v>
      </c>
      <c r="E4361" s="21"/>
      <c r="F4361" s="21" t="s">
        <v>10438</v>
      </c>
      <c r="G4361" s="21"/>
      <c r="H4361" s="54">
        <v>11155</v>
      </c>
      <c r="I4361" s="51">
        <v>8925</v>
      </c>
      <c r="J4361" s="27"/>
      <c r="K4361" s="27"/>
      <c r="L4361" s="15"/>
      <c r="M4361" s="15"/>
      <c r="N4361" s="4"/>
      <c r="O4361" s="4"/>
    </row>
    <row r="4362" spans="1:15" x14ac:dyDescent="0.2">
      <c r="A4362" s="2">
        <v>10045279</v>
      </c>
      <c r="B4362" s="5" t="s">
        <v>9979</v>
      </c>
      <c r="C4362" s="5" t="s">
        <v>9945</v>
      </c>
      <c r="D4362" s="21">
        <v>11</v>
      </c>
      <c r="E4362" s="21"/>
      <c r="F4362" s="21" t="s">
        <v>10438</v>
      </c>
      <c r="G4362" s="21"/>
      <c r="H4362" s="54">
        <v>4775</v>
      </c>
      <c r="I4362" s="51">
        <v>4300</v>
      </c>
      <c r="J4362" s="27">
        <v>176</v>
      </c>
      <c r="K4362" s="27"/>
      <c r="L4362" s="15"/>
      <c r="M4362" s="15"/>
      <c r="N4362" s="4"/>
      <c r="O4362" s="4" t="s">
        <v>10457</v>
      </c>
    </row>
    <row r="4363" spans="1:15" x14ac:dyDescent="0.2">
      <c r="A4363" s="2">
        <v>10045280</v>
      </c>
      <c r="B4363" s="5" t="s">
        <v>9979</v>
      </c>
      <c r="C4363" s="5" t="s">
        <v>9946</v>
      </c>
      <c r="D4363" s="21">
        <v>13</v>
      </c>
      <c r="E4363" s="21"/>
      <c r="F4363" s="21" t="s">
        <v>10438</v>
      </c>
      <c r="G4363" s="21"/>
      <c r="H4363" s="54">
        <v>5510</v>
      </c>
      <c r="I4363" s="51">
        <v>4960</v>
      </c>
      <c r="J4363" s="27">
        <v>36</v>
      </c>
      <c r="K4363" s="27"/>
      <c r="L4363" s="15"/>
      <c r="M4363" s="15"/>
      <c r="N4363" s="4"/>
      <c r="O4363" s="4" t="s">
        <v>10457</v>
      </c>
    </row>
    <row r="4364" spans="1:15" x14ac:dyDescent="0.2">
      <c r="A4364" s="2">
        <v>10045281</v>
      </c>
      <c r="B4364" s="5" t="s">
        <v>9980</v>
      </c>
      <c r="C4364" s="5" t="s">
        <v>9947</v>
      </c>
      <c r="D4364" s="21">
        <v>1</v>
      </c>
      <c r="E4364" s="21"/>
      <c r="F4364" s="21" t="s">
        <v>10438</v>
      </c>
      <c r="G4364" s="21"/>
      <c r="H4364" s="54">
        <v>4775</v>
      </c>
      <c r="I4364" s="51">
        <v>4060</v>
      </c>
      <c r="J4364" s="27"/>
      <c r="K4364" s="27"/>
      <c r="L4364" s="15"/>
      <c r="M4364" s="15"/>
      <c r="N4364" s="4"/>
      <c r="O4364" s="4"/>
    </row>
    <row r="4365" spans="1:15" x14ac:dyDescent="0.2">
      <c r="A4365" s="2">
        <v>10045282</v>
      </c>
      <c r="B4365" s="5" t="s">
        <v>9981</v>
      </c>
      <c r="C4365" s="5" t="s">
        <v>9948</v>
      </c>
      <c r="D4365" s="21">
        <v>2</v>
      </c>
      <c r="E4365" s="21"/>
      <c r="F4365" s="21" t="s">
        <v>10438</v>
      </c>
      <c r="G4365" s="21"/>
      <c r="H4365" s="54">
        <v>6825</v>
      </c>
      <c r="I4365" s="51">
        <v>5460</v>
      </c>
      <c r="J4365" s="27"/>
      <c r="K4365" s="27"/>
      <c r="L4365" s="15"/>
      <c r="M4365" s="15"/>
      <c r="N4365" s="4"/>
      <c r="O4365" s="4"/>
    </row>
    <row r="4366" spans="1:15" x14ac:dyDescent="0.2">
      <c r="A4366" s="2">
        <v>10045283</v>
      </c>
      <c r="B4366" s="5" t="s">
        <v>9982</v>
      </c>
      <c r="C4366" s="10" t="s">
        <v>9949</v>
      </c>
      <c r="D4366" s="21">
        <v>2</v>
      </c>
      <c r="E4366" s="21"/>
      <c r="F4366" s="21" t="s">
        <v>10438</v>
      </c>
      <c r="G4366" s="21"/>
      <c r="H4366" s="54">
        <v>13175</v>
      </c>
      <c r="I4366" s="51">
        <v>9225</v>
      </c>
      <c r="J4366" s="27"/>
      <c r="K4366" s="27"/>
      <c r="L4366" s="15"/>
      <c r="M4366" s="15"/>
      <c r="N4366" s="4"/>
      <c r="O4366" s="4"/>
    </row>
    <row r="4367" spans="1:15" x14ac:dyDescent="0.2">
      <c r="A4367" s="2">
        <v>10045285</v>
      </c>
      <c r="B4367" s="5" t="s">
        <v>9983</v>
      </c>
      <c r="C4367" s="5" t="s">
        <v>9950</v>
      </c>
      <c r="D4367" s="21"/>
      <c r="E4367" s="21"/>
      <c r="F4367" s="21" t="s">
        <v>10438</v>
      </c>
      <c r="G4367" s="21"/>
      <c r="H4367" s="54">
        <v>1410</v>
      </c>
      <c r="I4367" s="51">
        <v>1300</v>
      </c>
      <c r="J4367" s="27"/>
      <c r="K4367" s="27"/>
      <c r="L4367" s="15"/>
      <c r="M4367" s="15"/>
      <c r="N4367" s="4"/>
      <c r="O4367" s="4" t="s">
        <v>10452</v>
      </c>
    </row>
    <row r="4368" spans="1:15" x14ac:dyDescent="0.2">
      <c r="A4368" s="2">
        <v>10018142</v>
      </c>
      <c r="B4368" s="5" t="s">
        <v>9984</v>
      </c>
      <c r="C4368" s="5" t="s">
        <v>9951</v>
      </c>
      <c r="D4368" s="21">
        <v>4</v>
      </c>
      <c r="E4368" s="21"/>
      <c r="F4368" s="21" t="s">
        <v>10438</v>
      </c>
      <c r="G4368" s="21"/>
      <c r="H4368" s="54">
        <v>1870</v>
      </c>
      <c r="I4368" s="51">
        <v>1590</v>
      </c>
      <c r="J4368" s="27"/>
      <c r="K4368" s="27"/>
      <c r="L4368" s="15"/>
      <c r="M4368" s="15"/>
      <c r="N4368" s="4"/>
      <c r="O4368" s="4"/>
    </row>
    <row r="4369" spans="1:15" x14ac:dyDescent="0.2">
      <c r="A4369" s="2">
        <v>10045286</v>
      </c>
      <c r="B4369" s="5" t="s">
        <v>9985</v>
      </c>
      <c r="C4369" s="5" t="s">
        <v>9952</v>
      </c>
      <c r="D4369" s="21">
        <v>19</v>
      </c>
      <c r="E4369" s="21"/>
      <c r="F4369" s="21" t="s">
        <v>10438</v>
      </c>
      <c r="G4369" s="21"/>
      <c r="H4369" s="54">
        <v>245</v>
      </c>
      <c r="I4369" s="51"/>
      <c r="J4369" s="27"/>
      <c r="K4369" s="27"/>
      <c r="L4369" s="15"/>
      <c r="M4369" s="15"/>
      <c r="N4369" s="4"/>
      <c r="O4369" s="4"/>
    </row>
    <row r="4370" spans="1:15" x14ac:dyDescent="0.2">
      <c r="A4370" s="2">
        <v>40005940</v>
      </c>
      <c r="B4370" s="5" t="s">
        <v>9986</v>
      </c>
      <c r="C4370" s="5" t="s">
        <v>9953</v>
      </c>
      <c r="D4370" s="21"/>
      <c r="E4370" s="21"/>
      <c r="F4370" s="21" t="s">
        <v>10438</v>
      </c>
      <c r="G4370" s="21"/>
      <c r="H4370" s="54">
        <v>505</v>
      </c>
      <c r="I4370" s="51"/>
      <c r="J4370" s="27"/>
      <c r="K4370" s="27"/>
      <c r="L4370" s="15"/>
      <c r="M4370" s="15">
        <v>3</v>
      </c>
      <c r="N4370" s="4" t="s">
        <v>3986</v>
      </c>
      <c r="O4370" s="4"/>
    </row>
    <row r="4371" spans="1:15" x14ac:dyDescent="0.2">
      <c r="A4371" s="2">
        <v>40011914</v>
      </c>
      <c r="B4371" s="5" t="s">
        <v>9987</v>
      </c>
      <c r="C4371" s="5" t="s">
        <v>9954</v>
      </c>
      <c r="D4371" s="21">
        <v>5</v>
      </c>
      <c r="E4371" s="21"/>
      <c r="F4371" s="21" t="s">
        <v>10438</v>
      </c>
      <c r="G4371" s="21"/>
      <c r="H4371" s="54">
        <v>7</v>
      </c>
      <c r="I4371" s="51"/>
      <c r="J4371" s="27"/>
      <c r="K4371" s="27"/>
      <c r="L4371" s="15"/>
      <c r="M4371" s="15"/>
      <c r="N4371" s="4" t="s">
        <v>4008</v>
      </c>
      <c r="O4371" s="4"/>
    </row>
    <row r="4372" spans="1:15" x14ac:dyDescent="0.2">
      <c r="A4372" s="2">
        <v>40011915</v>
      </c>
      <c r="B4372" s="10" t="s">
        <v>9988</v>
      </c>
      <c r="C4372" s="10" t="s">
        <v>9955</v>
      </c>
      <c r="D4372" s="21">
        <v>4</v>
      </c>
      <c r="E4372" s="21"/>
      <c r="F4372" s="21" t="s">
        <v>10438</v>
      </c>
      <c r="G4372" s="21"/>
      <c r="H4372" s="54">
        <v>166</v>
      </c>
      <c r="I4372" s="51"/>
      <c r="J4372" s="27"/>
      <c r="K4372" s="27"/>
      <c r="L4372" s="15"/>
      <c r="M4372" s="15"/>
      <c r="N4372" s="4"/>
      <c r="O4372" s="4">
        <v>75</v>
      </c>
    </row>
    <row r="4373" spans="1:15" x14ac:dyDescent="0.2">
      <c r="A4373" s="2">
        <v>40011916</v>
      </c>
      <c r="B4373" s="5" t="s">
        <v>9989</v>
      </c>
      <c r="C4373" s="5" t="s">
        <v>9956</v>
      </c>
      <c r="D4373" s="21">
        <v>3</v>
      </c>
      <c r="E4373" s="21"/>
      <c r="F4373" s="21" t="s">
        <v>10438</v>
      </c>
      <c r="G4373" s="21"/>
      <c r="H4373" s="54">
        <v>135</v>
      </c>
      <c r="I4373" s="51"/>
      <c r="J4373" s="27"/>
      <c r="K4373" s="27"/>
      <c r="L4373" s="15"/>
      <c r="M4373" s="15"/>
      <c r="N4373" s="4" t="s">
        <v>3986</v>
      </c>
      <c r="O4373" s="4"/>
    </row>
    <row r="4374" spans="1:15" x14ac:dyDescent="0.2">
      <c r="A4374" s="2">
        <v>40011917</v>
      </c>
      <c r="B4374" s="5" t="s">
        <v>9990</v>
      </c>
      <c r="C4374" s="5" t="s">
        <v>9957</v>
      </c>
      <c r="D4374" s="21">
        <v>5</v>
      </c>
      <c r="E4374" s="21"/>
      <c r="F4374" s="21" t="s">
        <v>10438</v>
      </c>
      <c r="G4374" s="21"/>
      <c r="H4374" s="54">
        <v>276</v>
      </c>
      <c r="I4374" s="51"/>
      <c r="J4374" s="27"/>
      <c r="K4374" s="27"/>
      <c r="L4374" s="15"/>
      <c r="M4374" s="15"/>
      <c r="N4374" s="4" t="s">
        <v>10369</v>
      </c>
      <c r="O4374" s="4"/>
    </row>
    <row r="4375" spans="1:15" x14ac:dyDescent="0.2">
      <c r="A4375" s="2">
        <v>40011918</v>
      </c>
      <c r="B4375" s="5" t="s">
        <v>9991</v>
      </c>
      <c r="C4375" s="5" t="s">
        <v>9958</v>
      </c>
      <c r="D4375" s="21">
        <v>5</v>
      </c>
      <c r="E4375" s="21"/>
      <c r="F4375" s="21" t="s">
        <v>10438</v>
      </c>
      <c r="G4375" s="21"/>
      <c r="H4375" s="54">
        <v>114</v>
      </c>
      <c r="I4375" s="51"/>
      <c r="J4375" s="27"/>
      <c r="K4375" s="27"/>
      <c r="L4375" s="15"/>
      <c r="M4375" s="15"/>
      <c r="N4375" s="4" t="s">
        <v>5078</v>
      </c>
      <c r="O4375" s="4"/>
    </row>
    <row r="4376" spans="1:15" x14ac:dyDescent="0.2">
      <c r="A4376" s="2">
        <v>40011919</v>
      </c>
      <c r="B4376" s="5" t="s">
        <v>9992</v>
      </c>
      <c r="C4376" s="5" t="s">
        <v>9959</v>
      </c>
      <c r="D4376" s="21">
        <v>9</v>
      </c>
      <c r="E4376" s="21"/>
      <c r="F4376" s="21" t="s">
        <v>10438</v>
      </c>
      <c r="G4376" s="21"/>
      <c r="H4376" s="54">
        <v>86</v>
      </c>
      <c r="I4376" s="51"/>
      <c r="J4376" s="27"/>
      <c r="K4376" s="27"/>
      <c r="L4376" s="15"/>
      <c r="M4376" s="15"/>
      <c r="N4376" s="4" t="s">
        <v>4262</v>
      </c>
      <c r="O4376" s="4"/>
    </row>
    <row r="4377" spans="1:15" x14ac:dyDescent="0.2">
      <c r="A4377" s="2">
        <v>40011920</v>
      </c>
      <c r="B4377" s="5" t="s">
        <v>9993</v>
      </c>
      <c r="C4377" s="5" t="s">
        <v>9960</v>
      </c>
      <c r="D4377" s="21">
        <v>5</v>
      </c>
      <c r="E4377" s="21"/>
      <c r="F4377" s="21" t="s">
        <v>10438</v>
      </c>
      <c r="G4377" s="21"/>
      <c r="H4377" s="54">
        <v>391</v>
      </c>
      <c r="I4377" s="51"/>
      <c r="J4377" s="27"/>
      <c r="K4377" s="27"/>
      <c r="L4377" s="15"/>
      <c r="M4377" s="15"/>
      <c r="N4377" s="4" t="s">
        <v>3970</v>
      </c>
      <c r="O4377" s="4"/>
    </row>
    <row r="4378" spans="1:15" x14ac:dyDescent="0.2">
      <c r="A4378" s="2">
        <v>40011921</v>
      </c>
      <c r="B4378" s="5" t="s">
        <v>9994</v>
      </c>
      <c r="C4378" s="5" t="s">
        <v>9961</v>
      </c>
      <c r="D4378" s="21">
        <v>2</v>
      </c>
      <c r="E4378" s="21"/>
      <c r="F4378" s="21" t="s">
        <v>10438</v>
      </c>
      <c r="G4378" s="21"/>
      <c r="H4378" s="54">
        <v>317</v>
      </c>
      <c r="I4378" s="51"/>
      <c r="J4378" s="27"/>
      <c r="K4378" s="27"/>
      <c r="L4378" s="15"/>
      <c r="M4378" s="15"/>
      <c r="N4378" s="4" t="s">
        <v>3986</v>
      </c>
      <c r="O4378" s="4"/>
    </row>
    <row r="4379" spans="1:15" x14ac:dyDescent="0.2">
      <c r="A4379" s="2">
        <v>10045287</v>
      </c>
      <c r="B4379" s="5" t="s">
        <v>9995</v>
      </c>
      <c r="C4379" s="5" t="s">
        <v>9962</v>
      </c>
      <c r="D4379" s="21">
        <v>1</v>
      </c>
      <c r="E4379" s="21"/>
      <c r="F4379" s="21" t="s">
        <v>10438</v>
      </c>
      <c r="G4379" s="21"/>
      <c r="H4379" s="54">
        <v>1850</v>
      </c>
      <c r="I4379" s="51"/>
      <c r="J4379" s="27"/>
      <c r="K4379" s="27"/>
      <c r="L4379" s="15"/>
      <c r="M4379" s="15"/>
      <c r="N4379" s="4"/>
      <c r="O4379" s="4"/>
    </row>
    <row r="4380" spans="1:15" x14ac:dyDescent="0.2">
      <c r="A4380" s="2">
        <v>10045288</v>
      </c>
      <c r="B4380" s="5" t="s">
        <v>9996</v>
      </c>
      <c r="C4380" s="5" t="s">
        <v>9963</v>
      </c>
      <c r="D4380" s="21"/>
      <c r="E4380" s="21"/>
      <c r="F4380" s="21" t="s">
        <v>10438</v>
      </c>
      <c r="G4380" s="21"/>
      <c r="H4380" s="54">
        <v>2856</v>
      </c>
      <c r="I4380" s="51"/>
      <c r="J4380" s="27">
        <v>1</v>
      </c>
      <c r="K4380" s="27"/>
      <c r="L4380" s="15"/>
      <c r="M4380" s="15"/>
      <c r="N4380" s="4"/>
      <c r="O4380" s="4"/>
    </row>
    <row r="4381" spans="1:15" x14ac:dyDescent="0.2">
      <c r="A4381" s="2">
        <v>10045289</v>
      </c>
      <c r="B4381" s="5" t="s">
        <v>9997</v>
      </c>
      <c r="C4381" s="5" t="s">
        <v>9964</v>
      </c>
      <c r="D4381" s="21">
        <v>1</v>
      </c>
      <c r="E4381" s="21"/>
      <c r="F4381" s="21" t="s">
        <v>10438</v>
      </c>
      <c r="G4381" s="21"/>
      <c r="H4381" s="54">
        <v>1440</v>
      </c>
      <c r="I4381" s="51"/>
      <c r="J4381" s="27"/>
      <c r="K4381" s="27"/>
      <c r="L4381" s="15"/>
      <c r="M4381" s="15"/>
      <c r="N4381" s="4"/>
      <c r="O4381" s="4"/>
    </row>
    <row r="4382" spans="1:15" x14ac:dyDescent="0.2">
      <c r="A4382" s="2">
        <v>10045290</v>
      </c>
      <c r="B4382" s="5" t="s">
        <v>9998</v>
      </c>
      <c r="C4382" s="5" t="s">
        <v>9965</v>
      </c>
      <c r="D4382" s="21">
        <v>1</v>
      </c>
      <c r="E4382" s="21"/>
      <c r="F4382" s="21" t="s">
        <v>10438</v>
      </c>
      <c r="G4382" s="21"/>
      <c r="H4382" s="54">
        <v>2113</v>
      </c>
      <c r="I4382" s="51"/>
      <c r="J4382" s="27"/>
      <c r="K4382" s="27"/>
      <c r="L4382" s="15"/>
      <c r="M4382" s="15"/>
      <c r="N4382" s="4"/>
      <c r="O4382" s="4"/>
    </row>
    <row r="4383" spans="1:15" x14ac:dyDescent="0.2">
      <c r="A4383" s="2">
        <v>10045291</v>
      </c>
      <c r="B4383" s="5" t="s">
        <v>9999</v>
      </c>
      <c r="C4383" s="5" t="s">
        <v>9966</v>
      </c>
      <c r="D4383" s="21">
        <v>1</v>
      </c>
      <c r="E4383" s="21"/>
      <c r="F4383" s="21" t="s">
        <v>10438</v>
      </c>
      <c r="G4383" s="21"/>
      <c r="H4383" s="54">
        <v>1574</v>
      </c>
      <c r="I4383" s="51"/>
      <c r="J4383" s="27"/>
      <c r="K4383" s="27"/>
      <c r="L4383" s="15"/>
      <c r="M4383" s="15"/>
      <c r="N4383" s="4"/>
      <c r="O4383" s="4"/>
    </row>
    <row r="4384" spans="1:15" x14ac:dyDescent="0.2">
      <c r="A4384" s="2">
        <v>10045292</v>
      </c>
      <c r="B4384" s="5" t="s">
        <v>10000</v>
      </c>
      <c r="C4384" s="5" t="s">
        <v>9967</v>
      </c>
      <c r="D4384" s="21"/>
      <c r="E4384" s="21"/>
      <c r="F4384" s="21" t="s">
        <v>10438</v>
      </c>
      <c r="G4384" s="21"/>
      <c r="H4384" s="54">
        <v>6216</v>
      </c>
      <c r="I4384" s="51"/>
      <c r="J4384" s="27">
        <v>1</v>
      </c>
      <c r="K4384" s="27"/>
      <c r="L4384" s="15"/>
      <c r="M4384" s="15"/>
      <c r="N4384" s="4"/>
      <c r="O4384" s="4"/>
    </row>
    <row r="4385" spans="1:15" x14ac:dyDescent="0.2">
      <c r="A4385" s="2">
        <v>10045293</v>
      </c>
      <c r="B4385" s="5" t="s">
        <v>10001</v>
      </c>
      <c r="C4385" s="5" t="s">
        <v>9968</v>
      </c>
      <c r="D4385" s="21"/>
      <c r="E4385" s="21"/>
      <c r="F4385" s="21" t="s">
        <v>10438</v>
      </c>
      <c r="G4385" s="21"/>
      <c r="H4385" s="54">
        <v>4091</v>
      </c>
      <c r="I4385" s="51"/>
      <c r="J4385" s="27">
        <v>1</v>
      </c>
      <c r="K4385" s="27"/>
      <c r="L4385" s="15"/>
      <c r="M4385" s="15"/>
      <c r="N4385" s="4"/>
      <c r="O4385" s="4"/>
    </row>
    <row r="4386" spans="1:15" x14ac:dyDescent="0.2">
      <c r="A4386" s="2">
        <v>10046399</v>
      </c>
      <c r="B4386" s="2" t="s">
        <v>10244</v>
      </c>
      <c r="C4386" s="5" t="s">
        <v>10245</v>
      </c>
      <c r="D4386" s="21">
        <v>1</v>
      </c>
      <c r="E4386" s="21"/>
      <c r="F4386" s="21" t="s">
        <v>10438</v>
      </c>
      <c r="G4386" s="21"/>
      <c r="H4386" s="54">
        <v>7005</v>
      </c>
      <c r="I4386" s="51">
        <v>5955</v>
      </c>
      <c r="J4386" s="27"/>
      <c r="K4386" s="27"/>
      <c r="L4386" s="15"/>
      <c r="M4386" s="15"/>
      <c r="N4386" s="4"/>
      <c r="O4386" s="4"/>
    </row>
    <row r="4387" spans="1:15" x14ac:dyDescent="0.2">
      <c r="A4387" s="2">
        <v>10017929</v>
      </c>
      <c r="B4387" s="2" t="s">
        <v>10246</v>
      </c>
      <c r="C4387" s="5" t="s">
        <v>10247</v>
      </c>
      <c r="D4387" s="21">
        <v>3</v>
      </c>
      <c r="E4387" s="21"/>
      <c r="F4387" s="21" t="s">
        <v>10438</v>
      </c>
      <c r="G4387" s="21"/>
      <c r="H4387" s="54">
        <v>5713</v>
      </c>
      <c r="I4387" s="51">
        <v>5145</v>
      </c>
      <c r="J4387" s="27"/>
      <c r="K4387" s="27"/>
      <c r="L4387" s="15"/>
      <c r="M4387" s="15"/>
      <c r="N4387" s="4"/>
      <c r="O4387" s="4"/>
    </row>
    <row r="4388" spans="1:15" x14ac:dyDescent="0.2">
      <c r="A4388" s="2">
        <v>10044084</v>
      </c>
      <c r="B4388" s="7" t="s">
        <v>10248</v>
      </c>
      <c r="C4388" s="5" t="s">
        <v>10249</v>
      </c>
      <c r="D4388" s="21">
        <v>2</v>
      </c>
      <c r="E4388" s="21"/>
      <c r="F4388" s="21" t="s">
        <v>10438</v>
      </c>
      <c r="G4388" s="21"/>
      <c r="H4388" s="54">
        <v>6120</v>
      </c>
      <c r="I4388" s="51">
        <v>4900</v>
      </c>
      <c r="J4388" s="27"/>
      <c r="K4388" s="27"/>
      <c r="L4388" s="15"/>
      <c r="M4388" s="15"/>
      <c r="N4388" s="4"/>
      <c r="O4388" s="4"/>
    </row>
    <row r="4389" spans="1:15" x14ac:dyDescent="0.2">
      <c r="A4389" s="2">
        <v>10046400</v>
      </c>
      <c r="B4389" s="2" t="s">
        <v>10250</v>
      </c>
      <c r="C4389" s="5" t="s">
        <v>10251</v>
      </c>
      <c r="D4389" s="21">
        <v>1</v>
      </c>
      <c r="E4389" s="21"/>
      <c r="F4389" s="21" t="s">
        <v>10438</v>
      </c>
      <c r="G4389" s="21"/>
      <c r="H4389" s="54">
        <v>1530</v>
      </c>
      <c r="I4389" s="51">
        <v>1410</v>
      </c>
      <c r="J4389" s="27"/>
      <c r="K4389" s="27"/>
      <c r="L4389" s="15"/>
      <c r="M4389" s="15"/>
      <c r="N4389" s="4"/>
      <c r="O4389" s="4"/>
    </row>
    <row r="4390" spans="1:15" x14ac:dyDescent="0.2">
      <c r="A4390" s="2">
        <v>10046403</v>
      </c>
      <c r="B4390" s="2" t="s">
        <v>10253</v>
      </c>
      <c r="C4390" s="5" t="s">
        <v>10254</v>
      </c>
      <c r="D4390" s="21">
        <v>1</v>
      </c>
      <c r="E4390" s="21"/>
      <c r="F4390" s="21" t="s">
        <v>10438</v>
      </c>
      <c r="G4390" s="21"/>
      <c r="H4390" s="54">
        <v>3060</v>
      </c>
      <c r="I4390" s="51">
        <v>2755</v>
      </c>
      <c r="J4390" s="27"/>
      <c r="K4390" s="27"/>
      <c r="L4390" s="15"/>
      <c r="M4390" s="15"/>
      <c r="N4390" s="4"/>
      <c r="O4390" s="4"/>
    </row>
    <row r="4391" spans="1:15" x14ac:dyDescent="0.2">
      <c r="A4391" s="2">
        <v>10046404</v>
      </c>
      <c r="B4391" s="2" t="s">
        <v>10255</v>
      </c>
      <c r="C4391" s="5" t="s">
        <v>10256</v>
      </c>
      <c r="D4391" s="21">
        <v>1</v>
      </c>
      <c r="E4391" s="21"/>
      <c r="F4391" s="21" t="s">
        <v>10438</v>
      </c>
      <c r="G4391" s="21"/>
      <c r="H4391" s="54">
        <v>6120</v>
      </c>
      <c r="I4391" s="51">
        <v>4900</v>
      </c>
      <c r="J4391" s="27"/>
      <c r="K4391" s="27"/>
      <c r="L4391" s="15"/>
      <c r="M4391" s="15"/>
      <c r="N4391" s="4"/>
      <c r="O4391" s="4"/>
    </row>
    <row r="4392" spans="1:15" x14ac:dyDescent="0.2">
      <c r="A4392" s="2">
        <v>10046405</v>
      </c>
      <c r="B4392" s="2" t="s">
        <v>10257</v>
      </c>
      <c r="C4392" s="5" t="s">
        <v>10258</v>
      </c>
      <c r="D4392" s="21">
        <v>1</v>
      </c>
      <c r="E4392" s="21"/>
      <c r="F4392" s="21" t="s">
        <v>10438</v>
      </c>
      <c r="G4392" s="21"/>
      <c r="H4392" s="54">
        <v>6120</v>
      </c>
      <c r="I4392" s="51">
        <v>4900</v>
      </c>
      <c r="J4392" s="27"/>
      <c r="K4392" s="27"/>
      <c r="L4392" s="15"/>
      <c r="M4392" s="15"/>
      <c r="N4392" s="4"/>
      <c r="O4392" s="4"/>
    </row>
    <row r="4393" spans="1:15" x14ac:dyDescent="0.2">
      <c r="A4393" s="2">
        <v>10046406</v>
      </c>
      <c r="B4393" s="2" t="s">
        <v>10259</v>
      </c>
      <c r="C4393" s="5" t="s">
        <v>10260</v>
      </c>
      <c r="D4393" s="21">
        <v>1</v>
      </c>
      <c r="E4393" s="21"/>
      <c r="F4393" s="21" t="s">
        <v>10438</v>
      </c>
      <c r="G4393" s="21"/>
      <c r="H4393" s="54">
        <v>9180</v>
      </c>
      <c r="I4393" s="51">
        <v>6430</v>
      </c>
      <c r="J4393" s="27"/>
      <c r="K4393" s="27"/>
      <c r="L4393" s="15"/>
      <c r="M4393" s="15"/>
      <c r="N4393" s="4"/>
      <c r="O4393" s="4"/>
    </row>
    <row r="4394" spans="1:15" x14ac:dyDescent="0.2">
      <c r="A4394" s="2">
        <v>10046407</v>
      </c>
      <c r="B4394" s="2" t="s">
        <v>10261</v>
      </c>
      <c r="C4394" s="5" t="s">
        <v>10262</v>
      </c>
      <c r="D4394" s="21">
        <v>1</v>
      </c>
      <c r="E4394" s="21"/>
      <c r="F4394" s="21" t="s">
        <v>10438</v>
      </c>
      <c r="G4394" s="21"/>
      <c r="H4394" s="54">
        <v>16640</v>
      </c>
      <c r="I4394" s="51">
        <v>14145</v>
      </c>
      <c r="J4394" s="27">
        <v>1</v>
      </c>
      <c r="K4394" s="27"/>
      <c r="L4394" s="15"/>
      <c r="M4394" s="15"/>
      <c r="N4394" s="4"/>
      <c r="O4394" s="4"/>
    </row>
    <row r="4395" spans="1:15" x14ac:dyDescent="0.2">
      <c r="A4395" s="2">
        <v>10046408</v>
      </c>
      <c r="B4395" s="2" t="s">
        <v>10263</v>
      </c>
      <c r="C4395" s="5" t="s">
        <v>10264</v>
      </c>
      <c r="D4395" s="21">
        <v>2</v>
      </c>
      <c r="E4395" s="21"/>
      <c r="F4395" s="21" t="s">
        <v>10438</v>
      </c>
      <c r="G4395" s="21"/>
      <c r="H4395" s="54">
        <v>10920</v>
      </c>
      <c r="I4395" s="51">
        <v>9285</v>
      </c>
      <c r="J4395" s="27">
        <v>1</v>
      </c>
      <c r="K4395" s="27"/>
      <c r="L4395" s="15"/>
      <c r="M4395" s="15"/>
      <c r="N4395" s="4"/>
      <c r="O4395" s="4"/>
    </row>
    <row r="4396" spans="1:15" x14ac:dyDescent="0.2">
      <c r="A4396" s="2">
        <v>10046409</v>
      </c>
      <c r="B4396" s="2" t="s">
        <v>10265</v>
      </c>
      <c r="C4396" s="5" t="s">
        <v>10266</v>
      </c>
      <c r="D4396" s="21"/>
      <c r="E4396" s="21"/>
      <c r="F4396" s="21" t="s">
        <v>10438</v>
      </c>
      <c r="G4396" s="21"/>
      <c r="H4396" s="54">
        <v>1840</v>
      </c>
      <c r="I4396" s="51"/>
      <c r="J4396" s="27">
        <v>4</v>
      </c>
      <c r="K4396" s="27"/>
      <c r="L4396" s="15"/>
      <c r="M4396" s="15"/>
      <c r="N4396" s="4"/>
      <c r="O4396" s="4"/>
    </row>
    <row r="4397" spans="1:15" x14ac:dyDescent="0.2">
      <c r="A4397" s="2">
        <v>10046410</v>
      </c>
      <c r="B4397" s="2" t="s">
        <v>10267</v>
      </c>
      <c r="C4397" s="5" t="s">
        <v>10268</v>
      </c>
      <c r="D4397" s="21"/>
      <c r="E4397" s="21"/>
      <c r="F4397" s="21" t="s">
        <v>10438</v>
      </c>
      <c r="G4397" s="21"/>
      <c r="H4397" s="54">
        <v>6120</v>
      </c>
      <c r="I4397" s="51"/>
      <c r="J4397" s="27">
        <v>5</v>
      </c>
      <c r="K4397" s="27"/>
      <c r="L4397" s="15"/>
      <c r="M4397" s="15"/>
      <c r="N4397" s="4"/>
      <c r="O4397" s="4"/>
    </row>
    <row r="4398" spans="1:15" x14ac:dyDescent="0.2">
      <c r="A4398" s="2">
        <v>10046412</v>
      </c>
      <c r="B4398" s="2" t="s">
        <v>10270</v>
      </c>
      <c r="C4398" s="5" t="s">
        <v>10271</v>
      </c>
      <c r="D4398" s="21">
        <v>1</v>
      </c>
      <c r="E4398" s="21"/>
      <c r="F4398" s="21" t="s">
        <v>10438</v>
      </c>
      <c r="G4398" s="21"/>
      <c r="H4398" s="54">
        <v>4590</v>
      </c>
      <c r="I4398" s="51">
        <v>4135</v>
      </c>
      <c r="J4398" s="27"/>
      <c r="K4398" s="27"/>
      <c r="L4398" s="15"/>
      <c r="M4398" s="15"/>
      <c r="N4398" s="4"/>
      <c r="O4398" s="4"/>
    </row>
    <row r="4399" spans="1:15" x14ac:dyDescent="0.2">
      <c r="A4399" s="2">
        <v>10046414</v>
      </c>
      <c r="B4399" s="2" t="s">
        <v>10272</v>
      </c>
      <c r="C4399" s="5" t="s">
        <v>10273</v>
      </c>
      <c r="D4399" s="21">
        <v>2</v>
      </c>
      <c r="E4399" s="21"/>
      <c r="F4399" s="21" t="s">
        <v>10438</v>
      </c>
      <c r="G4399" s="21"/>
      <c r="H4399" s="54">
        <v>4590</v>
      </c>
      <c r="I4399" s="51">
        <v>3905</v>
      </c>
      <c r="J4399" s="27">
        <v>3</v>
      </c>
      <c r="K4399" s="27"/>
      <c r="L4399" s="15"/>
      <c r="M4399" s="15"/>
      <c r="N4399" s="4"/>
      <c r="O4399" s="4" t="s">
        <v>10457</v>
      </c>
    </row>
    <row r="4400" spans="1:15" x14ac:dyDescent="0.2">
      <c r="A4400" s="2">
        <v>10046415</v>
      </c>
      <c r="B4400" s="2" t="s">
        <v>10274</v>
      </c>
      <c r="C4400" s="5" t="s">
        <v>10275</v>
      </c>
      <c r="D4400" s="21">
        <v>2</v>
      </c>
      <c r="E4400" s="21"/>
      <c r="F4400" s="21" t="s">
        <v>10438</v>
      </c>
      <c r="G4400" s="21"/>
      <c r="H4400" s="54">
        <v>4590</v>
      </c>
      <c r="I4400" s="51">
        <v>4135</v>
      </c>
      <c r="J4400" s="27">
        <v>2</v>
      </c>
      <c r="K4400" s="27"/>
      <c r="L4400" s="15"/>
      <c r="M4400" s="15"/>
      <c r="N4400" s="4"/>
      <c r="O4400" s="4"/>
    </row>
    <row r="4401" spans="1:19" x14ac:dyDescent="0.2">
      <c r="A4401" s="2">
        <v>10018503</v>
      </c>
      <c r="B4401" s="2" t="s">
        <v>10276</v>
      </c>
      <c r="C4401" s="5" t="s">
        <v>10277</v>
      </c>
      <c r="D4401" s="21">
        <v>1</v>
      </c>
      <c r="E4401" s="21"/>
      <c r="F4401" s="21" t="s">
        <v>10438</v>
      </c>
      <c r="G4401" s="21"/>
      <c r="H4401" s="54">
        <v>1105</v>
      </c>
      <c r="I4401" s="51">
        <v>1020</v>
      </c>
      <c r="J4401" s="27"/>
      <c r="K4401" s="27"/>
      <c r="L4401" s="15"/>
      <c r="M4401" s="15"/>
      <c r="N4401" s="4">
        <v>103</v>
      </c>
      <c r="O4401" s="4"/>
    </row>
    <row r="4402" spans="1:19" x14ac:dyDescent="0.2">
      <c r="A4402" s="2">
        <v>10046416</v>
      </c>
      <c r="B4402" s="2" t="s">
        <v>10278</v>
      </c>
      <c r="C4402" s="5" t="s">
        <v>10279</v>
      </c>
      <c r="D4402" s="21"/>
      <c r="E4402" s="21"/>
      <c r="F4402" s="21" t="s">
        <v>10438</v>
      </c>
      <c r="G4402" s="21"/>
      <c r="H4402" s="54">
        <v>3060</v>
      </c>
      <c r="I4402" s="51"/>
      <c r="J4402" s="27"/>
      <c r="K4402" s="27"/>
      <c r="L4402" s="15"/>
      <c r="M4402" s="15"/>
      <c r="N4402" s="4"/>
      <c r="O4402" s="4" t="s">
        <v>10449</v>
      </c>
    </row>
    <row r="4403" spans="1:19" x14ac:dyDescent="0.2">
      <c r="A4403" s="2">
        <v>10046413</v>
      </c>
      <c r="B4403" s="2" t="s">
        <v>10280</v>
      </c>
      <c r="C4403" s="5" t="s">
        <v>10281</v>
      </c>
      <c r="D4403" s="21">
        <v>3</v>
      </c>
      <c r="E4403" s="21"/>
      <c r="F4403" s="21" t="s">
        <v>10438</v>
      </c>
      <c r="G4403" s="21"/>
      <c r="H4403" s="54">
        <v>2295</v>
      </c>
      <c r="I4403" s="51">
        <v>2070</v>
      </c>
      <c r="J4403" s="27"/>
      <c r="K4403" s="27"/>
      <c r="L4403" s="15"/>
      <c r="M4403" s="15">
        <v>3</v>
      </c>
      <c r="N4403" s="4"/>
      <c r="O4403" s="4"/>
    </row>
    <row r="4404" spans="1:19" x14ac:dyDescent="0.2">
      <c r="A4404" s="2">
        <v>10046418</v>
      </c>
      <c r="B4404" s="2" t="s">
        <v>10282</v>
      </c>
      <c r="C4404" s="5" t="s">
        <v>10283</v>
      </c>
      <c r="D4404" s="21">
        <v>5</v>
      </c>
      <c r="E4404" s="21"/>
      <c r="F4404" s="21" t="s">
        <v>10438</v>
      </c>
      <c r="G4404" s="21"/>
      <c r="H4404" s="54">
        <v>7650</v>
      </c>
      <c r="I4404" s="51">
        <v>6885</v>
      </c>
      <c r="J4404" s="27">
        <v>4</v>
      </c>
      <c r="K4404" s="27"/>
      <c r="L4404" s="15"/>
      <c r="M4404" s="15"/>
      <c r="N4404" s="4"/>
      <c r="O4404" s="4"/>
    </row>
    <row r="4405" spans="1:19" x14ac:dyDescent="0.2">
      <c r="A4405" s="2">
        <v>10046419</v>
      </c>
      <c r="B4405" s="2" t="s">
        <v>10284</v>
      </c>
      <c r="C4405" s="10" t="s">
        <v>10285</v>
      </c>
      <c r="D4405" s="21">
        <v>5</v>
      </c>
      <c r="E4405" s="21">
        <v>5</v>
      </c>
      <c r="F4405" s="21" t="s">
        <v>10438</v>
      </c>
      <c r="G4405" s="21">
        <v>2</v>
      </c>
      <c r="H4405" s="54">
        <v>3060</v>
      </c>
      <c r="I4405" s="51">
        <v>2755</v>
      </c>
      <c r="J4405" s="27">
        <v>3</v>
      </c>
      <c r="K4405" s="27">
        <v>3</v>
      </c>
      <c r="L4405" s="15"/>
      <c r="M4405" s="15"/>
      <c r="N4405" s="4"/>
      <c r="O4405" s="4"/>
    </row>
    <row r="4406" spans="1:19" x14ac:dyDescent="0.2">
      <c r="A4406" s="2">
        <v>10046420</v>
      </c>
      <c r="B4406" s="2" t="s">
        <v>10286</v>
      </c>
      <c r="C4406" s="5" t="s">
        <v>10287</v>
      </c>
      <c r="D4406" s="21">
        <v>2</v>
      </c>
      <c r="E4406" s="21"/>
      <c r="F4406" s="21" t="s">
        <v>10438</v>
      </c>
      <c r="G4406" s="21"/>
      <c r="H4406" s="54">
        <v>6120</v>
      </c>
      <c r="I4406" s="51">
        <v>5510</v>
      </c>
      <c r="J4406" s="27">
        <v>3</v>
      </c>
      <c r="K4406" s="27"/>
      <c r="L4406" s="15"/>
      <c r="M4406" s="15"/>
      <c r="N4406" s="4"/>
      <c r="O4406" s="4"/>
    </row>
    <row r="4407" spans="1:19" x14ac:dyDescent="0.2">
      <c r="A4407" s="2">
        <v>10046421</v>
      </c>
      <c r="B4407" s="2" t="s">
        <v>10288</v>
      </c>
      <c r="C4407" s="5" t="s">
        <v>10289</v>
      </c>
      <c r="D4407" s="21">
        <v>7</v>
      </c>
      <c r="E4407" s="21">
        <v>7</v>
      </c>
      <c r="F4407" s="21" t="s">
        <v>10438</v>
      </c>
      <c r="G4407" s="21">
        <v>3</v>
      </c>
      <c r="H4407" s="54">
        <v>7650</v>
      </c>
      <c r="I4407" s="51">
        <v>6885</v>
      </c>
      <c r="J4407" s="27">
        <v>5</v>
      </c>
      <c r="K4407" s="27">
        <v>5</v>
      </c>
      <c r="L4407" s="15"/>
      <c r="M4407" s="15"/>
      <c r="N4407" s="4"/>
      <c r="O4407" s="4" t="s">
        <v>10457</v>
      </c>
    </row>
    <row r="4408" spans="1:19" x14ac:dyDescent="0.2">
      <c r="A4408" s="2">
        <v>10046422</v>
      </c>
      <c r="B4408" s="2" t="s">
        <v>10290</v>
      </c>
      <c r="C4408" s="5" t="s">
        <v>10291</v>
      </c>
      <c r="D4408" s="21">
        <v>3</v>
      </c>
      <c r="E4408" s="21"/>
      <c r="F4408" s="21" t="s">
        <v>10438</v>
      </c>
      <c r="G4408" s="21"/>
      <c r="H4408" s="54">
        <v>3060</v>
      </c>
      <c r="I4408" s="51">
        <v>2755</v>
      </c>
      <c r="J4408" s="27">
        <v>78</v>
      </c>
      <c r="K4408" s="27"/>
      <c r="L4408" s="15"/>
      <c r="M4408" s="15"/>
      <c r="N4408" s="4"/>
      <c r="O4408" s="4" t="s">
        <v>10448</v>
      </c>
    </row>
    <row r="4409" spans="1:19" x14ac:dyDescent="0.2">
      <c r="A4409" s="2">
        <v>40006663</v>
      </c>
      <c r="B4409" s="2" t="s">
        <v>10292</v>
      </c>
      <c r="C4409" s="5" t="s">
        <v>10293</v>
      </c>
      <c r="D4409" s="21"/>
      <c r="E4409" s="21"/>
      <c r="F4409" s="21" t="s">
        <v>10438</v>
      </c>
      <c r="G4409" s="21"/>
      <c r="H4409" s="54">
        <v>33</v>
      </c>
      <c r="I4409" s="51"/>
      <c r="J4409" s="27"/>
      <c r="K4409" s="27"/>
      <c r="L4409" s="15">
        <v>2</v>
      </c>
      <c r="M4409" s="15"/>
      <c r="N4409" s="4" t="s">
        <v>10370</v>
      </c>
      <c r="O4409" s="4"/>
      <c r="Q4409" s="25"/>
      <c r="R4409" s="25"/>
      <c r="S4409" s="25"/>
    </row>
    <row r="4410" spans="1:19" x14ac:dyDescent="0.2">
      <c r="A4410" s="2">
        <v>10044097</v>
      </c>
      <c r="B4410" s="7" t="s">
        <v>10294</v>
      </c>
      <c r="C4410" s="5" t="s">
        <v>10295</v>
      </c>
      <c r="D4410" s="21">
        <v>8</v>
      </c>
      <c r="E4410" s="21"/>
      <c r="F4410" s="21" t="s">
        <v>10438</v>
      </c>
      <c r="G4410" s="21"/>
      <c r="H4410" s="54">
        <v>124</v>
      </c>
      <c r="I4410" s="51"/>
      <c r="J4410" s="27"/>
      <c r="K4410" s="27"/>
      <c r="L4410" s="15"/>
      <c r="M4410" s="15"/>
      <c r="N4410" s="4">
        <v>76</v>
      </c>
      <c r="O4410" s="4"/>
      <c r="Q4410" s="25"/>
      <c r="R4410" s="25"/>
      <c r="S4410" s="25"/>
    </row>
    <row r="4411" spans="1:19" x14ac:dyDescent="0.2">
      <c r="A4411" s="2">
        <v>10018326</v>
      </c>
      <c r="B4411" s="2" t="s">
        <v>10297</v>
      </c>
      <c r="C4411" s="5" t="s">
        <v>10298</v>
      </c>
      <c r="D4411" s="21">
        <v>3</v>
      </c>
      <c r="E4411" s="21"/>
      <c r="F4411" s="21" t="s">
        <v>10438</v>
      </c>
      <c r="G4411" s="21"/>
      <c r="H4411" s="54">
        <v>283</v>
      </c>
      <c r="I4411" s="51"/>
      <c r="J4411" s="27"/>
      <c r="K4411" s="27"/>
      <c r="L4411" s="15"/>
      <c r="M4411" s="15"/>
      <c r="N4411" s="4"/>
      <c r="O4411" s="4"/>
      <c r="Q4411" s="25"/>
      <c r="R4411" s="25"/>
      <c r="S4411" s="25"/>
    </row>
    <row r="4412" spans="1:19" x14ac:dyDescent="0.2">
      <c r="A4412" s="2">
        <v>40007210</v>
      </c>
      <c r="B4412" s="2" t="s">
        <v>10299</v>
      </c>
      <c r="C4412" s="5" t="s">
        <v>10300</v>
      </c>
      <c r="D4412" s="21">
        <v>2</v>
      </c>
      <c r="E4412" s="21"/>
      <c r="F4412" s="21" t="s">
        <v>10438</v>
      </c>
      <c r="G4412" s="21"/>
      <c r="H4412" s="54">
        <v>33</v>
      </c>
      <c r="I4412" s="51"/>
      <c r="J4412" s="27"/>
      <c r="K4412" s="27"/>
      <c r="L4412" s="15"/>
      <c r="M4412" s="15"/>
      <c r="N4412" s="4" t="s">
        <v>10370</v>
      </c>
      <c r="O4412" s="4"/>
      <c r="Q4412" s="25"/>
      <c r="R4412" s="25"/>
      <c r="S4412" s="25"/>
    </row>
    <row r="4413" spans="1:19" x14ac:dyDescent="0.2">
      <c r="A4413" s="2">
        <v>40007300</v>
      </c>
      <c r="B4413" s="2" t="s">
        <v>10301</v>
      </c>
      <c r="C4413" s="5" t="s">
        <v>10302</v>
      </c>
      <c r="D4413" s="21">
        <v>7</v>
      </c>
      <c r="E4413" s="21"/>
      <c r="F4413" s="21" t="s">
        <v>10438</v>
      </c>
      <c r="G4413" s="21"/>
      <c r="H4413" s="54">
        <v>355</v>
      </c>
      <c r="I4413" s="51"/>
      <c r="J4413" s="27"/>
      <c r="K4413" s="27"/>
      <c r="L4413" s="15"/>
      <c r="M4413" s="15"/>
      <c r="N4413" s="4"/>
      <c r="O4413" s="4" t="s">
        <v>10130</v>
      </c>
      <c r="Q4413" s="25"/>
      <c r="R4413" s="25"/>
      <c r="S4413" s="25"/>
    </row>
    <row r="4414" spans="1:19" x14ac:dyDescent="0.2">
      <c r="A4414" s="2">
        <v>40011962</v>
      </c>
      <c r="B4414" s="2" t="s">
        <v>10303</v>
      </c>
      <c r="C4414" s="5" t="s">
        <v>10304</v>
      </c>
      <c r="D4414" s="21"/>
      <c r="E4414" s="21"/>
      <c r="F4414" s="21" t="s">
        <v>10438</v>
      </c>
      <c r="G4414" s="21"/>
      <c r="H4414" s="54">
        <v>159</v>
      </c>
      <c r="I4414" s="51"/>
      <c r="J4414" s="27"/>
      <c r="K4414" s="27"/>
      <c r="L4414" s="15"/>
      <c r="M4414" s="15">
        <v>4</v>
      </c>
      <c r="N4414" s="4" t="s">
        <v>4542</v>
      </c>
      <c r="O4414" s="4"/>
      <c r="Q4414" s="25"/>
      <c r="R4414" s="25"/>
      <c r="S4414" s="25"/>
    </row>
    <row r="4415" spans="1:19" x14ac:dyDescent="0.2">
      <c r="A4415" s="2">
        <v>10018319</v>
      </c>
      <c r="B4415" s="2" t="s">
        <v>10305</v>
      </c>
      <c r="C4415" s="5" t="s">
        <v>10306</v>
      </c>
      <c r="D4415" s="21">
        <v>9</v>
      </c>
      <c r="E4415" s="21"/>
      <c r="F4415" s="21" t="s">
        <v>10438</v>
      </c>
      <c r="G4415" s="21"/>
      <c r="H4415" s="54">
        <v>92</v>
      </c>
      <c r="I4415" s="51"/>
      <c r="J4415" s="27"/>
      <c r="K4415" s="27"/>
      <c r="L4415" s="15"/>
      <c r="M4415" s="15"/>
      <c r="N4415" s="4">
        <v>77</v>
      </c>
      <c r="O4415" s="4"/>
      <c r="Q4415" s="25"/>
      <c r="R4415" s="25"/>
      <c r="S4415" s="25"/>
    </row>
    <row r="4416" spans="1:19" x14ac:dyDescent="0.2">
      <c r="A4416" s="2">
        <v>10046423</v>
      </c>
      <c r="B4416" s="2" t="s">
        <v>10307</v>
      </c>
      <c r="C4416" s="5" t="s">
        <v>10308</v>
      </c>
      <c r="D4416" s="21">
        <v>2</v>
      </c>
      <c r="E4416" s="21"/>
      <c r="F4416" s="21" t="s">
        <v>10438</v>
      </c>
      <c r="G4416" s="21"/>
      <c r="H4416" s="54">
        <v>516</v>
      </c>
      <c r="I4416" s="51"/>
      <c r="J4416" s="27"/>
      <c r="K4416" s="27"/>
      <c r="L4416" s="15"/>
      <c r="M4416" s="15"/>
      <c r="N4416" s="4"/>
      <c r="O4416" s="4"/>
      <c r="Q4416" s="25"/>
      <c r="R4416" s="25"/>
      <c r="S4416" s="25"/>
    </row>
    <row r="4417" spans="1:19" x14ac:dyDescent="0.2">
      <c r="A4417" s="2">
        <v>10046424</v>
      </c>
      <c r="B4417" s="2" t="s">
        <v>10309</v>
      </c>
      <c r="C4417" s="5" t="s">
        <v>10310</v>
      </c>
      <c r="D4417" s="21">
        <v>1</v>
      </c>
      <c r="E4417" s="21"/>
      <c r="F4417" s="21" t="s">
        <v>10438</v>
      </c>
      <c r="G4417" s="21"/>
      <c r="H4417" s="54">
        <v>4858</v>
      </c>
      <c r="I4417" s="51">
        <v>4373</v>
      </c>
      <c r="J4417" s="27"/>
      <c r="K4417" s="27"/>
      <c r="L4417" s="15"/>
      <c r="M4417" s="15"/>
      <c r="N4417" s="4"/>
      <c r="O4417" s="4"/>
      <c r="Q4417" s="25"/>
      <c r="R4417" s="25"/>
      <c r="S4417" s="25"/>
    </row>
    <row r="4418" spans="1:19" x14ac:dyDescent="0.2">
      <c r="A4418" s="2">
        <v>10046425</v>
      </c>
      <c r="B4418" s="2" t="s">
        <v>10311</v>
      </c>
      <c r="C4418" s="5" t="s">
        <v>10312</v>
      </c>
      <c r="D4418" s="21">
        <v>3</v>
      </c>
      <c r="E4418" s="21"/>
      <c r="F4418" s="21" t="s">
        <v>10438</v>
      </c>
      <c r="G4418" s="21"/>
      <c r="H4418" s="54">
        <v>12364</v>
      </c>
      <c r="I4418" s="51">
        <v>10510</v>
      </c>
      <c r="J4418" s="27"/>
      <c r="K4418" s="27"/>
      <c r="L4418" s="15"/>
      <c r="M4418" s="15"/>
      <c r="N4418" s="4"/>
      <c r="O4418" s="4"/>
      <c r="Q4418" s="25"/>
      <c r="R4418" s="25"/>
      <c r="S4418" s="25"/>
    </row>
    <row r="4419" spans="1:19" s="25" customFormat="1" x14ac:dyDescent="0.2">
      <c r="A4419" s="23">
        <v>40011946</v>
      </c>
      <c r="B4419" s="23" t="s">
        <v>10431</v>
      </c>
      <c r="C4419" s="24" t="s">
        <v>10422</v>
      </c>
      <c r="D4419" s="21">
        <v>1</v>
      </c>
      <c r="E4419" s="21"/>
      <c r="F4419" s="21" t="s">
        <v>10438</v>
      </c>
      <c r="G4419" s="21"/>
      <c r="H4419" s="54">
        <v>1374</v>
      </c>
      <c r="I4419" s="51"/>
      <c r="J4419" s="27"/>
      <c r="K4419" s="27"/>
      <c r="L4419" s="15"/>
      <c r="M4419" s="15"/>
      <c r="N4419" s="4" t="s">
        <v>4123</v>
      </c>
      <c r="O4419" s="4"/>
    </row>
    <row r="4420" spans="1:19" s="25" customFormat="1" x14ac:dyDescent="0.2">
      <c r="A4420" s="23">
        <v>40011961</v>
      </c>
      <c r="B4420" s="23" t="s">
        <v>10432</v>
      </c>
      <c r="C4420" s="24" t="s">
        <v>10423</v>
      </c>
      <c r="D4420" s="21">
        <v>1</v>
      </c>
      <c r="E4420" s="21"/>
      <c r="F4420" s="21" t="s">
        <v>10438</v>
      </c>
      <c r="G4420" s="21"/>
      <c r="H4420" s="54">
        <v>1127</v>
      </c>
      <c r="I4420" s="51"/>
      <c r="J4420" s="27"/>
      <c r="K4420" s="27"/>
      <c r="L4420" s="15"/>
      <c r="M4420" s="15"/>
      <c r="N4420" s="4"/>
      <c r="O4420" s="4">
        <v>70</v>
      </c>
    </row>
    <row r="4421" spans="1:19" s="25" customFormat="1" x14ac:dyDescent="0.2">
      <c r="A4421" s="23">
        <v>40011948</v>
      </c>
      <c r="B4421" s="23" t="s">
        <v>10433</v>
      </c>
      <c r="C4421" s="24" t="s">
        <v>10424</v>
      </c>
      <c r="D4421" s="21">
        <v>2</v>
      </c>
      <c r="E4421" s="21"/>
      <c r="F4421" s="21" t="s">
        <v>10438</v>
      </c>
      <c r="G4421" s="21"/>
      <c r="H4421" s="54">
        <v>5</v>
      </c>
      <c r="I4421" s="51"/>
      <c r="J4421" s="27"/>
      <c r="K4421" s="27"/>
      <c r="L4421" s="15"/>
      <c r="M4421" s="15"/>
      <c r="N4421" s="4" t="s">
        <v>4492</v>
      </c>
      <c r="O4421" s="4"/>
    </row>
    <row r="4422" spans="1:19" s="25" customFormat="1" x14ac:dyDescent="0.2">
      <c r="A4422" s="23">
        <v>40011956</v>
      </c>
      <c r="B4422" s="23" t="s">
        <v>10434</v>
      </c>
      <c r="C4422" s="24" t="s">
        <v>10425</v>
      </c>
      <c r="D4422" s="21">
        <v>1</v>
      </c>
      <c r="E4422" s="21"/>
      <c r="F4422" s="21" t="s">
        <v>10438</v>
      </c>
      <c r="G4422" s="21"/>
      <c r="H4422" s="54">
        <v>241</v>
      </c>
      <c r="I4422" s="51"/>
      <c r="J4422" s="27"/>
      <c r="K4422" s="27"/>
      <c r="L4422" s="15"/>
      <c r="M4422" s="15"/>
      <c r="N4422" s="4" t="s">
        <v>3986</v>
      </c>
      <c r="O4422" s="4"/>
    </row>
    <row r="4423" spans="1:19" s="25" customFormat="1" x14ac:dyDescent="0.2">
      <c r="A4423" s="23">
        <v>10039723</v>
      </c>
      <c r="B4423" s="23" t="s">
        <v>10426</v>
      </c>
      <c r="C4423" s="24" t="s">
        <v>10427</v>
      </c>
      <c r="D4423" s="21"/>
      <c r="E4423" s="21"/>
      <c r="F4423" s="21" t="s">
        <v>10438</v>
      </c>
      <c r="G4423" s="21"/>
      <c r="H4423" s="54">
        <v>9</v>
      </c>
      <c r="I4423" s="51"/>
      <c r="J4423" s="27"/>
      <c r="K4423" s="27"/>
      <c r="L4423" s="15"/>
      <c r="M4423" s="15"/>
      <c r="N4423" s="4" t="s">
        <v>10484</v>
      </c>
      <c r="O4423" s="4"/>
    </row>
    <row r="4424" spans="1:19" s="25" customFormat="1" x14ac:dyDescent="0.2">
      <c r="A4424" s="23">
        <v>40011957</v>
      </c>
      <c r="B4424" s="23" t="s">
        <v>10435</v>
      </c>
      <c r="C4424" s="24" t="s">
        <v>10428</v>
      </c>
      <c r="D4424" s="21">
        <v>1</v>
      </c>
      <c r="E4424" s="21"/>
      <c r="F4424" s="21" t="s">
        <v>10438</v>
      </c>
      <c r="G4424" s="21"/>
      <c r="H4424" s="54">
        <v>74</v>
      </c>
      <c r="I4424" s="51"/>
      <c r="J4424" s="27"/>
      <c r="K4424" s="27"/>
      <c r="L4424" s="15"/>
      <c r="M4424" s="15"/>
      <c r="N4424" s="4" t="s">
        <v>4486</v>
      </c>
      <c r="O4424" s="4"/>
    </row>
    <row r="4425" spans="1:19" s="25" customFormat="1" x14ac:dyDescent="0.2">
      <c r="A4425" s="23">
        <v>40011953</v>
      </c>
      <c r="B4425" s="23" t="s">
        <v>10436</v>
      </c>
      <c r="C4425" s="24" t="s">
        <v>10429</v>
      </c>
      <c r="D4425" s="21"/>
      <c r="E4425" s="21"/>
      <c r="F4425" s="30">
        <v>1</v>
      </c>
      <c r="G4425" s="21"/>
      <c r="H4425" s="54">
        <v>9</v>
      </c>
      <c r="I4425" s="51"/>
      <c r="J4425" s="27"/>
      <c r="K4425" s="27"/>
      <c r="L4425" s="15"/>
      <c r="M4425" s="15"/>
      <c r="N4425" s="4" t="s">
        <v>4492</v>
      </c>
      <c r="O4425" s="4"/>
    </row>
    <row r="4426" spans="1:19" s="25" customFormat="1" x14ac:dyDescent="0.2">
      <c r="A4426" s="23">
        <v>40006426</v>
      </c>
      <c r="B4426" s="2" t="s">
        <v>10437</v>
      </c>
      <c r="C4426" s="24">
        <v>38162024</v>
      </c>
      <c r="D4426" s="21">
        <v>4</v>
      </c>
      <c r="E4426" s="21"/>
      <c r="F4426" s="21" t="s">
        <v>10438</v>
      </c>
      <c r="G4426" s="21"/>
      <c r="H4426" s="54">
        <v>335</v>
      </c>
      <c r="I4426" s="51"/>
      <c r="J4426" s="27"/>
      <c r="K4426" s="27"/>
      <c r="L4426" s="15"/>
      <c r="M4426" s="15"/>
      <c r="N4426" s="4" t="s">
        <v>10485</v>
      </c>
      <c r="O4426" s="4"/>
    </row>
    <row r="4427" spans="1:19" s="25" customFormat="1" x14ac:dyDescent="0.2">
      <c r="A4427" s="23">
        <v>40011955</v>
      </c>
      <c r="B4427" s="23" t="s">
        <v>10430</v>
      </c>
      <c r="C4427" s="24">
        <v>38143043</v>
      </c>
      <c r="D4427" s="21">
        <v>2</v>
      </c>
      <c r="E4427" s="21"/>
      <c r="F4427" s="21" t="s">
        <v>10438</v>
      </c>
      <c r="G4427" s="21"/>
      <c r="H4427" s="54">
        <v>2067</v>
      </c>
      <c r="I4427" s="51"/>
      <c r="J4427" s="27"/>
      <c r="K4427" s="27"/>
      <c r="L4427" s="15"/>
      <c r="M4427" s="15"/>
      <c r="N4427" s="4" t="s">
        <v>3986</v>
      </c>
      <c r="O4427" s="4"/>
    </row>
    <row r="4428" spans="1:19" s="25" customFormat="1" x14ac:dyDescent="0.2">
      <c r="A4428" s="23">
        <v>10017914</v>
      </c>
      <c r="B4428" s="23" t="s">
        <v>10668</v>
      </c>
      <c r="C4428" s="24" t="s">
        <v>10768</v>
      </c>
      <c r="D4428" s="21"/>
      <c r="E4428" s="21"/>
      <c r="F4428" s="21" t="s">
        <v>10438</v>
      </c>
      <c r="G4428" s="21"/>
      <c r="H4428" s="54">
        <v>1500</v>
      </c>
      <c r="I4428" s="51">
        <v>1350</v>
      </c>
      <c r="J4428" s="27"/>
      <c r="K4428" s="27"/>
      <c r="L4428" s="15"/>
      <c r="M4428" s="15"/>
      <c r="N4428" s="4"/>
      <c r="O4428" s="4" t="s">
        <v>10469</v>
      </c>
    </row>
    <row r="4429" spans="1:19" s="25" customFormat="1" x14ac:dyDescent="0.2">
      <c r="A4429" s="23">
        <v>10018316</v>
      </c>
      <c r="B4429" s="23" t="s">
        <v>10669</v>
      </c>
      <c r="C4429" s="24" t="s">
        <v>10815</v>
      </c>
      <c r="D4429" s="21">
        <v>13</v>
      </c>
      <c r="E4429" s="21"/>
      <c r="F4429" s="21" t="s">
        <v>10438</v>
      </c>
      <c r="G4429" s="21"/>
      <c r="H4429" s="54">
        <v>10</v>
      </c>
      <c r="I4429" s="51"/>
      <c r="J4429" s="27"/>
      <c r="K4429" s="27"/>
      <c r="L4429" s="15"/>
      <c r="M4429" s="15"/>
      <c r="N4429" s="4"/>
      <c r="O4429" s="4"/>
    </row>
    <row r="4430" spans="1:19" s="25" customFormat="1" x14ac:dyDescent="0.2">
      <c r="A4430" s="23">
        <v>10019903</v>
      </c>
      <c r="B4430" s="23" t="s">
        <v>10670</v>
      </c>
      <c r="C4430" s="24" t="s">
        <v>10769</v>
      </c>
      <c r="D4430" s="21">
        <v>1</v>
      </c>
      <c r="E4430" s="21"/>
      <c r="F4430" s="21" t="s">
        <v>10438</v>
      </c>
      <c r="G4430" s="21"/>
      <c r="H4430" s="54">
        <v>39</v>
      </c>
      <c r="I4430" s="51"/>
      <c r="J4430" s="27"/>
      <c r="K4430" s="27"/>
      <c r="L4430" s="15"/>
      <c r="M4430" s="15"/>
      <c r="N4430" s="4">
        <v>65</v>
      </c>
      <c r="O4430" s="4"/>
    </row>
    <row r="4431" spans="1:19" s="25" customFormat="1" x14ac:dyDescent="0.2">
      <c r="A4431" s="23">
        <v>40005489</v>
      </c>
      <c r="B4431" s="23" t="s">
        <v>10671</v>
      </c>
      <c r="C4431" s="24" t="s">
        <v>10816</v>
      </c>
      <c r="D4431" s="21">
        <v>1</v>
      </c>
      <c r="E4431" s="21"/>
      <c r="F4431" s="21" t="s">
        <v>10438</v>
      </c>
      <c r="G4431" s="21"/>
      <c r="H4431" s="54">
        <v>189</v>
      </c>
      <c r="I4431" s="51"/>
      <c r="J4431" s="27"/>
      <c r="K4431" s="27"/>
      <c r="L4431" s="15"/>
      <c r="M4431" s="15"/>
      <c r="N4431" s="4"/>
      <c r="O4431" s="4" t="s">
        <v>4189</v>
      </c>
    </row>
    <row r="4432" spans="1:19" s="25" customFormat="1" x14ac:dyDescent="0.2">
      <c r="A4432" s="23">
        <v>40005679</v>
      </c>
      <c r="B4432" s="23" t="s">
        <v>10672</v>
      </c>
      <c r="C4432" s="24" t="s">
        <v>10771</v>
      </c>
      <c r="D4432" s="21">
        <v>3</v>
      </c>
      <c r="E4432" s="21"/>
      <c r="F4432" s="21" t="s">
        <v>10438</v>
      </c>
      <c r="G4432" s="21"/>
      <c r="H4432" s="54">
        <v>51</v>
      </c>
      <c r="I4432" s="51"/>
      <c r="J4432" s="27"/>
      <c r="K4432" s="27"/>
      <c r="L4432" s="15"/>
      <c r="M4432" s="15"/>
      <c r="N4432" s="4"/>
      <c r="O4432" s="4">
        <v>43</v>
      </c>
    </row>
    <row r="4433" spans="1:15" s="25" customFormat="1" x14ac:dyDescent="0.2">
      <c r="A4433" s="23">
        <v>40005895</v>
      </c>
      <c r="B4433" s="23" t="s">
        <v>10673</v>
      </c>
      <c r="C4433" s="24" t="s">
        <v>10817</v>
      </c>
      <c r="D4433" s="21">
        <v>1</v>
      </c>
      <c r="E4433" s="21"/>
      <c r="F4433" s="21" t="s">
        <v>10438</v>
      </c>
      <c r="G4433" s="21"/>
      <c r="H4433" s="54">
        <v>21</v>
      </c>
      <c r="I4433" s="51"/>
      <c r="J4433" s="27"/>
      <c r="K4433" s="27"/>
      <c r="L4433" s="15"/>
      <c r="M4433" s="15"/>
      <c r="N4433" s="4" t="s">
        <v>3994</v>
      </c>
      <c r="O4433" s="4"/>
    </row>
    <row r="4434" spans="1:15" s="25" customFormat="1" x14ac:dyDescent="0.2">
      <c r="A4434" s="23">
        <v>40006044</v>
      </c>
      <c r="B4434" s="23" t="s">
        <v>10674</v>
      </c>
      <c r="C4434" s="24" t="s">
        <v>10772</v>
      </c>
      <c r="D4434" s="21">
        <v>10</v>
      </c>
      <c r="E4434" s="21"/>
      <c r="F4434" s="21" t="s">
        <v>10438</v>
      </c>
      <c r="G4434" s="21"/>
      <c r="H4434" s="54">
        <v>133</v>
      </c>
      <c r="I4434" s="51"/>
      <c r="J4434" s="27"/>
      <c r="K4434" s="27"/>
      <c r="L4434" s="15"/>
      <c r="M4434" s="15"/>
      <c r="N4434" s="4"/>
      <c r="O4434" s="4" t="s">
        <v>10730</v>
      </c>
    </row>
    <row r="4435" spans="1:15" s="25" customFormat="1" x14ac:dyDescent="0.2">
      <c r="A4435" s="23">
        <v>40006216</v>
      </c>
      <c r="B4435" s="23" t="s">
        <v>10675</v>
      </c>
      <c r="C4435" s="24" t="s">
        <v>10773</v>
      </c>
      <c r="D4435" s="21">
        <v>10</v>
      </c>
      <c r="E4435" s="21"/>
      <c r="F4435" s="21" t="s">
        <v>10438</v>
      </c>
      <c r="G4435" s="21"/>
      <c r="H4435" s="54">
        <v>358</v>
      </c>
      <c r="I4435" s="51"/>
      <c r="J4435" s="27"/>
      <c r="K4435" s="27"/>
      <c r="L4435" s="15"/>
      <c r="M4435" s="15"/>
      <c r="N4435" s="4" t="s">
        <v>3966</v>
      </c>
      <c r="O4435" s="4"/>
    </row>
    <row r="4436" spans="1:15" s="25" customFormat="1" x14ac:dyDescent="0.2">
      <c r="A4436" s="23">
        <v>40006312</v>
      </c>
      <c r="B4436" s="23" t="s">
        <v>10676</v>
      </c>
      <c r="C4436" s="24" t="s">
        <v>10818</v>
      </c>
      <c r="D4436" s="21">
        <v>24</v>
      </c>
      <c r="E4436" s="21"/>
      <c r="F4436" s="21" t="s">
        <v>10438</v>
      </c>
      <c r="G4436" s="21"/>
      <c r="H4436" s="54">
        <v>10</v>
      </c>
      <c r="I4436" s="51"/>
      <c r="J4436" s="27"/>
      <c r="K4436" s="27"/>
      <c r="L4436" s="15"/>
      <c r="M4436" s="15"/>
      <c r="N4436" s="4" t="s">
        <v>3966</v>
      </c>
      <c r="O4436" s="4"/>
    </row>
    <row r="4437" spans="1:15" s="25" customFormat="1" x14ac:dyDescent="0.2">
      <c r="A4437" s="23">
        <v>40006344</v>
      </c>
      <c r="B4437" s="23" t="s">
        <v>10677</v>
      </c>
      <c r="C4437" s="24" t="s">
        <v>10819</v>
      </c>
      <c r="D4437" s="21">
        <v>2</v>
      </c>
      <c r="E4437" s="21"/>
      <c r="F4437" s="21" t="s">
        <v>10438</v>
      </c>
      <c r="G4437" s="21"/>
      <c r="H4437" s="54">
        <v>109</v>
      </c>
      <c r="I4437" s="51"/>
      <c r="J4437" s="27"/>
      <c r="K4437" s="27"/>
      <c r="L4437" s="15"/>
      <c r="M4437" s="15"/>
      <c r="N4437" s="4" t="s">
        <v>3966</v>
      </c>
      <c r="O4437" s="4"/>
    </row>
    <row r="4438" spans="1:15" s="25" customFormat="1" x14ac:dyDescent="0.2">
      <c r="A4438" s="23">
        <v>40006505</v>
      </c>
      <c r="B4438" s="23" t="s">
        <v>10678</v>
      </c>
      <c r="C4438" s="24" t="s">
        <v>10820</v>
      </c>
      <c r="D4438" s="21">
        <v>4</v>
      </c>
      <c r="E4438" s="21"/>
      <c r="F4438" s="21" t="s">
        <v>10438</v>
      </c>
      <c r="G4438" s="21"/>
      <c r="H4438" s="54">
        <v>3</v>
      </c>
      <c r="I4438" s="51"/>
      <c r="J4438" s="27"/>
      <c r="K4438" s="27"/>
      <c r="L4438" s="15"/>
      <c r="M4438" s="15"/>
      <c r="N4438" s="4" t="s">
        <v>10813</v>
      </c>
      <c r="O4438" s="4" t="s">
        <v>10036</v>
      </c>
    </row>
    <row r="4439" spans="1:15" s="25" customFormat="1" x14ac:dyDescent="0.2">
      <c r="A4439" s="23">
        <v>40006512</v>
      </c>
      <c r="B4439" s="23" t="s">
        <v>10679</v>
      </c>
      <c r="C4439" s="24" t="s">
        <v>10821</v>
      </c>
      <c r="D4439" s="21">
        <v>2</v>
      </c>
      <c r="E4439" s="21"/>
      <c r="F4439" s="21" t="s">
        <v>10438</v>
      </c>
      <c r="G4439" s="21"/>
      <c r="H4439" s="54">
        <v>6</v>
      </c>
      <c r="I4439" s="51"/>
      <c r="J4439" s="27"/>
      <c r="K4439" s="27"/>
      <c r="L4439" s="15"/>
      <c r="M4439" s="15"/>
      <c r="N4439" s="4" t="s">
        <v>10813</v>
      </c>
      <c r="O4439" s="4" t="s">
        <v>10036</v>
      </c>
    </row>
    <row r="4440" spans="1:15" s="25" customFormat="1" x14ac:dyDescent="0.2">
      <c r="A4440" s="23">
        <v>40006515</v>
      </c>
      <c r="B4440" s="23" t="s">
        <v>10680</v>
      </c>
      <c r="C4440" s="24" t="s">
        <v>10822</v>
      </c>
      <c r="D4440" s="21">
        <v>7</v>
      </c>
      <c r="E4440" s="21"/>
      <c r="F4440" s="21" t="s">
        <v>10438</v>
      </c>
      <c r="G4440" s="21"/>
      <c r="H4440" s="54">
        <v>7</v>
      </c>
      <c r="I4440" s="51"/>
      <c r="J4440" s="27"/>
      <c r="K4440" s="27"/>
      <c r="L4440" s="15"/>
      <c r="M4440" s="15"/>
      <c r="N4440" s="4" t="s">
        <v>10813</v>
      </c>
      <c r="O4440" s="4" t="s">
        <v>10036</v>
      </c>
    </row>
    <row r="4441" spans="1:15" s="25" customFormat="1" x14ac:dyDescent="0.2">
      <c r="A4441" s="23">
        <v>40006516</v>
      </c>
      <c r="B4441" s="23" t="s">
        <v>10681</v>
      </c>
      <c r="C4441" s="24" t="s">
        <v>10823</v>
      </c>
      <c r="D4441" s="21">
        <v>15</v>
      </c>
      <c r="E4441" s="21"/>
      <c r="F4441" s="21" t="s">
        <v>10438</v>
      </c>
      <c r="G4441" s="21"/>
      <c r="H4441" s="54">
        <v>7</v>
      </c>
      <c r="I4441" s="51"/>
      <c r="J4441" s="27"/>
      <c r="K4441" s="27"/>
      <c r="L4441" s="15"/>
      <c r="M4441" s="15"/>
      <c r="N4441" s="4" t="s">
        <v>10813</v>
      </c>
      <c r="O4441" s="4" t="s">
        <v>10036</v>
      </c>
    </row>
    <row r="4442" spans="1:15" s="25" customFormat="1" x14ac:dyDescent="0.2">
      <c r="A4442" s="23">
        <v>40006517</v>
      </c>
      <c r="B4442" s="23" t="s">
        <v>10682</v>
      </c>
      <c r="C4442" s="24" t="s">
        <v>10824</v>
      </c>
      <c r="D4442" s="21">
        <v>2</v>
      </c>
      <c r="E4442" s="21"/>
      <c r="F4442" s="21" t="s">
        <v>10438</v>
      </c>
      <c r="G4442" s="21"/>
      <c r="H4442" s="54">
        <v>4</v>
      </c>
      <c r="I4442" s="51"/>
      <c r="J4442" s="27"/>
      <c r="K4442" s="27"/>
      <c r="L4442" s="15"/>
      <c r="M4442" s="15"/>
      <c r="N4442" s="4" t="s">
        <v>10813</v>
      </c>
      <c r="O4442" s="4" t="s">
        <v>10036</v>
      </c>
    </row>
    <row r="4443" spans="1:15" s="25" customFormat="1" x14ac:dyDescent="0.2">
      <c r="A4443" s="23">
        <v>40006518</v>
      </c>
      <c r="B4443" s="23" t="s">
        <v>10683</v>
      </c>
      <c r="C4443" s="24" t="s">
        <v>10825</v>
      </c>
      <c r="D4443" s="21">
        <v>1</v>
      </c>
      <c r="E4443" s="21"/>
      <c r="F4443" s="21" t="s">
        <v>10438</v>
      </c>
      <c r="G4443" s="21"/>
      <c r="H4443" s="54">
        <v>4</v>
      </c>
      <c r="I4443" s="51"/>
      <c r="J4443" s="27"/>
      <c r="K4443" s="27"/>
      <c r="L4443" s="15"/>
      <c r="M4443" s="15"/>
      <c r="N4443" s="4" t="s">
        <v>10813</v>
      </c>
      <c r="O4443" s="4" t="s">
        <v>10036</v>
      </c>
    </row>
    <row r="4444" spans="1:15" s="25" customFormat="1" x14ac:dyDescent="0.2">
      <c r="A4444" s="23">
        <v>40006524</v>
      </c>
      <c r="B4444" s="23" t="s">
        <v>10684</v>
      </c>
      <c r="C4444" s="24" t="s">
        <v>10826</v>
      </c>
      <c r="D4444" s="21">
        <v>1</v>
      </c>
      <c r="E4444" s="21"/>
      <c r="F4444" s="21" t="s">
        <v>10438</v>
      </c>
      <c r="G4444" s="21"/>
      <c r="H4444" s="54">
        <v>7</v>
      </c>
      <c r="I4444" s="51"/>
      <c r="J4444" s="27"/>
      <c r="K4444" s="27"/>
      <c r="L4444" s="15"/>
      <c r="M4444" s="15"/>
      <c r="N4444" s="4" t="s">
        <v>3966</v>
      </c>
      <c r="O4444" s="4"/>
    </row>
    <row r="4445" spans="1:15" s="25" customFormat="1" x14ac:dyDescent="0.2">
      <c r="A4445" s="23">
        <v>40006534</v>
      </c>
      <c r="B4445" s="23" t="s">
        <v>10685</v>
      </c>
      <c r="C4445" s="24" t="s">
        <v>10827</v>
      </c>
      <c r="D4445" s="21">
        <v>4</v>
      </c>
      <c r="E4445" s="21"/>
      <c r="F4445" s="21" t="s">
        <v>10438</v>
      </c>
      <c r="G4445" s="21"/>
      <c r="H4445" s="54">
        <v>7</v>
      </c>
      <c r="I4445" s="51"/>
      <c r="J4445" s="27"/>
      <c r="K4445" s="27"/>
      <c r="L4445" s="15"/>
      <c r="M4445" s="15"/>
      <c r="N4445" s="4"/>
      <c r="O4445" s="4" t="s">
        <v>5193</v>
      </c>
    </row>
    <row r="4446" spans="1:15" s="25" customFormat="1" x14ac:dyDescent="0.2">
      <c r="A4446" s="23">
        <v>40006536</v>
      </c>
      <c r="B4446" s="23" t="s">
        <v>10686</v>
      </c>
      <c r="C4446" s="24" t="s">
        <v>10828</v>
      </c>
      <c r="D4446" s="21">
        <v>4</v>
      </c>
      <c r="E4446" s="21"/>
      <c r="F4446" s="21" t="s">
        <v>10438</v>
      </c>
      <c r="G4446" s="21"/>
      <c r="H4446" s="54">
        <v>32</v>
      </c>
      <c r="I4446" s="51"/>
      <c r="J4446" s="27"/>
      <c r="K4446" s="27"/>
      <c r="L4446" s="15"/>
      <c r="M4446" s="15"/>
      <c r="N4446" s="4" t="s">
        <v>3939</v>
      </c>
      <c r="O4446" s="4"/>
    </row>
    <row r="4447" spans="1:15" s="25" customFormat="1" x14ac:dyDescent="0.2">
      <c r="A4447" s="23">
        <v>40006567</v>
      </c>
      <c r="B4447" s="23" t="s">
        <v>10687</v>
      </c>
      <c r="C4447" s="24" t="s">
        <v>10829</v>
      </c>
      <c r="D4447" s="21">
        <v>1</v>
      </c>
      <c r="E4447" s="21"/>
      <c r="F4447" s="21" t="s">
        <v>10438</v>
      </c>
      <c r="G4447" s="21"/>
      <c r="H4447" s="54">
        <v>23</v>
      </c>
      <c r="I4447" s="51"/>
      <c r="J4447" s="27"/>
      <c r="K4447" s="27"/>
      <c r="L4447" s="15"/>
      <c r="M4447" s="15"/>
      <c r="N4447" s="4"/>
      <c r="O4447" s="4" t="s">
        <v>10084</v>
      </c>
    </row>
    <row r="4448" spans="1:15" s="25" customFormat="1" x14ac:dyDescent="0.2">
      <c r="A4448" s="23">
        <v>40006640</v>
      </c>
      <c r="B4448" s="23" t="s">
        <v>10688</v>
      </c>
      <c r="C4448" s="24" t="s">
        <v>10830</v>
      </c>
      <c r="D4448" s="21">
        <v>1</v>
      </c>
      <c r="E4448" s="21"/>
      <c r="F4448" s="21" t="s">
        <v>10438</v>
      </c>
      <c r="G4448" s="21"/>
      <c r="H4448" s="54">
        <v>4</v>
      </c>
      <c r="I4448" s="51"/>
      <c r="J4448" s="27"/>
      <c r="K4448" s="27"/>
      <c r="L4448" s="15"/>
      <c r="M4448" s="15"/>
      <c r="N4448" s="4"/>
      <c r="O4448" s="4" t="s">
        <v>10357</v>
      </c>
    </row>
    <row r="4449" spans="1:19" s="25" customFormat="1" x14ac:dyDescent="0.2">
      <c r="A4449" s="23">
        <v>40006643</v>
      </c>
      <c r="B4449" s="23" t="s">
        <v>10689</v>
      </c>
      <c r="C4449" s="24" t="s">
        <v>10831</v>
      </c>
      <c r="D4449" s="21">
        <v>2</v>
      </c>
      <c r="E4449" s="21"/>
      <c r="F4449" s="21" t="s">
        <v>10438</v>
      </c>
      <c r="G4449" s="21"/>
      <c r="H4449" s="54">
        <v>8</v>
      </c>
      <c r="I4449" s="51"/>
      <c r="J4449" s="27"/>
      <c r="K4449" s="27"/>
      <c r="L4449" s="15"/>
      <c r="M4449" s="15"/>
      <c r="N4449" s="4"/>
      <c r="O4449" s="4" t="s">
        <v>5199</v>
      </c>
    </row>
    <row r="4450" spans="1:19" s="25" customFormat="1" x14ac:dyDescent="0.2">
      <c r="A4450" s="23">
        <v>40006647</v>
      </c>
      <c r="B4450" s="23" t="s">
        <v>10690</v>
      </c>
      <c r="C4450" s="24" t="s">
        <v>10832</v>
      </c>
      <c r="D4450" s="21">
        <v>1</v>
      </c>
      <c r="E4450" s="21"/>
      <c r="F4450" s="21" t="s">
        <v>10438</v>
      </c>
      <c r="G4450" s="21"/>
      <c r="H4450" s="54">
        <v>11</v>
      </c>
      <c r="I4450" s="51"/>
      <c r="J4450" s="27"/>
      <c r="K4450" s="27"/>
      <c r="L4450" s="15"/>
      <c r="M4450" s="15"/>
      <c r="N4450" s="4" t="s">
        <v>3939</v>
      </c>
      <c r="O4450" s="4"/>
    </row>
    <row r="4451" spans="1:19" s="25" customFormat="1" x14ac:dyDescent="0.2">
      <c r="A4451" s="23">
        <v>40006648</v>
      </c>
      <c r="B4451" s="23" t="s">
        <v>10691</v>
      </c>
      <c r="C4451" s="24" t="s">
        <v>10833</v>
      </c>
      <c r="D4451" s="21">
        <v>1</v>
      </c>
      <c r="E4451" s="21"/>
      <c r="F4451" s="21" t="s">
        <v>10438</v>
      </c>
      <c r="G4451" s="21"/>
      <c r="H4451" s="54">
        <v>17</v>
      </c>
      <c r="I4451" s="51"/>
      <c r="J4451" s="27"/>
      <c r="K4451" s="27"/>
      <c r="L4451" s="15"/>
      <c r="M4451" s="15"/>
      <c r="N4451" s="4"/>
      <c r="O4451" s="4" t="s">
        <v>5006</v>
      </c>
    </row>
    <row r="4452" spans="1:19" s="25" customFormat="1" x14ac:dyDescent="0.2">
      <c r="A4452" s="23">
        <v>40006649</v>
      </c>
      <c r="B4452" s="23" t="s">
        <v>10692</v>
      </c>
      <c r="C4452" s="24" t="s">
        <v>10834</v>
      </c>
      <c r="D4452" s="21">
        <v>1</v>
      </c>
      <c r="E4452" s="21"/>
      <c r="F4452" s="21" t="s">
        <v>10438</v>
      </c>
      <c r="G4452" s="21"/>
      <c r="H4452" s="54">
        <v>17</v>
      </c>
      <c r="I4452" s="51"/>
      <c r="J4452" s="27"/>
      <c r="K4452" s="27"/>
      <c r="L4452" s="15"/>
      <c r="M4452" s="15"/>
      <c r="N4452" s="4"/>
      <c r="O4452" s="4" t="s">
        <v>5229</v>
      </c>
    </row>
    <row r="4453" spans="1:19" s="25" customFormat="1" x14ac:dyDescent="0.2">
      <c r="A4453" s="23">
        <v>40006651</v>
      </c>
      <c r="B4453" s="23" t="s">
        <v>10693</v>
      </c>
      <c r="C4453" s="24" t="s">
        <v>10835</v>
      </c>
      <c r="D4453" s="21">
        <v>1</v>
      </c>
      <c r="E4453" s="21"/>
      <c r="F4453" s="21" t="s">
        <v>10438</v>
      </c>
      <c r="G4453" s="21"/>
      <c r="H4453" s="54">
        <v>11</v>
      </c>
      <c r="I4453" s="51"/>
      <c r="J4453" s="27"/>
      <c r="K4453" s="27"/>
      <c r="L4453" s="15"/>
      <c r="M4453" s="15"/>
      <c r="N4453" s="4"/>
      <c r="O4453" s="4" t="s">
        <v>10357</v>
      </c>
    </row>
    <row r="4454" spans="1:19" s="25" customFormat="1" x14ac:dyDescent="0.2">
      <c r="A4454" s="23">
        <v>40006652</v>
      </c>
      <c r="B4454" s="23" t="s">
        <v>10694</v>
      </c>
      <c r="C4454" s="24" t="s">
        <v>10836</v>
      </c>
      <c r="D4454" s="21">
        <v>2</v>
      </c>
      <c r="E4454" s="21"/>
      <c r="F4454" s="21" t="s">
        <v>10438</v>
      </c>
      <c r="G4454" s="21"/>
      <c r="H4454" s="54">
        <v>14</v>
      </c>
      <c r="I4454" s="51"/>
      <c r="J4454" s="27"/>
      <c r="K4454" s="27"/>
      <c r="L4454" s="15"/>
      <c r="M4454" s="15"/>
      <c r="N4454" s="4"/>
      <c r="O4454" s="4" t="s">
        <v>5006</v>
      </c>
    </row>
    <row r="4455" spans="1:19" s="25" customFormat="1" x14ac:dyDescent="0.2">
      <c r="A4455" s="23">
        <v>40006653</v>
      </c>
      <c r="B4455" s="23" t="s">
        <v>10695</v>
      </c>
      <c r="C4455" s="24" t="s">
        <v>10837</v>
      </c>
      <c r="D4455" s="21">
        <v>5</v>
      </c>
      <c r="E4455" s="21"/>
      <c r="F4455" s="21" t="s">
        <v>10438</v>
      </c>
      <c r="G4455" s="21"/>
      <c r="H4455" s="54">
        <v>14</v>
      </c>
      <c r="I4455" s="51"/>
      <c r="J4455" s="27"/>
      <c r="K4455" s="27"/>
      <c r="L4455" s="15"/>
      <c r="M4455" s="15"/>
      <c r="N4455" s="4"/>
      <c r="O4455" s="4" t="s">
        <v>4109</v>
      </c>
    </row>
    <row r="4456" spans="1:19" s="25" customFormat="1" x14ac:dyDescent="0.2">
      <c r="A4456" s="23">
        <v>40006667</v>
      </c>
      <c r="B4456" s="23" t="s">
        <v>10696</v>
      </c>
      <c r="C4456" s="24" t="s">
        <v>10838</v>
      </c>
      <c r="D4456" s="21">
        <v>2</v>
      </c>
      <c r="E4456" s="21"/>
      <c r="F4456" s="21" t="s">
        <v>10438</v>
      </c>
      <c r="G4456" s="21"/>
      <c r="H4456" s="54">
        <v>4</v>
      </c>
      <c r="I4456" s="51"/>
      <c r="J4456" s="27"/>
      <c r="K4456" s="27"/>
      <c r="L4456" s="15"/>
      <c r="M4456" s="15"/>
      <c r="N4456" s="4"/>
      <c r="O4456" s="4" t="s">
        <v>5199</v>
      </c>
    </row>
    <row r="4457" spans="1:19" s="25" customFormat="1" x14ac:dyDescent="0.2">
      <c r="A4457" s="23">
        <v>40006672</v>
      </c>
      <c r="B4457" s="23" t="s">
        <v>10697</v>
      </c>
      <c r="C4457" s="24" t="s">
        <v>10839</v>
      </c>
      <c r="D4457" s="21">
        <v>1</v>
      </c>
      <c r="E4457" s="21"/>
      <c r="F4457" s="21" t="s">
        <v>10438</v>
      </c>
      <c r="G4457" s="21"/>
      <c r="H4457" s="54">
        <v>10</v>
      </c>
      <c r="I4457" s="51"/>
      <c r="J4457" s="27"/>
      <c r="K4457" s="27"/>
      <c r="L4457" s="15"/>
      <c r="M4457" s="15"/>
      <c r="N4457" s="4"/>
      <c r="O4457" s="4" t="s">
        <v>5035</v>
      </c>
    </row>
    <row r="4458" spans="1:19" s="25" customFormat="1" x14ac:dyDescent="0.2">
      <c r="A4458" s="23">
        <v>40006674</v>
      </c>
      <c r="B4458" s="23" t="s">
        <v>10698</v>
      </c>
      <c r="C4458" s="24" t="s">
        <v>10840</v>
      </c>
      <c r="D4458" s="21">
        <v>1</v>
      </c>
      <c r="E4458" s="21"/>
      <c r="F4458" s="21" t="s">
        <v>10438</v>
      </c>
      <c r="G4458" s="21"/>
      <c r="H4458" s="54">
        <v>4</v>
      </c>
      <c r="I4458" s="51"/>
      <c r="J4458" s="27"/>
      <c r="K4458" s="27"/>
      <c r="L4458" s="15"/>
      <c r="M4458" s="15"/>
      <c r="N4458" s="4" t="s">
        <v>3939</v>
      </c>
      <c r="O4458" s="4"/>
    </row>
    <row r="4459" spans="1:19" s="25" customFormat="1" x14ac:dyDescent="0.2">
      <c r="A4459" s="23">
        <v>40006679</v>
      </c>
      <c r="B4459" s="23" t="s">
        <v>10699</v>
      </c>
      <c r="C4459" s="24" t="s">
        <v>10767</v>
      </c>
      <c r="D4459" s="21">
        <v>4</v>
      </c>
      <c r="E4459" s="21"/>
      <c r="F4459" s="21" t="s">
        <v>10438</v>
      </c>
      <c r="G4459" s="21"/>
      <c r="H4459" s="54">
        <v>14</v>
      </c>
      <c r="I4459" s="51"/>
      <c r="J4459" s="27"/>
      <c r="K4459" s="27"/>
      <c r="L4459" s="15"/>
      <c r="M4459" s="15"/>
      <c r="N4459" s="4" t="s">
        <v>3939</v>
      </c>
      <c r="O4459" s="4"/>
    </row>
    <row r="4460" spans="1:19" s="25" customFormat="1" x14ac:dyDescent="0.2">
      <c r="A4460" s="23">
        <v>40006687</v>
      </c>
      <c r="B4460" s="23" t="s">
        <v>10700</v>
      </c>
      <c r="C4460" s="24" t="s">
        <v>10841</v>
      </c>
      <c r="D4460" s="21">
        <v>1</v>
      </c>
      <c r="E4460" s="21"/>
      <c r="F4460" s="21" t="s">
        <v>10438</v>
      </c>
      <c r="G4460" s="21"/>
      <c r="H4460" s="54">
        <v>26</v>
      </c>
      <c r="I4460" s="51"/>
      <c r="J4460" s="27"/>
      <c r="K4460" s="27"/>
      <c r="L4460" s="15"/>
      <c r="M4460" s="15"/>
      <c r="N4460" s="4" t="s">
        <v>3939</v>
      </c>
      <c r="O4460" s="4"/>
    </row>
    <row r="4461" spans="1:19" s="25" customFormat="1" x14ac:dyDescent="0.2">
      <c r="A4461" s="23">
        <v>40006695</v>
      </c>
      <c r="B4461" s="23" t="s">
        <v>10701</v>
      </c>
      <c r="C4461" s="24" t="s">
        <v>10842</v>
      </c>
      <c r="D4461" s="21">
        <v>1</v>
      </c>
      <c r="E4461" s="21"/>
      <c r="F4461" s="21" t="s">
        <v>10438</v>
      </c>
      <c r="G4461" s="21"/>
      <c r="H4461" s="54">
        <v>1454</v>
      </c>
      <c r="I4461" s="51"/>
      <c r="J4461" s="27"/>
      <c r="K4461" s="27"/>
      <c r="L4461" s="15"/>
      <c r="M4461" s="15"/>
      <c r="N4461" s="4"/>
      <c r="O4461" s="4" t="s">
        <v>10036</v>
      </c>
    </row>
    <row r="4462" spans="1:19" s="25" customFormat="1" x14ac:dyDescent="0.2">
      <c r="A4462" s="23">
        <v>40006719</v>
      </c>
      <c r="B4462" s="23" t="s">
        <v>10702</v>
      </c>
      <c r="C4462" s="24" t="s">
        <v>10843</v>
      </c>
      <c r="D4462" s="21">
        <v>8</v>
      </c>
      <c r="E4462" s="21"/>
      <c r="F4462" s="21" t="s">
        <v>10438</v>
      </c>
      <c r="G4462" s="21"/>
      <c r="H4462" s="54">
        <v>248</v>
      </c>
      <c r="I4462" s="51"/>
      <c r="J4462" s="27"/>
      <c r="K4462" s="27"/>
      <c r="L4462" s="15"/>
      <c r="M4462" s="15"/>
      <c r="N4462" s="4"/>
      <c r="O4462" s="4"/>
    </row>
    <row r="4463" spans="1:19" s="25" customFormat="1" x14ac:dyDescent="0.2">
      <c r="A4463" s="23">
        <v>40006727</v>
      </c>
      <c r="B4463" s="23" t="s">
        <v>10703</v>
      </c>
      <c r="C4463" s="24" t="s">
        <v>10844</v>
      </c>
      <c r="D4463" s="21">
        <v>1</v>
      </c>
      <c r="E4463" s="21"/>
      <c r="F4463" s="21" t="s">
        <v>10438</v>
      </c>
      <c r="G4463" s="21"/>
      <c r="H4463" s="54">
        <v>38</v>
      </c>
      <c r="I4463" s="51"/>
      <c r="J4463" s="27"/>
      <c r="K4463" s="27"/>
      <c r="L4463" s="15"/>
      <c r="M4463" s="15"/>
      <c r="N4463" s="4"/>
      <c r="O4463" s="4" t="s">
        <v>10145</v>
      </c>
    </row>
    <row r="4464" spans="1:19" s="25" customFormat="1" x14ac:dyDescent="0.2">
      <c r="A4464" s="23">
        <v>40006729</v>
      </c>
      <c r="B4464" s="23" t="s">
        <v>10704</v>
      </c>
      <c r="C4464" s="24" t="s">
        <v>10845</v>
      </c>
      <c r="D4464" s="21">
        <v>1</v>
      </c>
      <c r="E4464" s="21"/>
      <c r="F4464" s="21" t="s">
        <v>10438</v>
      </c>
      <c r="G4464" s="21"/>
      <c r="H4464" s="54">
        <v>29</v>
      </c>
      <c r="I4464" s="51"/>
      <c r="J4464" s="27"/>
      <c r="K4464" s="27"/>
      <c r="L4464" s="15"/>
      <c r="M4464" s="15"/>
      <c r="N4464" s="4"/>
      <c r="O4464" s="4" t="s">
        <v>5033</v>
      </c>
      <c r="Q4464"/>
      <c r="R4464"/>
      <c r="S4464"/>
    </row>
    <row r="4465" spans="1:21" s="25" customFormat="1" x14ac:dyDescent="0.2">
      <c r="A4465" s="23">
        <v>40007638</v>
      </c>
      <c r="B4465" s="23" t="s">
        <v>10705</v>
      </c>
      <c r="C4465" s="24" t="s">
        <v>10846</v>
      </c>
      <c r="D4465" s="21">
        <v>64</v>
      </c>
      <c r="E4465" s="21"/>
      <c r="F4465" s="21" t="s">
        <v>10438</v>
      </c>
      <c r="G4465" s="21"/>
      <c r="H4465" s="54">
        <v>121</v>
      </c>
      <c r="I4465" s="51"/>
      <c r="J4465" s="27"/>
      <c r="K4465" s="27"/>
      <c r="L4465" s="15"/>
      <c r="M4465" s="15"/>
      <c r="N4465" s="4" t="s">
        <v>10443</v>
      </c>
      <c r="O4465" s="4"/>
      <c r="Q4465"/>
      <c r="R4465"/>
      <c r="S4465"/>
    </row>
    <row r="4466" spans="1:21" s="25" customFormat="1" x14ac:dyDescent="0.2">
      <c r="A4466" s="23">
        <v>40007824</v>
      </c>
      <c r="B4466" s="23" t="s">
        <v>10706</v>
      </c>
      <c r="C4466" s="24" t="s">
        <v>10775</v>
      </c>
      <c r="D4466" s="21">
        <v>50</v>
      </c>
      <c r="E4466" s="21"/>
      <c r="F4466" s="21" t="s">
        <v>10438</v>
      </c>
      <c r="G4466" s="21"/>
      <c r="H4466" s="54">
        <v>50</v>
      </c>
      <c r="I4466" s="51"/>
      <c r="J4466" s="27"/>
      <c r="K4466" s="27"/>
      <c r="L4466" s="15"/>
      <c r="M4466" s="15"/>
      <c r="N4466" s="4" t="s">
        <v>5090</v>
      </c>
      <c r="O4466" s="4"/>
      <c r="Q4466"/>
      <c r="R4466"/>
      <c r="S4466"/>
    </row>
    <row r="4467" spans="1:21" s="25" customFormat="1" x14ac:dyDescent="0.2">
      <c r="A4467" s="23">
        <v>40008083</v>
      </c>
      <c r="B4467" s="23" t="s">
        <v>10707</v>
      </c>
      <c r="C4467" s="24" t="s">
        <v>10776</v>
      </c>
      <c r="D4467" s="21">
        <v>11</v>
      </c>
      <c r="E4467" s="21"/>
      <c r="F4467" s="21" t="s">
        <v>10438</v>
      </c>
      <c r="G4467" s="21"/>
      <c r="H4467" s="54">
        <v>1</v>
      </c>
      <c r="I4467" s="51"/>
      <c r="J4467" s="27"/>
      <c r="K4467" s="27"/>
      <c r="L4467" s="15"/>
      <c r="M4467" s="15"/>
      <c r="N4467" s="4" t="s">
        <v>4484</v>
      </c>
      <c r="O4467" s="4"/>
      <c r="Q4467"/>
      <c r="R4467"/>
      <c r="S4467"/>
    </row>
    <row r="4468" spans="1:21" s="25" customFormat="1" x14ac:dyDescent="0.2">
      <c r="A4468" s="23">
        <v>40008319</v>
      </c>
      <c r="B4468" s="23" t="s">
        <v>10708</v>
      </c>
      <c r="C4468" s="24" t="s">
        <v>10777</v>
      </c>
      <c r="D4468" s="21">
        <v>1</v>
      </c>
      <c r="E4468" s="21"/>
      <c r="F4468" s="21" t="s">
        <v>10438</v>
      </c>
      <c r="G4468" s="21"/>
      <c r="H4468" s="54">
        <v>9</v>
      </c>
      <c r="I4468" s="51"/>
      <c r="J4468" s="27"/>
      <c r="K4468" s="27"/>
      <c r="L4468" s="15"/>
      <c r="M4468" s="15"/>
      <c r="N4468" s="4" t="s">
        <v>4009</v>
      </c>
      <c r="O4468" s="4"/>
      <c r="Q4468"/>
      <c r="R4468"/>
      <c r="S4468"/>
    </row>
    <row r="4469" spans="1:21" s="25" customFormat="1" x14ac:dyDescent="0.2">
      <c r="A4469" s="2">
        <v>40010340</v>
      </c>
      <c r="B4469" s="2" t="s">
        <v>10709</v>
      </c>
      <c r="C4469" s="24">
        <v>965531131</v>
      </c>
      <c r="D4469" s="21">
        <v>7</v>
      </c>
      <c r="E4469" s="21"/>
      <c r="F4469" s="21" t="s">
        <v>10438</v>
      </c>
      <c r="G4469" s="21"/>
      <c r="H4469" s="54"/>
      <c r="I4469" s="51"/>
      <c r="J4469" s="27"/>
      <c r="K4469" s="27"/>
      <c r="L4469" s="15"/>
      <c r="M4469" s="15"/>
      <c r="N4469" s="4"/>
      <c r="O4469" s="4"/>
      <c r="Q4469"/>
      <c r="R4469"/>
      <c r="S4469"/>
    </row>
    <row r="4470" spans="1:21" s="25" customFormat="1" x14ac:dyDescent="0.2">
      <c r="A4470" s="2">
        <v>40010589</v>
      </c>
      <c r="B4470" s="2" t="s">
        <v>10710</v>
      </c>
      <c r="C4470" s="24" t="s">
        <v>10847</v>
      </c>
      <c r="D4470" s="21">
        <v>5</v>
      </c>
      <c r="E4470" s="21"/>
      <c r="F4470" s="21" t="s">
        <v>10438</v>
      </c>
      <c r="G4470" s="21"/>
      <c r="H4470" s="54">
        <v>11</v>
      </c>
      <c r="I4470" s="51"/>
      <c r="J4470" s="27"/>
      <c r="K4470" s="27"/>
      <c r="L4470" s="15"/>
      <c r="M4470" s="15"/>
      <c r="N4470" s="4" t="s">
        <v>9515</v>
      </c>
      <c r="O4470" s="4"/>
      <c r="Q4470"/>
      <c r="R4470"/>
      <c r="S4470"/>
    </row>
    <row r="4471" spans="1:21" s="25" customFormat="1" x14ac:dyDescent="0.2">
      <c r="A4471" s="2">
        <v>40011193</v>
      </c>
      <c r="B4471" s="2" t="s">
        <v>10711</v>
      </c>
      <c r="C4471" s="24" t="s">
        <v>10778</v>
      </c>
      <c r="D4471" s="21">
        <v>5</v>
      </c>
      <c r="E4471" s="21"/>
      <c r="F4471" s="21" t="s">
        <v>10438</v>
      </c>
      <c r="G4471" s="21"/>
      <c r="H4471" s="54"/>
      <c r="I4471" s="51"/>
      <c r="J4471" s="27"/>
      <c r="K4471" s="27"/>
      <c r="L4471" s="15"/>
      <c r="M4471" s="15"/>
      <c r="N4471" s="4" t="s">
        <v>10731</v>
      </c>
      <c r="O4471" s="4"/>
      <c r="Q4471"/>
      <c r="R4471"/>
      <c r="S4471"/>
    </row>
    <row r="4472" spans="1:21" x14ac:dyDescent="0.2">
      <c r="A4472" s="2">
        <v>40010395</v>
      </c>
      <c r="B4472" s="17" t="s">
        <v>10486</v>
      </c>
      <c r="C4472" s="5" t="s">
        <v>10379</v>
      </c>
      <c r="D4472" s="21">
        <v>12</v>
      </c>
      <c r="E4472" s="21"/>
      <c r="F4472" s="21" t="s">
        <v>10438</v>
      </c>
      <c r="G4472" s="21"/>
      <c r="H4472" s="54">
        <v>180</v>
      </c>
      <c r="I4472" s="51"/>
      <c r="J4472" s="27"/>
      <c r="K4472" s="27"/>
      <c r="L4472" s="15"/>
      <c r="M4472" s="15"/>
      <c r="N4472" s="4">
        <v>73</v>
      </c>
      <c r="O4472" s="4"/>
      <c r="T4472" s="25"/>
      <c r="U4472" s="25"/>
    </row>
    <row r="4473" spans="1:21" x14ac:dyDescent="0.2">
      <c r="A4473" s="2">
        <v>10020032</v>
      </c>
      <c r="B4473" s="17" t="s">
        <v>10487</v>
      </c>
      <c r="C4473" s="5" t="s">
        <v>10380</v>
      </c>
      <c r="D4473" s="21">
        <v>27</v>
      </c>
      <c r="E4473" s="21"/>
      <c r="F4473" s="21" t="s">
        <v>10438</v>
      </c>
      <c r="G4473" s="21"/>
      <c r="H4473" s="54">
        <v>273</v>
      </c>
      <c r="I4473" s="51"/>
      <c r="J4473" s="27"/>
      <c r="K4473" s="27"/>
      <c r="L4473" s="15"/>
      <c r="M4473" s="15"/>
      <c r="N4473" s="4">
        <v>92</v>
      </c>
      <c r="O4473" s="4"/>
    </row>
    <row r="4474" spans="1:21" x14ac:dyDescent="0.2">
      <c r="A4474" s="2">
        <v>40007648</v>
      </c>
      <c r="B4474" s="17" t="s">
        <v>10488</v>
      </c>
      <c r="C4474" s="5" t="s">
        <v>10381</v>
      </c>
      <c r="D4474" s="21">
        <v>1</v>
      </c>
      <c r="E4474" s="21"/>
      <c r="F4474" s="21" t="s">
        <v>10438</v>
      </c>
      <c r="G4474" s="21"/>
      <c r="H4474" s="54">
        <v>5</v>
      </c>
      <c r="I4474" s="51"/>
      <c r="J4474" s="27"/>
      <c r="K4474" s="27"/>
      <c r="L4474" s="15"/>
      <c r="M4474" s="15"/>
      <c r="N4474" s="4" t="s">
        <v>4934</v>
      </c>
      <c r="O4474" s="4"/>
    </row>
    <row r="4475" spans="1:21" x14ac:dyDescent="0.2">
      <c r="A4475" s="2">
        <v>40005539</v>
      </c>
      <c r="B4475" s="17" t="s">
        <v>10489</v>
      </c>
      <c r="C4475" s="2" t="s">
        <v>10382</v>
      </c>
      <c r="D4475" s="21">
        <v>2</v>
      </c>
      <c r="E4475" s="21"/>
      <c r="F4475" s="21" t="s">
        <v>10438</v>
      </c>
      <c r="G4475" s="21"/>
      <c r="H4475" s="54">
        <v>19</v>
      </c>
      <c r="I4475" s="51"/>
      <c r="J4475" s="27"/>
      <c r="K4475" s="27"/>
      <c r="L4475" s="15"/>
      <c r="M4475" s="15"/>
      <c r="N4475" s="4" t="s">
        <v>5192</v>
      </c>
      <c r="O4475" s="4"/>
    </row>
    <row r="4476" spans="1:21" x14ac:dyDescent="0.2">
      <c r="A4476" s="2">
        <v>40005273</v>
      </c>
      <c r="B4476" s="17" t="s">
        <v>10490</v>
      </c>
      <c r="C4476" s="2" t="s">
        <v>10383</v>
      </c>
      <c r="D4476" s="21">
        <v>3</v>
      </c>
      <c r="E4476" s="21"/>
      <c r="F4476" s="21" t="s">
        <v>10438</v>
      </c>
      <c r="G4476" s="21"/>
      <c r="H4476" s="54">
        <v>247</v>
      </c>
      <c r="I4476" s="51"/>
      <c r="J4476" s="27"/>
      <c r="K4476" s="27"/>
      <c r="L4476" s="15"/>
      <c r="M4476" s="15"/>
      <c r="N4476" s="4" t="s">
        <v>4188</v>
      </c>
      <c r="O4476" s="4"/>
    </row>
    <row r="4477" spans="1:21" x14ac:dyDescent="0.2">
      <c r="A4477" s="2">
        <v>40007987</v>
      </c>
      <c r="B4477" s="17" t="s">
        <v>10491</v>
      </c>
      <c r="C4477" s="7" t="s">
        <v>10384</v>
      </c>
      <c r="D4477" s="21">
        <v>2</v>
      </c>
      <c r="E4477" s="21"/>
      <c r="F4477" s="21" t="s">
        <v>10438</v>
      </c>
      <c r="G4477" s="21"/>
      <c r="H4477" s="54">
        <v>69</v>
      </c>
      <c r="I4477" s="51"/>
      <c r="J4477" s="27"/>
      <c r="K4477" s="27"/>
      <c r="L4477" s="15"/>
      <c r="M4477" s="15"/>
      <c r="N4477" s="4" t="s">
        <v>4271</v>
      </c>
      <c r="O4477" s="4"/>
    </row>
    <row r="4478" spans="1:21" x14ac:dyDescent="0.2">
      <c r="A4478" s="2">
        <v>10048002</v>
      </c>
      <c r="B4478" s="17" t="s">
        <v>10492</v>
      </c>
      <c r="C4478" s="2" t="s">
        <v>10385</v>
      </c>
      <c r="D4478" s="21"/>
      <c r="E4478" s="21"/>
      <c r="F4478" s="21" t="s">
        <v>10438</v>
      </c>
      <c r="G4478" s="21"/>
      <c r="H4478" s="54">
        <v>2115</v>
      </c>
      <c r="I4478" s="51"/>
      <c r="J4478" s="27">
        <v>2</v>
      </c>
      <c r="K4478" s="27"/>
      <c r="L4478" s="15"/>
      <c r="M4478" s="15"/>
      <c r="N4478" s="4"/>
      <c r="O4478" s="4"/>
    </row>
    <row r="4479" spans="1:21" x14ac:dyDescent="0.2">
      <c r="A4479" s="2">
        <v>10048003</v>
      </c>
      <c r="B4479" s="2" t="s">
        <v>10493</v>
      </c>
      <c r="C4479" s="2" t="s">
        <v>10386</v>
      </c>
      <c r="D4479" s="21">
        <v>3</v>
      </c>
      <c r="E4479" s="21"/>
      <c r="F4479" s="21" t="s">
        <v>10438</v>
      </c>
      <c r="G4479" s="21"/>
      <c r="H4479" s="54">
        <v>4595</v>
      </c>
      <c r="I4479" s="51">
        <v>4140</v>
      </c>
      <c r="J4479" s="27">
        <v>7</v>
      </c>
      <c r="K4479" s="27"/>
      <c r="L4479" s="15"/>
      <c r="M4479" s="15"/>
      <c r="N4479" s="4"/>
      <c r="O4479" s="4"/>
    </row>
    <row r="4480" spans="1:21" x14ac:dyDescent="0.2">
      <c r="A4480" s="2">
        <v>10048004</v>
      </c>
      <c r="B4480" s="17" t="s">
        <v>10494</v>
      </c>
      <c r="C4480" s="17" t="s">
        <v>10387</v>
      </c>
      <c r="D4480" s="21">
        <v>4</v>
      </c>
      <c r="E4480" s="21"/>
      <c r="F4480" s="21" t="s">
        <v>10438</v>
      </c>
      <c r="G4480" s="21"/>
      <c r="H4480" s="54">
        <v>5410</v>
      </c>
      <c r="I4480" s="51">
        <v>4330</v>
      </c>
      <c r="J4480" s="27"/>
      <c r="K4480" s="27"/>
      <c r="L4480" s="15"/>
      <c r="M4480" s="15"/>
      <c r="N4480" s="4"/>
      <c r="O4480" s="4"/>
    </row>
    <row r="4481" spans="1:15" x14ac:dyDescent="0.2">
      <c r="A4481" s="2">
        <v>10048005</v>
      </c>
      <c r="B4481" s="17" t="s">
        <v>10495</v>
      </c>
      <c r="C4481" s="17" t="s">
        <v>10388</v>
      </c>
      <c r="D4481" s="21">
        <v>2</v>
      </c>
      <c r="E4481" s="21"/>
      <c r="F4481" s="21" t="s">
        <v>10438</v>
      </c>
      <c r="G4481" s="21"/>
      <c r="H4481" s="54">
        <v>414</v>
      </c>
      <c r="I4481" s="51"/>
      <c r="J4481" s="27"/>
      <c r="K4481" s="27"/>
      <c r="L4481" s="15"/>
      <c r="M4481" s="15"/>
      <c r="N4481" s="4"/>
      <c r="O4481" s="4">
        <v>96</v>
      </c>
    </row>
    <row r="4482" spans="1:15" x14ac:dyDescent="0.2">
      <c r="A4482" s="2">
        <v>10048006</v>
      </c>
      <c r="B4482" s="17" t="s">
        <v>10496</v>
      </c>
      <c r="C4482" s="17" t="s">
        <v>10389</v>
      </c>
      <c r="D4482" s="21">
        <v>2</v>
      </c>
      <c r="E4482" s="21"/>
      <c r="F4482" s="21" t="s">
        <v>10438</v>
      </c>
      <c r="G4482" s="21"/>
      <c r="H4482" s="54">
        <v>81</v>
      </c>
      <c r="I4482" s="51"/>
      <c r="J4482" s="27"/>
      <c r="K4482" s="27"/>
      <c r="L4482" s="15"/>
      <c r="M4482" s="15"/>
      <c r="N4482" s="4"/>
      <c r="O4482" s="4"/>
    </row>
    <row r="4483" spans="1:15" x14ac:dyDescent="0.2">
      <c r="A4483" s="2">
        <v>10048007</v>
      </c>
      <c r="B4483" s="17" t="s">
        <v>10497</v>
      </c>
      <c r="C4483" s="17" t="s">
        <v>10390</v>
      </c>
      <c r="D4483" s="21">
        <v>5</v>
      </c>
      <c r="E4483" s="21"/>
      <c r="F4483" s="21" t="s">
        <v>10438</v>
      </c>
      <c r="G4483" s="21"/>
      <c r="H4483" s="54">
        <v>95</v>
      </c>
      <c r="I4483" s="51"/>
      <c r="J4483" s="27"/>
      <c r="K4483" s="27"/>
      <c r="L4483" s="15"/>
      <c r="M4483" s="15"/>
      <c r="N4483" s="4"/>
      <c r="O4483" s="4"/>
    </row>
    <row r="4484" spans="1:15" x14ac:dyDescent="0.2">
      <c r="A4484" s="2">
        <v>10048008</v>
      </c>
      <c r="B4484" s="17" t="s">
        <v>10498</v>
      </c>
      <c r="C4484" s="17" t="s">
        <v>10391</v>
      </c>
      <c r="D4484" s="21">
        <v>2</v>
      </c>
      <c r="E4484" s="21"/>
      <c r="F4484" s="21" t="s">
        <v>10438</v>
      </c>
      <c r="G4484" s="21"/>
      <c r="H4484" s="54">
        <v>120</v>
      </c>
      <c r="I4484" s="51"/>
      <c r="J4484" s="27"/>
      <c r="K4484" s="27"/>
      <c r="L4484" s="15"/>
      <c r="M4484" s="15"/>
      <c r="N4484" s="4"/>
      <c r="O4484" s="4"/>
    </row>
    <row r="4485" spans="1:15" x14ac:dyDescent="0.2">
      <c r="A4485" s="2">
        <v>10048009</v>
      </c>
      <c r="B4485" s="17" t="s">
        <v>10499</v>
      </c>
      <c r="C4485" s="17" t="s">
        <v>10392</v>
      </c>
      <c r="D4485" s="21">
        <v>3</v>
      </c>
      <c r="E4485" s="21"/>
      <c r="F4485" s="21" t="s">
        <v>10438</v>
      </c>
      <c r="G4485" s="21"/>
      <c r="H4485" s="54">
        <v>27</v>
      </c>
      <c r="I4485" s="51"/>
      <c r="J4485" s="27"/>
      <c r="K4485" s="27"/>
      <c r="L4485" s="15"/>
      <c r="M4485" s="15"/>
      <c r="N4485" s="4">
        <v>53</v>
      </c>
      <c r="O4485" s="4"/>
    </row>
    <row r="4486" spans="1:15" x14ac:dyDescent="0.2">
      <c r="A4486" s="2">
        <v>10048010</v>
      </c>
      <c r="B4486" s="17" t="s">
        <v>10500</v>
      </c>
      <c r="C4486" s="17" t="s">
        <v>10393</v>
      </c>
      <c r="D4486" s="21">
        <v>5</v>
      </c>
      <c r="E4486" s="21"/>
      <c r="F4486" s="21" t="s">
        <v>10438</v>
      </c>
      <c r="G4486" s="21"/>
      <c r="H4486" s="54">
        <v>30</v>
      </c>
      <c r="I4486" s="51"/>
      <c r="J4486" s="27"/>
      <c r="K4486" s="27"/>
      <c r="L4486" s="15"/>
      <c r="M4486" s="15"/>
      <c r="N4486" s="4">
        <v>53</v>
      </c>
      <c r="O4486" s="4"/>
    </row>
    <row r="4487" spans="1:15" x14ac:dyDescent="0.2">
      <c r="A4487" s="2">
        <v>10048011</v>
      </c>
      <c r="B4487" s="17" t="s">
        <v>10501</v>
      </c>
      <c r="C4487" s="17" t="s">
        <v>10394</v>
      </c>
      <c r="D4487" s="21">
        <v>5</v>
      </c>
      <c r="E4487" s="21"/>
      <c r="F4487" s="21" t="s">
        <v>10438</v>
      </c>
      <c r="G4487" s="21"/>
      <c r="H4487" s="54">
        <v>32</v>
      </c>
      <c r="I4487" s="51"/>
      <c r="J4487" s="27"/>
      <c r="K4487" s="27"/>
      <c r="L4487" s="15"/>
      <c r="M4487" s="15"/>
      <c r="N4487" s="4">
        <v>53</v>
      </c>
      <c r="O4487" s="4"/>
    </row>
    <row r="4488" spans="1:15" x14ac:dyDescent="0.2">
      <c r="A4488" s="2">
        <v>10048012</v>
      </c>
      <c r="B4488" s="17" t="s">
        <v>10502</v>
      </c>
      <c r="C4488" s="17" t="s">
        <v>10395</v>
      </c>
      <c r="D4488" s="21">
        <v>5</v>
      </c>
      <c r="E4488" s="21"/>
      <c r="F4488" s="21" t="s">
        <v>10438</v>
      </c>
      <c r="G4488" s="21"/>
      <c r="H4488" s="54">
        <v>38</v>
      </c>
      <c r="I4488" s="51"/>
      <c r="J4488" s="27"/>
      <c r="K4488" s="27"/>
      <c r="L4488" s="15"/>
      <c r="M4488" s="15"/>
      <c r="N4488" s="4">
        <v>53</v>
      </c>
      <c r="O4488" s="4"/>
    </row>
    <row r="4489" spans="1:15" x14ac:dyDescent="0.2">
      <c r="A4489" s="2">
        <v>10048013</v>
      </c>
      <c r="B4489" s="17" t="s">
        <v>10503</v>
      </c>
      <c r="C4489" s="17" t="s">
        <v>10396</v>
      </c>
      <c r="D4489" s="21">
        <v>5</v>
      </c>
      <c r="E4489" s="21"/>
      <c r="F4489" s="21" t="s">
        <v>10438</v>
      </c>
      <c r="G4489" s="21"/>
      <c r="H4489" s="54">
        <v>48</v>
      </c>
      <c r="I4489" s="51"/>
      <c r="J4489" s="27"/>
      <c r="K4489" s="27"/>
      <c r="L4489" s="15"/>
      <c r="M4489" s="15"/>
      <c r="N4489" s="4">
        <v>53</v>
      </c>
      <c r="O4489" s="4"/>
    </row>
    <row r="4490" spans="1:15" x14ac:dyDescent="0.2">
      <c r="A4490" s="2">
        <v>10048014</v>
      </c>
      <c r="B4490" s="17" t="s">
        <v>10504</v>
      </c>
      <c r="C4490" s="17" t="s">
        <v>10397</v>
      </c>
      <c r="D4490" s="21">
        <v>9</v>
      </c>
      <c r="E4490" s="21"/>
      <c r="F4490" s="21" t="s">
        <v>10438</v>
      </c>
      <c r="G4490" s="21"/>
      <c r="H4490" s="54">
        <v>46</v>
      </c>
      <c r="I4490" s="51"/>
      <c r="J4490" s="27"/>
      <c r="K4490" s="27"/>
      <c r="L4490" s="15"/>
      <c r="M4490" s="15"/>
      <c r="N4490" s="4">
        <v>53</v>
      </c>
      <c r="O4490" s="4"/>
    </row>
    <row r="4491" spans="1:15" x14ac:dyDescent="0.2">
      <c r="A4491" s="2">
        <v>10048015</v>
      </c>
      <c r="B4491" s="17" t="s">
        <v>10505</v>
      </c>
      <c r="C4491" s="17" t="s">
        <v>10398</v>
      </c>
      <c r="D4491" s="21">
        <v>10</v>
      </c>
      <c r="E4491" s="21"/>
      <c r="F4491" s="21" t="s">
        <v>10438</v>
      </c>
      <c r="G4491" s="21"/>
      <c r="H4491" s="54">
        <v>51</v>
      </c>
      <c r="I4491" s="51"/>
      <c r="J4491" s="27"/>
      <c r="K4491" s="27"/>
      <c r="L4491" s="15"/>
      <c r="M4491" s="15"/>
      <c r="N4491" s="4">
        <v>53</v>
      </c>
      <c r="O4491" s="4"/>
    </row>
    <row r="4492" spans="1:15" x14ac:dyDescent="0.2">
      <c r="A4492" s="2">
        <v>10048016</v>
      </c>
      <c r="B4492" s="17" t="s">
        <v>10506</v>
      </c>
      <c r="C4492" s="17" t="s">
        <v>10399</v>
      </c>
      <c r="D4492" s="21">
        <v>3</v>
      </c>
      <c r="E4492" s="21"/>
      <c r="F4492" s="21" t="s">
        <v>10438</v>
      </c>
      <c r="G4492" s="21"/>
      <c r="H4492" s="54">
        <v>1558</v>
      </c>
      <c r="I4492" s="51"/>
      <c r="J4492" s="27"/>
      <c r="K4492" s="27"/>
      <c r="L4492" s="15"/>
      <c r="M4492" s="15"/>
      <c r="N4492" s="4">
        <v>49</v>
      </c>
      <c r="O4492" s="4"/>
    </row>
    <row r="4493" spans="1:15" x14ac:dyDescent="0.2">
      <c r="A4493" s="2">
        <v>10048024</v>
      </c>
      <c r="B4493" s="17" t="s">
        <v>10507</v>
      </c>
      <c r="C4493" s="17" t="s">
        <v>10400</v>
      </c>
      <c r="D4493" s="21">
        <v>30</v>
      </c>
      <c r="E4493" s="21"/>
      <c r="F4493" s="21" t="s">
        <v>10438</v>
      </c>
      <c r="G4493" s="21"/>
      <c r="H4493" s="54">
        <v>215</v>
      </c>
      <c r="I4493" s="51"/>
      <c r="J4493" s="27"/>
      <c r="K4493" s="27"/>
      <c r="L4493" s="15"/>
      <c r="M4493" s="15"/>
      <c r="N4493" s="4">
        <v>114</v>
      </c>
      <c r="O4493" s="4"/>
    </row>
    <row r="4494" spans="1:15" x14ac:dyDescent="0.2">
      <c r="A4494" s="2">
        <v>10048025</v>
      </c>
      <c r="B4494" s="17" t="s">
        <v>10508</v>
      </c>
      <c r="C4494" s="17" t="s">
        <v>10401</v>
      </c>
      <c r="D4494" s="21">
        <v>10</v>
      </c>
      <c r="E4494" s="21"/>
      <c r="F4494" s="21" t="s">
        <v>10438</v>
      </c>
      <c r="G4494" s="21"/>
      <c r="H4494" s="54">
        <v>753</v>
      </c>
      <c r="I4494" s="51"/>
      <c r="J4494" s="27"/>
      <c r="K4494" s="27"/>
      <c r="L4494" s="15"/>
      <c r="M4494" s="15"/>
      <c r="N4494" s="4"/>
      <c r="O4494" s="4"/>
    </row>
    <row r="4495" spans="1:15" x14ac:dyDescent="0.2">
      <c r="A4495" s="2">
        <v>10048026</v>
      </c>
      <c r="B4495" s="17" t="s">
        <v>10509</v>
      </c>
      <c r="C4495" s="17" t="s">
        <v>10402</v>
      </c>
      <c r="D4495" s="21">
        <v>2</v>
      </c>
      <c r="E4495" s="21"/>
      <c r="F4495" s="21" t="s">
        <v>10438</v>
      </c>
      <c r="G4495" s="21"/>
      <c r="H4495" s="54">
        <v>583</v>
      </c>
      <c r="I4495" s="51"/>
      <c r="J4495" s="27"/>
      <c r="K4495" s="27"/>
      <c r="L4495" s="15"/>
      <c r="M4495" s="15"/>
      <c r="N4495" s="4"/>
      <c r="O4495" s="4"/>
    </row>
    <row r="4496" spans="1:15" x14ac:dyDescent="0.2">
      <c r="A4496" s="2">
        <v>10048027</v>
      </c>
      <c r="B4496" s="17" t="s">
        <v>10510</v>
      </c>
      <c r="C4496" s="17" t="s">
        <v>10403</v>
      </c>
      <c r="D4496" s="21">
        <v>17</v>
      </c>
      <c r="E4496" s="21"/>
      <c r="F4496" s="21" t="s">
        <v>10438</v>
      </c>
      <c r="G4496" s="21"/>
      <c r="H4496" s="54">
        <v>48</v>
      </c>
      <c r="I4496" s="51"/>
      <c r="J4496" s="27"/>
      <c r="K4496" s="27"/>
      <c r="L4496" s="15"/>
      <c r="M4496" s="15"/>
      <c r="N4496" s="4"/>
      <c r="O4496" s="4"/>
    </row>
    <row r="4497" spans="1:15" x14ac:dyDescent="0.2">
      <c r="A4497" s="2">
        <v>40012027</v>
      </c>
      <c r="B4497" s="17" t="s">
        <v>10511</v>
      </c>
      <c r="C4497" s="17" t="s">
        <v>10405</v>
      </c>
      <c r="D4497" s="21">
        <v>2</v>
      </c>
      <c r="E4497" s="21"/>
      <c r="F4497" s="21" t="s">
        <v>10438</v>
      </c>
      <c r="G4497" s="21"/>
      <c r="H4497" s="54">
        <v>207</v>
      </c>
      <c r="I4497" s="51"/>
      <c r="J4497" s="27"/>
      <c r="K4497" s="27"/>
      <c r="L4497" s="15"/>
      <c r="M4497" s="15"/>
      <c r="N4497" s="4"/>
      <c r="O4497" s="4"/>
    </row>
    <row r="4498" spans="1:15" x14ac:dyDescent="0.2">
      <c r="A4498" s="2">
        <v>40012029</v>
      </c>
      <c r="B4498" s="17" t="s">
        <v>10512</v>
      </c>
      <c r="C4498" s="17" t="s">
        <v>10406</v>
      </c>
      <c r="D4498" s="21">
        <v>1</v>
      </c>
      <c r="E4498" s="21"/>
      <c r="F4498" s="21" t="s">
        <v>10438</v>
      </c>
      <c r="G4498" s="21"/>
      <c r="H4498" s="54">
        <v>1137</v>
      </c>
      <c r="I4498" s="51"/>
      <c r="J4498" s="27"/>
      <c r="K4498" s="27"/>
      <c r="L4498" s="15"/>
      <c r="M4498" s="15"/>
      <c r="N4498" s="4"/>
      <c r="O4498" s="4"/>
    </row>
    <row r="4499" spans="1:15" x14ac:dyDescent="0.2">
      <c r="A4499" s="2">
        <v>40012030</v>
      </c>
      <c r="B4499" s="17" t="s">
        <v>10513</v>
      </c>
      <c r="C4499" s="17" t="s">
        <v>10407</v>
      </c>
      <c r="D4499" s="21">
        <v>5</v>
      </c>
      <c r="E4499" s="21"/>
      <c r="F4499" s="21" t="s">
        <v>10438</v>
      </c>
      <c r="G4499" s="21"/>
      <c r="H4499" s="54">
        <v>227</v>
      </c>
      <c r="I4499" s="51"/>
      <c r="J4499" s="27"/>
      <c r="K4499" s="27"/>
      <c r="L4499" s="15"/>
      <c r="M4499" s="15"/>
      <c r="N4499" s="4" t="s">
        <v>4257</v>
      </c>
      <c r="O4499" s="4"/>
    </row>
    <row r="4500" spans="1:15" x14ac:dyDescent="0.2">
      <c r="A4500" s="2">
        <v>40012031</v>
      </c>
      <c r="B4500" s="17" t="s">
        <v>10514</v>
      </c>
      <c r="C4500" s="17" t="s">
        <v>10408</v>
      </c>
      <c r="D4500" s="21">
        <v>2</v>
      </c>
      <c r="E4500" s="21"/>
      <c r="F4500" s="21" t="s">
        <v>10438</v>
      </c>
      <c r="G4500" s="21"/>
      <c r="H4500" s="54">
        <v>629</v>
      </c>
      <c r="I4500" s="51"/>
      <c r="J4500" s="27"/>
      <c r="K4500" s="27"/>
      <c r="L4500" s="15"/>
      <c r="M4500" s="15"/>
      <c r="N4500" s="4"/>
      <c r="O4500" s="4">
        <v>96</v>
      </c>
    </row>
    <row r="4501" spans="1:15" x14ac:dyDescent="0.2">
      <c r="A4501" s="2">
        <v>40012036</v>
      </c>
      <c r="B4501" s="17" t="s">
        <v>10515</v>
      </c>
      <c r="C4501" s="17" t="s">
        <v>10409</v>
      </c>
      <c r="D4501" s="21">
        <v>1</v>
      </c>
      <c r="E4501" s="21"/>
      <c r="F4501" s="21" t="s">
        <v>10438</v>
      </c>
      <c r="G4501" s="21"/>
      <c r="H4501" s="54">
        <v>443</v>
      </c>
      <c r="I4501" s="51"/>
      <c r="J4501" s="27"/>
      <c r="K4501" s="27"/>
      <c r="L4501" s="15"/>
      <c r="M4501" s="15"/>
      <c r="N4501" s="4"/>
      <c r="O4501" s="4"/>
    </row>
    <row r="4502" spans="1:15" x14ac:dyDescent="0.2">
      <c r="A4502" s="2">
        <v>40012032</v>
      </c>
      <c r="B4502" s="17" t="s">
        <v>10516</v>
      </c>
      <c r="C4502" s="17" t="s">
        <v>10410</v>
      </c>
      <c r="D4502" s="21">
        <v>1</v>
      </c>
      <c r="E4502" s="21"/>
      <c r="F4502" s="21" t="s">
        <v>10438</v>
      </c>
      <c r="G4502" s="21"/>
      <c r="H4502" s="54">
        <v>594</v>
      </c>
      <c r="I4502" s="51"/>
      <c r="J4502" s="27"/>
      <c r="K4502" s="27"/>
      <c r="L4502" s="15"/>
      <c r="M4502" s="15"/>
      <c r="N4502" s="4"/>
      <c r="O4502" s="4"/>
    </row>
    <row r="4503" spans="1:15" x14ac:dyDescent="0.2">
      <c r="A4503" s="2">
        <v>40012033</v>
      </c>
      <c r="B4503" s="17" t="s">
        <v>10517</v>
      </c>
      <c r="C4503" s="17" t="s">
        <v>10411</v>
      </c>
      <c r="D4503" s="21">
        <v>1</v>
      </c>
      <c r="E4503" s="21"/>
      <c r="F4503" s="21" t="s">
        <v>10438</v>
      </c>
      <c r="G4503" s="21"/>
      <c r="H4503" s="54">
        <v>68</v>
      </c>
      <c r="I4503" s="51"/>
      <c r="J4503" s="27"/>
      <c r="K4503" s="27"/>
      <c r="L4503" s="15"/>
      <c r="M4503" s="15"/>
      <c r="N4503" s="4" t="s">
        <v>3986</v>
      </c>
      <c r="O4503" s="4"/>
    </row>
    <row r="4504" spans="1:15" x14ac:dyDescent="0.2">
      <c r="A4504" s="2">
        <v>40012035</v>
      </c>
      <c r="B4504" s="17" t="s">
        <v>10518</v>
      </c>
      <c r="C4504" s="18">
        <v>3640630</v>
      </c>
      <c r="D4504" s="21">
        <v>2</v>
      </c>
      <c r="E4504" s="21"/>
      <c r="F4504" s="21" t="s">
        <v>10438</v>
      </c>
      <c r="G4504" s="21"/>
      <c r="H4504" s="54">
        <v>183</v>
      </c>
      <c r="I4504" s="51"/>
      <c r="J4504" s="27"/>
      <c r="K4504" s="27"/>
      <c r="L4504" s="15"/>
      <c r="M4504" s="15"/>
      <c r="N4504" s="4"/>
      <c r="O4504" s="4" t="s">
        <v>10337</v>
      </c>
    </row>
    <row r="4505" spans="1:15" x14ac:dyDescent="0.2">
      <c r="A4505" s="2">
        <v>40012028</v>
      </c>
      <c r="B4505" s="17" t="s">
        <v>10519</v>
      </c>
      <c r="C4505" s="17" t="s">
        <v>10412</v>
      </c>
      <c r="D4505" s="21">
        <v>10</v>
      </c>
      <c r="E4505" s="21"/>
      <c r="F4505" s="21" t="s">
        <v>10438</v>
      </c>
      <c r="G4505" s="21"/>
      <c r="H4505" s="54">
        <v>49</v>
      </c>
      <c r="I4505" s="51"/>
      <c r="J4505" s="27"/>
      <c r="K4505" s="27"/>
      <c r="L4505" s="15">
        <v>6</v>
      </c>
      <c r="M4505" s="15"/>
      <c r="N4505" s="4" t="s">
        <v>10732</v>
      </c>
      <c r="O4505" s="4"/>
    </row>
    <row r="4506" spans="1:15" x14ac:dyDescent="0.2">
      <c r="A4506" s="2">
        <v>40012034</v>
      </c>
      <c r="B4506" s="17" t="s">
        <v>10520</v>
      </c>
      <c r="C4506" s="17" t="s">
        <v>10413</v>
      </c>
      <c r="D4506" s="21">
        <v>14</v>
      </c>
      <c r="E4506" s="21"/>
      <c r="F4506" s="21" t="s">
        <v>10438</v>
      </c>
      <c r="G4506" s="21"/>
      <c r="H4506" s="54">
        <v>1447</v>
      </c>
      <c r="I4506" s="51"/>
      <c r="J4506" s="27"/>
      <c r="K4506" s="27"/>
      <c r="L4506" s="15"/>
      <c r="M4506" s="15"/>
      <c r="N4506" s="4" t="s">
        <v>5209</v>
      </c>
      <c r="O4506" s="4"/>
    </row>
    <row r="4507" spans="1:15" x14ac:dyDescent="0.2">
      <c r="A4507" s="2">
        <v>10048017</v>
      </c>
      <c r="B4507" s="17" t="s">
        <v>10521</v>
      </c>
      <c r="C4507" s="17" t="s">
        <v>10414</v>
      </c>
      <c r="D4507" s="21">
        <v>2</v>
      </c>
      <c r="E4507" s="21"/>
      <c r="F4507" s="21" t="s">
        <v>10438</v>
      </c>
      <c r="G4507" s="21"/>
      <c r="H4507" s="54">
        <v>1192</v>
      </c>
      <c r="I4507" s="51"/>
      <c r="J4507" s="27"/>
      <c r="K4507" s="27"/>
      <c r="L4507" s="15"/>
      <c r="M4507" s="15"/>
      <c r="N4507" s="4"/>
      <c r="O4507" s="4"/>
    </row>
    <row r="4508" spans="1:15" x14ac:dyDescent="0.2">
      <c r="A4508" s="2">
        <v>10048018</v>
      </c>
      <c r="B4508" s="17" t="s">
        <v>10522</v>
      </c>
      <c r="C4508" s="17" t="s">
        <v>10415</v>
      </c>
      <c r="D4508" s="21">
        <v>2</v>
      </c>
      <c r="E4508" s="21"/>
      <c r="F4508" s="21" t="s">
        <v>10438</v>
      </c>
      <c r="G4508" s="21"/>
      <c r="H4508" s="54">
        <v>1407</v>
      </c>
      <c r="I4508" s="51"/>
      <c r="J4508" s="27"/>
      <c r="K4508" s="27"/>
      <c r="L4508" s="15"/>
      <c r="M4508" s="15"/>
      <c r="N4508" s="4"/>
      <c r="O4508" s="4"/>
    </row>
    <row r="4509" spans="1:15" x14ac:dyDescent="0.2">
      <c r="A4509" s="2">
        <v>10048019</v>
      </c>
      <c r="B4509" s="17" t="s">
        <v>10523</v>
      </c>
      <c r="C4509" s="17" t="s">
        <v>10416</v>
      </c>
      <c r="D4509" s="21">
        <v>2</v>
      </c>
      <c r="E4509" s="21"/>
      <c r="F4509" s="21" t="s">
        <v>10438</v>
      </c>
      <c r="G4509" s="21"/>
      <c r="H4509" s="54">
        <v>1656</v>
      </c>
      <c r="I4509" s="51"/>
      <c r="J4509" s="27"/>
      <c r="K4509" s="27"/>
      <c r="L4509" s="15"/>
      <c r="M4509" s="15"/>
      <c r="N4509" s="4"/>
      <c r="O4509" s="4"/>
    </row>
    <row r="4510" spans="1:15" x14ac:dyDescent="0.2">
      <c r="A4510" s="2">
        <v>10048020</v>
      </c>
      <c r="B4510" s="17" t="s">
        <v>10524</v>
      </c>
      <c r="C4510" s="17" t="s">
        <v>10417</v>
      </c>
      <c r="D4510" s="21">
        <v>2</v>
      </c>
      <c r="E4510" s="21"/>
      <c r="F4510" s="21" t="s">
        <v>10438</v>
      </c>
      <c r="G4510" s="21"/>
      <c r="H4510" s="54">
        <v>170</v>
      </c>
      <c r="I4510" s="51"/>
      <c r="J4510" s="27"/>
      <c r="K4510" s="27"/>
      <c r="L4510" s="15"/>
      <c r="M4510" s="15"/>
      <c r="N4510" s="4"/>
      <c r="O4510" s="4"/>
    </row>
    <row r="4511" spans="1:15" x14ac:dyDescent="0.2">
      <c r="A4511" s="2">
        <v>10048021</v>
      </c>
      <c r="B4511" s="17" t="s">
        <v>10525</v>
      </c>
      <c r="C4511" s="17" t="s">
        <v>10418</v>
      </c>
      <c r="D4511" s="21">
        <v>2</v>
      </c>
      <c r="E4511" s="21"/>
      <c r="F4511" s="21" t="s">
        <v>10438</v>
      </c>
      <c r="G4511" s="21"/>
      <c r="H4511" s="54">
        <v>181</v>
      </c>
      <c r="I4511" s="51"/>
      <c r="J4511" s="27"/>
      <c r="K4511" s="27"/>
      <c r="L4511" s="15"/>
      <c r="M4511" s="15"/>
      <c r="N4511" s="4"/>
      <c r="O4511" s="4"/>
    </row>
    <row r="4512" spans="1:15" x14ac:dyDescent="0.2">
      <c r="A4512" s="2">
        <v>10048022</v>
      </c>
      <c r="B4512" s="17" t="s">
        <v>10526</v>
      </c>
      <c r="C4512" s="17" t="s">
        <v>10419</v>
      </c>
      <c r="D4512" s="21">
        <v>2</v>
      </c>
      <c r="E4512" s="21"/>
      <c r="F4512" s="21" t="s">
        <v>10438</v>
      </c>
      <c r="G4512" s="21"/>
      <c r="H4512" s="54">
        <v>212</v>
      </c>
      <c r="I4512" s="51"/>
      <c r="J4512" s="27"/>
      <c r="K4512" s="27"/>
      <c r="L4512" s="15"/>
      <c r="M4512" s="15"/>
      <c r="N4512" s="4"/>
      <c r="O4512" s="4"/>
    </row>
    <row r="4513" spans="1:15" x14ac:dyDescent="0.2">
      <c r="A4513" s="2">
        <v>40012068</v>
      </c>
      <c r="B4513" s="17" t="s">
        <v>10605</v>
      </c>
      <c r="C4513" s="18" t="s">
        <v>10586</v>
      </c>
      <c r="D4513" s="21">
        <v>1</v>
      </c>
      <c r="E4513" s="21"/>
      <c r="F4513" s="21" t="s">
        <v>10438</v>
      </c>
      <c r="G4513" s="21"/>
      <c r="H4513" s="54">
        <v>2</v>
      </c>
      <c r="I4513" s="51"/>
      <c r="J4513" s="27"/>
      <c r="K4513" s="27"/>
      <c r="L4513" s="15"/>
      <c r="M4513" s="15"/>
      <c r="N4513" s="4"/>
      <c r="O4513" s="4"/>
    </row>
    <row r="4514" spans="1:15" x14ac:dyDescent="0.2">
      <c r="A4514" s="2">
        <v>40012074</v>
      </c>
      <c r="B4514" s="17" t="s">
        <v>10596</v>
      </c>
      <c r="C4514" s="18" t="s">
        <v>10578</v>
      </c>
      <c r="D4514" s="21">
        <v>10</v>
      </c>
      <c r="E4514" s="21"/>
      <c r="F4514" s="21" t="s">
        <v>10438</v>
      </c>
      <c r="G4514" s="21"/>
      <c r="H4514" s="54">
        <v>6</v>
      </c>
      <c r="I4514" s="51"/>
      <c r="J4514" s="27"/>
      <c r="K4514" s="27"/>
      <c r="L4514" s="15"/>
      <c r="M4514" s="15"/>
      <c r="N4514" s="4" t="s">
        <v>3974</v>
      </c>
      <c r="O4514" s="4"/>
    </row>
    <row r="4515" spans="1:15" x14ac:dyDescent="0.2">
      <c r="A4515" s="2">
        <v>40012067</v>
      </c>
      <c r="B4515" s="17" t="s">
        <v>10604</v>
      </c>
      <c r="C4515" s="18" t="s">
        <v>10585</v>
      </c>
      <c r="D4515" s="21">
        <v>1</v>
      </c>
      <c r="E4515" s="21"/>
      <c r="F4515" s="21" t="s">
        <v>10438</v>
      </c>
      <c r="G4515" s="21"/>
      <c r="H4515" s="54">
        <v>6</v>
      </c>
      <c r="I4515" s="51"/>
      <c r="J4515" s="27"/>
      <c r="K4515" s="27"/>
      <c r="L4515" s="15"/>
      <c r="M4515" s="15"/>
      <c r="N4515" s="4"/>
      <c r="O4515" s="4"/>
    </row>
    <row r="4516" spans="1:15" x14ac:dyDescent="0.2">
      <c r="A4516" s="2">
        <v>40012064</v>
      </c>
      <c r="B4516" s="17" t="s">
        <v>10600</v>
      </c>
      <c r="C4516" s="18" t="s">
        <v>10582</v>
      </c>
      <c r="D4516" s="21">
        <v>2</v>
      </c>
      <c r="E4516" s="21"/>
      <c r="F4516" s="21" t="s">
        <v>10438</v>
      </c>
      <c r="G4516" s="21"/>
      <c r="H4516" s="54">
        <v>10</v>
      </c>
      <c r="I4516" s="51"/>
      <c r="J4516" s="27"/>
      <c r="K4516" s="27"/>
      <c r="L4516" s="15"/>
      <c r="M4516" s="15"/>
      <c r="N4516" s="4" t="s">
        <v>5044</v>
      </c>
      <c r="O4516" s="4"/>
    </row>
    <row r="4517" spans="1:15" x14ac:dyDescent="0.2">
      <c r="A4517" s="2">
        <v>40010969</v>
      </c>
      <c r="B4517" s="17" t="s">
        <v>10587</v>
      </c>
      <c r="C4517" s="18" t="s">
        <v>10588</v>
      </c>
      <c r="D4517" s="21">
        <v>10</v>
      </c>
      <c r="E4517" s="21"/>
      <c r="F4517" s="21" t="s">
        <v>10438</v>
      </c>
      <c r="G4517" s="21"/>
      <c r="H4517" s="54">
        <v>15</v>
      </c>
      <c r="I4517" s="51"/>
      <c r="J4517" s="27"/>
      <c r="K4517" s="27"/>
      <c r="L4517" s="15"/>
      <c r="M4517" s="15"/>
      <c r="N4517" s="4" t="s">
        <v>4609</v>
      </c>
      <c r="O4517" s="4"/>
    </row>
    <row r="4518" spans="1:15" x14ac:dyDescent="0.2">
      <c r="A4518" s="2">
        <v>40010400</v>
      </c>
      <c r="B4518" s="17" t="s">
        <v>10610</v>
      </c>
      <c r="C4518" s="18" t="s">
        <v>10592</v>
      </c>
      <c r="D4518" s="21">
        <v>4</v>
      </c>
      <c r="E4518" s="21"/>
      <c r="F4518" s="21" t="s">
        <v>10438</v>
      </c>
      <c r="G4518" s="21"/>
      <c r="H4518" s="54">
        <v>16</v>
      </c>
      <c r="I4518" s="51"/>
      <c r="J4518" s="27"/>
      <c r="K4518" s="27"/>
      <c r="L4518" s="15"/>
      <c r="M4518" s="15"/>
      <c r="N4518" s="4" t="s">
        <v>4030</v>
      </c>
      <c r="O4518" s="4"/>
    </row>
    <row r="4519" spans="1:15" x14ac:dyDescent="0.2">
      <c r="A4519" s="2">
        <v>40012065</v>
      </c>
      <c r="B4519" s="17" t="s">
        <v>10601</v>
      </c>
      <c r="C4519" s="18" t="s">
        <v>10583</v>
      </c>
      <c r="D4519" s="21">
        <v>4</v>
      </c>
      <c r="E4519" s="21"/>
      <c r="F4519" s="21" t="s">
        <v>10438</v>
      </c>
      <c r="G4519" s="21"/>
      <c r="H4519" s="54">
        <v>20</v>
      </c>
      <c r="I4519" s="51"/>
      <c r="J4519" s="27"/>
      <c r="K4519" s="27"/>
      <c r="L4519" s="15"/>
      <c r="M4519" s="15"/>
      <c r="N4519" s="4" t="s">
        <v>3974</v>
      </c>
      <c r="O4519" s="4"/>
    </row>
    <row r="4520" spans="1:15" x14ac:dyDescent="0.2">
      <c r="A4520" s="2">
        <v>40008044</v>
      </c>
      <c r="B4520" s="17" t="s">
        <v>10602</v>
      </c>
      <c r="C4520" s="18" t="s">
        <v>10584</v>
      </c>
      <c r="D4520" s="21"/>
      <c r="E4520" s="21"/>
      <c r="F4520" s="21" t="s">
        <v>10438</v>
      </c>
      <c r="G4520" s="21"/>
      <c r="H4520" s="54">
        <v>25</v>
      </c>
      <c r="I4520" s="51"/>
      <c r="J4520" s="27"/>
      <c r="K4520" s="27"/>
      <c r="L4520" s="15"/>
      <c r="M4520" s="15"/>
      <c r="N4520" s="4" t="s">
        <v>4739</v>
      </c>
      <c r="O4520" s="4"/>
    </row>
    <row r="4521" spans="1:15" x14ac:dyDescent="0.2">
      <c r="A4521" s="2">
        <v>40012070</v>
      </c>
      <c r="B4521" s="17" t="s">
        <v>10609</v>
      </c>
      <c r="C4521" s="17" t="s">
        <v>10591</v>
      </c>
      <c r="D4521" s="21">
        <v>6</v>
      </c>
      <c r="E4521" s="21"/>
      <c r="F4521" s="21" t="s">
        <v>10438</v>
      </c>
      <c r="G4521" s="21"/>
      <c r="H4521" s="54">
        <v>39</v>
      </c>
      <c r="I4521" s="51"/>
      <c r="J4521" s="27"/>
      <c r="K4521" s="27"/>
      <c r="L4521" s="15"/>
      <c r="M4521" s="15"/>
      <c r="N4521" s="4" t="s">
        <v>4714</v>
      </c>
      <c r="O4521" s="4"/>
    </row>
    <row r="4522" spans="1:15" x14ac:dyDescent="0.2">
      <c r="A4522" s="2">
        <v>40012062</v>
      </c>
      <c r="B4522" s="17" t="s">
        <v>10598</v>
      </c>
      <c r="C4522" s="17" t="s">
        <v>10580</v>
      </c>
      <c r="D4522" s="21">
        <v>4</v>
      </c>
      <c r="E4522" s="21"/>
      <c r="F4522" s="21" t="s">
        <v>10438</v>
      </c>
      <c r="G4522" s="21"/>
      <c r="H4522" s="54">
        <v>40</v>
      </c>
      <c r="I4522" s="51"/>
      <c r="J4522" s="27"/>
      <c r="K4522" s="27"/>
      <c r="L4522" s="15"/>
      <c r="M4522" s="15"/>
      <c r="N4522" s="4" t="s">
        <v>3986</v>
      </c>
      <c r="O4522" s="4"/>
    </row>
    <row r="4523" spans="1:15" x14ac:dyDescent="0.2">
      <c r="A4523" s="2">
        <v>10018199</v>
      </c>
      <c r="B4523" s="17" t="s">
        <v>10538</v>
      </c>
      <c r="C4523" s="17" t="s">
        <v>10553</v>
      </c>
      <c r="D4523" s="21">
        <v>192</v>
      </c>
      <c r="E4523" s="21"/>
      <c r="F4523" s="21" t="s">
        <v>10438</v>
      </c>
      <c r="G4523" s="21"/>
      <c r="H4523" s="54">
        <v>44</v>
      </c>
      <c r="I4523" s="51"/>
      <c r="J4523" s="27"/>
      <c r="K4523" s="27"/>
      <c r="L4523" s="15"/>
      <c r="M4523" s="15"/>
      <c r="N4523" s="4">
        <v>107</v>
      </c>
      <c r="O4523" s="4"/>
    </row>
    <row r="4524" spans="1:15" x14ac:dyDescent="0.2">
      <c r="A4524" s="2">
        <v>40010268</v>
      </c>
      <c r="B4524" s="17" t="s">
        <v>10537</v>
      </c>
      <c r="C4524" s="18">
        <v>3320120</v>
      </c>
      <c r="D4524" s="21">
        <v>4</v>
      </c>
      <c r="E4524" s="21"/>
      <c r="F4524" s="21" t="s">
        <v>10438</v>
      </c>
      <c r="G4524" s="21"/>
      <c r="H4524" s="54">
        <v>57</v>
      </c>
      <c r="I4524" s="51"/>
      <c r="J4524" s="27"/>
      <c r="K4524" s="27"/>
      <c r="L4524" s="15"/>
      <c r="M4524" s="15"/>
      <c r="N4524" s="4" t="s">
        <v>3969</v>
      </c>
      <c r="O4524" s="4"/>
    </row>
    <row r="4525" spans="1:15" x14ac:dyDescent="0.2">
      <c r="A4525" s="2">
        <v>40007809</v>
      </c>
      <c r="B4525" s="17" t="s">
        <v>10779</v>
      </c>
      <c r="C4525" s="17" t="s">
        <v>10774</v>
      </c>
      <c r="D4525" s="21">
        <v>5</v>
      </c>
      <c r="E4525" s="21"/>
      <c r="F4525" s="21" t="s">
        <v>10438</v>
      </c>
      <c r="G4525" s="21"/>
      <c r="H4525" s="54">
        <v>120</v>
      </c>
      <c r="I4525" s="51"/>
      <c r="J4525" s="27"/>
      <c r="K4525" s="27"/>
      <c r="L4525" s="15"/>
      <c r="M4525" s="15"/>
      <c r="N4525" s="4"/>
      <c r="O4525" s="4"/>
    </row>
    <row r="4526" spans="1:15" x14ac:dyDescent="0.2">
      <c r="A4526" s="2">
        <v>40012072</v>
      </c>
      <c r="B4526" s="17" t="s">
        <v>10608</v>
      </c>
      <c r="C4526" s="17" t="s">
        <v>10590</v>
      </c>
      <c r="D4526" s="21">
        <v>2</v>
      </c>
      <c r="E4526" s="21"/>
      <c r="F4526" s="21" t="s">
        <v>10438</v>
      </c>
      <c r="G4526" s="21"/>
      <c r="H4526" s="54">
        <v>97</v>
      </c>
      <c r="I4526" s="51"/>
      <c r="J4526" s="27"/>
      <c r="K4526" s="27"/>
      <c r="L4526" s="15"/>
      <c r="M4526" s="15"/>
      <c r="N4526" s="4" t="s">
        <v>3986</v>
      </c>
      <c r="O4526" s="4"/>
    </row>
    <row r="4527" spans="1:15" x14ac:dyDescent="0.2">
      <c r="A4527" s="2">
        <v>10018799</v>
      </c>
      <c r="B4527" s="17" t="s">
        <v>10531</v>
      </c>
      <c r="C4527" s="17" t="s">
        <v>10547</v>
      </c>
      <c r="D4527" s="21">
        <v>18</v>
      </c>
      <c r="E4527" s="34"/>
      <c r="F4527" s="34" t="s">
        <v>10438</v>
      </c>
      <c r="G4527" s="21"/>
      <c r="H4527" s="54">
        <v>123</v>
      </c>
      <c r="I4527" s="51"/>
      <c r="J4527" s="27"/>
      <c r="K4527" s="27"/>
      <c r="L4527" s="15"/>
      <c r="M4527" s="15"/>
      <c r="N4527" s="4">
        <v>72</v>
      </c>
      <c r="O4527" s="4"/>
    </row>
    <row r="4528" spans="1:15" x14ac:dyDescent="0.2">
      <c r="A4528" s="2">
        <v>40010349</v>
      </c>
      <c r="B4528" s="2" t="s">
        <v>10594</v>
      </c>
      <c r="C4528" s="5" t="s">
        <v>10595</v>
      </c>
      <c r="D4528" s="21">
        <v>3</v>
      </c>
      <c r="E4528" s="34"/>
      <c r="F4528" s="34" t="s">
        <v>10438</v>
      </c>
      <c r="G4528" s="21"/>
      <c r="H4528" s="54">
        <v>297</v>
      </c>
      <c r="I4528" s="51"/>
      <c r="J4528" s="27"/>
      <c r="K4528" s="27"/>
      <c r="L4528" s="15"/>
      <c r="M4528" s="15"/>
      <c r="N4528" s="4" t="s">
        <v>5093</v>
      </c>
      <c r="O4528" s="4"/>
    </row>
    <row r="4529" spans="1:15" x14ac:dyDescent="0.2">
      <c r="A4529" s="2">
        <v>40012061</v>
      </c>
      <c r="B4529" s="2" t="s">
        <v>10597</v>
      </c>
      <c r="C4529" s="5" t="s">
        <v>10579</v>
      </c>
      <c r="D4529" s="21">
        <v>1</v>
      </c>
      <c r="E4529" s="34"/>
      <c r="F4529" s="34" t="s">
        <v>10438</v>
      </c>
      <c r="G4529" s="21"/>
      <c r="H4529" s="54">
        <v>317</v>
      </c>
      <c r="I4529" s="51"/>
      <c r="J4529" s="27"/>
      <c r="K4529" s="27"/>
      <c r="L4529" s="15"/>
      <c r="M4529" s="15"/>
      <c r="N4529" s="4"/>
      <c r="O4529" s="4"/>
    </row>
    <row r="4530" spans="1:15" x14ac:dyDescent="0.2">
      <c r="A4530" s="2">
        <v>40012071</v>
      </c>
      <c r="B4530" s="2" t="s">
        <v>10611</v>
      </c>
      <c r="C4530" s="10" t="s">
        <v>10593</v>
      </c>
      <c r="D4530" s="21">
        <v>1</v>
      </c>
      <c r="E4530" s="34"/>
      <c r="F4530" s="34" t="s">
        <v>10438</v>
      </c>
      <c r="G4530" s="21"/>
      <c r="H4530" s="54">
        <v>459</v>
      </c>
      <c r="I4530" s="51"/>
      <c r="J4530" s="27"/>
      <c r="K4530" s="27"/>
      <c r="L4530" s="15"/>
      <c r="M4530" s="15"/>
      <c r="N4530" s="4" t="s">
        <v>10613</v>
      </c>
      <c r="O4530" s="4"/>
    </row>
    <row r="4531" spans="1:15" x14ac:dyDescent="0.2">
      <c r="A4531" s="2">
        <v>40012063</v>
      </c>
      <c r="B4531" s="2" t="s">
        <v>10599</v>
      </c>
      <c r="C4531" s="5" t="s">
        <v>10581</v>
      </c>
      <c r="D4531" s="21">
        <v>1</v>
      </c>
      <c r="E4531" s="34"/>
      <c r="F4531" s="34" t="s">
        <v>10438</v>
      </c>
      <c r="G4531" s="21"/>
      <c r="H4531" s="54">
        <v>477</v>
      </c>
      <c r="I4531" s="51"/>
      <c r="J4531" s="27"/>
      <c r="K4531" s="27"/>
      <c r="L4531" s="15"/>
      <c r="M4531" s="15"/>
      <c r="N4531" s="4"/>
      <c r="O4531" s="4"/>
    </row>
    <row r="4532" spans="1:15" x14ac:dyDescent="0.2">
      <c r="A4532" s="2">
        <v>40012073</v>
      </c>
      <c r="B4532" s="7" t="s">
        <v>10607</v>
      </c>
      <c r="C4532" s="5" t="s">
        <v>10589</v>
      </c>
      <c r="D4532" s="21">
        <v>1</v>
      </c>
      <c r="E4532" s="34"/>
      <c r="F4532" s="34" t="s">
        <v>10438</v>
      </c>
      <c r="G4532" s="21"/>
      <c r="H4532" s="54">
        <v>576</v>
      </c>
      <c r="I4532" s="51"/>
      <c r="J4532" s="27"/>
      <c r="K4532" s="27"/>
      <c r="L4532" s="15"/>
      <c r="M4532" s="15"/>
      <c r="N4532" s="4" t="s">
        <v>10814</v>
      </c>
      <c r="O4532" s="4"/>
    </row>
    <row r="4533" spans="1:15" x14ac:dyDescent="0.2">
      <c r="A4533" s="2">
        <v>10018363</v>
      </c>
      <c r="B4533" s="2" t="s">
        <v>10539</v>
      </c>
      <c r="C4533" s="2" t="s">
        <v>10554</v>
      </c>
      <c r="D4533" s="21">
        <v>7</v>
      </c>
      <c r="E4533" s="34"/>
      <c r="F4533" s="34" t="s">
        <v>10438</v>
      </c>
      <c r="G4533" s="21"/>
      <c r="H4533" s="54">
        <v>999</v>
      </c>
      <c r="I4533" s="51"/>
      <c r="J4533" s="27"/>
      <c r="K4533" s="27"/>
      <c r="L4533" s="15"/>
      <c r="M4533" s="15"/>
      <c r="N4533" s="4"/>
      <c r="O4533" s="4"/>
    </row>
    <row r="4534" spans="1:15" x14ac:dyDescent="0.2">
      <c r="A4534" s="2">
        <v>10048671</v>
      </c>
      <c r="B4534" s="2" t="s">
        <v>10527</v>
      </c>
      <c r="C4534" s="2" t="s">
        <v>10543</v>
      </c>
      <c r="D4534" s="21">
        <v>2</v>
      </c>
      <c r="E4534" s="34"/>
      <c r="F4534" s="34" t="s">
        <v>10438</v>
      </c>
      <c r="G4534" s="21"/>
      <c r="H4534" s="54"/>
      <c r="I4534" s="51"/>
      <c r="J4534" s="27"/>
      <c r="K4534" s="27"/>
      <c r="L4534" s="15"/>
      <c r="M4534" s="15"/>
      <c r="N4534" s="4"/>
      <c r="O4534" s="4"/>
    </row>
    <row r="4535" spans="1:15" x14ac:dyDescent="0.2">
      <c r="A4535" s="2">
        <v>10048672</v>
      </c>
      <c r="B4535" s="2" t="s">
        <v>10528</v>
      </c>
      <c r="C4535" s="2" t="s">
        <v>10544</v>
      </c>
      <c r="D4535" s="21">
        <v>1</v>
      </c>
      <c r="E4535" s="34"/>
      <c r="F4535" s="34" t="s">
        <v>10438</v>
      </c>
      <c r="G4535" s="21"/>
      <c r="H4535" s="54"/>
      <c r="I4535" s="51"/>
      <c r="J4535" s="27">
        <v>3</v>
      </c>
      <c r="K4535" s="27"/>
      <c r="L4535" s="15"/>
      <c r="M4535" s="15"/>
      <c r="N4535" s="4"/>
      <c r="O4535" s="4"/>
    </row>
    <row r="4536" spans="1:15" x14ac:dyDescent="0.2">
      <c r="A4536" s="2">
        <v>10048673</v>
      </c>
      <c r="B4536" s="2" t="s">
        <v>10529</v>
      </c>
      <c r="C4536" s="2" t="s">
        <v>10545</v>
      </c>
      <c r="D4536" s="21">
        <v>10</v>
      </c>
      <c r="E4536" s="21">
        <v>10</v>
      </c>
      <c r="F4536" s="34" t="s">
        <v>10438</v>
      </c>
      <c r="G4536" s="21">
        <v>6</v>
      </c>
      <c r="H4536" s="54"/>
      <c r="I4536" s="51"/>
      <c r="J4536" s="27">
        <v>90</v>
      </c>
      <c r="K4536" s="27">
        <v>90</v>
      </c>
      <c r="L4536" s="15"/>
      <c r="M4536" s="15"/>
      <c r="N4536" s="4"/>
      <c r="O4536" s="4"/>
    </row>
    <row r="4537" spans="1:15" x14ac:dyDescent="0.2">
      <c r="A4537" s="2">
        <v>10048674</v>
      </c>
      <c r="B4537" s="2" t="s">
        <v>10530</v>
      </c>
      <c r="C4537" s="2" t="s">
        <v>10546</v>
      </c>
      <c r="D4537" s="21">
        <v>1</v>
      </c>
      <c r="E4537" s="34"/>
      <c r="F4537" s="34" t="s">
        <v>10438</v>
      </c>
      <c r="G4537" s="21"/>
      <c r="H4537" s="54"/>
      <c r="I4537" s="51"/>
      <c r="J4537" s="27"/>
      <c r="K4537" s="27"/>
      <c r="L4537" s="15"/>
      <c r="M4537" s="15"/>
      <c r="N4537" s="4"/>
      <c r="O4537" s="4"/>
    </row>
    <row r="4538" spans="1:15" x14ac:dyDescent="0.2">
      <c r="A4538" s="2">
        <v>10044096</v>
      </c>
      <c r="B4538" s="2" t="s">
        <v>10532</v>
      </c>
      <c r="C4538" s="2" t="s">
        <v>10548</v>
      </c>
      <c r="D4538" s="21">
        <v>20</v>
      </c>
      <c r="E4538" s="34"/>
      <c r="F4538" s="34" t="s">
        <v>10438</v>
      </c>
      <c r="G4538" s="21"/>
      <c r="H4538" s="54"/>
      <c r="I4538" s="51"/>
      <c r="J4538" s="27"/>
      <c r="K4538" s="27"/>
      <c r="L4538" s="15"/>
      <c r="M4538" s="15"/>
      <c r="N4538" s="4">
        <v>72</v>
      </c>
      <c r="O4538" s="4"/>
    </row>
    <row r="4539" spans="1:15" x14ac:dyDescent="0.2">
      <c r="A4539" s="2">
        <v>10044091</v>
      </c>
      <c r="B4539" s="2" t="s">
        <v>10533</v>
      </c>
      <c r="C4539" s="2" t="s">
        <v>10549</v>
      </c>
      <c r="D4539" s="21">
        <v>5</v>
      </c>
      <c r="E4539" s="34"/>
      <c r="F4539" s="34" t="s">
        <v>10438</v>
      </c>
      <c r="G4539" s="21"/>
      <c r="H4539" s="54"/>
      <c r="I4539" s="51"/>
      <c r="J4539" s="27"/>
      <c r="K4539" s="27"/>
      <c r="L4539" s="15"/>
      <c r="M4539" s="15"/>
      <c r="N4539" s="4">
        <v>57</v>
      </c>
      <c r="O4539" s="4"/>
    </row>
    <row r="4540" spans="1:15" x14ac:dyDescent="0.2">
      <c r="A4540" s="2">
        <v>10044094</v>
      </c>
      <c r="B4540" s="2" t="s">
        <v>10534</v>
      </c>
      <c r="C4540" s="2" t="s">
        <v>10550</v>
      </c>
      <c r="D4540" s="21">
        <v>5</v>
      </c>
      <c r="E4540" s="34"/>
      <c r="F4540" s="34" t="s">
        <v>10438</v>
      </c>
      <c r="G4540" s="21"/>
      <c r="H4540" s="54"/>
      <c r="I4540" s="51"/>
      <c r="J4540" s="27"/>
      <c r="K4540" s="27"/>
      <c r="L4540" s="15"/>
      <c r="M4540" s="15"/>
      <c r="N4540" s="4">
        <v>77</v>
      </c>
      <c r="O4540" s="4"/>
    </row>
    <row r="4541" spans="1:15" x14ac:dyDescent="0.2">
      <c r="A4541" s="2">
        <v>10044095</v>
      </c>
      <c r="B4541" s="2" t="s">
        <v>10535</v>
      </c>
      <c r="C4541" s="2" t="s">
        <v>10551</v>
      </c>
      <c r="D4541" s="21">
        <v>5</v>
      </c>
      <c r="E4541" s="34"/>
      <c r="F4541" s="34" t="s">
        <v>10438</v>
      </c>
      <c r="G4541" s="21"/>
      <c r="H4541" s="54"/>
      <c r="I4541" s="51"/>
      <c r="J4541" s="27"/>
      <c r="K4541" s="27"/>
      <c r="L4541" s="15"/>
      <c r="M4541" s="15"/>
      <c r="N4541" s="4">
        <v>77</v>
      </c>
      <c r="O4541" s="4"/>
    </row>
    <row r="4542" spans="1:15" x14ac:dyDescent="0.2">
      <c r="A4542" s="2">
        <v>10048675</v>
      </c>
      <c r="B4542" s="2" t="s">
        <v>10536</v>
      </c>
      <c r="C4542" s="2" t="s">
        <v>10552</v>
      </c>
      <c r="D4542" s="21">
        <v>3</v>
      </c>
      <c r="E4542" s="34"/>
      <c r="F4542" s="34" t="s">
        <v>10438</v>
      </c>
      <c r="G4542" s="21"/>
      <c r="H4542" s="54"/>
      <c r="I4542" s="51"/>
      <c r="J4542" s="27"/>
      <c r="K4542" s="27"/>
      <c r="L4542" s="15"/>
      <c r="M4542" s="15"/>
      <c r="N4542" s="4">
        <v>83</v>
      </c>
      <c r="O4542" s="4"/>
    </row>
    <row r="4543" spans="1:15" x14ac:dyDescent="0.2">
      <c r="A4543" s="2">
        <v>10048676</v>
      </c>
      <c r="B4543" s="2" t="s">
        <v>10540</v>
      </c>
      <c r="C4543" s="2" t="s">
        <v>10555</v>
      </c>
      <c r="D4543" s="21"/>
      <c r="E4543" s="34"/>
      <c r="F4543" s="34" t="s">
        <v>10438</v>
      </c>
      <c r="G4543" s="21"/>
      <c r="H4543" s="54"/>
      <c r="I4543" s="51"/>
      <c r="J4543" s="27">
        <v>10</v>
      </c>
      <c r="K4543" s="27"/>
      <c r="L4543" s="15"/>
      <c r="M4543" s="15"/>
      <c r="N4543" s="4"/>
      <c r="O4543" s="4"/>
    </row>
    <row r="4544" spans="1:15" x14ac:dyDescent="0.2">
      <c r="A4544" s="2">
        <v>10048677</v>
      </c>
      <c r="B4544" s="2" t="s">
        <v>10541</v>
      </c>
      <c r="C4544" s="2" t="s">
        <v>10556</v>
      </c>
      <c r="D4544" s="21">
        <v>10</v>
      </c>
      <c r="E4544" s="34"/>
      <c r="F4544" s="34" t="s">
        <v>10438</v>
      </c>
      <c r="G4544" s="21"/>
      <c r="H4544" s="54"/>
      <c r="I4544" s="51"/>
      <c r="J4544" s="27"/>
      <c r="K4544" s="27"/>
      <c r="L4544" s="15">
        <v>25</v>
      </c>
      <c r="M4544" s="15"/>
      <c r="N4544" s="4">
        <v>94</v>
      </c>
      <c r="O4544" s="4"/>
    </row>
    <row r="4545" spans="1:15" x14ac:dyDescent="0.2">
      <c r="A4545" s="2">
        <v>10048678</v>
      </c>
      <c r="B4545" s="2" t="s">
        <v>10542</v>
      </c>
      <c r="C4545" s="2" t="s">
        <v>10557</v>
      </c>
      <c r="D4545" s="21">
        <v>23</v>
      </c>
      <c r="E4545" s="34"/>
      <c r="F4545" s="34" t="s">
        <v>10438</v>
      </c>
      <c r="G4545" s="21"/>
      <c r="H4545" s="54"/>
      <c r="I4545" s="51"/>
      <c r="J4545" s="27"/>
      <c r="K4545" s="27"/>
      <c r="L4545" s="15"/>
      <c r="M4545" s="15"/>
      <c r="N4545" s="4">
        <v>92</v>
      </c>
      <c r="O4545" s="4"/>
    </row>
    <row r="4546" spans="1:15" x14ac:dyDescent="0.2">
      <c r="A4546" s="6" t="s">
        <v>10764</v>
      </c>
      <c r="B4546" s="2" t="s">
        <v>10735</v>
      </c>
      <c r="C4546" s="2" t="s">
        <v>10734</v>
      </c>
      <c r="D4546" s="21"/>
      <c r="E4546" s="34"/>
      <c r="F4546" s="34" t="s">
        <v>10438</v>
      </c>
      <c r="G4546" s="21"/>
      <c r="H4546" s="54"/>
      <c r="I4546" s="51"/>
      <c r="J4546" s="50"/>
      <c r="K4546" s="50"/>
      <c r="L4546" s="15">
        <v>10</v>
      </c>
      <c r="M4546" s="15"/>
      <c r="N4546" s="4"/>
      <c r="O4546" s="4"/>
    </row>
    <row r="4547" spans="1:15" x14ac:dyDescent="0.2">
      <c r="A4547" s="6" t="s">
        <v>10764</v>
      </c>
      <c r="B4547" s="2" t="s">
        <v>10736</v>
      </c>
      <c r="C4547" s="2" t="s">
        <v>10750</v>
      </c>
      <c r="D4547" s="21"/>
      <c r="E4547" s="34"/>
      <c r="F4547" s="34" t="s">
        <v>10438</v>
      </c>
      <c r="G4547" s="21"/>
      <c r="H4547" s="54"/>
      <c r="I4547" s="51"/>
      <c r="J4547" s="50"/>
      <c r="K4547" s="50"/>
      <c r="L4547" s="15">
        <v>1</v>
      </c>
      <c r="M4547" s="15"/>
      <c r="N4547" s="4"/>
      <c r="O4547" s="4"/>
    </row>
    <row r="4548" spans="1:15" x14ac:dyDescent="0.2">
      <c r="A4548" s="6" t="s">
        <v>10764</v>
      </c>
      <c r="B4548" s="2" t="s">
        <v>10737</v>
      </c>
      <c r="C4548" s="2" t="s">
        <v>10751</v>
      </c>
      <c r="D4548" s="21"/>
      <c r="E4548" s="34"/>
      <c r="F4548" s="34" t="s">
        <v>10438</v>
      </c>
      <c r="G4548" s="21"/>
      <c r="H4548" s="54"/>
      <c r="I4548" s="51"/>
      <c r="J4548" s="50"/>
      <c r="K4548" s="50"/>
      <c r="L4548" s="15">
        <v>3</v>
      </c>
      <c r="M4548" s="15"/>
      <c r="N4548" s="4"/>
      <c r="O4548" s="4"/>
    </row>
    <row r="4549" spans="1:15" x14ac:dyDescent="0.2">
      <c r="A4549" s="6" t="s">
        <v>10764</v>
      </c>
      <c r="B4549" s="2" t="s">
        <v>10738</v>
      </c>
      <c r="C4549" s="2" t="s">
        <v>10752</v>
      </c>
      <c r="D4549" s="21"/>
      <c r="E4549" s="34"/>
      <c r="F4549" s="34" t="s">
        <v>10438</v>
      </c>
      <c r="G4549" s="21"/>
      <c r="H4549" s="54"/>
      <c r="I4549" s="51"/>
      <c r="J4549" s="50"/>
      <c r="K4549" s="50"/>
      <c r="L4549" s="15">
        <v>3</v>
      </c>
      <c r="M4549" s="15"/>
      <c r="N4549" s="4"/>
      <c r="O4549" s="4"/>
    </row>
    <row r="4550" spans="1:15" x14ac:dyDescent="0.2">
      <c r="A4550" s="6" t="s">
        <v>10764</v>
      </c>
      <c r="B4550" s="2" t="s">
        <v>10739</v>
      </c>
      <c r="C4550" s="2" t="s">
        <v>10753</v>
      </c>
      <c r="D4550" s="21"/>
      <c r="E4550" s="34"/>
      <c r="F4550" s="34" t="s">
        <v>10438</v>
      </c>
      <c r="G4550" s="21"/>
      <c r="H4550" s="54"/>
      <c r="I4550" s="51"/>
      <c r="J4550" s="50"/>
      <c r="K4550" s="50"/>
      <c r="L4550" s="15">
        <v>1</v>
      </c>
      <c r="M4550" s="15"/>
      <c r="N4550" s="4"/>
      <c r="O4550" s="4"/>
    </row>
    <row r="4551" spans="1:15" x14ac:dyDescent="0.2">
      <c r="A4551" s="6" t="s">
        <v>10764</v>
      </c>
      <c r="B4551" s="2" t="s">
        <v>10740</v>
      </c>
      <c r="C4551" s="2" t="s">
        <v>10754</v>
      </c>
      <c r="D4551" s="21"/>
      <c r="E4551" s="34"/>
      <c r="F4551" s="34" t="s">
        <v>10438</v>
      </c>
      <c r="G4551" s="21"/>
      <c r="H4551" s="54"/>
      <c r="I4551" s="51"/>
      <c r="J4551" s="50"/>
      <c r="K4551" s="50"/>
      <c r="L4551" s="15">
        <v>1</v>
      </c>
      <c r="M4551" s="15"/>
      <c r="N4551" s="4"/>
      <c r="O4551" s="4"/>
    </row>
    <row r="4552" spans="1:15" x14ac:dyDescent="0.2">
      <c r="A4552" s="6" t="s">
        <v>10764</v>
      </c>
      <c r="B4552" s="2" t="s">
        <v>10741</v>
      </c>
      <c r="C4552" s="2" t="s">
        <v>10755</v>
      </c>
      <c r="D4552" s="21"/>
      <c r="E4552" s="34"/>
      <c r="F4552" s="34" t="s">
        <v>10438</v>
      </c>
      <c r="G4552" s="21"/>
      <c r="H4552" s="54"/>
      <c r="I4552" s="51"/>
      <c r="J4552" s="50"/>
      <c r="K4552" s="50"/>
      <c r="L4552" s="15">
        <v>20</v>
      </c>
      <c r="M4552" s="15"/>
      <c r="N4552" s="4"/>
      <c r="O4552" s="4"/>
    </row>
    <row r="4553" spans="1:15" x14ac:dyDescent="0.2">
      <c r="A4553" s="6" t="s">
        <v>10764</v>
      </c>
      <c r="B4553" s="2" t="s">
        <v>10742</v>
      </c>
      <c r="C4553" s="2" t="s">
        <v>10756</v>
      </c>
      <c r="D4553" s="21"/>
      <c r="E4553" s="34"/>
      <c r="F4553" s="34" t="s">
        <v>10438</v>
      </c>
      <c r="G4553" s="21"/>
      <c r="H4553" s="54"/>
      <c r="I4553" s="51"/>
      <c r="J4553" s="50"/>
      <c r="K4553" s="50"/>
      <c r="L4553" s="15">
        <v>15</v>
      </c>
      <c r="M4553" s="15"/>
      <c r="N4553" s="4"/>
      <c r="O4553" s="4"/>
    </row>
    <row r="4554" spans="1:15" x14ac:dyDescent="0.2">
      <c r="A4554" s="6" t="s">
        <v>10764</v>
      </c>
      <c r="B4554" s="2" t="s">
        <v>10743</v>
      </c>
      <c r="C4554" s="2" t="s">
        <v>10757</v>
      </c>
      <c r="D4554" s="21"/>
      <c r="E4554" s="34"/>
      <c r="F4554" s="34" t="s">
        <v>10438</v>
      </c>
      <c r="G4554" s="21"/>
      <c r="H4554" s="54"/>
      <c r="I4554" s="51"/>
      <c r="J4554" s="50"/>
      <c r="K4554" s="50"/>
      <c r="L4554" s="15">
        <v>9</v>
      </c>
      <c r="M4554" s="15"/>
      <c r="N4554" s="4"/>
      <c r="O4554" s="4"/>
    </row>
    <row r="4555" spans="1:15" x14ac:dyDescent="0.2">
      <c r="A4555" s="6" t="s">
        <v>10764</v>
      </c>
      <c r="B4555" s="2" t="s">
        <v>10744</v>
      </c>
      <c r="C4555" s="2" t="s">
        <v>10758</v>
      </c>
      <c r="D4555" s="21"/>
      <c r="E4555" s="34"/>
      <c r="F4555" s="34" t="s">
        <v>10438</v>
      </c>
      <c r="G4555" s="21"/>
      <c r="H4555" s="54"/>
      <c r="I4555" s="51"/>
      <c r="J4555" s="50"/>
      <c r="K4555" s="50"/>
      <c r="L4555" s="15">
        <v>2</v>
      </c>
      <c r="M4555" s="15"/>
      <c r="N4555" s="4"/>
      <c r="O4555" s="4"/>
    </row>
    <row r="4556" spans="1:15" x14ac:dyDescent="0.2">
      <c r="A4556" s="6" t="s">
        <v>10764</v>
      </c>
      <c r="B4556" s="2" t="s">
        <v>10745</v>
      </c>
      <c r="C4556" s="2" t="s">
        <v>10759</v>
      </c>
      <c r="D4556" s="21"/>
      <c r="E4556" s="34"/>
      <c r="F4556" s="34" t="s">
        <v>10438</v>
      </c>
      <c r="G4556" s="21"/>
      <c r="H4556" s="54"/>
      <c r="I4556" s="51"/>
      <c r="J4556" s="50"/>
      <c r="K4556" s="50"/>
      <c r="L4556" s="15">
        <v>10</v>
      </c>
      <c r="M4556" s="15"/>
      <c r="N4556" s="4"/>
      <c r="O4556" s="4"/>
    </row>
    <row r="4557" spans="1:15" x14ac:dyDescent="0.2">
      <c r="A4557" s="6" t="s">
        <v>10764</v>
      </c>
      <c r="B4557" s="2" t="s">
        <v>10746</v>
      </c>
      <c r="C4557" s="2" t="s">
        <v>10760</v>
      </c>
      <c r="D4557" s="21"/>
      <c r="E4557" s="34"/>
      <c r="F4557" s="34" t="s">
        <v>10438</v>
      </c>
      <c r="G4557" s="21"/>
      <c r="H4557" s="54"/>
      <c r="I4557" s="51"/>
      <c r="J4557" s="50"/>
      <c r="K4557" s="50"/>
      <c r="L4557" s="15">
        <v>5</v>
      </c>
      <c r="M4557" s="15"/>
      <c r="N4557" s="4"/>
      <c r="O4557" s="4"/>
    </row>
    <row r="4558" spans="1:15" x14ac:dyDescent="0.2">
      <c r="A4558" s="6" t="s">
        <v>10764</v>
      </c>
      <c r="B4558" s="2" t="s">
        <v>10747</v>
      </c>
      <c r="C4558" s="2" t="s">
        <v>10761</v>
      </c>
      <c r="D4558" s="21"/>
      <c r="E4558" s="34"/>
      <c r="F4558" s="34" t="s">
        <v>10438</v>
      </c>
      <c r="G4558" s="21"/>
      <c r="H4558" s="54"/>
      <c r="I4558" s="51"/>
      <c r="J4558" s="50"/>
      <c r="K4558" s="50"/>
      <c r="L4558" s="15">
        <v>2</v>
      </c>
      <c r="M4558" s="15"/>
      <c r="N4558" s="4"/>
      <c r="O4558" s="4"/>
    </row>
    <row r="4559" spans="1:15" x14ac:dyDescent="0.2">
      <c r="A4559" s="6" t="s">
        <v>10764</v>
      </c>
      <c r="B4559" s="2" t="s">
        <v>10420</v>
      </c>
      <c r="C4559" s="2" t="s">
        <v>10404</v>
      </c>
      <c r="D4559" s="21"/>
      <c r="E4559" s="34"/>
      <c r="F4559" s="34" t="s">
        <v>10438</v>
      </c>
      <c r="G4559" s="21"/>
      <c r="H4559" s="54"/>
      <c r="I4559" s="51"/>
      <c r="J4559" s="50"/>
      <c r="K4559" s="50"/>
      <c r="L4559" s="15">
        <v>200</v>
      </c>
      <c r="M4559" s="15"/>
      <c r="N4559" s="4"/>
      <c r="O4559" s="4"/>
    </row>
    <row r="4560" spans="1:15" x14ac:dyDescent="0.2">
      <c r="A4560" s="6" t="s">
        <v>10764</v>
      </c>
      <c r="B4560" s="2" t="s">
        <v>10748</v>
      </c>
      <c r="C4560" s="2" t="s">
        <v>10762</v>
      </c>
      <c r="D4560" s="21"/>
      <c r="E4560" s="34"/>
      <c r="F4560" s="34" t="s">
        <v>10438</v>
      </c>
      <c r="G4560" s="21"/>
      <c r="H4560" s="54"/>
      <c r="I4560" s="51"/>
      <c r="J4560" s="50"/>
      <c r="K4560" s="50"/>
      <c r="L4560" s="15">
        <v>3</v>
      </c>
      <c r="M4560" s="15"/>
      <c r="N4560" s="4"/>
      <c r="O4560" s="4"/>
    </row>
    <row r="4561" spans="1:15" x14ac:dyDescent="0.2">
      <c r="A4561" s="6" t="s">
        <v>10764</v>
      </c>
      <c r="B4561" s="2" t="s">
        <v>10749</v>
      </c>
      <c r="C4561" s="2" t="s">
        <v>10763</v>
      </c>
      <c r="D4561" s="34"/>
      <c r="E4561" s="34"/>
      <c r="F4561" s="34" t="s">
        <v>10438</v>
      </c>
      <c r="G4561" s="21"/>
      <c r="H4561" s="58"/>
      <c r="I4561" s="59"/>
      <c r="J4561" s="60"/>
      <c r="K4561" s="60"/>
      <c r="L4561" s="19">
        <v>3</v>
      </c>
      <c r="M4561" s="15"/>
      <c r="N4561" s="4"/>
      <c r="O4561" s="4"/>
    </row>
    <row r="4562" spans="1:15" x14ac:dyDescent="0.2">
      <c r="A4562" s="2">
        <v>10017935</v>
      </c>
      <c r="B4562" s="2" t="str">
        <f>VLOOKUP(A4562,Sheet1!B:C,2,0)</f>
        <v>MAKITA MULTIFUNCTION POW.HEAD 18V DUX18Z</v>
      </c>
      <c r="C4562" s="2" t="s">
        <v>10781</v>
      </c>
      <c r="D4562" s="21"/>
      <c r="E4562" s="21"/>
      <c r="F4562" s="21"/>
      <c r="G4562" s="21"/>
      <c r="H4562" s="54"/>
      <c r="I4562" s="51"/>
      <c r="J4562" s="50"/>
      <c r="K4562" s="50"/>
      <c r="L4562" s="15"/>
      <c r="M4562" s="15">
        <v>2</v>
      </c>
      <c r="N4562" s="4"/>
      <c r="O4562" s="4"/>
    </row>
    <row r="4563" spans="1:15" x14ac:dyDescent="0.2">
      <c r="A4563" s="2">
        <v>10044070</v>
      </c>
      <c r="B4563" s="2" t="str">
        <f>VLOOKUP(A4563,Sheet1!B:C,2,0)</f>
        <v>MAKITA DC TELESCOPIC POLE SAW UA002GM102</v>
      </c>
      <c r="C4563" s="2" t="s">
        <v>10782</v>
      </c>
      <c r="D4563" s="21"/>
      <c r="E4563" s="21"/>
      <c r="F4563" s="21"/>
      <c r="G4563" s="21"/>
      <c r="H4563" s="54"/>
      <c r="I4563" s="51"/>
      <c r="J4563" s="50"/>
      <c r="K4563" s="50"/>
      <c r="L4563" s="15"/>
      <c r="M4563" s="15">
        <v>1</v>
      </c>
      <c r="N4563" s="4"/>
      <c r="O4563" s="4"/>
    </row>
    <row r="4564" spans="1:15" x14ac:dyDescent="0.2">
      <c r="A4564" s="2">
        <v>10017912</v>
      </c>
      <c r="B4564" s="2" t="str">
        <f>VLOOKUP(A4564,Sheet1!B:C,2,0)</f>
        <v>MAKITA DC BAND SAW 18V 64MM DPB182Z</v>
      </c>
      <c r="C4564" s="2" t="s">
        <v>10783</v>
      </c>
      <c r="D4564" s="21"/>
      <c r="E4564" s="21"/>
      <c r="F4564" s="21"/>
      <c r="G4564" s="21"/>
      <c r="H4564" s="54"/>
      <c r="I4564" s="51"/>
      <c r="J4564" s="50"/>
      <c r="K4564" s="50"/>
      <c r="L4564" s="15"/>
      <c r="M4564" s="15">
        <v>2</v>
      </c>
      <c r="N4564" s="4"/>
      <c r="O4564" s="4"/>
    </row>
    <row r="4565" spans="1:15" x14ac:dyDescent="0.2">
      <c r="A4565" s="2">
        <v>10017938</v>
      </c>
      <c r="B4565" s="2" t="str">
        <f>VLOOKUP(A4565,Sheet1!B:C,2,0)</f>
        <v>MAKITA DC POLISHER 40V BL 180MM PV001GZ</v>
      </c>
      <c r="C4565" s="2" t="s">
        <v>10784</v>
      </c>
      <c r="D4565" s="21"/>
      <c r="E4565" s="21"/>
      <c r="F4565" s="21"/>
      <c r="G4565" s="21"/>
      <c r="H4565" s="54"/>
      <c r="I4565" s="51"/>
      <c r="J4565" s="50"/>
      <c r="K4565" s="50"/>
      <c r="L4565" s="15"/>
      <c r="M4565" s="15">
        <v>5</v>
      </c>
      <c r="N4565" s="4"/>
      <c r="O4565" s="4"/>
    </row>
    <row r="4566" spans="1:15" x14ac:dyDescent="0.2">
      <c r="A4566" s="2">
        <v>10017958</v>
      </c>
      <c r="B4566" s="2" t="str">
        <f>VLOOKUP(A4566,Sheet1!B:C,2,0)</f>
        <v>MAKITA DC COMBI HAMMER 40V HR007GZ</v>
      </c>
      <c r="C4566" s="2" t="s">
        <v>10785</v>
      </c>
      <c r="D4566" s="21"/>
      <c r="E4566" s="21"/>
      <c r="F4566" s="21"/>
      <c r="G4566" s="21"/>
      <c r="H4566" s="54"/>
      <c r="I4566" s="51"/>
      <c r="J4566" s="50"/>
      <c r="K4566" s="50"/>
      <c r="L4566" s="15"/>
      <c r="M4566" s="15">
        <v>2</v>
      </c>
      <c r="N4566" s="4"/>
      <c r="O4566" s="4"/>
    </row>
    <row r="4567" spans="1:15" x14ac:dyDescent="0.2">
      <c r="A4567" s="2">
        <v>10017988</v>
      </c>
      <c r="B4567" s="2" t="str">
        <f>VLOOKUP(A4567,Sheet1!B:C,2,0)</f>
        <v>MAKITA CIRCULAR SAW HS7010 185MM</v>
      </c>
      <c r="C4567" s="2" t="s">
        <v>10770</v>
      </c>
      <c r="D4567" s="21"/>
      <c r="E4567" s="21"/>
      <c r="F4567" s="21"/>
      <c r="G4567" s="21"/>
      <c r="H4567" s="54"/>
      <c r="I4567" s="51"/>
      <c r="J4567" s="50"/>
      <c r="K4567" s="50"/>
      <c r="L4567" s="15"/>
      <c r="M4567" s="15">
        <v>15</v>
      </c>
      <c r="N4567" s="4"/>
      <c r="O4567" s="4"/>
    </row>
    <row r="4568" spans="1:15" x14ac:dyDescent="0.2">
      <c r="A4568" s="2">
        <v>10018434</v>
      </c>
      <c r="B4568" s="2" t="str">
        <f>VLOOKUP(A4568,Sheet1!B:C,2,0)</f>
        <v>MAKITA FINISHING SANDER110X110MM BO4510H</v>
      </c>
      <c r="C4568" s="2" t="s">
        <v>10786</v>
      </c>
      <c r="D4568" s="21"/>
      <c r="E4568" s="21"/>
      <c r="F4568" s="21"/>
      <c r="G4568" s="21"/>
      <c r="H4568" s="54"/>
      <c r="I4568" s="51"/>
      <c r="J4568" s="50"/>
      <c r="K4568" s="50"/>
      <c r="L4568" s="15"/>
      <c r="M4568" s="15">
        <v>5</v>
      </c>
      <c r="N4568" s="4"/>
      <c r="O4568" s="4"/>
    </row>
    <row r="4569" spans="1:15" x14ac:dyDescent="0.2">
      <c r="A4569" s="2">
        <v>10018446</v>
      </c>
      <c r="B4569" s="2" t="str">
        <f>VLOOKUP(A4569,Sheet1!B:C,2,0)</f>
        <v>MAKITA DC HAMMER 18V BL 18MM DHR183RTWJ</v>
      </c>
      <c r="C4569" s="2" t="s">
        <v>10787</v>
      </c>
      <c r="D4569" s="21"/>
      <c r="E4569" s="21"/>
      <c r="F4569" s="21"/>
      <c r="G4569" s="21"/>
      <c r="H4569" s="54"/>
      <c r="I4569" s="51"/>
      <c r="J4569" s="50"/>
      <c r="K4569" s="50"/>
      <c r="L4569" s="15"/>
      <c r="M4569" s="15">
        <v>10</v>
      </c>
      <c r="N4569" s="4"/>
      <c r="O4569" s="4"/>
    </row>
    <row r="4570" spans="1:15" x14ac:dyDescent="0.2">
      <c r="A4570" s="2">
        <v>10036226</v>
      </c>
      <c r="B4570" s="2" t="str">
        <f>VLOOKUP(A4570,Sheet1!B:C,2,0)</f>
        <v>MAKITA DC HEAT GUN 18V DHG180ZK</v>
      </c>
      <c r="C4570" s="2" t="s">
        <v>10788</v>
      </c>
      <c r="D4570" s="21"/>
      <c r="E4570" s="21"/>
      <c r="F4570" s="21"/>
      <c r="G4570" s="21"/>
      <c r="H4570" s="54"/>
      <c r="I4570" s="51"/>
      <c r="J4570" s="50"/>
      <c r="K4570" s="50"/>
      <c r="L4570" s="15"/>
      <c r="M4570" s="15">
        <v>5</v>
      </c>
      <c r="N4570" s="4"/>
      <c r="O4570" s="4"/>
    </row>
    <row r="4571" spans="1:15" x14ac:dyDescent="0.2">
      <c r="A4571" s="2">
        <v>10018482</v>
      </c>
      <c r="B4571" s="2" t="str">
        <f>VLOOKUP(A4571,Sheet1!B:C,2,0)</f>
        <v>MAKITA AC HAMMER DRILL 13MM M8103KX2B</v>
      </c>
      <c r="C4571" s="2" t="s">
        <v>10789</v>
      </c>
      <c r="D4571" s="21"/>
      <c r="E4571" s="21"/>
      <c r="F4571" s="21"/>
      <c r="G4571" s="21"/>
      <c r="H4571" s="54"/>
      <c r="I4571" s="51"/>
      <c r="J4571" s="50"/>
      <c r="K4571" s="50"/>
      <c r="L4571" s="15"/>
      <c r="M4571" s="15">
        <v>10</v>
      </c>
      <c r="N4571" s="4"/>
      <c r="O4571" s="4"/>
    </row>
    <row r="4572" spans="1:15" x14ac:dyDescent="0.2">
      <c r="A4572" s="2">
        <v>10018140</v>
      </c>
      <c r="B4572" s="2" t="str">
        <f>VLOOKUP(A4572,Sheet1!B:C,2,0)</f>
        <v>MAKITA LASER DISTANCE MEASURE LD080P 80M</v>
      </c>
      <c r="C4572" s="2" t="s">
        <v>10790</v>
      </c>
      <c r="D4572" s="21"/>
      <c r="E4572" s="21"/>
      <c r="F4572" s="21"/>
      <c r="G4572" s="21"/>
      <c r="H4572" s="54"/>
      <c r="I4572" s="51"/>
      <c r="J4572" s="50"/>
      <c r="K4572" s="50"/>
      <c r="L4572" s="15"/>
      <c r="M4572" s="15">
        <v>3</v>
      </c>
      <c r="N4572" s="4"/>
      <c r="O4572" s="4"/>
    </row>
    <row r="4573" spans="1:15" x14ac:dyDescent="0.2">
      <c r="A4573" s="6" t="s">
        <v>10764</v>
      </c>
      <c r="B4573" s="2" t="s">
        <v>10795</v>
      </c>
      <c r="C4573" s="2" t="s">
        <v>6369</v>
      </c>
      <c r="D4573" s="21"/>
      <c r="E4573" s="21"/>
      <c r="F4573" s="21"/>
      <c r="G4573" s="21"/>
      <c r="H4573" s="54"/>
      <c r="I4573" s="51"/>
      <c r="J4573" s="50"/>
      <c r="K4573" s="50"/>
      <c r="L4573" s="15"/>
      <c r="M4573" s="15">
        <v>5</v>
      </c>
      <c r="N4573" s="4"/>
      <c r="O4573" s="4"/>
    </row>
    <row r="4574" spans="1:15" x14ac:dyDescent="0.2">
      <c r="A4574" s="6" t="s">
        <v>10764</v>
      </c>
      <c r="B4574" s="2" t="s">
        <v>10796</v>
      </c>
      <c r="C4574" s="2" t="s">
        <v>10794</v>
      </c>
      <c r="D4574" s="21"/>
      <c r="E4574" s="21"/>
      <c r="F4574" s="21"/>
      <c r="G4574" s="21"/>
      <c r="H4574" s="54"/>
      <c r="I4574" s="51"/>
      <c r="J4574" s="50"/>
      <c r="K4574" s="50"/>
      <c r="L4574" s="15"/>
      <c r="M4574" s="15">
        <v>3</v>
      </c>
      <c r="N4574" s="4"/>
      <c r="O4574" s="4"/>
    </row>
    <row r="4575" spans="1:15" x14ac:dyDescent="0.2">
      <c r="A4575" s="6" t="s">
        <v>10764</v>
      </c>
      <c r="B4575" s="2" t="s">
        <v>10797</v>
      </c>
      <c r="C4575" s="5">
        <v>44499</v>
      </c>
      <c r="D4575" s="21"/>
      <c r="E4575" s="21"/>
      <c r="F4575" s="21"/>
      <c r="G4575" s="21"/>
      <c r="H4575" s="54"/>
      <c r="I4575" s="51"/>
      <c r="J4575" s="50"/>
      <c r="K4575" s="50"/>
      <c r="L4575" s="15"/>
      <c r="M4575" s="15">
        <v>1</v>
      </c>
      <c r="N4575" s="4"/>
      <c r="O4575" s="4"/>
    </row>
    <row r="4576" spans="1:15" x14ac:dyDescent="0.2">
      <c r="A4576" s="6" t="s">
        <v>10764</v>
      </c>
      <c r="B4576" s="2" t="s">
        <v>10798</v>
      </c>
      <c r="C4576" s="2" t="s">
        <v>10793</v>
      </c>
      <c r="D4576" s="21"/>
      <c r="E4576" s="21"/>
      <c r="F4576" s="21"/>
      <c r="G4576" s="21"/>
      <c r="H4576" s="54"/>
      <c r="I4576" s="51"/>
      <c r="J4576" s="50"/>
      <c r="K4576" s="50"/>
      <c r="L4576" s="15"/>
      <c r="M4576" s="15">
        <v>1</v>
      </c>
      <c r="N4576" s="4"/>
      <c r="O4576" s="4"/>
    </row>
    <row r="4577" spans="1:15" x14ac:dyDescent="0.2">
      <c r="A4577" s="6" t="s">
        <v>10764</v>
      </c>
      <c r="B4577" s="2" t="s">
        <v>10799</v>
      </c>
      <c r="C4577" s="2" t="s">
        <v>10792</v>
      </c>
      <c r="D4577" s="21"/>
      <c r="E4577" s="21"/>
      <c r="F4577" s="21"/>
      <c r="G4577" s="21"/>
      <c r="H4577" s="54"/>
      <c r="I4577" s="51"/>
      <c r="J4577" s="50"/>
      <c r="K4577" s="50"/>
      <c r="L4577" s="15"/>
      <c r="M4577" s="15">
        <v>15</v>
      </c>
      <c r="N4577" s="4"/>
      <c r="O4577" s="4"/>
    </row>
    <row r="4578" spans="1:15" x14ac:dyDescent="0.2">
      <c r="A4578" s="6" t="s">
        <v>10764</v>
      </c>
      <c r="B4578" s="2" t="s">
        <v>10800</v>
      </c>
      <c r="C4578" s="2" t="s">
        <v>10791</v>
      </c>
      <c r="D4578" s="21"/>
      <c r="E4578" s="21"/>
      <c r="F4578" s="21"/>
      <c r="G4578" s="21"/>
      <c r="H4578" s="54"/>
      <c r="I4578" s="51"/>
      <c r="J4578" s="50"/>
      <c r="K4578" s="50"/>
      <c r="L4578" s="15"/>
      <c r="M4578" s="15">
        <v>5</v>
      </c>
      <c r="N4578" s="4"/>
      <c r="O4578" s="4"/>
    </row>
  </sheetData>
  <autoFilter ref="A1:Y4578" xr:uid="{00000000-0001-0000-0000-000000000000}"/>
  <sortState xmlns:xlrd2="http://schemas.microsoft.com/office/spreadsheetml/2017/richdata2" ref="A4513:O4545">
    <sortCondition ref="H4513:H4545"/>
  </sortState>
  <phoneticPr fontId="0" type="noConversion"/>
  <conditionalFormatting sqref="A2946:A1048576 A1:A2944">
    <cfRule type="duplicateValues" dxfId="11" priority="179"/>
  </conditionalFormatting>
  <conditionalFormatting sqref="A2945">
    <cfRule type="duplicateValues" dxfId="10" priority="20"/>
  </conditionalFormatting>
  <conditionalFormatting sqref="A4472:A4477 C4475:C4477">
    <cfRule type="duplicateValues" dxfId="9" priority="232"/>
    <cfRule type="duplicateValues" dxfId="8" priority="233"/>
  </conditionalFormatting>
  <conditionalFormatting sqref="A4328:A1048576 A254:A1371 A1:A252">
    <cfRule type="duplicateValues" dxfId="7" priority="87"/>
  </conditionalFormatting>
  <conditionalFormatting sqref="C4478:C4480">
    <cfRule type="duplicateValues" dxfId="6" priority="52"/>
    <cfRule type="duplicateValues" dxfId="5" priority="53"/>
  </conditionalFormatting>
  <conditionalFormatting sqref="A4193:A1048576 A254:A1371 A1:A252">
    <cfRule type="duplicateValues" dxfId="4" priority="244"/>
  </conditionalFormatting>
  <conditionalFormatting sqref="B4472:B4478 B4480:B4527">
    <cfRule type="duplicateValues" dxfId="3" priority="254"/>
    <cfRule type="duplicateValues" dxfId="2" priority="255"/>
  </conditionalFormatting>
  <conditionalFormatting sqref="C4481:C4527">
    <cfRule type="duplicateValues" dxfId="1" priority="260"/>
    <cfRule type="duplicateValues" dxfId="0" priority="261"/>
  </conditionalFormatting>
  <pageMargins left="0.75" right="0.75" top="1" bottom="1" header="0.5" footer="0.5"/>
  <pageSetup orientation="portrait" horizontalDpi="0" verticalDpi="0" r:id="rId1"/>
  <headerFooter alignWithMargins="0"/>
  <ignoredErrors>
    <ignoredError sqref="V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F871-02B3-44FA-9D07-07CF4498ECB8}">
  <dimension ref="B2:C12"/>
  <sheetViews>
    <sheetView workbookViewId="0">
      <selection activeCell="C1" sqref="C1:I1048576"/>
    </sheetView>
  </sheetViews>
  <sheetFormatPr defaultRowHeight="12.75" x14ac:dyDescent="0.2"/>
  <cols>
    <col min="3" max="3" width="47.140625" bestFit="1" customWidth="1"/>
  </cols>
  <sheetData>
    <row r="2" spans="2:3" x14ac:dyDescent="0.2">
      <c r="B2">
        <v>10017912</v>
      </c>
      <c r="C2" t="s">
        <v>10801</v>
      </c>
    </row>
    <row r="3" spans="2:3" x14ac:dyDescent="0.2">
      <c r="B3">
        <v>10017935</v>
      </c>
      <c r="C3" t="s">
        <v>10802</v>
      </c>
    </row>
    <row r="4" spans="2:3" x14ac:dyDescent="0.2">
      <c r="B4">
        <v>10017938</v>
      </c>
      <c r="C4" t="s">
        <v>10803</v>
      </c>
    </row>
    <row r="5" spans="2:3" x14ac:dyDescent="0.2">
      <c r="B5">
        <v>10017958</v>
      </c>
      <c r="C5" t="s">
        <v>10804</v>
      </c>
    </row>
    <row r="6" spans="2:3" x14ac:dyDescent="0.2">
      <c r="B6">
        <v>10017988</v>
      </c>
      <c r="C6" s="6" t="s">
        <v>10805</v>
      </c>
    </row>
    <row r="7" spans="2:3" x14ac:dyDescent="0.2">
      <c r="B7">
        <v>10018140</v>
      </c>
      <c r="C7" s="6" t="s">
        <v>10806</v>
      </c>
    </row>
    <row r="8" spans="2:3" x14ac:dyDescent="0.2">
      <c r="B8">
        <v>10018434</v>
      </c>
      <c r="C8" s="6" t="s">
        <v>10807</v>
      </c>
    </row>
    <row r="9" spans="2:3" x14ac:dyDescent="0.2">
      <c r="B9">
        <v>10018446</v>
      </c>
      <c r="C9" s="6" t="s">
        <v>10808</v>
      </c>
    </row>
    <row r="10" spans="2:3" x14ac:dyDescent="0.2">
      <c r="B10">
        <v>10018482</v>
      </c>
      <c r="C10" s="6" t="s">
        <v>10809</v>
      </c>
    </row>
    <row r="11" spans="2:3" x14ac:dyDescent="0.2">
      <c r="B11">
        <v>10036226</v>
      </c>
      <c r="C11" s="6" t="s">
        <v>10810</v>
      </c>
    </row>
    <row r="12" spans="2:3" x14ac:dyDescent="0.2">
      <c r="B12">
        <v>10044070</v>
      </c>
      <c r="C12" s="6" t="s">
        <v>10811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B18F-448E-47E6-9FA1-9F01BD4CB94F}">
  <dimension ref="A1:AR4084"/>
  <sheetViews>
    <sheetView topLeftCell="F1" workbookViewId="0">
      <selection activeCell="K491" sqref="K491"/>
    </sheetView>
  </sheetViews>
  <sheetFormatPr defaultRowHeight="18.75" x14ac:dyDescent="0.2"/>
  <cols>
    <col min="1" max="6" width="27.140625" style="32" customWidth="1"/>
    <col min="11" max="11" width="48.42578125" bestFit="1" customWidth="1"/>
    <col min="15" max="15" width="15.7109375" bestFit="1" customWidth="1"/>
    <col min="35" max="35" width="10.7109375" customWidth="1"/>
  </cols>
  <sheetData>
    <row r="1" spans="1:44" ht="19.5" thickBot="1" x14ac:dyDescent="0.25"/>
    <row r="2" spans="1:44" ht="35.25" customHeight="1" thickBot="1" x14ac:dyDescent="0.3">
      <c r="A2" s="33" t="s">
        <v>10573</v>
      </c>
      <c r="B2" s="33" t="s">
        <v>10573</v>
      </c>
      <c r="C2" s="33" t="s">
        <v>10573</v>
      </c>
      <c r="D2" s="33" t="s">
        <v>10572</v>
      </c>
      <c r="E2" s="33" t="s">
        <v>10572</v>
      </c>
      <c r="F2" s="33" t="s">
        <v>10572</v>
      </c>
      <c r="J2" t="s">
        <v>3606</v>
      </c>
      <c r="K2" t="s">
        <v>10616</v>
      </c>
      <c r="L2" t="s">
        <v>10617</v>
      </c>
      <c r="O2" s="6" t="s">
        <v>10667</v>
      </c>
      <c r="Q2" s="37">
        <v>12580</v>
      </c>
      <c r="R2" s="38">
        <v>1</v>
      </c>
      <c r="S2" s="48">
        <v>11806</v>
      </c>
      <c r="T2" s="38">
        <v>2</v>
      </c>
      <c r="U2" s="48">
        <v>11830</v>
      </c>
      <c r="V2" s="38">
        <v>3</v>
      </c>
      <c r="W2" s="39">
        <v>13444</v>
      </c>
      <c r="X2" s="38">
        <v>4</v>
      </c>
      <c r="Y2" s="39">
        <v>11930</v>
      </c>
      <c r="Z2" s="38">
        <v>5</v>
      </c>
      <c r="AA2" s="39">
        <v>13096</v>
      </c>
      <c r="AB2" s="38">
        <v>6</v>
      </c>
      <c r="AC2" s="48">
        <v>11830</v>
      </c>
      <c r="AD2" s="38">
        <v>7</v>
      </c>
      <c r="AE2" s="48">
        <v>12770</v>
      </c>
      <c r="AF2" s="38">
        <v>8</v>
      </c>
      <c r="AG2" s="39">
        <v>11562</v>
      </c>
      <c r="AH2" s="38">
        <v>9</v>
      </c>
      <c r="AI2" s="39">
        <v>11565</v>
      </c>
      <c r="AJ2" s="38">
        <v>10</v>
      </c>
      <c r="AK2" s="39">
        <v>12484</v>
      </c>
      <c r="AL2" s="38">
        <v>11</v>
      </c>
      <c r="AM2" s="48">
        <v>11830</v>
      </c>
      <c r="AN2" s="38">
        <v>12</v>
      </c>
      <c r="AO2" s="39">
        <v>12792</v>
      </c>
      <c r="AP2" s="38">
        <v>13</v>
      </c>
      <c r="AQ2" s="40"/>
      <c r="AR2" s="38">
        <v>14</v>
      </c>
    </row>
    <row r="3" spans="1:44" ht="35.25" customHeight="1" thickBot="1" x14ac:dyDescent="0.3">
      <c r="A3" s="33" t="s">
        <v>10574</v>
      </c>
      <c r="B3" s="33" t="s">
        <v>10574</v>
      </c>
      <c r="C3" s="33" t="s">
        <v>10574</v>
      </c>
      <c r="D3" s="33" t="s">
        <v>10572</v>
      </c>
      <c r="E3" s="33" t="s">
        <v>10572</v>
      </c>
      <c r="F3" s="33" t="s">
        <v>10572</v>
      </c>
      <c r="J3">
        <v>10013659</v>
      </c>
      <c r="K3" t="s">
        <v>5463</v>
      </c>
      <c r="L3">
        <v>29</v>
      </c>
      <c r="O3" s="6" t="s">
        <v>10667</v>
      </c>
      <c r="Q3" s="41">
        <v>13493</v>
      </c>
      <c r="R3" s="42">
        <v>1</v>
      </c>
      <c r="S3" s="43">
        <v>13576</v>
      </c>
      <c r="T3" s="42">
        <v>2</v>
      </c>
      <c r="U3" s="43">
        <v>12912</v>
      </c>
      <c r="V3" s="42">
        <v>3</v>
      </c>
      <c r="W3" s="43">
        <v>13060</v>
      </c>
      <c r="X3" s="42">
        <v>4</v>
      </c>
      <c r="Y3" s="43">
        <v>11996</v>
      </c>
      <c r="Z3" s="42">
        <v>5</v>
      </c>
      <c r="AA3" s="43">
        <v>11581</v>
      </c>
      <c r="AB3" s="42">
        <v>6</v>
      </c>
      <c r="AC3" s="43">
        <v>11881</v>
      </c>
      <c r="AD3" s="42">
        <v>7</v>
      </c>
      <c r="AE3" s="43">
        <v>13500</v>
      </c>
      <c r="AF3" s="42">
        <v>8</v>
      </c>
      <c r="AG3" s="49">
        <v>13505</v>
      </c>
      <c r="AH3" s="42">
        <v>9</v>
      </c>
      <c r="AI3" s="43" t="s">
        <v>10733</v>
      </c>
      <c r="AJ3" s="42">
        <v>10</v>
      </c>
      <c r="AK3" s="49">
        <v>13505</v>
      </c>
      <c r="AL3" s="42">
        <v>11</v>
      </c>
      <c r="AM3" s="44"/>
      <c r="AN3" s="42">
        <v>12</v>
      </c>
      <c r="AO3" s="43">
        <v>13101</v>
      </c>
      <c r="AP3" s="42">
        <v>13</v>
      </c>
      <c r="AQ3" s="44"/>
      <c r="AR3" s="42">
        <v>14</v>
      </c>
    </row>
    <row r="4" spans="1:44" ht="35.25" customHeight="1" thickBot="1" x14ac:dyDescent="0.3">
      <c r="A4" s="33" t="s">
        <v>10575</v>
      </c>
      <c r="B4" s="33" t="s">
        <v>10575</v>
      </c>
      <c r="C4" s="33" t="s">
        <v>10575</v>
      </c>
      <c r="D4" s="33" t="s">
        <v>10572</v>
      </c>
      <c r="E4" s="33" t="s">
        <v>10572</v>
      </c>
      <c r="F4" s="33" t="s">
        <v>10572</v>
      </c>
      <c r="J4">
        <v>10013665</v>
      </c>
      <c r="K4" t="s">
        <v>3620</v>
      </c>
      <c r="L4">
        <v>5</v>
      </c>
      <c r="O4" s="6" t="s">
        <v>10667</v>
      </c>
      <c r="Q4" s="41">
        <v>13584</v>
      </c>
      <c r="R4" s="42">
        <v>1</v>
      </c>
      <c r="S4" s="49">
        <v>13127</v>
      </c>
      <c r="T4" s="42">
        <v>2</v>
      </c>
      <c r="U4" s="43">
        <v>11668</v>
      </c>
      <c r="V4" s="42">
        <v>3</v>
      </c>
      <c r="W4" s="49">
        <v>11806</v>
      </c>
      <c r="X4" s="42">
        <v>4</v>
      </c>
      <c r="Y4" s="43">
        <v>13364</v>
      </c>
      <c r="Z4" s="42">
        <v>5</v>
      </c>
      <c r="AA4" s="43">
        <v>11834</v>
      </c>
      <c r="AB4" s="42">
        <v>6</v>
      </c>
      <c r="AC4" s="43">
        <v>11404</v>
      </c>
      <c r="AD4" s="42">
        <v>7</v>
      </c>
      <c r="AE4" s="49">
        <v>13454</v>
      </c>
      <c r="AF4" s="42">
        <v>8</v>
      </c>
      <c r="AG4" s="43">
        <v>13563</v>
      </c>
      <c r="AH4" s="42">
        <v>9</v>
      </c>
      <c r="AI4" s="43">
        <v>12970</v>
      </c>
      <c r="AJ4" s="42">
        <v>10</v>
      </c>
      <c r="AK4" s="49">
        <v>13127</v>
      </c>
      <c r="AL4" s="42">
        <v>11</v>
      </c>
      <c r="AM4" s="45"/>
      <c r="AN4" s="42">
        <v>12</v>
      </c>
      <c r="AO4" s="49">
        <v>13127</v>
      </c>
      <c r="AP4" s="42">
        <v>13</v>
      </c>
      <c r="AQ4" s="44"/>
      <c r="AR4" s="42">
        <v>14</v>
      </c>
    </row>
    <row r="5" spans="1:44" ht="35.25" customHeight="1" thickBot="1" x14ac:dyDescent="0.3">
      <c r="A5" s="33" t="s">
        <v>10577</v>
      </c>
      <c r="B5" s="33" t="s">
        <v>10577</v>
      </c>
      <c r="C5" s="33" t="s">
        <v>10577</v>
      </c>
      <c r="D5" s="33" t="s">
        <v>10573</v>
      </c>
      <c r="E5" s="33" t="s">
        <v>10573</v>
      </c>
      <c r="F5" s="33" t="s">
        <v>10573</v>
      </c>
      <c r="J5">
        <v>10013671</v>
      </c>
      <c r="K5" t="s">
        <v>1</v>
      </c>
      <c r="L5">
        <v>11</v>
      </c>
      <c r="O5" s="6" t="s">
        <v>10667</v>
      </c>
      <c r="Q5" s="41">
        <v>13570</v>
      </c>
      <c r="R5" s="42">
        <v>1</v>
      </c>
      <c r="S5" s="43">
        <v>13492</v>
      </c>
      <c r="T5" s="42">
        <v>2</v>
      </c>
      <c r="U5" s="49">
        <v>11806</v>
      </c>
      <c r="V5" s="42">
        <v>3</v>
      </c>
      <c r="W5" s="49">
        <v>13454</v>
      </c>
      <c r="X5" s="42">
        <v>4</v>
      </c>
      <c r="Y5" s="43">
        <v>13377</v>
      </c>
      <c r="Z5" s="42">
        <v>5</v>
      </c>
      <c r="AA5" s="43">
        <v>11981</v>
      </c>
      <c r="AB5" s="42">
        <v>6</v>
      </c>
      <c r="AC5" s="43">
        <v>12049</v>
      </c>
      <c r="AD5" s="42">
        <v>7</v>
      </c>
      <c r="AE5" s="43">
        <v>11505</v>
      </c>
      <c r="AF5" s="42">
        <v>8</v>
      </c>
      <c r="AG5" s="43">
        <v>13508</v>
      </c>
      <c r="AH5" s="42">
        <v>9</v>
      </c>
      <c r="AI5" s="49">
        <v>12770</v>
      </c>
      <c r="AJ5" s="42">
        <v>10</v>
      </c>
      <c r="AK5" s="44"/>
      <c r="AL5" s="42">
        <v>11</v>
      </c>
      <c r="AM5" s="44"/>
      <c r="AN5" s="42">
        <v>12</v>
      </c>
      <c r="AO5" s="44"/>
      <c r="AP5" s="42">
        <v>13</v>
      </c>
      <c r="AQ5" s="44"/>
      <c r="AR5" s="42">
        <v>14</v>
      </c>
    </row>
    <row r="6" spans="1:44" ht="35.25" customHeight="1" thickBot="1" x14ac:dyDescent="0.3">
      <c r="A6" s="33" t="s">
        <v>10577</v>
      </c>
      <c r="B6" s="33" t="s">
        <v>10577</v>
      </c>
      <c r="C6" s="33" t="s">
        <v>10577</v>
      </c>
      <c r="D6" s="33" t="s">
        <v>10573</v>
      </c>
      <c r="E6" s="33" t="s">
        <v>10573</v>
      </c>
      <c r="F6" s="33" t="s">
        <v>10573</v>
      </c>
      <c r="J6">
        <v>10013672</v>
      </c>
      <c r="K6" t="s">
        <v>2</v>
      </c>
      <c r="L6">
        <v>8</v>
      </c>
      <c r="O6" s="6" t="s">
        <v>10667</v>
      </c>
      <c r="Q6" s="41">
        <v>13518</v>
      </c>
      <c r="R6" s="42">
        <v>1</v>
      </c>
      <c r="S6" s="49">
        <v>11386</v>
      </c>
      <c r="T6" s="42">
        <v>2</v>
      </c>
      <c r="U6" s="49">
        <v>11592</v>
      </c>
      <c r="V6" s="42">
        <v>3</v>
      </c>
      <c r="W6" s="44"/>
      <c r="X6" s="42">
        <v>4</v>
      </c>
      <c r="Y6" s="43">
        <v>13465</v>
      </c>
      <c r="Z6" s="42">
        <v>5</v>
      </c>
      <c r="AA6" s="43">
        <v>11458</v>
      </c>
      <c r="AB6" s="42">
        <v>6</v>
      </c>
      <c r="AC6" s="43">
        <v>11177</v>
      </c>
      <c r="AD6" s="42">
        <v>7</v>
      </c>
      <c r="AE6" s="44"/>
      <c r="AF6" s="42">
        <v>8</v>
      </c>
      <c r="AG6" s="43">
        <v>11545</v>
      </c>
      <c r="AH6" s="42">
        <v>9</v>
      </c>
      <c r="AI6" s="43">
        <v>13218</v>
      </c>
      <c r="AJ6" s="42">
        <v>10</v>
      </c>
      <c r="AK6" s="44"/>
      <c r="AL6" s="42">
        <v>11</v>
      </c>
      <c r="AM6" s="44"/>
      <c r="AN6" s="42">
        <v>12</v>
      </c>
      <c r="AO6" s="44"/>
      <c r="AP6" s="42">
        <v>13</v>
      </c>
      <c r="AQ6" s="44"/>
      <c r="AR6" s="42">
        <v>14</v>
      </c>
    </row>
    <row r="7" spans="1:44" ht="35.25" customHeight="1" thickBot="1" x14ac:dyDescent="0.3">
      <c r="A7" s="33" t="s">
        <v>10577</v>
      </c>
      <c r="B7" s="33" t="s">
        <v>10577</v>
      </c>
      <c r="C7" s="33" t="s">
        <v>10577</v>
      </c>
      <c r="D7" s="33" t="s">
        <v>10573</v>
      </c>
      <c r="E7" s="33" t="s">
        <v>10573</v>
      </c>
      <c r="F7" s="33" t="s">
        <v>10573</v>
      </c>
      <c r="J7">
        <v>10013673</v>
      </c>
      <c r="K7" t="s">
        <v>3809</v>
      </c>
      <c r="L7">
        <v>2</v>
      </c>
      <c r="O7" s="6" t="s">
        <v>10667</v>
      </c>
      <c r="Q7" s="46"/>
      <c r="R7" s="42">
        <v>1</v>
      </c>
      <c r="S7" s="43">
        <v>10160</v>
      </c>
      <c r="T7" s="42">
        <v>2</v>
      </c>
      <c r="U7" s="43">
        <v>11734</v>
      </c>
      <c r="V7" s="42">
        <v>3</v>
      </c>
      <c r="W7" s="44"/>
      <c r="X7" s="42">
        <v>4</v>
      </c>
      <c r="Y7" s="43">
        <v>12422</v>
      </c>
      <c r="Z7" s="42">
        <v>5</v>
      </c>
      <c r="AA7" s="43">
        <v>12113</v>
      </c>
      <c r="AB7" s="42">
        <v>6</v>
      </c>
      <c r="AC7" s="43">
        <v>13428</v>
      </c>
      <c r="AD7" s="42">
        <v>7</v>
      </c>
      <c r="AE7" s="44"/>
      <c r="AF7" s="42">
        <v>8</v>
      </c>
      <c r="AG7" s="43">
        <v>13447</v>
      </c>
      <c r="AH7" s="42">
        <v>9</v>
      </c>
      <c r="AI7" s="44"/>
      <c r="AJ7" s="42">
        <v>10</v>
      </c>
      <c r="AK7" s="44"/>
      <c r="AL7" s="42">
        <v>11</v>
      </c>
      <c r="AM7" s="44"/>
      <c r="AN7" s="42">
        <v>12</v>
      </c>
      <c r="AO7" s="44"/>
      <c r="AP7" s="42">
        <v>13</v>
      </c>
      <c r="AQ7" s="44"/>
      <c r="AR7" s="42">
        <v>14</v>
      </c>
    </row>
    <row r="8" spans="1:44" ht="35.25" customHeight="1" thickBot="1" x14ac:dyDescent="0.3">
      <c r="A8" s="33" t="s">
        <v>10577</v>
      </c>
      <c r="B8" s="33" t="s">
        <v>10577</v>
      </c>
      <c r="C8" s="33" t="s">
        <v>10577</v>
      </c>
      <c r="D8" s="33" t="s">
        <v>10573</v>
      </c>
      <c r="E8" s="33" t="s">
        <v>10573</v>
      </c>
      <c r="F8" s="33" t="s">
        <v>10573</v>
      </c>
      <c r="J8">
        <v>10013683</v>
      </c>
      <c r="K8" t="s">
        <v>4</v>
      </c>
      <c r="L8">
        <v>2</v>
      </c>
      <c r="O8" s="6" t="s">
        <v>10667</v>
      </c>
      <c r="Q8" s="46"/>
      <c r="R8" s="42">
        <v>1</v>
      </c>
      <c r="S8" s="44"/>
      <c r="T8" s="42">
        <v>2</v>
      </c>
      <c r="U8" s="43">
        <v>12413</v>
      </c>
      <c r="V8" s="42">
        <v>3</v>
      </c>
      <c r="W8" s="44"/>
      <c r="X8" s="42">
        <v>4</v>
      </c>
      <c r="Y8" s="44"/>
      <c r="Z8" s="42">
        <v>5</v>
      </c>
      <c r="AA8" s="43">
        <v>12703</v>
      </c>
      <c r="AB8" s="42">
        <v>6</v>
      </c>
      <c r="AC8" s="43">
        <v>13204</v>
      </c>
      <c r="AD8" s="42">
        <v>7</v>
      </c>
      <c r="AE8" s="44"/>
      <c r="AF8" s="42">
        <v>8</v>
      </c>
      <c r="AG8" s="44"/>
      <c r="AH8" s="42">
        <v>9</v>
      </c>
      <c r="AI8" s="44"/>
      <c r="AJ8" s="42">
        <v>10</v>
      </c>
      <c r="AK8" s="44"/>
      <c r="AL8" s="42">
        <v>11</v>
      </c>
      <c r="AM8" s="44"/>
      <c r="AN8" s="42">
        <v>12</v>
      </c>
      <c r="AO8" s="44"/>
      <c r="AP8" s="42">
        <v>13</v>
      </c>
      <c r="AQ8" s="44"/>
      <c r="AR8" s="42">
        <v>14</v>
      </c>
    </row>
    <row r="9" spans="1:44" ht="35.25" customHeight="1" thickBot="1" x14ac:dyDescent="0.3">
      <c r="A9" s="33" t="s">
        <v>10577</v>
      </c>
      <c r="B9" s="33" t="s">
        <v>10577</v>
      </c>
      <c r="C9" s="33" t="s">
        <v>10577</v>
      </c>
      <c r="D9" s="33" t="s">
        <v>10573</v>
      </c>
      <c r="E9" s="33" t="s">
        <v>10573</v>
      </c>
      <c r="F9" s="33" t="s">
        <v>10573</v>
      </c>
      <c r="J9">
        <v>10013684</v>
      </c>
      <c r="K9" t="s">
        <v>5</v>
      </c>
      <c r="L9">
        <v>10</v>
      </c>
      <c r="O9" s="6" t="s">
        <v>10667</v>
      </c>
      <c r="Q9" s="46"/>
      <c r="R9" s="42">
        <v>1</v>
      </c>
      <c r="S9" s="44"/>
      <c r="T9" s="42">
        <v>2</v>
      </c>
      <c r="U9" s="49">
        <v>11592</v>
      </c>
      <c r="V9" s="42">
        <v>3</v>
      </c>
      <c r="W9" s="44"/>
      <c r="X9" s="42">
        <v>4</v>
      </c>
      <c r="Y9" s="44"/>
      <c r="Z9" s="42">
        <v>5</v>
      </c>
      <c r="AA9" s="49">
        <v>11386</v>
      </c>
      <c r="AB9" s="42">
        <v>6</v>
      </c>
      <c r="AC9" s="44"/>
      <c r="AD9" s="42">
        <v>7</v>
      </c>
      <c r="AE9" s="44"/>
      <c r="AF9" s="42">
        <v>8</v>
      </c>
      <c r="AG9" s="44"/>
      <c r="AH9" s="42">
        <v>9</v>
      </c>
      <c r="AI9" s="44"/>
      <c r="AJ9" s="42">
        <v>10</v>
      </c>
      <c r="AK9" s="44"/>
      <c r="AL9" s="42">
        <v>11</v>
      </c>
      <c r="AM9" s="44"/>
      <c r="AN9" s="42">
        <v>12</v>
      </c>
      <c r="AO9" s="44"/>
      <c r="AP9" s="47"/>
      <c r="AQ9" s="44"/>
      <c r="AR9" s="42">
        <v>14</v>
      </c>
    </row>
    <row r="10" spans="1:44" ht="35.25" customHeight="1" thickBot="1" x14ac:dyDescent="0.3">
      <c r="A10" s="33" t="s">
        <v>10577</v>
      </c>
      <c r="B10" s="33" t="s">
        <v>10577</v>
      </c>
      <c r="C10" s="33" t="s">
        <v>10577</v>
      </c>
      <c r="D10" s="33" t="s">
        <v>10574</v>
      </c>
      <c r="E10" s="33" t="s">
        <v>10574</v>
      </c>
      <c r="F10" s="33" t="s">
        <v>10574</v>
      </c>
      <c r="J10">
        <v>10013692</v>
      </c>
      <c r="K10" t="s">
        <v>6</v>
      </c>
      <c r="L10">
        <v>41</v>
      </c>
      <c r="O10" s="6" t="s">
        <v>10667</v>
      </c>
      <c r="Q10" s="46"/>
      <c r="R10" s="42">
        <v>1</v>
      </c>
      <c r="S10" s="44"/>
      <c r="T10" s="42">
        <v>2</v>
      </c>
      <c r="U10" s="43">
        <v>12242</v>
      </c>
      <c r="V10" s="42">
        <v>3</v>
      </c>
      <c r="W10" s="44"/>
      <c r="X10" s="42">
        <v>4</v>
      </c>
      <c r="Y10" s="44"/>
      <c r="Z10" s="42">
        <v>5</v>
      </c>
      <c r="AA10" s="43">
        <v>11816</v>
      </c>
      <c r="AB10" s="42">
        <v>6</v>
      </c>
      <c r="AC10" s="44"/>
      <c r="AD10" s="42">
        <v>7</v>
      </c>
      <c r="AE10" s="44"/>
      <c r="AF10" s="42">
        <v>8</v>
      </c>
      <c r="AG10" s="44"/>
      <c r="AH10" s="42">
        <v>9</v>
      </c>
      <c r="AI10" s="44"/>
      <c r="AJ10" s="42">
        <v>10</v>
      </c>
      <c r="AK10" s="44"/>
      <c r="AL10" s="42">
        <v>11</v>
      </c>
      <c r="AM10" s="44"/>
      <c r="AN10" s="42">
        <v>12</v>
      </c>
      <c r="AO10" s="44"/>
      <c r="AP10" s="47"/>
      <c r="AQ10" s="44"/>
      <c r="AR10" s="42">
        <v>14</v>
      </c>
    </row>
    <row r="11" spans="1:44" ht="35.25" customHeight="1" thickBot="1" x14ac:dyDescent="0.3">
      <c r="A11" s="33" t="s">
        <v>10577</v>
      </c>
      <c r="B11" s="33" t="s">
        <v>10577</v>
      </c>
      <c r="C11" s="33" t="s">
        <v>10577</v>
      </c>
      <c r="D11" s="33" t="s">
        <v>10574</v>
      </c>
      <c r="E11" s="33" t="s">
        <v>10574</v>
      </c>
      <c r="F11" s="33" t="s">
        <v>10574</v>
      </c>
      <c r="J11">
        <v>10013697</v>
      </c>
      <c r="K11" t="s">
        <v>10560</v>
      </c>
      <c r="L11">
        <v>2</v>
      </c>
      <c r="O11" s="6" t="s">
        <v>10667</v>
      </c>
      <c r="Q11" s="46"/>
      <c r="R11" s="42">
        <v>1</v>
      </c>
      <c r="S11" s="44"/>
      <c r="T11" s="42">
        <v>2</v>
      </c>
      <c r="U11" s="43">
        <v>13488</v>
      </c>
      <c r="V11" s="42">
        <v>3</v>
      </c>
      <c r="W11" s="44"/>
      <c r="X11" s="42">
        <v>4</v>
      </c>
      <c r="Y11" s="44"/>
      <c r="Z11" s="42">
        <v>5</v>
      </c>
      <c r="AA11" s="43">
        <v>11669</v>
      </c>
      <c r="AB11" s="42">
        <v>6</v>
      </c>
      <c r="AC11" s="44"/>
      <c r="AD11" s="42">
        <v>7</v>
      </c>
      <c r="AE11" s="44"/>
      <c r="AF11" s="42">
        <v>8</v>
      </c>
      <c r="AG11" s="44"/>
      <c r="AH11" s="42">
        <v>9</v>
      </c>
      <c r="AI11" s="44"/>
      <c r="AJ11" s="42">
        <v>10</v>
      </c>
      <c r="AK11" s="44"/>
      <c r="AL11" s="42">
        <v>11</v>
      </c>
      <c r="AM11" s="44"/>
      <c r="AN11" s="42">
        <v>12</v>
      </c>
      <c r="AO11" s="44"/>
      <c r="AP11" s="47"/>
      <c r="AQ11" s="44"/>
      <c r="AR11" s="42">
        <v>14</v>
      </c>
    </row>
    <row r="12" spans="1:44" ht="35.25" customHeight="1" thickBot="1" x14ac:dyDescent="0.3">
      <c r="A12" s="33" t="s">
        <v>10577</v>
      </c>
      <c r="B12" s="33" t="s">
        <v>10577</v>
      </c>
      <c r="C12" s="33" t="s">
        <v>10577</v>
      </c>
      <c r="D12" s="33" t="s">
        <v>10574</v>
      </c>
      <c r="E12" s="33" t="s">
        <v>10574</v>
      </c>
      <c r="F12" s="33" t="s">
        <v>10574</v>
      </c>
      <c r="J12">
        <v>10013698</v>
      </c>
      <c r="K12" t="s">
        <v>3609</v>
      </c>
      <c r="L12">
        <v>12</v>
      </c>
      <c r="O12" s="6" t="s">
        <v>10667</v>
      </c>
      <c r="Q12" s="46"/>
      <c r="R12" s="42">
        <v>1</v>
      </c>
      <c r="S12" s="44"/>
      <c r="T12" s="42">
        <v>2</v>
      </c>
      <c r="U12" s="43">
        <v>13567</v>
      </c>
      <c r="V12" s="42">
        <v>3</v>
      </c>
      <c r="W12" s="44"/>
      <c r="X12" s="42">
        <v>4</v>
      </c>
      <c r="Y12" s="44"/>
      <c r="Z12" s="42">
        <v>5</v>
      </c>
      <c r="AA12" s="43">
        <v>12700</v>
      </c>
      <c r="AB12" s="42">
        <v>6</v>
      </c>
      <c r="AC12" s="44"/>
      <c r="AD12" s="42">
        <v>7</v>
      </c>
      <c r="AE12" s="44"/>
      <c r="AF12" s="42">
        <v>8</v>
      </c>
      <c r="AG12" s="44"/>
      <c r="AH12" s="42">
        <v>9</v>
      </c>
      <c r="AI12" s="44"/>
      <c r="AJ12" s="42">
        <v>10</v>
      </c>
      <c r="AK12" s="44"/>
      <c r="AL12" s="42">
        <v>11</v>
      </c>
      <c r="AM12" s="44"/>
      <c r="AN12" s="42">
        <v>12</v>
      </c>
      <c r="AO12" s="44"/>
      <c r="AP12" s="47"/>
      <c r="AQ12" s="44"/>
      <c r="AR12" s="42">
        <v>14</v>
      </c>
    </row>
    <row r="13" spans="1:44" ht="35.25" customHeight="1" thickBot="1" x14ac:dyDescent="0.3">
      <c r="A13" s="33" t="s">
        <v>10577</v>
      </c>
      <c r="B13" s="33" t="s">
        <v>10577</v>
      </c>
      <c r="C13" s="33" t="s">
        <v>10577</v>
      </c>
      <c r="D13" s="33" t="s">
        <v>10574</v>
      </c>
      <c r="E13" s="33" t="s">
        <v>10574</v>
      </c>
      <c r="F13" s="33" t="s">
        <v>10574</v>
      </c>
      <c r="J13">
        <v>10013704</v>
      </c>
      <c r="K13" t="s">
        <v>7</v>
      </c>
      <c r="L13">
        <v>1</v>
      </c>
      <c r="O13" s="6" t="s">
        <v>10667</v>
      </c>
      <c r="Q13" s="46"/>
      <c r="R13" s="42">
        <v>1</v>
      </c>
      <c r="S13" s="44"/>
      <c r="T13" s="42">
        <v>2</v>
      </c>
      <c r="U13" s="43">
        <v>11692</v>
      </c>
      <c r="V13" s="42">
        <v>3</v>
      </c>
      <c r="W13" s="44"/>
      <c r="X13" s="42">
        <v>4</v>
      </c>
      <c r="Y13" s="44"/>
      <c r="Z13" s="42">
        <v>5</v>
      </c>
      <c r="AA13" s="43">
        <v>13550</v>
      </c>
      <c r="AB13" s="42">
        <v>6</v>
      </c>
      <c r="AC13" s="44"/>
      <c r="AD13" s="42">
        <v>7</v>
      </c>
      <c r="AE13" s="44"/>
      <c r="AF13" s="42">
        <v>8</v>
      </c>
      <c r="AG13" s="44"/>
      <c r="AH13" s="42">
        <v>9</v>
      </c>
      <c r="AI13" s="44"/>
      <c r="AJ13" s="42">
        <v>10</v>
      </c>
      <c r="AK13" s="44"/>
      <c r="AL13" s="42">
        <v>11</v>
      </c>
      <c r="AM13" s="44"/>
      <c r="AN13" s="42">
        <v>12</v>
      </c>
      <c r="AO13" s="44"/>
      <c r="AP13" s="47"/>
      <c r="AQ13" s="44"/>
      <c r="AR13" s="42">
        <v>14</v>
      </c>
    </row>
    <row r="14" spans="1:44" ht="35.25" customHeight="1" thickBot="1" x14ac:dyDescent="0.3">
      <c r="A14" s="33" t="s">
        <v>10577</v>
      </c>
      <c r="B14" s="33" t="s">
        <v>10577</v>
      </c>
      <c r="C14" s="33" t="s">
        <v>10577</v>
      </c>
      <c r="D14" s="33" t="s">
        <v>10574</v>
      </c>
      <c r="E14" s="33" t="s">
        <v>10574</v>
      </c>
      <c r="F14" s="33" t="s">
        <v>10574</v>
      </c>
      <c r="J14">
        <v>10013710</v>
      </c>
      <c r="K14" t="s">
        <v>8</v>
      </c>
      <c r="L14">
        <v>3</v>
      </c>
      <c r="O14" s="6" t="s">
        <v>10667</v>
      </c>
      <c r="Q14" s="46"/>
      <c r="R14" s="42">
        <v>1</v>
      </c>
      <c r="S14" s="44"/>
      <c r="T14" s="42">
        <v>2</v>
      </c>
      <c r="U14" s="44"/>
      <c r="V14" s="42">
        <v>3</v>
      </c>
      <c r="W14" s="44"/>
      <c r="X14" s="42">
        <v>4</v>
      </c>
      <c r="Y14" s="44"/>
      <c r="Z14" s="42">
        <v>5</v>
      </c>
      <c r="AA14" s="43">
        <v>11990</v>
      </c>
      <c r="AB14" s="42">
        <v>6</v>
      </c>
      <c r="AC14" s="44"/>
      <c r="AD14" s="42">
        <v>7</v>
      </c>
      <c r="AE14" s="44"/>
      <c r="AF14" s="42">
        <v>8</v>
      </c>
      <c r="AG14" s="44"/>
      <c r="AH14" s="42">
        <v>9</v>
      </c>
      <c r="AI14" s="44"/>
      <c r="AJ14" s="42">
        <v>10</v>
      </c>
      <c r="AK14" s="44"/>
      <c r="AL14" s="42">
        <v>11</v>
      </c>
      <c r="AM14" s="44"/>
      <c r="AN14" s="42">
        <v>12</v>
      </c>
      <c r="AO14" s="44"/>
      <c r="AP14" s="47"/>
      <c r="AQ14" s="44"/>
      <c r="AR14" s="42">
        <v>14</v>
      </c>
    </row>
    <row r="15" spans="1:44" ht="35.25" customHeight="1" thickBot="1" x14ac:dyDescent="0.3">
      <c r="A15" s="33" t="s">
        <v>10577</v>
      </c>
      <c r="B15" s="33" t="s">
        <v>10577</v>
      </c>
      <c r="C15" s="33" t="s">
        <v>10577</v>
      </c>
      <c r="D15" s="33" t="s">
        <v>10575</v>
      </c>
      <c r="E15" s="33" t="s">
        <v>10575</v>
      </c>
      <c r="F15" s="33" t="s">
        <v>10575</v>
      </c>
      <c r="J15">
        <v>10013713</v>
      </c>
      <c r="K15" t="s">
        <v>9</v>
      </c>
      <c r="L15">
        <v>7</v>
      </c>
      <c r="O15" s="6" t="s">
        <v>10667</v>
      </c>
      <c r="Q15" s="46"/>
      <c r="R15" s="42">
        <v>1</v>
      </c>
      <c r="S15" s="44"/>
      <c r="T15" s="42">
        <v>2</v>
      </c>
      <c r="U15" s="44"/>
      <c r="V15" s="42">
        <v>3</v>
      </c>
      <c r="W15" s="44"/>
      <c r="X15" s="42">
        <v>4</v>
      </c>
      <c r="Y15" s="44"/>
      <c r="Z15" s="42">
        <v>5</v>
      </c>
      <c r="AA15" s="43">
        <v>11883</v>
      </c>
      <c r="AB15" s="42">
        <v>6</v>
      </c>
      <c r="AC15" s="44"/>
      <c r="AD15" s="42">
        <v>7</v>
      </c>
      <c r="AE15" s="44"/>
      <c r="AF15" s="42">
        <v>8</v>
      </c>
      <c r="AG15" s="44"/>
      <c r="AH15" s="42">
        <v>9</v>
      </c>
      <c r="AI15" s="44"/>
      <c r="AJ15" s="42">
        <v>10</v>
      </c>
      <c r="AK15" s="44"/>
      <c r="AL15" s="42">
        <v>11</v>
      </c>
      <c r="AM15" s="44"/>
      <c r="AN15" s="42">
        <v>12</v>
      </c>
      <c r="AO15" s="44"/>
      <c r="AP15" s="47"/>
      <c r="AQ15" s="44"/>
      <c r="AR15" s="42">
        <v>14</v>
      </c>
    </row>
    <row r="16" spans="1:44" ht="35.25" customHeight="1" thickBot="1" x14ac:dyDescent="0.3">
      <c r="A16" s="33" t="s">
        <v>10577</v>
      </c>
      <c r="B16" s="33" t="s">
        <v>10577</v>
      </c>
      <c r="C16" s="33" t="s">
        <v>10577</v>
      </c>
      <c r="D16" s="33" t="s">
        <v>10575</v>
      </c>
      <c r="E16" s="33" t="s">
        <v>10575</v>
      </c>
      <c r="F16" s="33" t="s">
        <v>10575</v>
      </c>
      <c r="J16">
        <v>10013716</v>
      </c>
      <c r="K16" t="s">
        <v>10</v>
      </c>
      <c r="L16">
        <v>50</v>
      </c>
      <c r="O16" s="6" t="s">
        <v>10667</v>
      </c>
      <c r="Q16" s="46"/>
      <c r="R16" s="42">
        <v>1</v>
      </c>
      <c r="S16" s="44"/>
      <c r="T16" s="42">
        <v>2</v>
      </c>
      <c r="U16" s="44"/>
      <c r="V16" s="42">
        <v>3</v>
      </c>
      <c r="W16" s="44"/>
      <c r="X16" s="42">
        <v>4</v>
      </c>
      <c r="Y16" s="44"/>
      <c r="Z16" s="42">
        <v>5</v>
      </c>
      <c r="AA16" s="44"/>
      <c r="AB16" s="42">
        <v>6</v>
      </c>
      <c r="AC16" s="44"/>
      <c r="AD16" s="42">
        <v>7</v>
      </c>
      <c r="AE16" s="44"/>
      <c r="AF16" s="42">
        <v>8</v>
      </c>
      <c r="AG16" s="44"/>
      <c r="AH16" s="42">
        <v>9</v>
      </c>
      <c r="AI16" s="44"/>
      <c r="AJ16" s="42">
        <v>10</v>
      </c>
      <c r="AK16" s="44"/>
      <c r="AL16" s="42">
        <v>11</v>
      </c>
      <c r="AM16" s="44"/>
      <c r="AN16" s="42">
        <v>12</v>
      </c>
      <c r="AO16" s="44"/>
      <c r="AP16" s="47"/>
      <c r="AQ16" s="44"/>
      <c r="AR16" s="42">
        <v>14</v>
      </c>
    </row>
    <row r="17" spans="1:15" ht="35.25" customHeight="1" x14ac:dyDescent="0.2">
      <c r="A17" s="33" t="s">
        <v>10577</v>
      </c>
      <c r="B17" s="33" t="s">
        <v>10577</v>
      </c>
      <c r="C17" s="33" t="s">
        <v>10577</v>
      </c>
      <c r="D17" s="33" t="s">
        <v>10577</v>
      </c>
      <c r="E17" s="33" t="s">
        <v>10577</v>
      </c>
      <c r="F17" s="33" t="s">
        <v>10577</v>
      </c>
      <c r="J17">
        <v>10013719</v>
      </c>
      <c r="K17" t="s">
        <v>11</v>
      </c>
      <c r="L17">
        <v>6</v>
      </c>
      <c r="O17" s="6" t="s">
        <v>10667</v>
      </c>
    </row>
    <row r="18" spans="1:15" ht="35.25" customHeight="1" x14ac:dyDescent="0.2">
      <c r="A18" s="33" t="s">
        <v>10577</v>
      </c>
      <c r="B18" s="33" t="s">
        <v>10577</v>
      </c>
      <c r="C18" s="33" t="s">
        <v>10577</v>
      </c>
      <c r="D18" s="33" t="s">
        <v>10577</v>
      </c>
      <c r="E18" s="33" t="s">
        <v>10577</v>
      </c>
      <c r="F18" s="33" t="s">
        <v>10577</v>
      </c>
      <c r="J18">
        <v>10013721</v>
      </c>
      <c r="K18" t="s">
        <v>12</v>
      </c>
      <c r="L18">
        <v>17</v>
      </c>
      <c r="O18" s="6" t="s">
        <v>10667</v>
      </c>
    </row>
    <row r="19" spans="1:15" ht="35.25" customHeight="1" x14ac:dyDescent="0.2">
      <c r="A19" s="33" t="s">
        <v>10577</v>
      </c>
      <c r="B19" s="33" t="s">
        <v>10577</v>
      </c>
      <c r="C19" s="33" t="s">
        <v>10577</v>
      </c>
      <c r="D19" s="33" t="s">
        <v>10577</v>
      </c>
      <c r="E19" s="33" t="s">
        <v>10577</v>
      </c>
      <c r="F19" s="33" t="s">
        <v>10577</v>
      </c>
      <c r="J19">
        <v>10013727</v>
      </c>
      <c r="K19" t="s">
        <v>13</v>
      </c>
      <c r="L19">
        <v>1</v>
      </c>
      <c r="O19" s="6" t="s">
        <v>10667</v>
      </c>
    </row>
    <row r="20" spans="1:15" ht="35.25" customHeight="1" x14ac:dyDescent="0.2">
      <c r="A20" s="33" t="s">
        <v>10577</v>
      </c>
      <c r="B20" s="33" t="s">
        <v>10577</v>
      </c>
      <c r="C20" s="33" t="s">
        <v>10577</v>
      </c>
      <c r="D20" s="33" t="s">
        <v>10577</v>
      </c>
      <c r="E20" s="33" t="s">
        <v>10577</v>
      </c>
      <c r="F20" s="33" t="s">
        <v>10577</v>
      </c>
      <c r="J20">
        <v>10017888</v>
      </c>
      <c r="K20" t="s">
        <v>16</v>
      </c>
      <c r="L20">
        <v>248</v>
      </c>
      <c r="O20" s="6" t="s">
        <v>10667</v>
      </c>
    </row>
    <row r="21" spans="1:15" ht="35.25" customHeight="1" x14ac:dyDescent="0.2">
      <c r="A21" s="33" t="s">
        <v>10576</v>
      </c>
      <c r="B21" s="33" t="s">
        <v>10576</v>
      </c>
      <c r="C21" s="33" t="s">
        <v>10576</v>
      </c>
      <c r="D21" s="33" t="s">
        <v>10577</v>
      </c>
      <c r="E21" s="33" t="s">
        <v>10577</v>
      </c>
      <c r="F21" s="33" t="s">
        <v>10577</v>
      </c>
      <c r="J21">
        <v>10017889</v>
      </c>
      <c r="K21" t="s">
        <v>17</v>
      </c>
      <c r="L21">
        <v>5</v>
      </c>
      <c r="O21" s="6" t="s">
        <v>10667</v>
      </c>
    </row>
    <row r="22" spans="1:15" ht="35.25" customHeight="1" x14ac:dyDescent="0.2">
      <c r="J22">
        <v>10017891</v>
      </c>
      <c r="K22" t="s">
        <v>18</v>
      </c>
      <c r="L22">
        <v>2</v>
      </c>
      <c r="O22" s="6" t="s">
        <v>10667</v>
      </c>
    </row>
    <row r="23" spans="1:15" ht="35.25" customHeight="1" x14ac:dyDescent="0.2">
      <c r="J23">
        <v>10017894</v>
      </c>
      <c r="K23" t="s">
        <v>20</v>
      </c>
      <c r="L23">
        <v>7</v>
      </c>
      <c r="O23" s="6" t="s">
        <v>10667</v>
      </c>
    </row>
    <row r="24" spans="1:15" ht="35.25" customHeight="1" x14ac:dyDescent="0.2">
      <c r="J24">
        <v>10017895</v>
      </c>
      <c r="K24" t="s">
        <v>5331</v>
      </c>
      <c r="L24">
        <v>2</v>
      </c>
      <c r="O24" s="6" t="s">
        <v>10667</v>
      </c>
    </row>
    <row r="25" spans="1:15" ht="35.25" customHeight="1" x14ac:dyDescent="0.2">
      <c r="J25">
        <v>10017896</v>
      </c>
      <c r="K25" t="s">
        <v>3877</v>
      </c>
      <c r="L25">
        <v>6</v>
      </c>
      <c r="O25" s="6" t="s">
        <v>10667</v>
      </c>
    </row>
    <row r="26" spans="1:15" ht="35.25" customHeight="1" x14ac:dyDescent="0.2">
      <c r="J26">
        <v>10017897</v>
      </c>
      <c r="K26" t="s">
        <v>21</v>
      </c>
      <c r="L26">
        <v>1</v>
      </c>
      <c r="O26" s="6" t="s">
        <v>10667</v>
      </c>
    </row>
    <row r="27" spans="1:15" ht="35.25" customHeight="1" x14ac:dyDescent="0.2">
      <c r="J27">
        <v>10017898</v>
      </c>
      <c r="K27" t="s">
        <v>22</v>
      </c>
      <c r="L27">
        <v>3</v>
      </c>
      <c r="O27" s="6" t="s">
        <v>10667</v>
      </c>
    </row>
    <row r="28" spans="1:15" ht="35.25" customHeight="1" x14ac:dyDescent="0.2">
      <c r="J28">
        <v>10017899</v>
      </c>
      <c r="K28" t="s">
        <v>23</v>
      </c>
      <c r="L28">
        <v>2</v>
      </c>
      <c r="O28" s="6" t="s">
        <v>10667</v>
      </c>
    </row>
    <row r="29" spans="1:15" ht="35.25" customHeight="1" x14ac:dyDescent="0.2">
      <c r="J29">
        <v>10017904</v>
      </c>
      <c r="K29" t="s">
        <v>5332</v>
      </c>
      <c r="L29">
        <v>2</v>
      </c>
      <c r="O29" s="6" t="s">
        <v>10667</v>
      </c>
    </row>
    <row r="30" spans="1:15" x14ac:dyDescent="0.2">
      <c r="J30">
        <v>10017905</v>
      </c>
      <c r="K30" t="s">
        <v>3840</v>
      </c>
      <c r="L30">
        <v>7</v>
      </c>
      <c r="O30" s="6" t="s">
        <v>10667</v>
      </c>
    </row>
    <row r="31" spans="1:15" x14ac:dyDescent="0.2">
      <c r="J31">
        <v>10017906</v>
      </c>
      <c r="K31" t="s">
        <v>3872</v>
      </c>
      <c r="L31">
        <v>6</v>
      </c>
      <c r="O31" s="6" t="s">
        <v>10667</v>
      </c>
    </row>
    <row r="32" spans="1:15" x14ac:dyDescent="0.2">
      <c r="J32">
        <v>10017915</v>
      </c>
      <c r="K32" t="s">
        <v>25</v>
      </c>
      <c r="L32">
        <v>2</v>
      </c>
      <c r="O32" s="6" t="s">
        <v>10667</v>
      </c>
    </row>
    <row r="33" spans="10:15" x14ac:dyDescent="0.2">
      <c r="J33">
        <v>10017924</v>
      </c>
      <c r="K33" t="s">
        <v>10565</v>
      </c>
      <c r="L33">
        <v>2</v>
      </c>
      <c r="O33" s="6" t="s">
        <v>10667</v>
      </c>
    </row>
    <row r="34" spans="10:15" x14ac:dyDescent="0.2">
      <c r="J34">
        <v>10017926</v>
      </c>
      <c r="K34" t="s">
        <v>10252</v>
      </c>
      <c r="L34">
        <v>1</v>
      </c>
      <c r="O34" s="6" t="s">
        <v>10667</v>
      </c>
    </row>
    <row r="35" spans="10:15" x14ac:dyDescent="0.2">
      <c r="J35">
        <v>10017927</v>
      </c>
      <c r="K35" t="s">
        <v>26</v>
      </c>
      <c r="L35">
        <v>4</v>
      </c>
      <c r="O35" s="6" t="s">
        <v>10667</v>
      </c>
    </row>
    <row r="36" spans="10:15" x14ac:dyDescent="0.2">
      <c r="J36">
        <v>10017929</v>
      </c>
      <c r="K36" t="s">
        <v>10246</v>
      </c>
      <c r="L36">
        <v>3</v>
      </c>
      <c r="O36" s="6" t="s">
        <v>10667</v>
      </c>
    </row>
    <row r="37" spans="10:15" x14ac:dyDescent="0.2">
      <c r="J37">
        <v>10017932</v>
      </c>
      <c r="K37" t="s">
        <v>5416</v>
      </c>
      <c r="L37">
        <v>3</v>
      </c>
      <c r="O37" s="6" t="s">
        <v>10667</v>
      </c>
    </row>
    <row r="38" spans="10:15" x14ac:dyDescent="0.2">
      <c r="J38">
        <v>10017934</v>
      </c>
      <c r="K38" t="s">
        <v>9681</v>
      </c>
      <c r="L38">
        <v>6</v>
      </c>
      <c r="O38" s="6" t="s">
        <v>10667</v>
      </c>
    </row>
    <row r="39" spans="10:15" x14ac:dyDescent="0.2">
      <c r="J39">
        <v>10017936</v>
      </c>
      <c r="K39" t="s">
        <v>5335</v>
      </c>
      <c r="L39">
        <v>1</v>
      </c>
      <c r="O39" s="6"/>
    </row>
    <row r="40" spans="10:15" x14ac:dyDescent="0.2">
      <c r="J40">
        <v>10017941</v>
      </c>
      <c r="K40" t="s">
        <v>5336</v>
      </c>
      <c r="L40">
        <v>2</v>
      </c>
      <c r="O40" s="6"/>
    </row>
    <row r="41" spans="10:15" x14ac:dyDescent="0.2">
      <c r="J41">
        <v>10017942</v>
      </c>
      <c r="K41" t="s">
        <v>27</v>
      </c>
      <c r="L41">
        <v>1</v>
      </c>
      <c r="O41" s="6"/>
    </row>
    <row r="42" spans="10:15" x14ac:dyDescent="0.2">
      <c r="J42">
        <v>10017943</v>
      </c>
      <c r="K42" t="s">
        <v>9650</v>
      </c>
      <c r="L42">
        <v>2</v>
      </c>
      <c r="O42" s="6"/>
    </row>
    <row r="43" spans="10:15" x14ac:dyDescent="0.2">
      <c r="J43">
        <v>10017944</v>
      </c>
      <c r="K43" t="s">
        <v>28</v>
      </c>
      <c r="L43">
        <v>5</v>
      </c>
      <c r="O43" s="6"/>
    </row>
    <row r="44" spans="10:15" x14ac:dyDescent="0.2">
      <c r="J44">
        <v>10017945</v>
      </c>
      <c r="K44" t="s">
        <v>5337</v>
      </c>
      <c r="L44">
        <v>1</v>
      </c>
      <c r="O44" s="6"/>
    </row>
    <row r="45" spans="10:15" x14ac:dyDescent="0.2">
      <c r="J45">
        <v>10017947</v>
      </c>
      <c r="K45" t="s">
        <v>5338</v>
      </c>
      <c r="L45">
        <v>2</v>
      </c>
      <c r="O45" s="6"/>
    </row>
    <row r="46" spans="10:15" x14ac:dyDescent="0.2">
      <c r="J46">
        <v>10017948</v>
      </c>
      <c r="K46" t="s">
        <v>9697</v>
      </c>
      <c r="L46">
        <v>4</v>
      </c>
      <c r="O46" s="6"/>
    </row>
    <row r="47" spans="10:15" x14ac:dyDescent="0.2">
      <c r="J47">
        <v>10017949</v>
      </c>
      <c r="K47" t="s">
        <v>5339</v>
      </c>
      <c r="L47">
        <v>2</v>
      </c>
      <c r="O47" s="6"/>
    </row>
    <row r="48" spans="10:15" x14ac:dyDescent="0.2">
      <c r="J48">
        <v>10017951</v>
      </c>
      <c r="K48" t="s">
        <v>29</v>
      </c>
      <c r="L48">
        <v>1</v>
      </c>
      <c r="O48" s="6"/>
    </row>
    <row r="49" spans="10:15" x14ac:dyDescent="0.2">
      <c r="J49">
        <v>10017953</v>
      </c>
      <c r="K49" t="s">
        <v>5417</v>
      </c>
      <c r="L49">
        <v>2</v>
      </c>
      <c r="O49" s="6"/>
    </row>
    <row r="50" spans="10:15" x14ac:dyDescent="0.2">
      <c r="J50">
        <v>10017957</v>
      </c>
      <c r="K50" t="s">
        <v>3810</v>
      </c>
      <c r="L50">
        <v>2</v>
      </c>
      <c r="O50" s="6"/>
    </row>
    <row r="51" spans="10:15" x14ac:dyDescent="0.2">
      <c r="J51">
        <v>10017959</v>
      </c>
      <c r="K51" t="s">
        <v>5418</v>
      </c>
      <c r="L51">
        <v>2</v>
      </c>
      <c r="O51" s="6"/>
    </row>
    <row r="52" spans="10:15" x14ac:dyDescent="0.2">
      <c r="J52">
        <v>10017960</v>
      </c>
      <c r="K52" t="s">
        <v>30</v>
      </c>
      <c r="L52">
        <v>1</v>
      </c>
      <c r="O52" s="6"/>
    </row>
    <row r="53" spans="10:15" x14ac:dyDescent="0.2">
      <c r="J53">
        <v>10017963</v>
      </c>
      <c r="K53" t="s">
        <v>32</v>
      </c>
      <c r="L53">
        <v>1</v>
      </c>
      <c r="O53" s="6"/>
    </row>
    <row r="54" spans="10:15" x14ac:dyDescent="0.2">
      <c r="J54">
        <v>10017964</v>
      </c>
      <c r="K54" t="s">
        <v>5419</v>
      </c>
      <c r="L54">
        <v>2</v>
      </c>
      <c r="O54" s="6"/>
    </row>
    <row r="55" spans="10:15" x14ac:dyDescent="0.2">
      <c r="J55">
        <v>10017965</v>
      </c>
      <c r="K55" t="s">
        <v>3677</v>
      </c>
      <c r="L55">
        <v>57</v>
      </c>
      <c r="O55" s="6"/>
    </row>
    <row r="56" spans="10:15" x14ac:dyDescent="0.2">
      <c r="J56">
        <v>10017966</v>
      </c>
      <c r="K56" t="s">
        <v>33</v>
      </c>
      <c r="L56">
        <v>1</v>
      </c>
      <c r="O56" s="6"/>
    </row>
    <row r="57" spans="10:15" x14ac:dyDescent="0.2">
      <c r="J57">
        <v>10017967</v>
      </c>
      <c r="K57" t="s">
        <v>9723</v>
      </c>
      <c r="L57">
        <v>5</v>
      </c>
      <c r="O57" s="6"/>
    </row>
    <row r="58" spans="10:15" x14ac:dyDescent="0.2">
      <c r="J58">
        <v>10017969</v>
      </c>
      <c r="K58" t="s">
        <v>34</v>
      </c>
      <c r="L58">
        <v>27</v>
      </c>
      <c r="O58" s="6"/>
    </row>
    <row r="59" spans="10:15" x14ac:dyDescent="0.2">
      <c r="J59">
        <v>10017970</v>
      </c>
      <c r="K59" t="s">
        <v>10558</v>
      </c>
      <c r="L59">
        <v>1</v>
      </c>
      <c r="O59" s="6"/>
    </row>
    <row r="60" spans="10:15" x14ac:dyDescent="0.2">
      <c r="J60">
        <v>10017974</v>
      </c>
      <c r="K60" t="s">
        <v>5489</v>
      </c>
      <c r="L60">
        <v>1</v>
      </c>
      <c r="O60" s="6"/>
    </row>
    <row r="61" spans="10:15" x14ac:dyDescent="0.2">
      <c r="J61">
        <v>10017975</v>
      </c>
      <c r="K61" t="s">
        <v>3895</v>
      </c>
      <c r="L61">
        <v>2</v>
      </c>
      <c r="O61" s="6"/>
    </row>
    <row r="62" spans="10:15" x14ac:dyDescent="0.2">
      <c r="J62">
        <v>10017977</v>
      </c>
      <c r="K62" t="s">
        <v>37</v>
      </c>
      <c r="L62">
        <v>4</v>
      </c>
      <c r="O62" s="6"/>
    </row>
    <row r="63" spans="10:15" x14ac:dyDescent="0.2">
      <c r="J63">
        <v>10017978</v>
      </c>
      <c r="K63" t="s">
        <v>38</v>
      </c>
      <c r="L63">
        <v>1</v>
      </c>
      <c r="O63" s="6"/>
    </row>
    <row r="64" spans="10:15" x14ac:dyDescent="0.2">
      <c r="J64">
        <v>10017979</v>
      </c>
      <c r="K64" t="s">
        <v>39</v>
      </c>
      <c r="L64">
        <v>18</v>
      </c>
      <c r="O64" s="6"/>
    </row>
    <row r="65" spans="10:15" x14ac:dyDescent="0.2">
      <c r="J65">
        <v>10017980</v>
      </c>
      <c r="K65" t="s">
        <v>40</v>
      </c>
      <c r="L65">
        <v>1</v>
      </c>
      <c r="O65" s="6"/>
    </row>
    <row r="66" spans="10:15" x14ac:dyDescent="0.2">
      <c r="J66">
        <v>10017982</v>
      </c>
      <c r="K66" t="s">
        <v>10618</v>
      </c>
      <c r="L66">
        <v>1</v>
      </c>
      <c r="O66" s="6"/>
    </row>
    <row r="67" spans="10:15" x14ac:dyDescent="0.2">
      <c r="J67">
        <v>10017983</v>
      </c>
      <c r="K67" t="s">
        <v>42</v>
      </c>
      <c r="L67">
        <v>10</v>
      </c>
      <c r="O67" s="6"/>
    </row>
    <row r="68" spans="10:15" x14ac:dyDescent="0.2">
      <c r="J68">
        <v>10017984</v>
      </c>
      <c r="K68" t="s">
        <v>9654</v>
      </c>
      <c r="L68">
        <v>2</v>
      </c>
      <c r="O68" s="6"/>
    </row>
    <row r="69" spans="10:15" x14ac:dyDescent="0.2">
      <c r="J69">
        <v>10017985</v>
      </c>
      <c r="K69" t="s">
        <v>43</v>
      </c>
      <c r="L69">
        <v>6</v>
      </c>
      <c r="O69" s="6"/>
    </row>
    <row r="70" spans="10:15" x14ac:dyDescent="0.2">
      <c r="J70">
        <v>10017986</v>
      </c>
      <c r="K70" t="s">
        <v>44</v>
      </c>
      <c r="L70">
        <v>1</v>
      </c>
      <c r="O70" s="6"/>
    </row>
    <row r="71" spans="10:15" x14ac:dyDescent="0.2">
      <c r="J71">
        <v>10017987</v>
      </c>
      <c r="K71" t="s">
        <v>45</v>
      </c>
      <c r="L71">
        <v>2</v>
      </c>
      <c r="O71" s="6"/>
    </row>
    <row r="72" spans="10:15" x14ac:dyDescent="0.2">
      <c r="J72">
        <v>10017989</v>
      </c>
      <c r="K72" t="s">
        <v>46</v>
      </c>
      <c r="L72">
        <v>7</v>
      </c>
      <c r="O72" s="6"/>
    </row>
    <row r="73" spans="10:15" x14ac:dyDescent="0.2">
      <c r="J73">
        <v>10017991</v>
      </c>
      <c r="K73" t="s">
        <v>47</v>
      </c>
      <c r="L73">
        <v>8</v>
      </c>
      <c r="O73" s="6"/>
    </row>
    <row r="74" spans="10:15" x14ac:dyDescent="0.2">
      <c r="J74">
        <v>10017993</v>
      </c>
      <c r="K74" t="s">
        <v>48</v>
      </c>
      <c r="L74">
        <v>6</v>
      </c>
      <c r="O74" s="6"/>
    </row>
    <row r="75" spans="10:15" x14ac:dyDescent="0.2">
      <c r="J75">
        <v>10017994</v>
      </c>
      <c r="K75" t="s">
        <v>49</v>
      </c>
      <c r="L75">
        <v>1</v>
      </c>
    </row>
    <row r="76" spans="10:15" x14ac:dyDescent="0.2">
      <c r="J76">
        <v>10017995</v>
      </c>
      <c r="K76" t="s">
        <v>50</v>
      </c>
      <c r="L76">
        <v>4</v>
      </c>
    </row>
    <row r="77" spans="10:15" x14ac:dyDescent="0.2">
      <c r="J77">
        <v>10017997</v>
      </c>
      <c r="K77" t="s">
        <v>51</v>
      </c>
      <c r="L77">
        <v>6</v>
      </c>
    </row>
    <row r="78" spans="10:15" x14ac:dyDescent="0.2">
      <c r="J78">
        <v>10017999</v>
      </c>
      <c r="K78" t="s">
        <v>52</v>
      </c>
      <c r="L78">
        <v>9</v>
      </c>
    </row>
    <row r="79" spans="10:15" x14ac:dyDescent="0.2">
      <c r="J79">
        <v>10018001</v>
      </c>
      <c r="K79" t="s">
        <v>53</v>
      </c>
      <c r="L79">
        <v>9</v>
      </c>
    </row>
    <row r="80" spans="10:15" x14ac:dyDescent="0.2">
      <c r="J80">
        <v>10018002</v>
      </c>
      <c r="K80" t="s">
        <v>10559</v>
      </c>
      <c r="L80">
        <v>8</v>
      </c>
    </row>
    <row r="81" spans="10:12" x14ac:dyDescent="0.2">
      <c r="J81">
        <v>10018003</v>
      </c>
      <c r="K81" t="s">
        <v>54</v>
      </c>
      <c r="L81">
        <v>7</v>
      </c>
    </row>
    <row r="82" spans="10:12" x14ac:dyDescent="0.2">
      <c r="J82">
        <v>10018005</v>
      </c>
      <c r="K82" t="s">
        <v>55</v>
      </c>
      <c r="L82">
        <v>7</v>
      </c>
    </row>
    <row r="83" spans="10:12" x14ac:dyDescent="0.2">
      <c r="J83">
        <v>10018007</v>
      </c>
      <c r="K83" t="s">
        <v>56</v>
      </c>
      <c r="L83">
        <v>10</v>
      </c>
    </row>
    <row r="84" spans="10:12" x14ac:dyDescent="0.2">
      <c r="J84">
        <v>10018009</v>
      </c>
      <c r="K84" t="s">
        <v>57</v>
      </c>
      <c r="L84">
        <v>8</v>
      </c>
    </row>
    <row r="85" spans="10:12" x14ac:dyDescent="0.2">
      <c r="J85">
        <v>10018010</v>
      </c>
      <c r="K85" t="s">
        <v>9679</v>
      </c>
      <c r="L85">
        <v>3</v>
      </c>
    </row>
    <row r="86" spans="10:12" x14ac:dyDescent="0.2">
      <c r="J86">
        <v>10018011</v>
      </c>
      <c r="K86" t="s">
        <v>58</v>
      </c>
      <c r="L86">
        <v>10</v>
      </c>
    </row>
    <row r="87" spans="10:12" x14ac:dyDescent="0.2">
      <c r="J87">
        <v>10018023</v>
      </c>
      <c r="K87" t="s">
        <v>59</v>
      </c>
      <c r="L87">
        <v>6</v>
      </c>
    </row>
    <row r="88" spans="10:12" x14ac:dyDescent="0.2">
      <c r="J88">
        <v>10018038</v>
      </c>
      <c r="K88" t="s">
        <v>3740</v>
      </c>
      <c r="L88">
        <v>6</v>
      </c>
    </row>
    <row r="89" spans="10:12" x14ac:dyDescent="0.2">
      <c r="J89">
        <v>10018040</v>
      </c>
      <c r="K89" t="s">
        <v>60</v>
      </c>
      <c r="L89">
        <v>1</v>
      </c>
    </row>
    <row r="90" spans="10:12" x14ac:dyDescent="0.2">
      <c r="J90">
        <v>10018042</v>
      </c>
      <c r="K90" t="s">
        <v>61</v>
      </c>
      <c r="L90">
        <v>1</v>
      </c>
    </row>
    <row r="91" spans="10:12" x14ac:dyDescent="0.2">
      <c r="J91">
        <v>10018046</v>
      </c>
      <c r="K91" t="s">
        <v>5340</v>
      </c>
      <c r="L91">
        <v>1</v>
      </c>
    </row>
    <row r="92" spans="10:12" x14ac:dyDescent="0.2">
      <c r="J92">
        <v>10018048</v>
      </c>
      <c r="K92" t="s">
        <v>63</v>
      </c>
      <c r="L92">
        <v>26</v>
      </c>
    </row>
    <row r="93" spans="10:12" x14ac:dyDescent="0.2">
      <c r="J93">
        <v>10018050</v>
      </c>
      <c r="K93" t="s">
        <v>64</v>
      </c>
      <c r="L93">
        <v>10</v>
      </c>
    </row>
    <row r="94" spans="10:12" x14ac:dyDescent="0.2">
      <c r="J94">
        <v>10018052</v>
      </c>
      <c r="K94" t="s">
        <v>65</v>
      </c>
      <c r="L94">
        <v>15</v>
      </c>
    </row>
    <row r="95" spans="10:12" x14ac:dyDescent="0.2">
      <c r="J95">
        <v>10018061</v>
      </c>
      <c r="K95" t="s">
        <v>66</v>
      </c>
      <c r="L95">
        <v>3</v>
      </c>
    </row>
    <row r="96" spans="10:12" x14ac:dyDescent="0.2">
      <c r="J96">
        <v>10018065</v>
      </c>
      <c r="K96" t="s">
        <v>67</v>
      </c>
      <c r="L96">
        <v>23</v>
      </c>
    </row>
    <row r="97" spans="10:12" x14ac:dyDescent="0.2">
      <c r="J97">
        <v>10018069</v>
      </c>
      <c r="K97" t="s">
        <v>68</v>
      </c>
      <c r="L97">
        <v>5</v>
      </c>
    </row>
    <row r="98" spans="10:12" x14ac:dyDescent="0.2">
      <c r="J98">
        <v>10018089</v>
      </c>
      <c r="K98" t="s">
        <v>70</v>
      </c>
      <c r="L98">
        <v>21</v>
      </c>
    </row>
    <row r="99" spans="10:12" x14ac:dyDescent="0.2">
      <c r="J99">
        <v>10018099</v>
      </c>
      <c r="K99" t="s">
        <v>71</v>
      </c>
      <c r="L99">
        <v>3</v>
      </c>
    </row>
    <row r="100" spans="10:12" x14ac:dyDescent="0.2">
      <c r="J100">
        <v>10018100</v>
      </c>
      <c r="K100" t="s">
        <v>72</v>
      </c>
      <c r="L100">
        <v>8</v>
      </c>
    </row>
    <row r="101" spans="10:12" x14ac:dyDescent="0.2">
      <c r="J101">
        <v>10018110</v>
      </c>
      <c r="K101" t="s">
        <v>73</v>
      </c>
      <c r="L101">
        <v>7</v>
      </c>
    </row>
    <row r="102" spans="10:12" x14ac:dyDescent="0.2">
      <c r="J102">
        <v>10018112</v>
      </c>
      <c r="K102" t="s">
        <v>3621</v>
      </c>
      <c r="L102">
        <v>8</v>
      </c>
    </row>
    <row r="103" spans="10:12" x14ac:dyDescent="0.2">
      <c r="J103">
        <v>10018122</v>
      </c>
      <c r="K103" t="s">
        <v>3899</v>
      </c>
      <c r="L103">
        <v>1</v>
      </c>
    </row>
    <row r="104" spans="10:12" x14ac:dyDescent="0.2">
      <c r="J104">
        <v>10018132</v>
      </c>
      <c r="K104" t="s">
        <v>75</v>
      </c>
      <c r="L104">
        <v>6</v>
      </c>
    </row>
    <row r="105" spans="10:12" x14ac:dyDescent="0.2">
      <c r="J105">
        <v>10018136</v>
      </c>
      <c r="K105" t="s">
        <v>77</v>
      </c>
      <c r="L105">
        <v>4</v>
      </c>
    </row>
    <row r="106" spans="10:12" x14ac:dyDescent="0.2">
      <c r="J106">
        <v>10018141</v>
      </c>
      <c r="K106" t="s">
        <v>79</v>
      </c>
      <c r="L106">
        <v>2</v>
      </c>
    </row>
    <row r="107" spans="10:12" x14ac:dyDescent="0.2">
      <c r="J107">
        <v>10018142</v>
      </c>
      <c r="K107" t="s">
        <v>10619</v>
      </c>
      <c r="L107">
        <v>4</v>
      </c>
    </row>
    <row r="108" spans="10:12" x14ac:dyDescent="0.2">
      <c r="J108">
        <v>10018144</v>
      </c>
      <c r="K108" t="s">
        <v>3623</v>
      </c>
      <c r="L108">
        <v>2</v>
      </c>
    </row>
    <row r="109" spans="10:12" x14ac:dyDescent="0.2">
      <c r="J109">
        <v>10018146</v>
      </c>
      <c r="K109" t="s">
        <v>5341</v>
      </c>
      <c r="L109">
        <v>3</v>
      </c>
    </row>
    <row r="110" spans="10:12" x14ac:dyDescent="0.2">
      <c r="J110">
        <v>10018148</v>
      </c>
      <c r="K110" t="s">
        <v>10561</v>
      </c>
      <c r="L110">
        <v>1</v>
      </c>
    </row>
    <row r="111" spans="10:12" x14ac:dyDescent="0.2">
      <c r="J111">
        <v>10018153</v>
      </c>
      <c r="K111" t="s">
        <v>81</v>
      </c>
      <c r="L111">
        <v>2</v>
      </c>
    </row>
    <row r="112" spans="10:12" x14ac:dyDescent="0.2">
      <c r="J112">
        <v>10018154</v>
      </c>
      <c r="K112" t="s">
        <v>82</v>
      </c>
      <c r="L112">
        <v>10</v>
      </c>
    </row>
    <row r="113" spans="10:12" x14ac:dyDescent="0.2">
      <c r="J113">
        <v>10018156</v>
      </c>
      <c r="K113" t="s">
        <v>9642</v>
      </c>
      <c r="L113">
        <v>1</v>
      </c>
    </row>
    <row r="114" spans="10:12" x14ac:dyDescent="0.2">
      <c r="J114">
        <v>10018157</v>
      </c>
      <c r="K114" t="s">
        <v>83</v>
      </c>
      <c r="L114">
        <v>19</v>
      </c>
    </row>
    <row r="115" spans="10:12" x14ac:dyDescent="0.2">
      <c r="J115">
        <v>10018159</v>
      </c>
      <c r="K115" t="s">
        <v>84</v>
      </c>
      <c r="L115">
        <v>1</v>
      </c>
    </row>
    <row r="116" spans="10:12" x14ac:dyDescent="0.2">
      <c r="J116">
        <v>10018160</v>
      </c>
      <c r="K116" t="s">
        <v>85</v>
      </c>
      <c r="L116">
        <v>51</v>
      </c>
    </row>
    <row r="117" spans="10:12" x14ac:dyDescent="0.2">
      <c r="J117">
        <v>10018166</v>
      </c>
      <c r="K117" t="s">
        <v>86</v>
      </c>
      <c r="L117">
        <v>26</v>
      </c>
    </row>
    <row r="118" spans="10:12" x14ac:dyDescent="0.2">
      <c r="J118">
        <v>10018170</v>
      </c>
      <c r="K118" t="s">
        <v>87</v>
      </c>
      <c r="L118">
        <v>14</v>
      </c>
    </row>
    <row r="119" spans="10:12" x14ac:dyDescent="0.2">
      <c r="J119">
        <v>10018171</v>
      </c>
      <c r="K119" t="s">
        <v>5342</v>
      </c>
      <c r="L119">
        <v>11</v>
      </c>
    </row>
    <row r="120" spans="10:12" x14ac:dyDescent="0.2">
      <c r="J120">
        <v>10018173</v>
      </c>
      <c r="K120" t="s">
        <v>88</v>
      </c>
      <c r="L120">
        <v>10</v>
      </c>
    </row>
    <row r="121" spans="10:12" x14ac:dyDescent="0.2">
      <c r="J121">
        <v>10018175</v>
      </c>
      <c r="K121" t="s">
        <v>89</v>
      </c>
      <c r="L121">
        <v>17</v>
      </c>
    </row>
    <row r="122" spans="10:12" x14ac:dyDescent="0.2">
      <c r="J122">
        <v>10018184</v>
      </c>
      <c r="K122" t="s">
        <v>90</v>
      </c>
      <c r="L122">
        <v>11</v>
      </c>
    </row>
    <row r="123" spans="10:12" x14ac:dyDescent="0.2">
      <c r="J123">
        <v>10018187</v>
      </c>
      <c r="K123" t="s">
        <v>91</v>
      </c>
      <c r="L123">
        <v>16</v>
      </c>
    </row>
    <row r="124" spans="10:12" x14ac:dyDescent="0.2">
      <c r="J124">
        <v>10018189</v>
      </c>
      <c r="K124" t="s">
        <v>92</v>
      </c>
      <c r="L124">
        <v>1</v>
      </c>
    </row>
    <row r="125" spans="10:12" x14ac:dyDescent="0.2">
      <c r="J125">
        <v>10018191</v>
      </c>
      <c r="K125" t="s">
        <v>93</v>
      </c>
      <c r="L125">
        <v>2</v>
      </c>
    </row>
    <row r="126" spans="10:12" x14ac:dyDescent="0.2">
      <c r="J126">
        <v>10018192</v>
      </c>
      <c r="K126" t="s">
        <v>94</v>
      </c>
      <c r="L126">
        <v>1</v>
      </c>
    </row>
    <row r="127" spans="10:12" x14ac:dyDescent="0.2">
      <c r="J127">
        <v>10018193</v>
      </c>
      <c r="K127" t="s">
        <v>95</v>
      </c>
      <c r="L127">
        <v>3</v>
      </c>
    </row>
    <row r="128" spans="10:12" x14ac:dyDescent="0.2">
      <c r="J128">
        <v>10018194</v>
      </c>
      <c r="K128" t="s">
        <v>96</v>
      </c>
      <c r="L128">
        <v>1</v>
      </c>
    </row>
    <row r="129" spans="10:12" x14ac:dyDescent="0.2">
      <c r="J129">
        <v>10018195</v>
      </c>
      <c r="K129" t="s">
        <v>97</v>
      </c>
      <c r="L129">
        <v>24</v>
      </c>
    </row>
    <row r="130" spans="10:12" x14ac:dyDescent="0.2">
      <c r="J130">
        <v>10018196</v>
      </c>
      <c r="K130" t="s">
        <v>98</v>
      </c>
      <c r="L130">
        <v>1</v>
      </c>
    </row>
    <row r="131" spans="10:12" x14ac:dyDescent="0.2">
      <c r="J131">
        <v>10018198</v>
      </c>
      <c r="K131" t="s">
        <v>99</v>
      </c>
      <c r="L131">
        <v>1</v>
      </c>
    </row>
    <row r="132" spans="10:12" x14ac:dyDescent="0.2">
      <c r="J132">
        <v>10018200</v>
      </c>
      <c r="K132" t="s">
        <v>100</v>
      </c>
      <c r="L132">
        <v>1</v>
      </c>
    </row>
    <row r="133" spans="10:12" x14ac:dyDescent="0.2">
      <c r="J133">
        <v>10018202</v>
      </c>
      <c r="K133" t="s">
        <v>101</v>
      </c>
      <c r="L133">
        <v>1</v>
      </c>
    </row>
    <row r="134" spans="10:12" x14ac:dyDescent="0.2">
      <c r="J134">
        <v>10018203</v>
      </c>
      <c r="K134" t="s">
        <v>102</v>
      </c>
      <c r="L134">
        <v>7</v>
      </c>
    </row>
    <row r="135" spans="10:12" x14ac:dyDescent="0.2">
      <c r="J135">
        <v>10018204</v>
      </c>
      <c r="K135" t="s">
        <v>103</v>
      </c>
      <c r="L135">
        <v>1</v>
      </c>
    </row>
    <row r="136" spans="10:12" x14ac:dyDescent="0.2">
      <c r="J136">
        <v>10018205</v>
      </c>
      <c r="K136" t="s">
        <v>104</v>
      </c>
      <c r="L136">
        <v>5</v>
      </c>
    </row>
    <row r="137" spans="10:12" x14ac:dyDescent="0.2">
      <c r="J137">
        <v>10018207</v>
      </c>
      <c r="K137" t="s">
        <v>105</v>
      </c>
      <c r="L137">
        <v>2</v>
      </c>
    </row>
    <row r="138" spans="10:12" x14ac:dyDescent="0.2">
      <c r="J138">
        <v>10018208</v>
      </c>
      <c r="K138" t="s">
        <v>106</v>
      </c>
      <c r="L138">
        <v>1</v>
      </c>
    </row>
    <row r="139" spans="10:12" x14ac:dyDescent="0.2">
      <c r="J139">
        <v>10018209</v>
      </c>
      <c r="K139" t="s">
        <v>107</v>
      </c>
      <c r="L139">
        <v>12</v>
      </c>
    </row>
    <row r="140" spans="10:12" x14ac:dyDescent="0.2">
      <c r="J140">
        <v>10018211</v>
      </c>
      <c r="K140" t="s">
        <v>108</v>
      </c>
      <c r="L140">
        <v>2</v>
      </c>
    </row>
    <row r="141" spans="10:12" x14ac:dyDescent="0.2">
      <c r="J141">
        <v>10018214</v>
      </c>
      <c r="K141" t="s">
        <v>109</v>
      </c>
      <c r="L141">
        <v>18</v>
      </c>
    </row>
    <row r="142" spans="10:12" x14ac:dyDescent="0.2">
      <c r="J142">
        <v>10018219</v>
      </c>
      <c r="K142" t="s">
        <v>110</v>
      </c>
      <c r="L142">
        <v>1</v>
      </c>
    </row>
    <row r="143" spans="10:12" x14ac:dyDescent="0.2">
      <c r="J143">
        <v>10018220</v>
      </c>
      <c r="K143" t="s">
        <v>111</v>
      </c>
      <c r="L143">
        <v>3</v>
      </c>
    </row>
    <row r="144" spans="10:12" x14ac:dyDescent="0.2">
      <c r="J144">
        <v>10018225</v>
      </c>
      <c r="K144" t="s">
        <v>112</v>
      </c>
      <c r="L144">
        <v>1</v>
      </c>
    </row>
    <row r="145" spans="10:12" x14ac:dyDescent="0.2">
      <c r="J145">
        <v>10018227</v>
      </c>
      <c r="K145" t="s">
        <v>113</v>
      </c>
      <c r="L145">
        <v>1</v>
      </c>
    </row>
    <row r="146" spans="10:12" x14ac:dyDescent="0.2">
      <c r="J146">
        <v>10018229</v>
      </c>
      <c r="K146" t="s">
        <v>115</v>
      </c>
      <c r="L146">
        <v>5</v>
      </c>
    </row>
    <row r="147" spans="10:12" x14ac:dyDescent="0.2">
      <c r="J147">
        <v>10018230</v>
      </c>
      <c r="K147" t="s">
        <v>116</v>
      </c>
      <c r="L147">
        <v>31</v>
      </c>
    </row>
    <row r="148" spans="10:12" x14ac:dyDescent="0.2">
      <c r="J148">
        <v>10018231</v>
      </c>
      <c r="K148" t="s">
        <v>117</v>
      </c>
      <c r="L148">
        <v>35</v>
      </c>
    </row>
    <row r="149" spans="10:12" x14ac:dyDescent="0.2">
      <c r="J149">
        <v>10018232</v>
      </c>
      <c r="K149" t="s">
        <v>118</v>
      </c>
      <c r="L149">
        <v>41</v>
      </c>
    </row>
    <row r="150" spans="10:12" x14ac:dyDescent="0.2">
      <c r="J150">
        <v>10018233</v>
      </c>
      <c r="K150" t="s">
        <v>119</v>
      </c>
      <c r="L150">
        <v>51</v>
      </c>
    </row>
    <row r="151" spans="10:12" x14ac:dyDescent="0.2">
      <c r="J151">
        <v>10018234</v>
      </c>
      <c r="K151" t="s">
        <v>120</v>
      </c>
      <c r="L151">
        <v>17</v>
      </c>
    </row>
    <row r="152" spans="10:12" x14ac:dyDescent="0.2">
      <c r="J152">
        <v>10018235</v>
      </c>
      <c r="K152" t="s">
        <v>121</v>
      </c>
      <c r="L152">
        <v>23</v>
      </c>
    </row>
    <row r="153" spans="10:12" x14ac:dyDescent="0.2">
      <c r="J153">
        <v>10018240</v>
      </c>
      <c r="K153" t="s">
        <v>3894</v>
      </c>
      <c r="L153">
        <v>5</v>
      </c>
    </row>
    <row r="154" spans="10:12" x14ac:dyDescent="0.2">
      <c r="J154">
        <v>10018242</v>
      </c>
      <c r="K154" t="s">
        <v>3896</v>
      </c>
      <c r="L154">
        <v>1</v>
      </c>
    </row>
    <row r="155" spans="10:12" x14ac:dyDescent="0.2">
      <c r="J155">
        <v>10018244</v>
      </c>
      <c r="K155" t="s">
        <v>9711</v>
      </c>
      <c r="L155">
        <v>2</v>
      </c>
    </row>
    <row r="156" spans="10:12" x14ac:dyDescent="0.2">
      <c r="J156">
        <v>10018245</v>
      </c>
      <c r="K156" t="s">
        <v>10620</v>
      </c>
      <c r="L156">
        <v>1</v>
      </c>
    </row>
    <row r="157" spans="10:12" x14ac:dyDescent="0.2">
      <c r="J157">
        <v>10018249</v>
      </c>
      <c r="K157" t="s">
        <v>124</v>
      </c>
      <c r="L157">
        <v>4</v>
      </c>
    </row>
    <row r="158" spans="10:12" x14ac:dyDescent="0.2">
      <c r="J158">
        <v>10018251</v>
      </c>
      <c r="K158" t="s">
        <v>125</v>
      </c>
      <c r="L158">
        <v>3</v>
      </c>
    </row>
    <row r="159" spans="10:12" x14ac:dyDescent="0.2">
      <c r="J159">
        <v>10018252</v>
      </c>
      <c r="K159" t="s">
        <v>126</v>
      </c>
      <c r="L159">
        <v>2</v>
      </c>
    </row>
    <row r="160" spans="10:12" x14ac:dyDescent="0.2">
      <c r="J160">
        <v>10018253</v>
      </c>
      <c r="K160" t="s">
        <v>127</v>
      </c>
      <c r="L160">
        <v>1</v>
      </c>
    </row>
    <row r="161" spans="10:12" x14ac:dyDescent="0.2">
      <c r="J161">
        <v>10018254</v>
      </c>
      <c r="K161" t="s">
        <v>128</v>
      </c>
      <c r="L161">
        <v>5</v>
      </c>
    </row>
    <row r="162" spans="10:12" x14ac:dyDescent="0.2">
      <c r="J162">
        <v>10018256</v>
      </c>
      <c r="K162" t="s">
        <v>130</v>
      </c>
      <c r="L162">
        <v>8</v>
      </c>
    </row>
    <row r="163" spans="10:12" x14ac:dyDescent="0.2">
      <c r="J163">
        <v>10018257</v>
      </c>
      <c r="K163" t="s">
        <v>131</v>
      </c>
      <c r="L163">
        <v>3</v>
      </c>
    </row>
    <row r="164" spans="10:12" x14ac:dyDescent="0.2">
      <c r="J164">
        <v>10018259</v>
      </c>
      <c r="K164" t="s">
        <v>132</v>
      </c>
      <c r="L164">
        <v>5</v>
      </c>
    </row>
    <row r="165" spans="10:12" x14ac:dyDescent="0.2">
      <c r="J165">
        <v>10018262</v>
      </c>
      <c r="K165" t="s">
        <v>133</v>
      </c>
      <c r="L165">
        <v>1</v>
      </c>
    </row>
    <row r="166" spans="10:12" x14ac:dyDescent="0.2">
      <c r="J166">
        <v>10018263</v>
      </c>
      <c r="K166" t="s">
        <v>134</v>
      </c>
      <c r="L166">
        <v>3</v>
      </c>
    </row>
    <row r="167" spans="10:12" x14ac:dyDescent="0.2">
      <c r="J167">
        <v>10018264</v>
      </c>
      <c r="K167" t="s">
        <v>135</v>
      </c>
      <c r="L167">
        <v>1</v>
      </c>
    </row>
    <row r="168" spans="10:12" x14ac:dyDescent="0.2">
      <c r="J168">
        <v>10018266</v>
      </c>
      <c r="K168" t="s">
        <v>136</v>
      </c>
      <c r="L168">
        <v>80</v>
      </c>
    </row>
    <row r="169" spans="10:12" x14ac:dyDescent="0.2">
      <c r="J169">
        <v>10018267</v>
      </c>
      <c r="K169" t="s">
        <v>137</v>
      </c>
      <c r="L169">
        <v>13</v>
      </c>
    </row>
    <row r="170" spans="10:12" x14ac:dyDescent="0.2">
      <c r="J170">
        <v>10018269</v>
      </c>
      <c r="K170" t="s">
        <v>138</v>
      </c>
      <c r="L170">
        <v>334</v>
      </c>
    </row>
    <row r="171" spans="10:12" x14ac:dyDescent="0.2">
      <c r="J171">
        <v>10018271</v>
      </c>
      <c r="K171" t="s">
        <v>139</v>
      </c>
      <c r="L171">
        <v>2</v>
      </c>
    </row>
    <row r="172" spans="10:12" x14ac:dyDescent="0.2">
      <c r="J172">
        <v>10018273</v>
      </c>
      <c r="K172" t="s">
        <v>140</v>
      </c>
      <c r="L172">
        <v>4</v>
      </c>
    </row>
    <row r="173" spans="10:12" x14ac:dyDescent="0.2">
      <c r="J173">
        <v>10018277</v>
      </c>
      <c r="K173" t="s">
        <v>141</v>
      </c>
      <c r="L173">
        <v>25</v>
      </c>
    </row>
    <row r="174" spans="10:12" x14ac:dyDescent="0.2">
      <c r="J174">
        <v>10018279</v>
      </c>
      <c r="K174" t="s">
        <v>142</v>
      </c>
      <c r="L174">
        <v>24</v>
      </c>
    </row>
    <row r="175" spans="10:12" x14ac:dyDescent="0.2">
      <c r="J175">
        <v>10018280</v>
      </c>
      <c r="K175" t="s">
        <v>143</v>
      </c>
      <c r="L175">
        <v>26</v>
      </c>
    </row>
    <row r="176" spans="10:12" x14ac:dyDescent="0.2">
      <c r="J176">
        <v>10018281</v>
      </c>
      <c r="K176" t="s">
        <v>3721</v>
      </c>
      <c r="L176">
        <v>8</v>
      </c>
    </row>
    <row r="177" spans="10:12" x14ac:dyDescent="0.2">
      <c r="J177">
        <v>10018283</v>
      </c>
      <c r="K177" t="s">
        <v>144</v>
      </c>
      <c r="L177">
        <v>5</v>
      </c>
    </row>
    <row r="178" spans="10:12" x14ac:dyDescent="0.2">
      <c r="J178">
        <v>10018285</v>
      </c>
      <c r="K178" t="s">
        <v>145</v>
      </c>
      <c r="L178">
        <v>52</v>
      </c>
    </row>
    <row r="179" spans="10:12" x14ac:dyDescent="0.2">
      <c r="J179">
        <v>10018300</v>
      </c>
      <c r="K179" t="s">
        <v>147</v>
      </c>
      <c r="L179">
        <v>14</v>
      </c>
    </row>
    <row r="180" spans="10:12" x14ac:dyDescent="0.2">
      <c r="J180">
        <v>10018302</v>
      </c>
      <c r="K180" t="s">
        <v>148</v>
      </c>
      <c r="L180">
        <v>3</v>
      </c>
    </row>
    <row r="181" spans="10:12" x14ac:dyDescent="0.2">
      <c r="J181">
        <v>10018304</v>
      </c>
      <c r="K181" t="s">
        <v>10621</v>
      </c>
      <c r="L181">
        <v>1</v>
      </c>
    </row>
    <row r="182" spans="10:12" x14ac:dyDescent="0.2">
      <c r="J182">
        <v>10018310</v>
      </c>
      <c r="K182" t="s">
        <v>151</v>
      </c>
      <c r="L182">
        <v>4</v>
      </c>
    </row>
    <row r="183" spans="10:12" x14ac:dyDescent="0.2">
      <c r="J183">
        <v>10018311</v>
      </c>
      <c r="K183" t="s">
        <v>152</v>
      </c>
      <c r="L183">
        <v>3</v>
      </c>
    </row>
    <row r="184" spans="10:12" x14ac:dyDescent="0.2">
      <c r="J184">
        <v>10018312</v>
      </c>
      <c r="K184" t="s">
        <v>153</v>
      </c>
      <c r="L184">
        <v>35</v>
      </c>
    </row>
    <row r="185" spans="10:12" x14ac:dyDescent="0.2">
      <c r="J185">
        <v>10018317</v>
      </c>
      <c r="K185" t="s">
        <v>154</v>
      </c>
      <c r="L185">
        <v>6</v>
      </c>
    </row>
    <row r="186" spans="10:12" x14ac:dyDescent="0.2">
      <c r="J186">
        <v>10018319</v>
      </c>
      <c r="K186" t="s">
        <v>10305</v>
      </c>
      <c r="L186">
        <v>10</v>
      </c>
    </row>
    <row r="187" spans="10:12" x14ac:dyDescent="0.2">
      <c r="J187">
        <v>10018324</v>
      </c>
      <c r="K187" t="s">
        <v>155</v>
      </c>
      <c r="L187">
        <v>11</v>
      </c>
    </row>
    <row r="188" spans="10:12" x14ac:dyDescent="0.2">
      <c r="J188">
        <v>10018325</v>
      </c>
      <c r="K188" t="s">
        <v>10296</v>
      </c>
      <c r="L188">
        <v>1</v>
      </c>
    </row>
    <row r="189" spans="10:12" x14ac:dyDescent="0.2">
      <c r="J189">
        <v>10018326</v>
      </c>
      <c r="K189" t="s">
        <v>10297</v>
      </c>
      <c r="L189">
        <v>4</v>
      </c>
    </row>
    <row r="190" spans="10:12" x14ac:dyDescent="0.2">
      <c r="J190">
        <v>10018328</v>
      </c>
      <c r="K190" t="s">
        <v>156</v>
      </c>
      <c r="L190">
        <v>1</v>
      </c>
    </row>
    <row r="191" spans="10:12" x14ac:dyDescent="0.2">
      <c r="J191">
        <v>10018332</v>
      </c>
      <c r="K191" t="s">
        <v>157</v>
      </c>
      <c r="L191">
        <v>2</v>
      </c>
    </row>
    <row r="192" spans="10:12" x14ac:dyDescent="0.2">
      <c r="J192">
        <v>10018358</v>
      </c>
      <c r="K192" t="s">
        <v>158</v>
      </c>
      <c r="L192">
        <v>34</v>
      </c>
    </row>
    <row r="193" spans="10:12" x14ac:dyDescent="0.2">
      <c r="J193">
        <v>10018368</v>
      </c>
      <c r="K193" t="s">
        <v>159</v>
      </c>
      <c r="L193">
        <v>21</v>
      </c>
    </row>
    <row r="194" spans="10:12" x14ac:dyDescent="0.2">
      <c r="J194">
        <v>10018378</v>
      </c>
      <c r="K194" t="s">
        <v>10567</v>
      </c>
      <c r="L194">
        <v>2</v>
      </c>
    </row>
    <row r="195" spans="10:12" x14ac:dyDescent="0.2">
      <c r="J195">
        <v>10018381</v>
      </c>
      <c r="K195" t="s">
        <v>160</v>
      </c>
      <c r="L195">
        <v>12</v>
      </c>
    </row>
    <row r="196" spans="10:12" x14ac:dyDescent="0.2">
      <c r="J196">
        <v>10018384</v>
      </c>
      <c r="K196" t="s">
        <v>161</v>
      </c>
      <c r="L196">
        <v>6</v>
      </c>
    </row>
    <row r="197" spans="10:12" x14ac:dyDescent="0.2">
      <c r="J197">
        <v>10018385</v>
      </c>
      <c r="K197" t="s">
        <v>162</v>
      </c>
      <c r="L197">
        <v>3</v>
      </c>
    </row>
    <row r="198" spans="10:12" x14ac:dyDescent="0.2">
      <c r="J198">
        <v>10018386</v>
      </c>
      <c r="K198" t="s">
        <v>163</v>
      </c>
      <c r="L198">
        <v>2</v>
      </c>
    </row>
    <row r="199" spans="10:12" x14ac:dyDescent="0.2">
      <c r="J199">
        <v>10018387</v>
      </c>
      <c r="K199" t="s">
        <v>164</v>
      </c>
      <c r="L199">
        <v>5</v>
      </c>
    </row>
    <row r="200" spans="10:12" x14ac:dyDescent="0.2">
      <c r="J200">
        <v>10018389</v>
      </c>
      <c r="K200" t="s">
        <v>166</v>
      </c>
      <c r="L200">
        <v>2</v>
      </c>
    </row>
    <row r="201" spans="10:12" x14ac:dyDescent="0.2">
      <c r="J201">
        <v>10018390</v>
      </c>
      <c r="K201" t="s">
        <v>167</v>
      </c>
      <c r="L201">
        <v>2</v>
      </c>
    </row>
    <row r="202" spans="10:12" x14ac:dyDescent="0.2">
      <c r="J202">
        <v>10018391</v>
      </c>
      <c r="K202" t="s">
        <v>5343</v>
      </c>
      <c r="L202">
        <v>9</v>
      </c>
    </row>
    <row r="203" spans="10:12" x14ac:dyDescent="0.2">
      <c r="J203">
        <v>10018397</v>
      </c>
      <c r="K203" t="s">
        <v>10622</v>
      </c>
      <c r="L203">
        <v>3</v>
      </c>
    </row>
    <row r="204" spans="10:12" x14ac:dyDescent="0.2">
      <c r="J204">
        <v>10018401</v>
      </c>
      <c r="K204" t="s">
        <v>9721</v>
      </c>
      <c r="L204">
        <v>3</v>
      </c>
    </row>
    <row r="205" spans="10:12" x14ac:dyDescent="0.2">
      <c r="J205">
        <v>10018409</v>
      </c>
      <c r="K205" t="s">
        <v>168</v>
      </c>
      <c r="L205">
        <v>8</v>
      </c>
    </row>
    <row r="206" spans="10:12" x14ac:dyDescent="0.2">
      <c r="J206">
        <v>10018410</v>
      </c>
      <c r="K206" t="s">
        <v>169</v>
      </c>
      <c r="L206">
        <v>7</v>
      </c>
    </row>
    <row r="207" spans="10:12" x14ac:dyDescent="0.2">
      <c r="J207">
        <v>10018411</v>
      </c>
      <c r="K207" t="s">
        <v>5420</v>
      </c>
      <c r="L207">
        <v>18</v>
      </c>
    </row>
    <row r="208" spans="10:12" x14ac:dyDescent="0.2">
      <c r="J208">
        <v>10018414</v>
      </c>
      <c r="K208" t="s">
        <v>170</v>
      </c>
      <c r="L208">
        <v>3</v>
      </c>
    </row>
    <row r="209" spans="10:12" x14ac:dyDescent="0.2">
      <c r="J209">
        <v>10018417</v>
      </c>
      <c r="K209" t="s">
        <v>171</v>
      </c>
      <c r="L209">
        <v>6</v>
      </c>
    </row>
    <row r="210" spans="10:12" x14ac:dyDescent="0.2">
      <c r="J210">
        <v>10018419</v>
      </c>
      <c r="K210" t="s">
        <v>172</v>
      </c>
      <c r="L210">
        <v>7</v>
      </c>
    </row>
    <row r="211" spans="10:12" x14ac:dyDescent="0.2">
      <c r="J211">
        <v>10018423</v>
      </c>
      <c r="K211" t="s">
        <v>174</v>
      </c>
      <c r="L211">
        <v>38</v>
      </c>
    </row>
    <row r="212" spans="10:12" x14ac:dyDescent="0.2">
      <c r="J212">
        <v>10018425</v>
      </c>
      <c r="K212" t="s">
        <v>5344</v>
      </c>
      <c r="L212">
        <v>11</v>
      </c>
    </row>
    <row r="213" spans="10:12" x14ac:dyDescent="0.2">
      <c r="J213">
        <v>10018428</v>
      </c>
      <c r="K213" t="s">
        <v>176</v>
      </c>
      <c r="L213">
        <v>14</v>
      </c>
    </row>
    <row r="214" spans="10:12" x14ac:dyDescent="0.2">
      <c r="J214">
        <v>10018430</v>
      </c>
      <c r="K214" t="s">
        <v>10566</v>
      </c>
      <c r="L214">
        <v>1</v>
      </c>
    </row>
    <row r="215" spans="10:12" x14ac:dyDescent="0.2">
      <c r="J215">
        <v>10018432</v>
      </c>
      <c r="K215" t="s">
        <v>3807</v>
      </c>
      <c r="L215">
        <v>9</v>
      </c>
    </row>
    <row r="216" spans="10:12" x14ac:dyDescent="0.2">
      <c r="J216">
        <v>10018437</v>
      </c>
      <c r="K216" t="s">
        <v>177</v>
      </c>
      <c r="L216">
        <v>598</v>
      </c>
    </row>
    <row r="217" spans="10:12" x14ac:dyDescent="0.2">
      <c r="J217">
        <v>10018440</v>
      </c>
      <c r="K217" t="s">
        <v>178</v>
      </c>
      <c r="L217">
        <v>10</v>
      </c>
    </row>
    <row r="218" spans="10:12" x14ac:dyDescent="0.2">
      <c r="J218">
        <v>10018441</v>
      </c>
      <c r="K218" t="s">
        <v>3613</v>
      </c>
      <c r="L218">
        <v>4</v>
      </c>
    </row>
    <row r="219" spans="10:12" x14ac:dyDescent="0.2">
      <c r="J219">
        <v>10018443</v>
      </c>
      <c r="K219" t="s">
        <v>3672</v>
      </c>
      <c r="L219">
        <v>1</v>
      </c>
    </row>
    <row r="220" spans="10:12" x14ac:dyDescent="0.2">
      <c r="J220">
        <v>10018449</v>
      </c>
      <c r="K220" t="s">
        <v>3669</v>
      </c>
      <c r="L220">
        <v>7</v>
      </c>
    </row>
    <row r="221" spans="10:12" x14ac:dyDescent="0.2">
      <c r="J221">
        <v>10018454</v>
      </c>
      <c r="K221" t="s">
        <v>3674</v>
      </c>
      <c r="L221">
        <v>2</v>
      </c>
    </row>
    <row r="222" spans="10:12" x14ac:dyDescent="0.2">
      <c r="J222">
        <v>10018455</v>
      </c>
      <c r="K222" t="s">
        <v>182</v>
      </c>
      <c r="L222">
        <v>16</v>
      </c>
    </row>
    <row r="223" spans="10:12" x14ac:dyDescent="0.2">
      <c r="J223">
        <v>10018456</v>
      </c>
      <c r="K223" t="s">
        <v>3675</v>
      </c>
      <c r="L223">
        <v>4</v>
      </c>
    </row>
    <row r="224" spans="10:12" x14ac:dyDescent="0.2">
      <c r="J224">
        <v>10018457</v>
      </c>
      <c r="K224" t="s">
        <v>183</v>
      </c>
      <c r="L224">
        <v>7</v>
      </c>
    </row>
    <row r="225" spans="10:12" x14ac:dyDescent="0.2">
      <c r="J225">
        <v>10018459</v>
      </c>
      <c r="K225" t="s">
        <v>184</v>
      </c>
      <c r="L225">
        <v>5</v>
      </c>
    </row>
    <row r="226" spans="10:12" x14ac:dyDescent="0.2">
      <c r="J226">
        <v>10018462</v>
      </c>
      <c r="K226" t="s">
        <v>3902</v>
      </c>
      <c r="L226">
        <v>1</v>
      </c>
    </row>
    <row r="227" spans="10:12" x14ac:dyDescent="0.2">
      <c r="J227">
        <v>10018467</v>
      </c>
      <c r="K227" t="s">
        <v>9713</v>
      </c>
      <c r="L227">
        <v>1</v>
      </c>
    </row>
    <row r="228" spans="10:12" x14ac:dyDescent="0.2">
      <c r="J228">
        <v>10018469</v>
      </c>
      <c r="K228" t="s">
        <v>185</v>
      </c>
      <c r="L228">
        <v>3</v>
      </c>
    </row>
    <row r="229" spans="10:12" x14ac:dyDescent="0.2">
      <c r="J229">
        <v>10018476</v>
      </c>
      <c r="K229" t="s">
        <v>186</v>
      </c>
      <c r="L229">
        <v>3</v>
      </c>
    </row>
    <row r="230" spans="10:12" x14ac:dyDescent="0.2">
      <c r="J230">
        <v>10018479</v>
      </c>
      <c r="K230" t="s">
        <v>187</v>
      </c>
      <c r="L230">
        <v>1</v>
      </c>
    </row>
    <row r="231" spans="10:12" x14ac:dyDescent="0.2">
      <c r="J231">
        <v>10018481</v>
      </c>
      <c r="K231" t="s">
        <v>188</v>
      </c>
      <c r="L231">
        <v>54</v>
      </c>
    </row>
    <row r="232" spans="10:12" x14ac:dyDescent="0.2">
      <c r="J232">
        <v>10018483</v>
      </c>
      <c r="K232" t="s">
        <v>5345</v>
      </c>
      <c r="L232">
        <v>2</v>
      </c>
    </row>
    <row r="233" spans="10:12" x14ac:dyDescent="0.2">
      <c r="J233">
        <v>10018484</v>
      </c>
      <c r="K233" t="s">
        <v>189</v>
      </c>
      <c r="L233">
        <v>20</v>
      </c>
    </row>
    <row r="234" spans="10:12" x14ac:dyDescent="0.2">
      <c r="J234">
        <v>10018486</v>
      </c>
      <c r="K234" t="s">
        <v>190</v>
      </c>
      <c r="L234">
        <v>1</v>
      </c>
    </row>
    <row r="235" spans="10:12" x14ac:dyDescent="0.2">
      <c r="J235">
        <v>10018487</v>
      </c>
      <c r="K235" t="s">
        <v>5346</v>
      </c>
      <c r="L235">
        <v>6</v>
      </c>
    </row>
    <row r="236" spans="10:12" x14ac:dyDescent="0.2">
      <c r="J236">
        <v>10018489</v>
      </c>
      <c r="K236" t="s">
        <v>191</v>
      </c>
      <c r="L236">
        <v>3</v>
      </c>
    </row>
    <row r="237" spans="10:12" x14ac:dyDescent="0.2">
      <c r="J237">
        <v>10018491</v>
      </c>
      <c r="K237" t="s">
        <v>192</v>
      </c>
      <c r="L237">
        <v>2</v>
      </c>
    </row>
    <row r="238" spans="10:12" x14ac:dyDescent="0.2">
      <c r="J238">
        <v>10018493</v>
      </c>
      <c r="K238" t="s">
        <v>5347</v>
      </c>
      <c r="L238">
        <v>4</v>
      </c>
    </row>
    <row r="239" spans="10:12" x14ac:dyDescent="0.2">
      <c r="J239">
        <v>10018494</v>
      </c>
      <c r="K239" t="s">
        <v>5348</v>
      </c>
      <c r="L239">
        <v>1</v>
      </c>
    </row>
    <row r="240" spans="10:12" x14ac:dyDescent="0.2">
      <c r="J240">
        <v>10018495</v>
      </c>
      <c r="K240" t="s">
        <v>193</v>
      </c>
      <c r="L240">
        <v>1</v>
      </c>
    </row>
    <row r="241" spans="10:12" x14ac:dyDescent="0.2">
      <c r="J241">
        <v>10018498</v>
      </c>
      <c r="K241" t="s">
        <v>194</v>
      </c>
      <c r="L241">
        <v>2</v>
      </c>
    </row>
    <row r="242" spans="10:12" x14ac:dyDescent="0.2">
      <c r="J242">
        <v>10018499</v>
      </c>
      <c r="K242" t="s">
        <v>195</v>
      </c>
      <c r="L242">
        <v>2</v>
      </c>
    </row>
    <row r="243" spans="10:12" x14ac:dyDescent="0.2">
      <c r="J243">
        <v>10018501</v>
      </c>
      <c r="K243" t="s">
        <v>3741</v>
      </c>
      <c r="L243">
        <v>2</v>
      </c>
    </row>
    <row r="244" spans="10:12" x14ac:dyDescent="0.2">
      <c r="J244">
        <v>10018502</v>
      </c>
      <c r="K244" t="s">
        <v>196</v>
      </c>
      <c r="L244">
        <v>2</v>
      </c>
    </row>
    <row r="245" spans="10:12" x14ac:dyDescent="0.2">
      <c r="J245">
        <v>10018503</v>
      </c>
      <c r="K245" t="s">
        <v>10276</v>
      </c>
      <c r="L245">
        <v>2</v>
      </c>
    </row>
    <row r="246" spans="10:12" x14ac:dyDescent="0.2">
      <c r="J246">
        <v>10018505</v>
      </c>
      <c r="K246" t="s">
        <v>10564</v>
      </c>
      <c r="L246">
        <v>1</v>
      </c>
    </row>
    <row r="247" spans="10:12" x14ac:dyDescent="0.2">
      <c r="J247">
        <v>10018507</v>
      </c>
      <c r="K247" t="s">
        <v>9657</v>
      </c>
      <c r="L247">
        <v>2</v>
      </c>
    </row>
    <row r="248" spans="10:12" x14ac:dyDescent="0.2">
      <c r="J248">
        <v>10018513</v>
      </c>
      <c r="K248" t="s">
        <v>197</v>
      </c>
      <c r="L248">
        <v>21</v>
      </c>
    </row>
    <row r="249" spans="10:12" x14ac:dyDescent="0.2">
      <c r="J249">
        <v>10018517</v>
      </c>
      <c r="K249" t="s">
        <v>3805</v>
      </c>
      <c r="L249">
        <v>6</v>
      </c>
    </row>
    <row r="250" spans="10:12" x14ac:dyDescent="0.2">
      <c r="J250">
        <v>10018518</v>
      </c>
      <c r="K250" t="s">
        <v>198</v>
      </c>
      <c r="L250">
        <v>1</v>
      </c>
    </row>
    <row r="251" spans="10:12" x14ac:dyDescent="0.2">
      <c r="J251">
        <v>10018519</v>
      </c>
      <c r="K251" t="s">
        <v>199</v>
      </c>
      <c r="L251">
        <v>1</v>
      </c>
    </row>
    <row r="252" spans="10:12" x14ac:dyDescent="0.2">
      <c r="J252">
        <v>10018520</v>
      </c>
      <c r="K252" t="s">
        <v>200</v>
      </c>
      <c r="L252">
        <v>4</v>
      </c>
    </row>
    <row r="253" spans="10:12" x14ac:dyDescent="0.2">
      <c r="J253">
        <v>10018521</v>
      </c>
      <c r="K253" t="s">
        <v>201</v>
      </c>
      <c r="L253">
        <v>3</v>
      </c>
    </row>
    <row r="254" spans="10:12" x14ac:dyDescent="0.2">
      <c r="J254">
        <v>10018525</v>
      </c>
      <c r="K254" t="s">
        <v>202</v>
      </c>
      <c r="L254">
        <v>1</v>
      </c>
    </row>
    <row r="255" spans="10:12" x14ac:dyDescent="0.2">
      <c r="J255">
        <v>10018526</v>
      </c>
      <c r="K255" t="s">
        <v>203</v>
      </c>
      <c r="L255">
        <v>25</v>
      </c>
    </row>
    <row r="256" spans="10:12" x14ac:dyDescent="0.2">
      <c r="J256">
        <v>10018527</v>
      </c>
      <c r="K256" t="s">
        <v>204</v>
      </c>
      <c r="L256">
        <v>21</v>
      </c>
    </row>
    <row r="257" spans="10:12" x14ac:dyDescent="0.2">
      <c r="J257">
        <v>10018528</v>
      </c>
      <c r="K257" t="s">
        <v>205</v>
      </c>
      <c r="L257">
        <v>10</v>
      </c>
    </row>
    <row r="258" spans="10:12" x14ac:dyDescent="0.2">
      <c r="J258">
        <v>10018529</v>
      </c>
      <c r="K258" t="s">
        <v>3893</v>
      </c>
      <c r="L258">
        <v>13</v>
      </c>
    </row>
    <row r="259" spans="10:12" x14ac:dyDescent="0.2">
      <c r="J259">
        <v>10018530</v>
      </c>
      <c r="K259" t="s">
        <v>206</v>
      </c>
      <c r="L259">
        <v>19</v>
      </c>
    </row>
    <row r="260" spans="10:12" x14ac:dyDescent="0.2">
      <c r="J260">
        <v>10018531</v>
      </c>
      <c r="K260" t="s">
        <v>3676</v>
      </c>
      <c r="L260">
        <v>10</v>
      </c>
    </row>
    <row r="261" spans="10:12" x14ac:dyDescent="0.2">
      <c r="J261">
        <v>10018533</v>
      </c>
      <c r="K261" t="s">
        <v>207</v>
      </c>
      <c r="L261">
        <v>11</v>
      </c>
    </row>
    <row r="262" spans="10:12" x14ac:dyDescent="0.2">
      <c r="J262">
        <v>10018535</v>
      </c>
      <c r="K262" t="s">
        <v>208</v>
      </c>
      <c r="L262">
        <v>100</v>
      </c>
    </row>
    <row r="263" spans="10:12" x14ac:dyDescent="0.2">
      <c r="J263">
        <v>10018536</v>
      </c>
      <c r="K263" t="s">
        <v>209</v>
      </c>
      <c r="L263">
        <v>9</v>
      </c>
    </row>
    <row r="264" spans="10:12" x14ac:dyDescent="0.2">
      <c r="J264">
        <v>10018537</v>
      </c>
      <c r="K264" t="s">
        <v>210</v>
      </c>
      <c r="L264">
        <v>-1</v>
      </c>
    </row>
    <row r="265" spans="10:12" x14ac:dyDescent="0.2">
      <c r="J265">
        <v>10018539</v>
      </c>
      <c r="K265" t="s">
        <v>3664</v>
      </c>
      <c r="L265">
        <v>17</v>
      </c>
    </row>
    <row r="266" spans="10:12" x14ac:dyDescent="0.2">
      <c r="J266">
        <v>10018541</v>
      </c>
      <c r="K266" t="s">
        <v>211</v>
      </c>
      <c r="L266">
        <v>67</v>
      </c>
    </row>
    <row r="267" spans="10:12" x14ac:dyDescent="0.2">
      <c r="J267">
        <v>10018545</v>
      </c>
      <c r="K267" t="s">
        <v>212</v>
      </c>
      <c r="L267">
        <v>32</v>
      </c>
    </row>
    <row r="268" spans="10:12" x14ac:dyDescent="0.2">
      <c r="J268">
        <v>10018549</v>
      </c>
      <c r="K268" t="s">
        <v>214</v>
      </c>
      <c r="L268">
        <v>21</v>
      </c>
    </row>
    <row r="269" spans="10:12" x14ac:dyDescent="0.2">
      <c r="J269">
        <v>10018550</v>
      </c>
      <c r="K269" t="s">
        <v>215</v>
      </c>
      <c r="L269">
        <v>14</v>
      </c>
    </row>
    <row r="270" spans="10:12" x14ac:dyDescent="0.2">
      <c r="J270">
        <v>10018551</v>
      </c>
      <c r="K270" t="s">
        <v>216</v>
      </c>
      <c r="L270">
        <v>1</v>
      </c>
    </row>
    <row r="271" spans="10:12" x14ac:dyDescent="0.2">
      <c r="J271">
        <v>10018554</v>
      </c>
      <c r="K271" t="s">
        <v>217</v>
      </c>
      <c r="L271">
        <v>2</v>
      </c>
    </row>
    <row r="272" spans="10:12" x14ac:dyDescent="0.2">
      <c r="J272">
        <v>10018560</v>
      </c>
      <c r="K272" t="s">
        <v>218</v>
      </c>
      <c r="L272">
        <v>9</v>
      </c>
    </row>
    <row r="273" spans="10:12" x14ac:dyDescent="0.2">
      <c r="J273">
        <v>10018569</v>
      </c>
      <c r="K273" t="s">
        <v>3804</v>
      </c>
      <c r="L273">
        <v>5</v>
      </c>
    </row>
    <row r="274" spans="10:12" x14ac:dyDescent="0.2">
      <c r="J274">
        <v>10018574</v>
      </c>
      <c r="K274" t="s">
        <v>9550</v>
      </c>
      <c r="L274">
        <v>1</v>
      </c>
    </row>
    <row r="275" spans="10:12" x14ac:dyDescent="0.2">
      <c r="J275">
        <v>10018577</v>
      </c>
      <c r="K275" t="s">
        <v>220</v>
      </c>
      <c r="L275">
        <v>5</v>
      </c>
    </row>
    <row r="276" spans="10:12" x14ac:dyDescent="0.2">
      <c r="J276">
        <v>10018579</v>
      </c>
      <c r="K276" t="s">
        <v>222</v>
      </c>
      <c r="L276">
        <v>4</v>
      </c>
    </row>
    <row r="277" spans="10:12" x14ac:dyDescent="0.2">
      <c r="J277">
        <v>10018581</v>
      </c>
      <c r="K277" t="s">
        <v>223</v>
      </c>
      <c r="L277">
        <v>1</v>
      </c>
    </row>
    <row r="278" spans="10:12" x14ac:dyDescent="0.2">
      <c r="J278">
        <v>10018584</v>
      </c>
      <c r="K278" t="s">
        <v>224</v>
      </c>
      <c r="L278">
        <v>4</v>
      </c>
    </row>
    <row r="279" spans="10:12" x14ac:dyDescent="0.2">
      <c r="J279">
        <v>10018585</v>
      </c>
      <c r="K279" t="s">
        <v>5349</v>
      </c>
      <c r="L279">
        <v>3</v>
      </c>
    </row>
    <row r="280" spans="10:12" x14ac:dyDescent="0.2">
      <c r="J280">
        <v>10018586</v>
      </c>
      <c r="K280" t="s">
        <v>225</v>
      </c>
      <c r="L280">
        <v>11</v>
      </c>
    </row>
    <row r="281" spans="10:12" x14ac:dyDescent="0.2">
      <c r="J281">
        <v>10018590</v>
      </c>
      <c r="K281" t="s">
        <v>226</v>
      </c>
      <c r="L281">
        <v>6</v>
      </c>
    </row>
    <row r="282" spans="10:12" x14ac:dyDescent="0.2">
      <c r="J282">
        <v>10018593</v>
      </c>
      <c r="K282" t="s">
        <v>227</v>
      </c>
      <c r="L282">
        <v>3</v>
      </c>
    </row>
    <row r="283" spans="10:12" x14ac:dyDescent="0.2">
      <c r="J283">
        <v>10018597</v>
      </c>
      <c r="K283" t="s">
        <v>228</v>
      </c>
      <c r="L283">
        <v>2</v>
      </c>
    </row>
    <row r="284" spans="10:12" x14ac:dyDescent="0.2">
      <c r="J284">
        <v>10018598</v>
      </c>
      <c r="K284" t="s">
        <v>229</v>
      </c>
      <c r="L284">
        <v>4</v>
      </c>
    </row>
    <row r="285" spans="10:12" x14ac:dyDescent="0.2">
      <c r="J285">
        <v>10018599</v>
      </c>
      <c r="K285" t="s">
        <v>230</v>
      </c>
      <c r="L285">
        <v>4</v>
      </c>
    </row>
    <row r="286" spans="10:12" x14ac:dyDescent="0.2">
      <c r="J286">
        <v>10018601</v>
      </c>
      <c r="K286" t="s">
        <v>231</v>
      </c>
      <c r="L286">
        <v>65</v>
      </c>
    </row>
    <row r="287" spans="10:12" x14ac:dyDescent="0.2">
      <c r="J287">
        <v>10018603</v>
      </c>
      <c r="K287" t="s">
        <v>3892</v>
      </c>
      <c r="L287">
        <v>3</v>
      </c>
    </row>
    <row r="288" spans="10:12" x14ac:dyDescent="0.2">
      <c r="J288">
        <v>10018604</v>
      </c>
      <c r="K288" t="s">
        <v>232</v>
      </c>
      <c r="L288">
        <v>16</v>
      </c>
    </row>
    <row r="289" spans="10:12" x14ac:dyDescent="0.2">
      <c r="J289">
        <v>10018605</v>
      </c>
      <c r="K289" t="s">
        <v>233</v>
      </c>
      <c r="L289">
        <v>4</v>
      </c>
    </row>
    <row r="290" spans="10:12" x14ac:dyDescent="0.2">
      <c r="J290">
        <v>10018607</v>
      </c>
      <c r="K290" t="s">
        <v>234</v>
      </c>
      <c r="L290">
        <v>23</v>
      </c>
    </row>
    <row r="291" spans="10:12" x14ac:dyDescent="0.2">
      <c r="J291">
        <v>10018612</v>
      </c>
      <c r="K291" t="s">
        <v>236</v>
      </c>
      <c r="L291">
        <v>9</v>
      </c>
    </row>
    <row r="292" spans="10:12" x14ac:dyDescent="0.2">
      <c r="J292">
        <v>10018615</v>
      </c>
      <c r="K292" t="s">
        <v>237</v>
      </c>
      <c r="L292">
        <v>1</v>
      </c>
    </row>
    <row r="293" spans="10:12" x14ac:dyDescent="0.2">
      <c r="J293">
        <v>10018619</v>
      </c>
      <c r="K293" t="s">
        <v>239</v>
      </c>
      <c r="L293">
        <v>11</v>
      </c>
    </row>
    <row r="294" spans="10:12" x14ac:dyDescent="0.2">
      <c r="J294">
        <v>10018621</v>
      </c>
      <c r="K294" t="s">
        <v>5350</v>
      </c>
      <c r="L294">
        <v>6</v>
      </c>
    </row>
    <row r="295" spans="10:12" x14ac:dyDescent="0.2">
      <c r="J295">
        <v>10018623</v>
      </c>
      <c r="K295" t="s">
        <v>5422</v>
      </c>
      <c r="L295">
        <v>6</v>
      </c>
    </row>
    <row r="296" spans="10:12" x14ac:dyDescent="0.2">
      <c r="J296">
        <v>10018628</v>
      </c>
      <c r="K296" t="s">
        <v>9686</v>
      </c>
      <c r="L296">
        <v>6</v>
      </c>
    </row>
    <row r="297" spans="10:12" x14ac:dyDescent="0.2">
      <c r="J297">
        <v>10018630</v>
      </c>
      <c r="K297" t="s">
        <v>240</v>
      </c>
      <c r="L297">
        <v>4</v>
      </c>
    </row>
    <row r="298" spans="10:12" x14ac:dyDescent="0.2">
      <c r="J298">
        <v>10018631</v>
      </c>
      <c r="K298" t="s">
        <v>241</v>
      </c>
      <c r="L298">
        <v>4</v>
      </c>
    </row>
    <row r="299" spans="10:12" x14ac:dyDescent="0.2">
      <c r="J299">
        <v>10018633</v>
      </c>
      <c r="K299" t="s">
        <v>242</v>
      </c>
      <c r="L299">
        <v>7</v>
      </c>
    </row>
    <row r="300" spans="10:12" x14ac:dyDescent="0.2">
      <c r="J300">
        <v>10018634</v>
      </c>
      <c r="K300" t="s">
        <v>243</v>
      </c>
      <c r="L300">
        <v>10</v>
      </c>
    </row>
    <row r="301" spans="10:12" x14ac:dyDescent="0.2">
      <c r="J301">
        <v>10018636</v>
      </c>
      <c r="K301" t="s">
        <v>244</v>
      </c>
      <c r="L301">
        <v>10</v>
      </c>
    </row>
    <row r="302" spans="10:12" x14ac:dyDescent="0.2">
      <c r="J302">
        <v>10018637</v>
      </c>
      <c r="K302" t="s">
        <v>245</v>
      </c>
      <c r="L302">
        <v>9</v>
      </c>
    </row>
    <row r="303" spans="10:12" x14ac:dyDescent="0.2">
      <c r="J303">
        <v>10018638</v>
      </c>
      <c r="K303" t="s">
        <v>5351</v>
      </c>
      <c r="L303">
        <v>1</v>
      </c>
    </row>
    <row r="304" spans="10:12" x14ac:dyDescent="0.2">
      <c r="J304">
        <v>10018639</v>
      </c>
      <c r="K304" t="s">
        <v>246</v>
      </c>
      <c r="L304">
        <v>15</v>
      </c>
    </row>
    <row r="305" spans="10:12" x14ac:dyDescent="0.2">
      <c r="J305">
        <v>10018643</v>
      </c>
      <c r="K305" t="s">
        <v>248</v>
      </c>
      <c r="L305">
        <v>10</v>
      </c>
    </row>
    <row r="306" spans="10:12" x14ac:dyDescent="0.2">
      <c r="J306">
        <v>10018646</v>
      </c>
      <c r="K306" t="s">
        <v>249</v>
      </c>
      <c r="L306">
        <v>15</v>
      </c>
    </row>
    <row r="307" spans="10:12" x14ac:dyDescent="0.2">
      <c r="J307">
        <v>10018647</v>
      </c>
      <c r="K307" t="s">
        <v>250</v>
      </c>
      <c r="L307">
        <v>7</v>
      </c>
    </row>
    <row r="308" spans="10:12" x14ac:dyDescent="0.2">
      <c r="J308">
        <v>10018649</v>
      </c>
      <c r="K308" t="s">
        <v>5352</v>
      </c>
      <c r="L308">
        <v>1</v>
      </c>
    </row>
    <row r="309" spans="10:12" x14ac:dyDescent="0.2">
      <c r="J309">
        <v>10018650</v>
      </c>
      <c r="K309" t="s">
        <v>251</v>
      </c>
      <c r="L309">
        <v>17</v>
      </c>
    </row>
    <row r="310" spans="10:12" x14ac:dyDescent="0.2">
      <c r="J310">
        <v>10018652</v>
      </c>
      <c r="K310" t="s">
        <v>252</v>
      </c>
      <c r="L310">
        <v>27</v>
      </c>
    </row>
    <row r="311" spans="10:12" x14ac:dyDescent="0.2">
      <c r="J311">
        <v>10018653</v>
      </c>
      <c r="K311" t="s">
        <v>253</v>
      </c>
      <c r="L311">
        <v>6</v>
      </c>
    </row>
    <row r="312" spans="10:12" x14ac:dyDescent="0.2">
      <c r="J312">
        <v>10018656</v>
      </c>
      <c r="K312" t="s">
        <v>256</v>
      </c>
      <c r="L312">
        <v>7</v>
      </c>
    </row>
    <row r="313" spans="10:12" x14ac:dyDescent="0.2">
      <c r="J313">
        <v>10018657</v>
      </c>
      <c r="K313" t="s">
        <v>257</v>
      </c>
      <c r="L313">
        <v>22</v>
      </c>
    </row>
    <row r="314" spans="10:12" x14ac:dyDescent="0.2">
      <c r="J314">
        <v>10018659</v>
      </c>
      <c r="K314" t="s">
        <v>3610</v>
      </c>
      <c r="L314">
        <v>8</v>
      </c>
    </row>
    <row r="315" spans="10:12" x14ac:dyDescent="0.2">
      <c r="J315">
        <v>10018660</v>
      </c>
      <c r="K315" t="s">
        <v>258</v>
      </c>
      <c r="L315">
        <v>24</v>
      </c>
    </row>
    <row r="316" spans="10:12" x14ac:dyDescent="0.2">
      <c r="J316">
        <v>10018661</v>
      </c>
      <c r="K316" t="s">
        <v>259</v>
      </c>
      <c r="L316">
        <v>8</v>
      </c>
    </row>
    <row r="317" spans="10:12" x14ac:dyDescent="0.2">
      <c r="J317">
        <v>10018662</v>
      </c>
      <c r="K317" t="s">
        <v>260</v>
      </c>
      <c r="L317">
        <v>1</v>
      </c>
    </row>
    <row r="318" spans="10:12" x14ac:dyDescent="0.2">
      <c r="J318">
        <v>10018669</v>
      </c>
      <c r="K318" t="s">
        <v>262</v>
      </c>
      <c r="L318">
        <v>4</v>
      </c>
    </row>
    <row r="319" spans="10:12" x14ac:dyDescent="0.2">
      <c r="J319">
        <v>10018670</v>
      </c>
      <c r="K319" t="s">
        <v>263</v>
      </c>
      <c r="L319">
        <v>39</v>
      </c>
    </row>
    <row r="320" spans="10:12" x14ac:dyDescent="0.2">
      <c r="J320">
        <v>10018672</v>
      </c>
      <c r="K320" t="s">
        <v>264</v>
      </c>
      <c r="L320">
        <v>9</v>
      </c>
    </row>
    <row r="321" spans="10:12" x14ac:dyDescent="0.2">
      <c r="J321">
        <v>10018674</v>
      </c>
      <c r="K321" t="s">
        <v>3890</v>
      </c>
      <c r="L321">
        <v>7</v>
      </c>
    </row>
    <row r="322" spans="10:12" x14ac:dyDescent="0.2">
      <c r="J322">
        <v>10018676</v>
      </c>
      <c r="K322" t="s">
        <v>265</v>
      </c>
      <c r="L322">
        <v>11</v>
      </c>
    </row>
    <row r="323" spans="10:12" x14ac:dyDescent="0.2">
      <c r="J323">
        <v>10018678</v>
      </c>
      <c r="K323" t="s">
        <v>266</v>
      </c>
      <c r="L323">
        <v>5</v>
      </c>
    </row>
    <row r="324" spans="10:12" x14ac:dyDescent="0.2">
      <c r="J324">
        <v>10018680</v>
      </c>
      <c r="K324" t="s">
        <v>267</v>
      </c>
      <c r="L324">
        <v>5</v>
      </c>
    </row>
    <row r="325" spans="10:12" x14ac:dyDescent="0.2">
      <c r="J325">
        <v>10018682</v>
      </c>
      <c r="K325" t="s">
        <v>269</v>
      </c>
      <c r="L325">
        <v>7</v>
      </c>
    </row>
    <row r="326" spans="10:12" x14ac:dyDescent="0.2">
      <c r="J326">
        <v>10018683</v>
      </c>
      <c r="K326" t="s">
        <v>270</v>
      </c>
      <c r="L326">
        <v>1</v>
      </c>
    </row>
    <row r="327" spans="10:12" x14ac:dyDescent="0.2">
      <c r="J327">
        <v>10018688</v>
      </c>
      <c r="K327" t="s">
        <v>3617</v>
      </c>
      <c r="L327">
        <v>7</v>
      </c>
    </row>
    <row r="328" spans="10:12" x14ac:dyDescent="0.2">
      <c r="J328">
        <v>10018689</v>
      </c>
      <c r="K328" t="s">
        <v>272</v>
      </c>
      <c r="L328">
        <v>4</v>
      </c>
    </row>
    <row r="329" spans="10:12" x14ac:dyDescent="0.2">
      <c r="J329">
        <v>10018692</v>
      </c>
      <c r="K329" t="s">
        <v>273</v>
      </c>
      <c r="L329">
        <v>2</v>
      </c>
    </row>
    <row r="330" spans="10:12" x14ac:dyDescent="0.2">
      <c r="J330">
        <v>10018693</v>
      </c>
      <c r="K330" t="s">
        <v>274</v>
      </c>
      <c r="L330">
        <v>2</v>
      </c>
    </row>
    <row r="331" spans="10:12" x14ac:dyDescent="0.2">
      <c r="J331">
        <v>10018697</v>
      </c>
      <c r="K331" t="s">
        <v>5353</v>
      </c>
      <c r="L331">
        <v>24</v>
      </c>
    </row>
    <row r="332" spans="10:12" x14ac:dyDescent="0.2">
      <c r="J332">
        <v>10018699</v>
      </c>
      <c r="K332" t="s">
        <v>5354</v>
      </c>
      <c r="L332">
        <v>15</v>
      </c>
    </row>
    <row r="333" spans="10:12" x14ac:dyDescent="0.2">
      <c r="J333">
        <v>10018701</v>
      </c>
      <c r="K333" t="s">
        <v>276</v>
      </c>
      <c r="L333">
        <v>5</v>
      </c>
    </row>
    <row r="334" spans="10:12" x14ac:dyDescent="0.2">
      <c r="J334">
        <v>10018702</v>
      </c>
      <c r="K334" t="s">
        <v>5355</v>
      </c>
      <c r="L334">
        <v>4</v>
      </c>
    </row>
    <row r="335" spans="10:12" x14ac:dyDescent="0.2">
      <c r="J335">
        <v>10018703</v>
      </c>
      <c r="K335" t="s">
        <v>277</v>
      </c>
      <c r="L335">
        <v>10</v>
      </c>
    </row>
    <row r="336" spans="10:12" x14ac:dyDescent="0.2">
      <c r="J336">
        <v>10018704</v>
      </c>
      <c r="K336" t="s">
        <v>5356</v>
      </c>
      <c r="L336">
        <v>5</v>
      </c>
    </row>
    <row r="337" spans="10:12" x14ac:dyDescent="0.2">
      <c r="J337">
        <v>10018706</v>
      </c>
      <c r="K337" t="s">
        <v>279</v>
      </c>
      <c r="L337">
        <v>6</v>
      </c>
    </row>
    <row r="338" spans="10:12" x14ac:dyDescent="0.2">
      <c r="J338">
        <v>10018707</v>
      </c>
      <c r="K338" t="s">
        <v>280</v>
      </c>
      <c r="L338">
        <v>9</v>
      </c>
    </row>
    <row r="339" spans="10:12" x14ac:dyDescent="0.2">
      <c r="J339">
        <v>10018708</v>
      </c>
      <c r="K339" t="s">
        <v>281</v>
      </c>
      <c r="L339">
        <v>5</v>
      </c>
    </row>
    <row r="340" spans="10:12" x14ac:dyDescent="0.2">
      <c r="J340">
        <v>10018710</v>
      </c>
      <c r="K340" t="s">
        <v>10623</v>
      </c>
      <c r="L340">
        <v>3</v>
      </c>
    </row>
    <row r="341" spans="10:12" x14ac:dyDescent="0.2">
      <c r="J341">
        <v>10018712</v>
      </c>
      <c r="K341" t="s">
        <v>282</v>
      </c>
      <c r="L341">
        <v>5</v>
      </c>
    </row>
    <row r="342" spans="10:12" x14ac:dyDescent="0.2">
      <c r="J342">
        <v>10018713</v>
      </c>
      <c r="K342" t="s">
        <v>5357</v>
      </c>
      <c r="L342">
        <v>9</v>
      </c>
    </row>
    <row r="343" spans="10:12" x14ac:dyDescent="0.2">
      <c r="J343">
        <v>10018714</v>
      </c>
      <c r="K343" t="s">
        <v>283</v>
      </c>
      <c r="L343">
        <v>3</v>
      </c>
    </row>
    <row r="344" spans="10:12" x14ac:dyDescent="0.2">
      <c r="J344">
        <v>10018716</v>
      </c>
      <c r="K344" t="s">
        <v>284</v>
      </c>
      <c r="L344">
        <v>1</v>
      </c>
    </row>
    <row r="345" spans="10:12" x14ac:dyDescent="0.2">
      <c r="J345">
        <v>10018720</v>
      </c>
      <c r="K345" t="s">
        <v>285</v>
      </c>
      <c r="L345">
        <v>9</v>
      </c>
    </row>
    <row r="346" spans="10:12" x14ac:dyDescent="0.2">
      <c r="J346">
        <v>10018721</v>
      </c>
      <c r="K346" t="s">
        <v>5358</v>
      </c>
      <c r="L346">
        <v>11</v>
      </c>
    </row>
    <row r="347" spans="10:12" x14ac:dyDescent="0.2">
      <c r="J347">
        <v>10018722</v>
      </c>
      <c r="K347" t="s">
        <v>286</v>
      </c>
      <c r="L347">
        <v>10</v>
      </c>
    </row>
    <row r="348" spans="10:12" x14ac:dyDescent="0.2">
      <c r="J348">
        <v>10018723</v>
      </c>
      <c r="K348" t="s">
        <v>287</v>
      </c>
      <c r="L348">
        <v>20</v>
      </c>
    </row>
    <row r="349" spans="10:12" x14ac:dyDescent="0.2">
      <c r="J349">
        <v>10018724</v>
      </c>
      <c r="K349" t="s">
        <v>288</v>
      </c>
      <c r="L349">
        <v>28</v>
      </c>
    </row>
    <row r="350" spans="10:12" x14ac:dyDescent="0.2">
      <c r="J350">
        <v>10018725</v>
      </c>
      <c r="K350" t="s">
        <v>289</v>
      </c>
      <c r="L350">
        <v>13</v>
      </c>
    </row>
    <row r="351" spans="10:12" x14ac:dyDescent="0.2">
      <c r="J351">
        <v>10018726</v>
      </c>
      <c r="K351" t="s">
        <v>290</v>
      </c>
      <c r="L351">
        <v>11</v>
      </c>
    </row>
    <row r="352" spans="10:12" x14ac:dyDescent="0.2">
      <c r="J352">
        <v>10018727</v>
      </c>
      <c r="K352" t="s">
        <v>291</v>
      </c>
      <c r="L352">
        <v>12</v>
      </c>
    </row>
    <row r="353" spans="10:12" x14ac:dyDescent="0.2">
      <c r="J353">
        <v>10018728</v>
      </c>
      <c r="K353" t="s">
        <v>3614</v>
      </c>
      <c r="L353">
        <v>4</v>
      </c>
    </row>
    <row r="354" spans="10:12" x14ac:dyDescent="0.2">
      <c r="J354">
        <v>10018729</v>
      </c>
      <c r="K354" t="s">
        <v>292</v>
      </c>
      <c r="L354">
        <v>1</v>
      </c>
    </row>
    <row r="355" spans="10:12" x14ac:dyDescent="0.2">
      <c r="J355">
        <v>10018735</v>
      </c>
      <c r="K355" t="s">
        <v>3897</v>
      </c>
      <c r="L355">
        <v>2</v>
      </c>
    </row>
    <row r="356" spans="10:12" x14ac:dyDescent="0.2">
      <c r="J356">
        <v>10018736</v>
      </c>
      <c r="K356" t="s">
        <v>293</v>
      </c>
      <c r="L356">
        <v>9</v>
      </c>
    </row>
    <row r="357" spans="10:12" x14ac:dyDescent="0.2">
      <c r="J357">
        <v>10018739</v>
      </c>
      <c r="K357" t="s">
        <v>3797</v>
      </c>
      <c r="L357">
        <v>5</v>
      </c>
    </row>
    <row r="358" spans="10:12" x14ac:dyDescent="0.2">
      <c r="J358">
        <v>10018742</v>
      </c>
      <c r="K358" t="s">
        <v>294</v>
      </c>
      <c r="L358">
        <v>12</v>
      </c>
    </row>
    <row r="359" spans="10:12" x14ac:dyDescent="0.2">
      <c r="J359">
        <v>10018743</v>
      </c>
      <c r="K359" t="s">
        <v>295</v>
      </c>
      <c r="L359">
        <v>6</v>
      </c>
    </row>
    <row r="360" spans="10:12" x14ac:dyDescent="0.2">
      <c r="J360">
        <v>10018746</v>
      </c>
      <c r="K360" t="s">
        <v>3742</v>
      </c>
      <c r="L360">
        <v>6</v>
      </c>
    </row>
    <row r="361" spans="10:12" x14ac:dyDescent="0.2">
      <c r="J361">
        <v>10018747</v>
      </c>
      <c r="K361" t="s">
        <v>3612</v>
      </c>
      <c r="L361">
        <v>2</v>
      </c>
    </row>
    <row r="362" spans="10:12" x14ac:dyDescent="0.2">
      <c r="J362">
        <v>10018750</v>
      </c>
      <c r="K362" t="s">
        <v>296</v>
      </c>
      <c r="L362">
        <v>3</v>
      </c>
    </row>
    <row r="363" spans="10:12" x14ac:dyDescent="0.2">
      <c r="J363">
        <v>10018751</v>
      </c>
      <c r="K363" t="s">
        <v>297</v>
      </c>
      <c r="L363">
        <v>5</v>
      </c>
    </row>
    <row r="364" spans="10:12" x14ac:dyDescent="0.2">
      <c r="J364">
        <v>10018756</v>
      </c>
      <c r="K364" t="s">
        <v>5359</v>
      </c>
      <c r="L364">
        <v>6</v>
      </c>
    </row>
    <row r="365" spans="10:12" x14ac:dyDescent="0.2">
      <c r="J365">
        <v>10018765</v>
      </c>
      <c r="K365" t="s">
        <v>299</v>
      </c>
      <c r="L365">
        <v>2</v>
      </c>
    </row>
    <row r="366" spans="10:12" x14ac:dyDescent="0.2">
      <c r="J366">
        <v>10018769</v>
      </c>
      <c r="K366" t="s">
        <v>301</v>
      </c>
      <c r="L366">
        <v>7</v>
      </c>
    </row>
    <row r="367" spans="10:12" x14ac:dyDescent="0.2">
      <c r="J367">
        <v>10018770</v>
      </c>
      <c r="K367" t="s">
        <v>3798</v>
      </c>
      <c r="L367">
        <v>36</v>
      </c>
    </row>
    <row r="368" spans="10:12" x14ac:dyDescent="0.2">
      <c r="J368">
        <v>10018772</v>
      </c>
      <c r="K368" t="s">
        <v>303</v>
      </c>
      <c r="L368">
        <v>114</v>
      </c>
    </row>
    <row r="369" spans="10:12" x14ac:dyDescent="0.2">
      <c r="J369">
        <v>10018773</v>
      </c>
      <c r="K369" t="s">
        <v>304</v>
      </c>
      <c r="L369">
        <v>8</v>
      </c>
    </row>
    <row r="370" spans="10:12" x14ac:dyDescent="0.2">
      <c r="J370">
        <v>10018774</v>
      </c>
      <c r="K370" t="s">
        <v>305</v>
      </c>
      <c r="L370">
        <v>72</v>
      </c>
    </row>
    <row r="371" spans="10:12" x14ac:dyDescent="0.2">
      <c r="J371">
        <v>10018775</v>
      </c>
      <c r="K371" t="s">
        <v>306</v>
      </c>
      <c r="L371">
        <v>10</v>
      </c>
    </row>
    <row r="372" spans="10:12" x14ac:dyDescent="0.2">
      <c r="J372">
        <v>10018776</v>
      </c>
      <c r="K372" t="s">
        <v>3724</v>
      </c>
      <c r="L372">
        <v>5</v>
      </c>
    </row>
    <row r="373" spans="10:12" x14ac:dyDescent="0.2">
      <c r="J373">
        <v>10018778</v>
      </c>
      <c r="K373" t="s">
        <v>308</v>
      </c>
      <c r="L373">
        <v>1</v>
      </c>
    </row>
    <row r="374" spans="10:12" x14ac:dyDescent="0.2">
      <c r="J374">
        <v>10018779</v>
      </c>
      <c r="K374" t="s">
        <v>309</v>
      </c>
      <c r="L374">
        <v>8</v>
      </c>
    </row>
    <row r="375" spans="10:12" x14ac:dyDescent="0.2">
      <c r="J375">
        <v>10018780</v>
      </c>
      <c r="K375" t="s">
        <v>310</v>
      </c>
      <c r="L375">
        <v>9</v>
      </c>
    </row>
    <row r="376" spans="10:12" x14ac:dyDescent="0.2">
      <c r="J376">
        <v>10018783</v>
      </c>
      <c r="K376" t="s">
        <v>311</v>
      </c>
      <c r="L376">
        <v>4</v>
      </c>
    </row>
    <row r="377" spans="10:12" x14ac:dyDescent="0.2">
      <c r="J377">
        <v>10018787</v>
      </c>
      <c r="K377" t="s">
        <v>313</v>
      </c>
      <c r="L377">
        <v>2</v>
      </c>
    </row>
    <row r="378" spans="10:12" x14ac:dyDescent="0.2">
      <c r="J378">
        <v>10018788</v>
      </c>
      <c r="K378" t="s">
        <v>314</v>
      </c>
      <c r="L378">
        <v>4</v>
      </c>
    </row>
    <row r="379" spans="10:12" x14ac:dyDescent="0.2">
      <c r="J379">
        <v>10018790</v>
      </c>
      <c r="K379" t="s">
        <v>315</v>
      </c>
      <c r="L379">
        <v>2</v>
      </c>
    </row>
    <row r="380" spans="10:12" x14ac:dyDescent="0.2">
      <c r="J380">
        <v>10018792</v>
      </c>
      <c r="K380" t="s">
        <v>316</v>
      </c>
      <c r="L380">
        <v>4</v>
      </c>
    </row>
    <row r="381" spans="10:12" x14ac:dyDescent="0.2">
      <c r="J381">
        <v>10018794</v>
      </c>
      <c r="K381" t="s">
        <v>318</v>
      </c>
      <c r="L381">
        <v>150</v>
      </c>
    </row>
    <row r="382" spans="10:12" x14ac:dyDescent="0.2">
      <c r="J382">
        <v>10018796</v>
      </c>
      <c r="K382" t="s">
        <v>319</v>
      </c>
      <c r="L382">
        <v>10</v>
      </c>
    </row>
    <row r="383" spans="10:12" x14ac:dyDescent="0.2">
      <c r="J383">
        <v>10018805</v>
      </c>
      <c r="K383" t="s">
        <v>321</v>
      </c>
      <c r="L383">
        <v>3</v>
      </c>
    </row>
    <row r="384" spans="10:12" x14ac:dyDescent="0.2">
      <c r="J384">
        <v>10018807</v>
      </c>
      <c r="K384" t="s">
        <v>322</v>
      </c>
      <c r="L384">
        <v>1</v>
      </c>
    </row>
    <row r="385" spans="10:12" x14ac:dyDescent="0.2">
      <c r="J385">
        <v>10018808</v>
      </c>
      <c r="K385" t="s">
        <v>323</v>
      </c>
      <c r="L385">
        <v>3</v>
      </c>
    </row>
    <row r="386" spans="10:12" x14ac:dyDescent="0.2">
      <c r="J386">
        <v>10018809</v>
      </c>
      <c r="K386" t="s">
        <v>324</v>
      </c>
      <c r="L386">
        <v>1</v>
      </c>
    </row>
    <row r="387" spans="10:12" x14ac:dyDescent="0.2">
      <c r="J387">
        <v>10018810</v>
      </c>
      <c r="K387" t="s">
        <v>325</v>
      </c>
      <c r="L387">
        <v>3</v>
      </c>
    </row>
    <row r="388" spans="10:12" x14ac:dyDescent="0.2">
      <c r="J388">
        <v>10018811</v>
      </c>
      <c r="K388" t="s">
        <v>326</v>
      </c>
      <c r="L388">
        <v>2</v>
      </c>
    </row>
    <row r="389" spans="10:12" x14ac:dyDescent="0.2">
      <c r="J389">
        <v>10018812</v>
      </c>
      <c r="K389" t="s">
        <v>327</v>
      </c>
      <c r="L389">
        <v>1</v>
      </c>
    </row>
    <row r="390" spans="10:12" x14ac:dyDescent="0.2">
      <c r="J390">
        <v>10018813</v>
      </c>
      <c r="K390" t="s">
        <v>328</v>
      </c>
      <c r="L390">
        <v>3</v>
      </c>
    </row>
    <row r="391" spans="10:12" x14ac:dyDescent="0.2">
      <c r="J391">
        <v>10018814</v>
      </c>
      <c r="K391" t="s">
        <v>329</v>
      </c>
      <c r="L391">
        <v>1</v>
      </c>
    </row>
    <row r="392" spans="10:12" x14ac:dyDescent="0.2">
      <c r="J392">
        <v>10018816</v>
      </c>
      <c r="K392" t="s">
        <v>330</v>
      </c>
      <c r="L392">
        <v>3</v>
      </c>
    </row>
    <row r="393" spans="10:12" x14ac:dyDescent="0.2">
      <c r="J393">
        <v>10018818</v>
      </c>
      <c r="K393" t="s">
        <v>331</v>
      </c>
      <c r="L393">
        <v>2</v>
      </c>
    </row>
    <row r="394" spans="10:12" x14ac:dyDescent="0.2">
      <c r="J394">
        <v>10018820</v>
      </c>
      <c r="K394" t="s">
        <v>332</v>
      </c>
      <c r="L394">
        <v>6</v>
      </c>
    </row>
    <row r="395" spans="10:12" x14ac:dyDescent="0.2">
      <c r="J395">
        <v>10018823</v>
      </c>
      <c r="K395" t="s">
        <v>3653</v>
      </c>
      <c r="L395">
        <v>2</v>
      </c>
    </row>
    <row r="396" spans="10:12" x14ac:dyDescent="0.2">
      <c r="J396">
        <v>10018831</v>
      </c>
      <c r="K396" t="s">
        <v>334</v>
      </c>
      <c r="L396">
        <v>86</v>
      </c>
    </row>
    <row r="397" spans="10:12" x14ac:dyDescent="0.2">
      <c r="J397">
        <v>10018833</v>
      </c>
      <c r="K397" t="s">
        <v>3659</v>
      </c>
      <c r="L397">
        <v>2</v>
      </c>
    </row>
    <row r="398" spans="10:12" x14ac:dyDescent="0.2">
      <c r="J398">
        <v>10018835</v>
      </c>
      <c r="K398" t="s">
        <v>335</v>
      </c>
      <c r="L398">
        <v>18</v>
      </c>
    </row>
    <row r="399" spans="10:12" x14ac:dyDescent="0.2">
      <c r="J399">
        <v>10018837</v>
      </c>
      <c r="K399" t="s">
        <v>9717</v>
      </c>
      <c r="L399">
        <v>5</v>
      </c>
    </row>
    <row r="400" spans="10:12" x14ac:dyDescent="0.2">
      <c r="J400">
        <v>10018838</v>
      </c>
      <c r="K400" t="s">
        <v>9715</v>
      </c>
      <c r="L400">
        <v>4</v>
      </c>
    </row>
    <row r="401" spans="10:12" x14ac:dyDescent="0.2">
      <c r="J401">
        <v>10018840</v>
      </c>
      <c r="K401" t="s">
        <v>3903</v>
      </c>
      <c r="L401">
        <v>6</v>
      </c>
    </row>
    <row r="402" spans="10:12" x14ac:dyDescent="0.2">
      <c r="J402">
        <v>10018850</v>
      </c>
      <c r="K402" t="s">
        <v>337</v>
      </c>
      <c r="L402">
        <v>47</v>
      </c>
    </row>
    <row r="403" spans="10:12" x14ac:dyDescent="0.2">
      <c r="J403">
        <v>10018854</v>
      </c>
      <c r="K403" t="s">
        <v>338</v>
      </c>
      <c r="L403">
        <v>18</v>
      </c>
    </row>
    <row r="404" spans="10:12" x14ac:dyDescent="0.2">
      <c r="J404">
        <v>10018855</v>
      </c>
      <c r="K404" t="s">
        <v>339</v>
      </c>
      <c r="L404">
        <v>2</v>
      </c>
    </row>
    <row r="405" spans="10:12" x14ac:dyDescent="0.2">
      <c r="J405">
        <v>10018856</v>
      </c>
      <c r="K405" t="s">
        <v>340</v>
      </c>
      <c r="L405">
        <v>8</v>
      </c>
    </row>
    <row r="406" spans="10:12" x14ac:dyDescent="0.2">
      <c r="J406">
        <v>10018858</v>
      </c>
      <c r="K406" t="s">
        <v>341</v>
      </c>
      <c r="L406">
        <v>10</v>
      </c>
    </row>
    <row r="407" spans="10:12" x14ac:dyDescent="0.2">
      <c r="J407">
        <v>10018872</v>
      </c>
      <c r="K407" t="s">
        <v>342</v>
      </c>
      <c r="L407">
        <v>19</v>
      </c>
    </row>
    <row r="408" spans="10:12" x14ac:dyDescent="0.2">
      <c r="J408">
        <v>10018873</v>
      </c>
      <c r="K408" t="s">
        <v>343</v>
      </c>
      <c r="L408">
        <v>90</v>
      </c>
    </row>
    <row r="409" spans="10:12" x14ac:dyDescent="0.2">
      <c r="J409">
        <v>10018874</v>
      </c>
      <c r="K409" t="s">
        <v>344</v>
      </c>
      <c r="L409">
        <v>22</v>
      </c>
    </row>
    <row r="410" spans="10:12" x14ac:dyDescent="0.2">
      <c r="J410">
        <v>10018875</v>
      </c>
      <c r="K410" t="s">
        <v>345</v>
      </c>
      <c r="L410">
        <v>5</v>
      </c>
    </row>
    <row r="411" spans="10:12" x14ac:dyDescent="0.2">
      <c r="J411">
        <v>10018878</v>
      </c>
      <c r="K411" t="s">
        <v>3611</v>
      </c>
      <c r="L411">
        <v>25</v>
      </c>
    </row>
    <row r="412" spans="10:12" x14ac:dyDescent="0.2">
      <c r="J412">
        <v>10018879</v>
      </c>
      <c r="K412" t="s">
        <v>346</v>
      </c>
      <c r="L412">
        <v>2</v>
      </c>
    </row>
    <row r="413" spans="10:12" x14ac:dyDescent="0.2">
      <c r="J413">
        <v>10018887</v>
      </c>
      <c r="K413" t="s">
        <v>3743</v>
      </c>
      <c r="L413">
        <v>19</v>
      </c>
    </row>
    <row r="414" spans="10:12" x14ac:dyDescent="0.2">
      <c r="J414">
        <v>10018890</v>
      </c>
      <c r="K414" t="s">
        <v>348</v>
      </c>
      <c r="L414">
        <v>30</v>
      </c>
    </row>
    <row r="415" spans="10:12" x14ac:dyDescent="0.2">
      <c r="J415">
        <v>10018892</v>
      </c>
      <c r="K415" t="s">
        <v>349</v>
      </c>
      <c r="L415">
        <v>17</v>
      </c>
    </row>
    <row r="416" spans="10:12" x14ac:dyDescent="0.2">
      <c r="J416">
        <v>10018894</v>
      </c>
      <c r="K416" t="s">
        <v>350</v>
      </c>
      <c r="L416">
        <v>4</v>
      </c>
    </row>
    <row r="417" spans="10:12" x14ac:dyDescent="0.2">
      <c r="J417">
        <v>10018895</v>
      </c>
      <c r="K417" t="s">
        <v>351</v>
      </c>
      <c r="L417">
        <v>7</v>
      </c>
    </row>
    <row r="418" spans="10:12" x14ac:dyDescent="0.2">
      <c r="J418">
        <v>10018896</v>
      </c>
      <c r="K418" t="s">
        <v>352</v>
      </c>
      <c r="L418">
        <v>24</v>
      </c>
    </row>
    <row r="419" spans="10:12" x14ac:dyDescent="0.2">
      <c r="J419">
        <v>10018897</v>
      </c>
      <c r="K419" t="s">
        <v>353</v>
      </c>
      <c r="L419">
        <v>19</v>
      </c>
    </row>
    <row r="420" spans="10:12" x14ac:dyDescent="0.2">
      <c r="J420">
        <v>10018898</v>
      </c>
      <c r="K420" t="s">
        <v>354</v>
      </c>
      <c r="L420">
        <v>19</v>
      </c>
    </row>
    <row r="421" spans="10:12" x14ac:dyDescent="0.2">
      <c r="J421">
        <v>10018899</v>
      </c>
      <c r="K421" t="s">
        <v>355</v>
      </c>
      <c r="L421">
        <v>3</v>
      </c>
    </row>
    <row r="422" spans="10:12" x14ac:dyDescent="0.2">
      <c r="J422">
        <v>10018900</v>
      </c>
      <c r="K422" t="s">
        <v>356</v>
      </c>
      <c r="L422">
        <v>19</v>
      </c>
    </row>
    <row r="423" spans="10:12" x14ac:dyDescent="0.2">
      <c r="J423">
        <v>10018901</v>
      </c>
      <c r="K423" t="s">
        <v>357</v>
      </c>
      <c r="L423">
        <v>3</v>
      </c>
    </row>
    <row r="424" spans="10:12" x14ac:dyDescent="0.2">
      <c r="J424">
        <v>10018905</v>
      </c>
      <c r="K424" t="s">
        <v>3744</v>
      </c>
      <c r="L424">
        <v>9</v>
      </c>
    </row>
    <row r="425" spans="10:12" x14ac:dyDescent="0.2">
      <c r="J425">
        <v>10018906</v>
      </c>
      <c r="K425" t="s">
        <v>358</v>
      </c>
      <c r="L425">
        <v>3</v>
      </c>
    </row>
    <row r="426" spans="10:12" x14ac:dyDescent="0.2">
      <c r="J426">
        <v>10018908</v>
      </c>
      <c r="K426" t="s">
        <v>3643</v>
      </c>
      <c r="L426">
        <v>6</v>
      </c>
    </row>
    <row r="427" spans="10:12" x14ac:dyDescent="0.2">
      <c r="J427">
        <v>10018909</v>
      </c>
      <c r="K427" t="s">
        <v>359</v>
      </c>
      <c r="L427">
        <v>4</v>
      </c>
    </row>
    <row r="428" spans="10:12" x14ac:dyDescent="0.2">
      <c r="J428">
        <v>10018910</v>
      </c>
      <c r="K428" t="s">
        <v>3644</v>
      </c>
      <c r="L428">
        <v>9</v>
      </c>
    </row>
    <row r="429" spans="10:12" x14ac:dyDescent="0.2">
      <c r="J429">
        <v>10018911</v>
      </c>
      <c r="K429" t="s">
        <v>360</v>
      </c>
      <c r="L429">
        <v>4</v>
      </c>
    </row>
    <row r="430" spans="10:12" x14ac:dyDescent="0.2">
      <c r="J430">
        <v>10018913</v>
      </c>
      <c r="K430" t="s">
        <v>361</v>
      </c>
      <c r="L430">
        <v>8</v>
      </c>
    </row>
    <row r="431" spans="10:12" x14ac:dyDescent="0.2">
      <c r="J431">
        <v>10018914</v>
      </c>
      <c r="K431" t="s">
        <v>362</v>
      </c>
      <c r="L431">
        <v>2</v>
      </c>
    </row>
    <row r="432" spans="10:12" x14ac:dyDescent="0.2">
      <c r="J432">
        <v>10018915</v>
      </c>
      <c r="K432" t="s">
        <v>363</v>
      </c>
      <c r="L432">
        <v>39</v>
      </c>
    </row>
    <row r="433" spans="10:12" x14ac:dyDescent="0.2">
      <c r="J433">
        <v>10018921</v>
      </c>
      <c r="K433" t="s">
        <v>364</v>
      </c>
      <c r="L433">
        <v>17</v>
      </c>
    </row>
    <row r="434" spans="10:12" x14ac:dyDescent="0.2">
      <c r="J434">
        <v>10018922</v>
      </c>
      <c r="K434" t="s">
        <v>365</v>
      </c>
      <c r="L434">
        <v>411</v>
      </c>
    </row>
    <row r="435" spans="10:12" x14ac:dyDescent="0.2">
      <c r="J435">
        <v>10018926</v>
      </c>
      <c r="K435" t="s">
        <v>366</v>
      </c>
      <c r="L435">
        <v>20</v>
      </c>
    </row>
    <row r="436" spans="10:12" x14ac:dyDescent="0.2">
      <c r="J436">
        <v>10018927</v>
      </c>
      <c r="K436" t="s">
        <v>367</v>
      </c>
      <c r="L436">
        <v>10</v>
      </c>
    </row>
    <row r="437" spans="10:12" x14ac:dyDescent="0.2">
      <c r="J437">
        <v>10018929</v>
      </c>
      <c r="K437" t="s">
        <v>368</v>
      </c>
      <c r="L437">
        <v>2</v>
      </c>
    </row>
    <row r="438" spans="10:12" x14ac:dyDescent="0.2">
      <c r="J438">
        <v>10018930</v>
      </c>
      <c r="K438" t="s">
        <v>369</v>
      </c>
      <c r="L438">
        <v>9</v>
      </c>
    </row>
    <row r="439" spans="10:12" x14ac:dyDescent="0.2">
      <c r="J439">
        <v>10018934</v>
      </c>
      <c r="K439" t="s">
        <v>371</v>
      </c>
      <c r="L439">
        <v>20</v>
      </c>
    </row>
    <row r="440" spans="10:12" x14ac:dyDescent="0.2">
      <c r="J440">
        <v>10018939</v>
      </c>
      <c r="K440" t="s">
        <v>373</v>
      </c>
      <c r="L440">
        <v>1</v>
      </c>
    </row>
    <row r="441" spans="10:12" x14ac:dyDescent="0.2">
      <c r="J441">
        <v>10018941</v>
      </c>
      <c r="K441" t="s">
        <v>374</v>
      </c>
      <c r="L441">
        <v>1</v>
      </c>
    </row>
    <row r="442" spans="10:12" x14ac:dyDescent="0.2">
      <c r="J442">
        <v>10018944</v>
      </c>
      <c r="K442" t="s">
        <v>375</v>
      </c>
      <c r="L442">
        <v>1</v>
      </c>
    </row>
    <row r="443" spans="10:12" x14ac:dyDescent="0.2">
      <c r="J443">
        <v>10018945</v>
      </c>
      <c r="K443" t="s">
        <v>376</v>
      </c>
      <c r="L443">
        <v>4</v>
      </c>
    </row>
    <row r="444" spans="10:12" x14ac:dyDescent="0.2">
      <c r="J444">
        <v>10018946</v>
      </c>
      <c r="K444" t="s">
        <v>377</v>
      </c>
      <c r="L444">
        <v>1</v>
      </c>
    </row>
    <row r="445" spans="10:12" x14ac:dyDescent="0.2">
      <c r="J445">
        <v>10018947</v>
      </c>
      <c r="K445" t="s">
        <v>3841</v>
      </c>
      <c r="L445">
        <v>2</v>
      </c>
    </row>
    <row r="446" spans="10:12" x14ac:dyDescent="0.2">
      <c r="J446">
        <v>10018948</v>
      </c>
      <c r="K446" t="s">
        <v>378</v>
      </c>
      <c r="L446">
        <v>3</v>
      </c>
    </row>
    <row r="447" spans="10:12" x14ac:dyDescent="0.2">
      <c r="J447">
        <v>10018949</v>
      </c>
      <c r="K447" t="s">
        <v>379</v>
      </c>
      <c r="L447">
        <v>22</v>
      </c>
    </row>
    <row r="448" spans="10:12" x14ac:dyDescent="0.2">
      <c r="J448">
        <v>10018950</v>
      </c>
      <c r="K448" t="s">
        <v>380</v>
      </c>
      <c r="L448">
        <v>3</v>
      </c>
    </row>
    <row r="449" spans="10:12" x14ac:dyDescent="0.2">
      <c r="J449">
        <v>10018952</v>
      </c>
      <c r="K449" t="s">
        <v>381</v>
      </c>
      <c r="L449">
        <v>1</v>
      </c>
    </row>
    <row r="450" spans="10:12" x14ac:dyDescent="0.2">
      <c r="J450">
        <v>10018953</v>
      </c>
      <c r="K450" t="s">
        <v>5414</v>
      </c>
      <c r="L450">
        <v>1</v>
      </c>
    </row>
    <row r="451" spans="10:12" x14ac:dyDescent="0.2">
      <c r="J451">
        <v>10018954</v>
      </c>
      <c r="K451" t="s">
        <v>382</v>
      </c>
      <c r="L451">
        <v>86</v>
      </c>
    </row>
    <row r="452" spans="10:12" x14ac:dyDescent="0.2">
      <c r="J452">
        <v>10018956</v>
      </c>
      <c r="K452" t="s">
        <v>383</v>
      </c>
      <c r="L452">
        <v>1</v>
      </c>
    </row>
    <row r="453" spans="10:12" x14ac:dyDescent="0.2">
      <c r="J453">
        <v>10018958</v>
      </c>
      <c r="K453" t="s">
        <v>384</v>
      </c>
      <c r="L453">
        <v>1</v>
      </c>
    </row>
    <row r="454" spans="10:12" x14ac:dyDescent="0.2">
      <c r="J454">
        <v>10018960</v>
      </c>
      <c r="K454" t="s">
        <v>385</v>
      </c>
      <c r="L454">
        <v>14</v>
      </c>
    </row>
    <row r="455" spans="10:12" x14ac:dyDescent="0.2">
      <c r="J455">
        <v>10018963</v>
      </c>
      <c r="K455" t="s">
        <v>386</v>
      </c>
      <c r="L455">
        <v>11</v>
      </c>
    </row>
    <row r="456" spans="10:12" x14ac:dyDescent="0.2">
      <c r="J456">
        <v>10018965</v>
      </c>
      <c r="K456" t="s">
        <v>387</v>
      </c>
      <c r="L456">
        <v>1</v>
      </c>
    </row>
    <row r="457" spans="10:12" x14ac:dyDescent="0.2">
      <c r="J457">
        <v>10018973</v>
      </c>
      <c r="K457" t="s">
        <v>389</v>
      </c>
      <c r="L457">
        <v>8</v>
      </c>
    </row>
    <row r="458" spans="10:12" x14ac:dyDescent="0.2">
      <c r="J458">
        <v>10018974</v>
      </c>
      <c r="K458" t="s">
        <v>390</v>
      </c>
      <c r="L458">
        <v>2</v>
      </c>
    </row>
    <row r="459" spans="10:12" x14ac:dyDescent="0.2">
      <c r="J459">
        <v>10018976</v>
      </c>
      <c r="K459" t="s">
        <v>391</v>
      </c>
      <c r="L459">
        <v>3</v>
      </c>
    </row>
    <row r="460" spans="10:12" x14ac:dyDescent="0.2">
      <c r="J460">
        <v>10018977</v>
      </c>
      <c r="K460" t="s">
        <v>3618</v>
      </c>
      <c r="L460">
        <v>7</v>
      </c>
    </row>
    <row r="461" spans="10:12" x14ac:dyDescent="0.2">
      <c r="J461">
        <v>10018980</v>
      </c>
      <c r="K461" t="s">
        <v>392</v>
      </c>
      <c r="L461">
        <v>4</v>
      </c>
    </row>
    <row r="462" spans="10:12" x14ac:dyDescent="0.2">
      <c r="J462">
        <v>10018981</v>
      </c>
      <c r="K462" t="s">
        <v>10568</v>
      </c>
      <c r="L462">
        <v>1</v>
      </c>
    </row>
    <row r="463" spans="10:12" x14ac:dyDescent="0.2">
      <c r="J463">
        <v>10018991</v>
      </c>
      <c r="K463" t="s">
        <v>394</v>
      </c>
      <c r="L463">
        <v>11</v>
      </c>
    </row>
    <row r="464" spans="10:12" x14ac:dyDescent="0.2">
      <c r="J464">
        <v>10018992</v>
      </c>
      <c r="K464" t="s">
        <v>5464</v>
      </c>
      <c r="L464">
        <v>2</v>
      </c>
    </row>
    <row r="465" spans="10:12" x14ac:dyDescent="0.2">
      <c r="J465">
        <v>10018995</v>
      </c>
      <c r="K465" t="s">
        <v>395</v>
      </c>
      <c r="L465">
        <v>3</v>
      </c>
    </row>
    <row r="466" spans="10:12" x14ac:dyDescent="0.2">
      <c r="J466">
        <v>10018996</v>
      </c>
      <c r="K466" t="s">
        <v>396</v>
      </c>
      <c r="L466">
        <v>1</v>
      </c>
    </row>
    <row r="467" spans="10:12" x14ac:dyDescent="0.2">
      <c r="J467">
        <v>10018999</v>
      </c>
      <c r="K467" t="s">
        <v>5363</v>
      </c>
      <c r="L467">
        <v>1</v>
      </c>
    </row>
    <row r="468" spans="10:12" x14ac:dyDescent="0.2">
      <c r="J468">
        <v>10019003</v>
      </c>
      <c r="K468" t="s">
        <v>398</v>
      </c>
      <c r="L468">
        <v>4</v>
      </c>
    </row>
    <row r="469" spans="10:12" x14ac:dyDescent="0.2">
      <c r="J469">
        <v>10019004</v>
      </c>
      <c r="K469" t="s">
        <v>3665</v>
      </c>
      <c r="L469">
        <v>8</v>
      </c>
    </row>
    <row r="470" spans="10:12" x14ac:dyDescent="0.2">
      <c r="J470">
        <v>10019005</v>
      </c>
      <c r="K470" t="s">
        <v>5415</v>
      </c>
      <c r="L470">
        <v>3</v>
      </c>
    </row>
    <row r="471" spans="10:12" x14ac:dyDescent="0.2">
      <c r="J471">
        <v>10019007</v>
      </c>
      <c r="K471" t="s">
        <v>3874</v>
      </c>
      <c r="L471">
        <v>1</v>
      </c>
    </row>
    <row r="472" spans="10:12" x14ac:dyDescent="0.2">
      <c r="J472">
        <v>10019008</v>
      </c>
      <c r="K472" t="s">
        <v>399</v>
      </c>
      <c r="L472">
        <v>15</v>
      </c>
    </row>
    <row r="473" spans="10:12" x14ac:dyDescent="0.2">
      <c r="J473">
        <v>10019010</v>
      </c>
      <c r="K473" t="s">
        <v>400</v>
      </c>
      <c r="L473">
        <v>12</v>
      </c>
    </row>
    <row r="474" spans="10:12" x14ac:dyDescent="0.2">
      <c r="J474">
        <v>10019013</v>
      </c>
      <c r="K474" t="s">
        <v>401</v>
      </c>
      <c r="L474">
        <v>1</v>
      </c>
    </row>
    <row r="475" spans="10:12" x14ac:dyDescent="0.2">
      <c r="J475">
        <v>10019017</v>
      </c>
      <c r="K475" t="s">
        <v>402</v>
      </c>
      <c r="L475">
        <v>4</v>
      </c>
    </row>
    <row r="476" spans="10:12" x14ac:dyDescent="0.2">
      <c r="J476">
        <v>10019018</v>
      </c>
      <c r="K476" t="s">
        <v>403</v>
      </c>
      <c r="L476">
        <v>2</v>
      </c>
    </row>
    <row r="477" spans="10:12" x14ac:dyDescent="0.2">
      <c r="J477">
        <v>10019019</v>
      </c>
      <c r="K477" t="s">
        <v>404</v>
      </c>
      <c r="L477">
        <v>9</v>
      </c>
    </row>
    <row r="478" spans="10:12" x14ac:dyDescent="0.2">
      <c r="J478">
        <v>10019020</v>
      </c>
      <c r="K478" t="s">
        <v>405</v>
      </c>
      <c r="L478" s="36">
        <v>1079</v>
      </c>
    </row>
    <row r="479" spans="10:12" x14ac:dyDescent="0.2">
      <c r="J479">
        <v>10019026</v>
      </c>
      <c r="K479" t="s">
        <v>408</v>
      </c>
      <c r="L479">
        <v>5</v>
      </c>
    </row>
    <row r="480" spans="10:12" x14ac:dyDescent="0.2">
      <c r="J480">
        <v>10019030</v>
      </c>
      <c r="K480" t="s">
        <v>3806</v>
      </c>
      <c r="L480">
        <v>5</v>
      </c>
    </row>
    <row r="481" spans="10:12" x14ac:dyDescent="0.2">
      <c r="J481">
        <v>10019036</v>
      </c>
      <c r="K481" t="s">
        <v>9880</v>
      </c>
      <c r="L481">
        <v>2</v>
      </c>
    </row>
    <row r="482" spans="10:12" x14ac:dyDescent="0.2">
      <c r="J482">
        <v>10019037</v>
      </c>
      <c r="K482" t="s">
        <v>410</v>
      </c>
      <c r="L482">
        <v>5</v>
      </c>
    </row>
    <row r="483" spans="10:12" x14ac:dyDescent="0.2">
      <c r="J483">
        <v>10019038</v>
      </c>
      <c r="K483" t="s">
        <v>411</v>
      </c>
      <c r="L483">
        <v>4</v>
      </c>
    </row>
    <row r="484" spans="10:12" x14ac:dyDescent="0.2">
      <c r="J484">
        <v>10019046</v>
      </c>
      <c r="K484" t="s">
        <v>414</v>
      </c>
      <c r="L484">
        <v>11</v>
      </c>
    </row>
    <row r="485" spans="10:12" x14ac:dyDescent="0.2">
      <c r="J485">
        <v>10019047</v>
      </c>
      <c r="K485" t="s">
        <v>415</v>
      </c>
      <c r="L485">
        <v>0</v>
      </c>
    </row>
    <row r="486" spans="10:12" x14ac:dyDescent="0.2">
      <c r="J486">
        <v>10019049</v>
      </c>
      <c r="K486" t="s">
        <v>416</v>
      </c>
      <c r="L486">
        <v>9</v>
      </c>
    </row>
    <row r="487" spans="10:12" x14ac:dyDescent="0.2">
      <c r="J487">
        <v>10019051</v>
      </c>
      <c r="K487" t="s">
        <v>417</v>
      </c>
      <c r="L487">
        <v>1</v>
      </c>
    </row>
    <row r="488" spans="10:12" x14ac:dyDescent="0.2">
      <c r="J488">
        <v>10019053</v>
      </c>
      <c r="K488" t="s">
        <v>418</v>
      </c>
      <c r="L488">
        <v>7</v>
      </c>
    </row>
    <row r="489" spans="10:12" x14ac:dyDescent="0.2">
      <c r="J489">
        <v>10019054</v>
      </c>
      <c r="K489" t="s">
        <v>9661</v>
      </c>
      <c r="L489">
        <v>9</v>
      </c>
    </row>
    <row r="490" spans="10:12" x14ac:dyDescent="0.2">
      <c r="J490">
        <v>10019063</v>
      </c>
      <c r="K490" t="s">
        <v>419</v>
      </c>
      <c r="L490">
        <v>23</v>
      </c>
    </row>
    <row r="491" spans="10:12" x14ac:dyDescent="0.2">
      <c r="J491">
        <v>10019073</v>
      </c>
      <c r="K491" t="s">
        <v>5364</v>
      </c>
      <c r="L491">
        <v>2</v>
      </c>
    </row>
    <row r="492" spans="10:12" x14ac:dyDescent="0.2">
      <c r="J492">
        <v>10019074</v>
      </c>
      <c r="K492" t="s">
        <v>420</v>
      </c>
      <c r="L492">
        <v>4</v>
      </c>
    </row>
    <row r="493" spans="10:12" x14ac:dyDescent="0.2">
      <c r="J493">
        <v>10019075</v>
      </c>
      <c r="K493" t="s">
        <v>421</v>
      </c>
      <c r="L493">
        <v>28</v>
      </c>
    </row>
    <row r="494" spans="10:12" x14ac:dyDescent="0.2">
      <c r="J494">
        <v>10019077</v>
      </c>
      <c r="K494" t="s">
        <v>422</v>
      </c>
      <c r="L494">
        <v>5</v>
      </c>
    </row>
    <row r="495" spans="10:12" x14ac:dyDescent="0.2">
      <c r="J495">
        <v>10019081</v>
      </c>
      <c r="K495" t="s">
        <v>423</v>
      </c>
      <c r="L495">
        <v>13</v>
      </c>
    </row>
    <row r="496" spans="10:12" x14ac:dyDescent="0.2">
      <c r="J496">
        <v>10019084</v>
      </c>
      <c r="K496" t="s">
        <v>424</v>
      </c>
      <c r="L496">
        <v>4</v>
      </c>
    </row>
    <row r="497" spans="10:12" x14ac:dyDescent="0.2">
      <c r="J497">
        <v>10019089</v>
      </c>
      <c r="K497" t="s">
        <v>9807</v>
      </c>
      <c r="L497">
        <v>5</v>
      </c>
    </row>
    <row r="498" spans="10:12" x14ac:dyDescent="0.2">
      <c r="J498">
        <v>10019090</v>
      </c>
      <c r="K498" t="s">
        <v>425</v>
      </c>
      <c r="L498">
        <v>15</v>
      </c>
    </row>
    <row r="499" spans="10:12" x14ac:dyDescent="0.2">
      <c r="J499">
        <v>10019095</v>
      </c>
      <c r="K499" t="s">
        <v>427</v>
      </c>
      <c r="L499">
        <v>3</v>
      </c>
    </row>
    <row r="500" spans="10:12" x14ac:dyDescent="0.2">
      <c r="J500">
        <v>10019097</v>
      </c>
      <c r="K500" t="s">
        <v>428</v>
      </c>
      <c r="L500">
        <v>7</v>
      </c>
    </row>
    <row r="501" spans="10:12" x14ac:dyDescent="0.2">
      <c r="J501">
        <v>10019100</v>
      </c>
      <c r="K501" t="s">
        <v>429</v>
      </c>
      <c r="L501">
        <v>19</v>
      </c>
    </row>
    <row r="502" spans="10:12" x14ac:dyDescent="0.2">
      <c r="J502">
        <v>10019107</v>
      </c>
      <c r="K502" t="s">
        <v>430</v>
      </c>
      <c r="L502">
        <v>12</v>
      </c>
    </row>
    <row r="503" spans="10:12" x14ac:dyDescent="0.2">
      <c r="J503">
        <v>10019110</v>
      </c>
      <c r="K503" t="s">
        <v>431</v>
      </c>
      <c r="L503">
        <v>8</v>
      </c>
    </row>
    <row r="504" spans="10:12" x14ac:dyDescent="0.2">
      <c r="J504">
        <v>10019112</v>
      </c>
      <c r="K504" t="s">
        <v>432</v>
      </c>
      <c r="L504">
        <v>1</v>
      </c>
    </row>
    <row r="505" spans="10:12" x14ac:dyDescent="0.2">
      <c r="J505">
        <v>10019114</v>
      </c>
      <c r="K505" t="s">
        <v>433</v>
      </c>
      <c r="L505">
        <v>1</v>
      </c>
    </row>
    <row r="506" spans="10:12" x14ac:dyDescent="0.2">
      <c r="J506">
        <v>10019115</v>
      </c>
      <c r="K506" t="s">
        <v>434</v>
      </c>
      <c r="L506">
        <v>6</v>
      </c>
    </row>
    <row r="507" spans="10:12" x14ac:dyDescent="0.2">
      <c r="J507">
        <v>10019121</v>
      </c>
      <c r="K507" t="s">
        <v>3622</v>
      </c>
      <c r="L507">
        <v>9</v>
      </c>
    </row>
    <row r="508" spans="10:12" x14ac:dyDescent="0.2">
      <c r="J508">
        <v>10019123</v>
      </c>
      <c r="K508" t="s">
        <v>435</v>
      </c>
      <c r="L508">
        <v>2</v>
      </c>
    </row>
    <row r="509" spans="10:12" x14ac:dyDescent="0.2">
      <c r="J509">
        <v>10019124</v>
      </c>
      <c r="K509" t="s">
        <v>436</v>
      </c>
      <c r="L509">
        <v>5</v>
      </c>
    </row>
    <row r="510" spans="10:12" x14ac:dyDescent="0.2">
      <c r="J510">
        <v>10019125</v>
      </c>
      <c r="K510" t="s">
        <v>3663</v>
      </c>
      <c r="L510">
        <v>17</v>
      </c>
    </row>
    <row r="511" spans="10:12" x14ac:dyDescent="0.2">
      <c r="J511">
        <v>10019133</v>
      </c>
      <c r="K511" t="s">
        <v>3648</v>
      </c>
      <c r="L511">
        <v>14</v>
      </c>
    </row>
    <row r="512" spans="10:12" x14ac:dyDescent="0.2">
      <c r="J512">
        <v>10019134</v>
      </c>
      <c r="K512" t="s">
        <v>438</v>
      </c>
      <c r="L512">
        <v>27</v>
      </c>
    </row>
    <row r="513" spans="10:12" x14ac:dyDescent="0.2">
      <c r="J513">
        <v>10019135</v>
      </c>
      <c r="K513" t="s">
        <v>439</v>
      </c>
      <c r="L513">
        <v>83</v>
      </c>
    </row>
    <row r="514" spans="10:12" x14ac:dyDescent="0.2">
      <c r="J514">
        <v>10019137</v>
      </c>
      <c r="K514" t="s">
        <v>440</v>
      </c>
      <c r="L514">
        <v>37</v>
      </c>
    </row>
    <row r="515" spans="10:12" x14ac:dyDescent="0.2">
      <c r="J515">
        <v>10019142</v>
      </c>
      <c r="K515" t="s">
        <v>441</v>
      </c>
      <c r="L515">
        <v>6</v>
      </c>
    </row>
    <row r="516" spans="10:12" x14ac:dyDescent="0.2">
      <c r="J516">
        <v>10019144</v>
      </c>
      <c r="K516" t="s">
        <v>442</v>
      </c>
      <c r="L516">
        <v>25</v>
      </c>
    </row>
    <row r="517" spans="10:12" x14ac:dyDescent="0.2">
      <c r="J517">
        <v>10019145</v>
      </c>
      <c r="K517" t="s">
        <v>443</v>
      </c>
      <c r="L517">
        <v>11</v>
      </c>
    </row>
    <row r="518" spans="10:12" x14ac:dyDescent="0.2">
      <c r="J518">
        <v>10019148</v>
      </c>
      <c r="K518" t="s">
        <v>3630</v>
      </c>
      <c r="L518">
        <v>28</v>
      </c>
    </row>
    <row r="519" spans="10:12" x14ac:dyDescent="0.2">
      <c r="J519">
        <v>10019152</v>
      </c>
      <c r="K519" t="s">
        <v>446</v>
      </c>
      <c r="L519">
        <v>13</v>
      </c>
    </row>
    <row r="520" spans="10:12" x14ac:dyDescent="0.2">
      <c r="J520">
        <v>10019156</v>
      </c>
      <c r="K520" t="s">
        <v>447</v>
      </c>
      <c r="L520">
        <v>3</v>
      </c>
    </row>
    <row r="521" spans="10:12" x14ac:dyDescent="0.2">
      <c r="J521">
        <v>10019158</v>
      </c>
      <c r="K521" t="s">
        <v>448</v>
      </c>
      <c r="L521">
        <v>17</v>
      </c>
    </row>
    <row r="522" spans="10:12" x14ac:dyDescent="0.2">
      <c r="J522">
        <v>10019160</v>
      </c>
      <c r="K522" t="s">
        <v>449</v>
      </c>
      <c r="L522">
        <v>8</v>
      </c>
    </row>
    <row r="523" spans="10:12" x14ac:dyDescent="0.2">
      <c r="J523">
        <v>10019162</v>
      </c>
      <c r="K523" t="s">
        <v>450</v>
      </c>
      <c r="L523">
        <v>13</v>
      </c>
    </row>
    <row r="524" spans="10:12" x14ac:dyDescent="0.2">
      <c r="J524">
        <v>10019164</v>
      </c>
      <c r="K524" t="s">
        <v>451</v>
      </c>
      <c r="L524">
        <v>4</v>
      </c>
    </row>
    <row r="525" spans="10:12" x14ac:dyDescent="0.2">
      <c r="J525">
        <v>10019166</v>
      </c>
      <c r="K525" t="s">
        <v>3629</v>
      </c>
      <c r="L525">
        <v>16</v>
      </c>
    </row>
    <row r="526" spans="10:12" x14ac:dyDescent="0.2">
      <c r="J526">
        <v>10019170</v>
      </c>
      <c r="K526" t="s">
        <v>9644</v>
      </c>
      <c r="L526">
        <v>3</v>
      </c>
    </row>
    <row r="527" spans="10:12" x14ac:dyDescent="0.2">
      <c r="J527">
        <v>10019181</v>
      </c>
      <c r="K527" t="s">
        <v>452</v>
      </c>
      <c r="L527">
        <v>19</v>
      </c>
    </row>
    <row r="528" spans="10:12" x14ac:dyDescent="0.2">
      <c r="J528">
        <v>10019183</v>
      </c>
      <c r="K528" t="s">
        <v>3666</v>
      </c>
      <c r="L528">
        <v>1</v>
      </c>
    </row>
    <row r="529" spans="10:12" x14ac:dyDescent="0.2">
      <c r="J529">
        <v>10019187</v>
      </c>
      <c r="K529" t="s">
        <v>454</v>
      </c>
      <c r="L529">
        <v>5</v>
      </c>
    </row>
    <row r="530" spans="10:12" x14ac:dyDescent="0.2">
      <c r="J530">
        <v>10019188</v>
      </c>
      <c r="K530" t="s">
        <v>455</v>
      </c>
      <c r="L530">
        <v>25</v>
      </c>
    </row>
    <row r="531" spans="10:12" x14ac:dyDescent="0.2">
      <c r="J531">
        <v>10019198</v>
      </c>
      <c r="K531" t="s">
        <v>456</v>
      </c>
      <c r="L531">
        <v>19</v>
      </c>
    </row>
    <row r="532" spans="10:12" x14ac:dyDescent="0.2">
      <c r="J532">
        <v>10019203</v>
      </c>
      <c r="K532" t="s">
        <v>458</v>
      </c>
      <c r="L532">
        <v>47</v>
      </c>
    </row>
    <row r="533" spans="10:12" x14ac:dyDescent="0.2">
      <c r="J533">
        <v>10019204</v>
      </c>
      <c r="K533" t="s">
        <v>459</v>
      </c>
      <c r="L533">
        <v>1</v>
      </c>
    </row>
    <row r="534" spans="10:12" x14ac:dyDescent="0.2">
      <c r="J534">
        <v>10019208</v>
      </c>
      <c r="K534" t="s">
        <v>3794</v>
      </c>
      <c r="L534">
        <v>4</v>
      </c>
    </row>
    <row r="535" spans="10:12" x14ac:dyDescent="0.2">
      <c r="J535">
        <v>10019209</v>
      </c>
      <c r="K535" t="s">
        <v>460</v>
      </c>
      <c r="L535">
        <v>10</v>
      </c>
    </row>
    <row r="536" spans="10:12" x14ac:dyDescent="0.2">
      <c r="J536">
        <v>10019210</v>
      </c>
      <c r="K536" t="s">
        <v>461</v>
      </c>
      <c r="L536">
        <v>15</v>
      </c>
    </row>
    <row r="537" spans="10:12" x14ac:dyDescent="0.2">
      <c r="J537">
        <v>10019212</v>
      </c>
      <c r="K537" t="s">
        <v>462</v>
      </c>
      <c r="L537">
        <v>33</v>
      </c>
    </row>
    <row r="538" spans="10:12" x14ac:dyDescent="0.2">
      <c r="J538">
        <v>10019213</v>
      </c>
      <c r="K538" t="s">
        <v>463</v>
      </c>
      <c r="L538">
        <v>5</v>
      </c>
    </row>
    <row r="539" spans="10:12" x14ac:dyDescent="0.2">
      <c r="J539">
        <v>10019215</v>
      </c>
      <c r="K539" t="s">
        <v>464</v>
      </c>
      <c r="L539">
        <v>6</v>
      </c>
    </row>
    <row r="540" spans="10:12" x14ac:dyDescent="0.2">
      <c r="J540">
        <v>10019216</v>
      </c>
      <c r="K540" t="s">
        <v>465</v>
      </c>
      <c r="L540">
        <v>7</v>
      </c>
    </row>
    <row r="541" spans="10:12" x14ac:dyDescent="0.2">
      <c r="J541">
        <v>10019219</v>
      </c>
      <c r="K541" t="s">
        <v>5365</v>
      </c>
      <c r="L541">
        <v>3</v>
      </c>
    </row>
    <row r="542" spans="10:12" x14ac:dyDescent="0.2">
      <c r="J542">
        <v>10019233</v>
      </c>
      <c r="K542" t="s">
        <v>5366</v>
      </c>
      <c r="L542">
        <v>3</v>
      </c>
    </row>
    <row r="543" spans="10:12" x14ac:dyDescent="0.2">
      <c r="J543">
        <v>10019236</v>
      </c>
      <c r="K543" t="s">
        <v>466</v>
      </c>
      <c r="L543">
        <v>2</v>
      </c>
    </row>
    <row r="544" spans="10:12" x14ac:dyDescent="0.2">
      <c r="J544">
        <v>10019243</v>
      </c>
      <c r="K544" t="s">
        <v>468</v>
      </c>
      <c r="L544">
        <v>13</v>
      </c>
    </row>
    <row r="545" spans="10:12" x14ac:dyDescent="0.2">
      <c r="J545">
        <v>10019245</v>
      </c>
      <c r="K545" t="s">
        <v>469</v>
      </c>
      <c r="L545">
        <v>3</v>
      </c>
    </row>
    <row r="546" spans="10:12" x14ac:dyDescent="0.2">
      <c r="J546">
        <v>10019247</v>
      </c>
      <c r="K546" t="s">
        <v>470</v>
      </c>
      <c r="L546">
        <v>15</v>
      </c>
    </row>
    <row r="547" spans="10:12" x14ac:dyDescent="0.2">
      <c r="J547">
        <v>10019248</v>
      </c>
      <c r="K547" t="s">
        <v>471</v>
      </c>
      <c r="L547">
        <v>2</v>
      </c>
    </row>
    <row r="548" spans="10:12" x14ac:dyDescent="0.2">
      <c r="J548">
        <v>10019249</v>
      </c>
      <c r="K548" t="s">
        <v>472</v>
      </c>
      <c r="L548">
        <v>15</v>
      </c>
    </row>
    <row r="549" spans="10:12" x14ac:dyDescent="0.2">
      <c r="J549">
        <v>10019250</v>
      </c>
      <c r="K549" t="s">
        <v>473</v>
      </c>
      <c r="L549">
        <v>27</v>
      </c>
    </row>
    <row r="550" spans="10:12" x14ac:dyDescent="0.2">
      <c r="J550">
        <v>10019251</v>
      </c>
      <c r="K550" t="s">
        <v>3661</v>
      </c>
      <c r="L550">
        <v>19</v>
      </c>
    </row>
    <row r="551" spans="10:12" x14ac:dyDescent="0.2">
      <c r="J551">
        <v>10019253</v>
      </c>
      <c r="K551" t="s">
        <v>474</v>
      </c>
      <c r="L551">
        <v>4</v>
      </c>
    </row>
    <row r="552" spans="10:12" x14ac:dyDescent="0.2">
      <c r="J552">
        <v>10019255</v>
      </c>
      <c r="K552" t="s">
        <v>475</v>
      </c>
      <c r="L552">
        <v>31</v>
      </c>
    </row>
    <row r="553" spans="10:12" x14ac:dyDescent="0.2">
      <c r="J553">
        <v>10019259</v>
      </c>
      <c r="K553" t="s">
        <v>476</v>
      </c>
      <c r="L553">
        <v>2</v>
      </c>
    </row>
    <row r="554" spans="10:12" x14ac:dyDescent="0.2">
      <c r="J554">
        <v>10019260</v>
      </c>
      <c r="K554" t="s">
        <v>477</v>
      </c>
      <c r="L554">
        <v>41</v>
      </c>
    </row>
    <row r="555" spans="10:12" x14ac:dyDescent="0.2">
      <c r="J555">
        <v>10019262</v>
      </c>
      <c r="K555" t="s">
        <v>478</v>
      </c>
      <c r="L555">
        <v>77</v>
      </c>
    </row>
    <row r="556" spans="10:12" x14ac:dyDescent="0.2">
      <c r="J556">
        <v>10019268</v>
      </c>
      <c r="K556" t="s">
        <v>479</v>
      </c>
      <c r="L556">
        <v>18</v>
      </c>
    </row>
    <row r="557" spans="10:12" x14ac:dyDescent="0.2">
      <c r="J557">
        <v>10019271</v>
      </c>
      <c r="K557" t="s">
        <v>481</v>
      </c>
      <c r="L557">
        <v>8</v>
      </c>
    </row>
    <row r="558" spans="10:12" x14ac:dyDescent="0.2">
      <c r="J558">
        <v>10019272</v>
      </c>
      <c r="K558" t="s">
        <v>5367</v>
      </c>
      <c r="L558">
        <v>8</v>
      </c>
    </row>
    <row r="559" spans="10:12" x14ac:dyDescent="0.2">
      <c r="J559">
        <v>10019274</v>
      </c>
      <c r="K559" t="s">
        <v>482</v>
      </c>
      <c r="L559">
        <v>9</v>
      </c>
    </row>
    <row r="560" spans="10:12" x14ac:dyDescent="0.2">
      <c r="J560">
        <v>10019277</v>
      </c>
      <c r="K560" t="s">
        <v>484</v>
      </c>
      <c r="L560">
        <v>7</v>
      </c>
    </row>
    <row r="561" spans="10:12" x14ac:dyDescent="0.2">
      <c r="J561">
        <v>10019280</v>
      </c>
      <c r="K561" t="s">
        <v>485</v>
      </c>
      <c r="L561">
        <v>1</v>
      </c>
    </row>
    <row r="562" spans="10:12" x14ac:dyDescent="0.2">
      <c r="J562">
        <v>10019286</v>
      </c>
      <c r="K562" t="s">
        <v>486</v>
      </c>
      <c r="L562">
        <v>11</v>
      </c>
    </row>
    <row r="563" spans="10:12" x14ac:dyDescent="0.2">
      <c r="J563">
        <v>10019287</v>
      </c>
      <c r="K563" t="s">
        <v>487</v>
      </c>
      <c r="L563">
        <v>22</v>
      </c>
    </row>
    <row r="564" spans="10:12" x14ac:dyDescent="0.2">
      <c r="J564">
        <v>10019291</v>
      </c>
      <c r="K564" t="s">
        <v>488</v>
      </c>
      <c r="L564">
        <v>33</v>
      </c>
    </row>
    <row r="565" spans="10:12" x14ac:dyDescent="0.2">
      <c r="J565">
        <v>10019292</v>
      </c>
      <c r="K565" t="s">
        <v>489</v>
      </c>
      <c r="L565">
        <v>5</v>
      </c>
    </row>
    <row r="566" spans="10:12" x14ac:dyDescent="0.2">
      <c r="J566">
        <v>10019298</v>
      </c>
      <c r="K566" t="s">
        <v>3660</v>
      </c>
      <c r="L566">
        <v>1</v>
      </c>
    </row>
    <row r="567" spans="10:12" x14ac:dyDescent="0.2">
      <c r="J567">
        <v>10019301</v>
      </c>
      <c r="K567" t="s">
        <v>3789</v>
      </c>
      <c r="L567">
        <v>4</v>
      </c>
    </row>
    <row r="568" spans="10:12" x14ac:dyDescent="0.2">
      <c r="J568">
        <v>10019303</v>
      </c>
      <c r="K568" t="s">
        <v>490</v>
      </c>
      <c r="L568">
        <v>33</v>
      </c>
    </row>
    <row r="569" spans="10:12" x14ac:dyDescent="0.2">
      <c r="J569">
        <v>10019306</v>
      </c>
      <c r="K569" t="s">
        <v>491</v>
      </c>
      <c r="L569">
        <v>30</v>
      </c>
    </row>
    <row r="570" spans="10:12" x14ac:dyDescent="0.2">
      <c r="J570">
        <v>10019308</v>
      </c>
      <c r="K570" t="s">
        <v>492</v>
      </c>
      <c r="L570">
        <v>2</v>
      </c>
    </row>
    <row r="571" spans="10:12" x14ac:dyDescent="0.2">
      <c r="J571">
        <v>10019313</v>
      </c>
      <c r="K571" t="s">
        <v>493</v>
      </c>
      <c r="L571">
        <v>15</v>
      </c>
    </row>
    <row r="572" spans="10:12" x14ac:dyDescent="0.2">
      <c r="J572">
        <v>10019317</v>
      </c>
      <c r="K572" t="s">
        <v>495</v>
      </c>
      <c r="L572">
        <v>19</v>
      </c>
    </row>
    <row r="573" spans="10:12" x14ac:dyDescent="0.2">
      <c r="J573">
        <v>10019318</v>
      </c>
      <c r="K573" t="s">
        <v>496</v>
      </c>
      <c r="L573">
        <v>4</v>
      </c>
    </row>
    <row r="574" spans="10:12" x14ac:dyDescent="0.2">
      <c r="J574">
        <v>10019319</v>
      </c>
      <c r="K574" t="s">
        <v>497</v>
      </c>
      <c r="L574">
        <v>5</v>
      </c>
    </row>
    <row r="575" spans="10:12" x14ac:dyDescent="0.2">
      <c r="J575">
        <v>10019320</v>
      </c>
      <c r="K575" t="s">
        <v>498</v>
      </c>
      <c r="L575">
        <v>2</v>
      </c>
    </row>
    <row r="576" spans="10:12" x14ac:dyDescent="0.2">
      <c r="J576">
        <v>10019325</v>
      </c>
      <c r="K576" t="s">
        <v>499</v>
      </c>
      <c r="L576">
        <v>18</v>
      </c>
    </row>
    <row r="577" spans="10:12" x14ac:dyDescent="0.2">
      <c r="J577">
        <v>10019326</v>
      </c>
      <c r="K577" t="s">
        <v>5424</v>
      </c>
      <c r="L577">
        <v>6</v>
      </c>
    </row>
    <row r="578" spans="10:12" x14ac:dyDescent="0.2">
      <c r="J578">
        <v>10019333</v>
      </c>
      <c r="K578" t="s">
        <v>501</v>
      </c>
      <c r="L578">
        <v>5</v>
      </c>
    </row>
    <row r="579" spans="10:12" x14ac:dyDescent="0.2">
      <c r="J579">
        <v>10019356</v>
      </c>
      <c r="K579" t="s">
        <v>503</v>
      </c>
      <c r="L579">
        <v>2</v>
      </c>
    </row>
    <row r="580" spans="10:12" x14ac:dyDescent="0.2">
      <c r="J580">
        <v>10019365</v>
      </c>
      <c r="K580" t="s">
        <v>504</v>
      </c>
      <c r="L580">
        <v>7</v>
      </c>
    </row>
    <row r="581" spans="10:12" x14ac:dyDescent="0.2">
      <c r="J581">
        <v>10019372</v>
      </c>
      <c r="K581" t="s">
        <v>505</v>
      </c>
      <c r="L581">
        <v>5</v>
      </c>
    </row>
    <row r="582" spans="10:12" x14ac:dyDescent="0.2">
      <c r="J582">
        <v>10019385</v>
      </c>
      <c r="K582" t="s">
        <v>506</v>
      </c>
      <c r="L582">
        <v>20</v>
      </c>
    </row>
    <row r="583" spans="10:12" x14ac:dyDescent="0.2">
      <c r="J583">
        <v>10019396</v>
      </c>
      <c r="K583" t="s">
        <v>508</v>
      </c>
      <c r="L583">
        <v>5</v>
      </c>
    </row>
    <row r="584" spans="10:12" x14ac:dyDescent="0.2">
      <c r="J584">
        <v>10019397</v>
      </c>
      <c r="K584" t="s">
        <v>3733</v>
      </c>
      <c r="L584">
        <v>25</v>
      </c>
    </row>
    <row r="585" spans="10:12" x14ac:dyDescent="0.2">
      <c r="J585">
        <v>10019402</v>
      </c>
      <c r="K585" t="s">
        <v>509</v>
      </c>
      <c r="L585">
        <v>16</v>
      </c>
    </row>
    <row r="586" spans="10:12" x14ac:dyDescent="0.2">
      <c r="J586">
        <v>10019403</v>
      </c>
      <c r="K586" t="s">
        <v>510</v>
      </c>
      <c r="L586">
        <v>47</v>
      </c>
    </row>
    <row r="587" spans="10:12" x14ac:dyDescent="0.2">
      <c r="J587">
        <v>10019407</v>
      </c>
      <c r="K587" t="s">
        <v>3651</v>
      </c>
      <c r="L587">
        <v>21</v>
      </c>
    </row>
    <row r="588" spans="10:12" x14ac:dyDescent="0.2">
      <c r="J588">
        <v>10019409</v>
      </c>
      <c r="K588" t="s">
        <v>511</v>
      </c>
      <c r="L588">
        <v>7</v>
      </c>
    </row>
    <row r="589" spans="10:12" x14ac:dyDescent="0.2">
      <c r="J589">
        <v>10019412</v>
      </c>
      <c r="K589" t="s">
        <v>512</v>
      </c>
      <c r="L589">
        <v>8</v>
      </c>
    </row>
    <row r="590" spans="10:12" x14ac:dyDescent="0.2">
      <c r="J590">
        <v>10019414</v>
      </c>
      <c r="K590" t="s">
        <v>513</v>
      </c>
      <c r="L590">
        <v>13</v>
      </c>
    </row>
    <row r="591" spans="10:12" x14ac:dyDescent="0.2">
      <c r="J591">
        <v>10019416</v>
      </c>
      <c r="K591" t="s">
        <v>514</v>
      </c>
      <c r="L591">
        <v>15</v>
      </c>
    </row>
    <row r="592" spans="10:12" x14ac:dyDescent="0.2">
      <c r="J592">
        <v>10019428</v>
      </c>
      <c r="K592" t="s">
        <v>515</v>
      </c>
      <c r="L592">
        <v>1</v>
      </c>
    </row>
    <row r="593" spans="10:12" x14ac:dyDescent="0.2">
      <c r="J593">
        <v>10019435</v>
      </c>
      <c r="K593" t="s">
        <v>516</v>
      </c>
      <c r="L593">
        <v>1</v>
      </c>
    </row>
    <row r="594" spans="10:12" x14ac:dyDescent="0.2">
      <c r="J594">
        <v>10019445</v>
      </c>
      <c r="K594" t="s">
        <v>518</v>
      </c>
      <c r="L594">
        <v>14</v>
      </c>
    </row>
    <row r="595" spans="10:12" x14ac:dyDescent="0.2">
      <c r="J595">
        <v>10019452</v>
      </c>
      <c r="K595" t="s">
        <v>519</v>
      </c>
      <c r="L595">
        <v>3</v>
      </c>
    </row>
    <row r="596" spans="10:12" x14ac:dyDescent="0.2">
      <c r="J596">
        <v>10019461</v>
      </c>
      <c r="K596" t="s">
        <v>521</v>
      </c>
      <c r="L596">
        <v>13</v>
      </c>
    </row>
    <row r="597" spans="10:12" x14ac:dyDescent="0.2">
      <c r="J597">
        <v>10019463</v>
      </c>
      <c r="K597" t="s">
        <v>522</v>
      </c>
      <c r="L597">
        <v>4</v>
      </c>
    </row>
    <row r="598" spans="10:12" x14ac:dyDescent="0.2">
      <c r="J598">
        <v>10019470</v>
      </c>
      <c r="K598" t="s">
        <v>524</v>
      </c>
      <c r="L598">
        <v>1</v>
      </c>
    </row>
    <row r="599" spans="10:12" x14ac:dyDescent="0.2">
      <c r="J599">
        <v>10019471</v>
      </c>
      <c r="K599" t="s">
        <v>5369</v>
      </c>
      <c r="L599">
        <v>4</v>
      </c>
    </row>
    <row r="600" spans="10:12" x14ac:dyDescent="0.2">
      <c r="J600">
        <v>10019476</v>
      </c>
      <c r="K600" t="s">
        <v>525</v>
      </c>
      <c r="L600">
        <v>41</v>
      </c>
    </row>
    <row r="601" spans="10:12" x14ac:dyDescent="0.2">
      <c r="J601">
        <v>10019479</v>
      </c>
      <c r="K601" t="s">
        <v>526</v>
      </c>
      <c r="L601">
        <v>8</v>
      </c>
    </row>
    <row r="602" spans="10:12" x14ac:dyDescent="0.2">
      <c r="J602">
        <v>10019481</v>
      </c>
      <c r="K602" t="s">
        <v>527</v>
      </c>
      <c r="L602">
        <v>4</v>
      </c>
    </row>
    <row r="603" spans="10:12" x14ac:dyDescent="0.2">
      <c r="J603">
        <v>10019485</v>
      </c>
      <c r="K603" t="s">
        <v>529</v>
      </c>
      <c r="L603">
        <v>20</v>
      </c>
    </row>
    <row r="604" spans="10:12" x14ac:dyDescent="0.2">
      <c r="J604">
        <v>10019488</v>
      </c>
      <c r="K604" t="s">
        <v>530</v>
      </c>
      <c r="L604">
        <v>7</v>
      </c>
    </row>
    <row r="605" spans="10:12" x14ac:dyDescent="0.2">
      <c r="J605">
        <v>10019500</v>
      </c>
      <c r="K605" t="s">
        <v>531</v>
      </c>
      <c r="L605">
        <v>10</v>
      </c>
    </row>
    <row r="606" spans="10:12" x14ac:dyDescent="0.2">
      <c r="J606">
        <v>10019504</v>
      </c>
      <c r="K606" t="s">
        <v>532</v>
      </c>
      <c r="L606">
        <v>5</v>
      </c>
    </row>
    <row r="607" spans="10:12" x14ac:dyDescent="0.2">
      <c r="J607">
        <v>10019516</v>
      </c>
      <c r="K607" t="s">
        <v>3800</v>
      </c>
      <c r="L607">
        <v>7</v>
      </c>
    </row>
    <row r="608" spans="10:12" x14ac:dyDescent="0.2">
      <c r="J608">
        <v>10019519</v>
      </c>
      <c r="K608" t="s">
        <v>534</v>
      </c>
      <c r="L608">
        <v>12</v>
      </c>
    </row>
    <row r="609" spans="10:12" x14ac:dyDescent="0.2">
      <c r="J609">
        <v>10019521</v>
      </c>
      <c r="K609" t="s">
        <v>535</v>
      </c>
      <c r="L609">
        <v>15</v>
      </c>
    </row>
    <row r="610" spans="10:12" x14ac:dyDescent="0.2">
      <c r="J610">
        <v>10019527</v>
      </c>
      <c r="K610" t="s">
        <v>3636</v>
      </c>
      <c r="L610">
        <v>11</v>
      </c>
    </row>
    <row r="611" spans="10:12" x14ac:dyDescent="0.2">
      <c r="J611">
        <v>10019529</v>
      </c>
      <c r="K611" t="s">
        <v>537</v>
      </c>
      <c r="L611">
        <v>8</v>
      </c>
    </row>
    <row r="612" spans="10:12" x14ac:dyDescent="0.2">
      <c r="J612">
        <v>10019532</v>
      </c>
      <c r="K612" t="s">
        <v>538</v>
      </c>
      <c r="L612">
        <v>32</v>
      </c>
    </row>
    <row r="613" spans="10:12" x14ac:dyDescent="0.2">
      <c r="J613">
        <v>10019533</v>
      </c>
      <c r="K613" t="s">
        <v>5370</v>
      </c>
      <c r="L613">
        <v>2</v>
      </c>
    </row>
    <row r="614" spans="10:12" x14ac:dyDescent="0.2">
      <c r="J614">
        <v>10019535</v>
      </c>
      <c r="K614" t="s">
        <v>539</v>
      </c>
      <c r="L614">
        <v>6</v>
      </c>
    </row>
    <row r="615" spans="10:12" x14ac:dyDescent="0.2">
      <c r="J615">
        <v>10019539</v>
      </c>
      <c r="K615" t="s">
        <v>9703</v>
      </c>
      <c r="L615">
        <v>3</v>
      </c>
    </row>
    <row r="616" spans="10:12" x14ac:dyDescent="0.2">
      <c r="J616">
        <v>10019550</v>
      </c>
      <c r="K616" t="s">
        <v>540</v>
      </c>
      <c r="L616">
        <v>1</v>
      </c>
    </row>
    <row r="617" spans="10:12" x14ac:dyDescent="0.2">
      <c r="J617">
        <v>10019552</v>
      </c>
      <c r="K617" t="s">
        <v>541</v>
      </c>
      <c r="L617">
        <v>15</v>
      </c>
    </row>
    <row r="618" spans="10:12" x14ac:dyDescent="0.2">
      <c r="J618">
        <v>10019553</v>
      </c>
      <c r="K618" t="s">
        <v>542</v>
      </c>
      <c r="L618">
        <v>15</v>
      </c>
    </row>
    <row r="619" spans="10:12" x14ac:dyDescent="0.2">
      <c r="J619">
        <v>10019560</v>
      </c>
      <c r="K619" t="s">
        <v>3745</v>
      </c>
      <c r="L619">
        <v>32</v>
      </c>
    </row>
    <row r="620" spans="10:12" x14ac:dyDescent="0.2">
      <c r="J620">
        <v>10019561</v>
      </c>
      <c r="K620" t="s">
        <v>3803</v>
      </c>
      <c r="L620">
        <v>20</v>
      </c>
    </row>
    <row r="621" spans="10:12" x14ac:dyDescent="0.2">
      <c r="J621">
        <v>10019563</v>
      </c>
      <c r="K621" t="s">
        <v>543</v>
      </c>
      <c r="L621">
        <v>4</v>
      </c>
    </row>
    <row r="622" spans="10:12" x14ac:dyDescent="0.2">
      <c r="J622">
        <v>10019564</v>
      </c>
      <c r="K622" t="s">
        <v>544</v>
      </c>
      <c r="L622">
        <v>2</v>
      </c>
    </row>
    <row r="623" spans="10:12" x14ac:dyDescent="0.2">
      <c r="J623">
        <v>10019565</v>
      </c>
      <c r="K623" t="s">
        <v>545</v>
      </c>
      <c r="L623">
        <v>39</v>
      </c>
    </row>
    <row r="624" spans="10:12" x14ac:dyDescent="0.2">
      <c r="J624">
        <v>10019566</v>
      </c>
      <c r="K624" t="s">
        <v>546</v>
      </c>
      <c r="L624">
        <v>31</v>
      </c>
    </row>
    <row r="625" spans="10:12" x14ac:dyDescent="0.2">
      <c r="J625">
        <v>10019567</v>
      </c>
      <c r="K625" t="s">
        <v>547</v>
      </c>
      <c r="L625">
        <v>5</v>
      </c>
    </row>
    <row r="626" spans="10:12" x14ac:dyDescent="0.2">
      <c r="J626">
        <v>10019568</v>
      </c>
      <c r="K626" t="s">
        <v>9707</v>
      </c>
      <c r="L626">
        <v>4</v>
      </c>
    </row>
    <row r="627" spans="10:12" x14ac:dyDescent="0.2">
      <c r="J627">
        <v>10019570</v>
      </c>
      <c r="K627" t="s">
        <v>548</v>
      </c>
      <c r="L627">
        <v>14</v>
      </c>
    </row>
    <row r="628" spans="10:12" x14ac:dyDescent="0.2">
      <c r="J628">
        <v>10019572</v>
      </c>
      <c r="K628" t="s">
        <v>549</v>
      </c>
      <c r="L628">
        <v>22</v>
      </c>
    </row>
    <row r="629" spans="10:12" x14ac:dyDescent="0.2">
      <c r="J629">
        <v>10019573</v>
      </c>
      <c r="K629" t="s">
        <v>3658</v>
      </c>
      <c r="L629">
        <v>17</v>
      </c>
    </row>
    <row r="630" spans="10:12" x14ac:dyDescent="0.2">
      <c r="J630">
        <v>10019574</v>
      </c>
      <c r="K630" t="s">
        <v>550</v>
      </c>
      <c r="L630">
        <v>5</v>
      </c>
    </row>
    <row r="631" spans="10:12" x14ac:dyDescent="0.2">
      <c r="J631">
        <v>10019575</v>
      </c>
      <c r="K631" t="s">
        <v>551</v>
      </c>
      <c r="L631">
        <v>2</v>
      </c>
    </row>
    <row r="632" spans="10:12" x14ac:dyDescent="0.2">
      <c r="J632">
        <v>10019576</v>
      </c>
      <c r="K632" t="s">
        <v>3649</v>
      </c>
      <c r="L632">
        <v>39</v>
      </c>
    </row>
    <row r="633" spans="10:12" x14ac:dyDescent="0.2">
      <c r="J633">
        <v>10019577</v>
      </c>
      <c r="K633" t="s">
        <v>9726</v>
      </c>
      <c r="L633">
        <v>25</v>
      </c>
    </row>
    <row r="634" spans="10:12" x14ac:dyDescent="0.2">
      <c r="J634">
        <v>10019578</v>
      </c>
      <c r="K634" t="s">
        <v>552</v>
      </c>
      <c r="L634">
        <v>9</v>
      </c>
    </row>
    <row r="635" spans="10:12" x14ac:dyDescent="0.2">
      <c r="J635">
        <v>10019580</v>
      </c>
      <c r="K635" t="s">
        <v>554</v>
      </c>
      <c r="L635">
        <v>27</v>
      </c>
    </row>
    <row r="636" spans="10:12" x14ac:dyDescent="0.2">
      <c r="J636">
        <v>10019583</v>
      </c>
      <c r="K636" t="s">
        <v>555</v>
      </c>
      <c r="L636">
        <v>16</v>
      </c>
    </row>
    <row r="637" spans="10:12" x14ac:dyDescent="0.2">
      <c r="J637">
        <v>10019588</v>
      </c>
      <c r="K637" t="s">
        <v>5371</v>
      </c>
      <c r="L637">
        <v>7</v>
      </c>
    </row>
    <row r="638" spans="10:12" x14ac:dyDescent="0.2">
      <c r="J638">
        <v>10019590</v>
      </c>
      <c r="K638" t="s">
        <v>556</v>
      </c>
      <c r="L638">
        <v>44</v>
      </c>
    </row>
    <row r="639" spans="10:12" x14ac:dyDescent="0.2">
      <c r="J639">
        <v>10019594</v>
      </c>
      <c r="K639" t="s">
        <v>3790</v>
      </c>
      <c r="L639">
        <v>35</v>
      </c>
    </row>
    <row r="640" spans="10:12" x14ac:dyDescent="0.2">
      <c r="J640">
        <v>10019601</v>
      </c>
      <c r="K640" t="s">
        <v>557</v>
      </c>
      <c r="L640">
        <v>8</v>
      </c>
    </row>
    <row r="641" spans="10:12" x14ac:dyDescent="0.2">
      <c r="J641">
        <v>10019608</v>
      </c>
      <c r="K641" t="s">
        <v>558</v>
      </c>
      <c r="L641">
        <v>27</v>
      </c>
    </row>
    <row r="642" spans="10:12" x14ac:dyDescent="0.2">
      <c r="J642">
        <v>10019621</v>
      </c>
      <c r="K642" t="s">
        <v>559</v>
      </c>
      <c r="L642">
        <v>4</v>
      </c>
    </row>
    <row r="643" spans="10:12" x14ac:dyDescent="0.2">
      <c r="J643">
        <v>10019627</v>
      </c>
      <c r="K643" t="s">
        <v>3842</v>
      </c>
      <c r="L643">
        <v>5</v>
      </c>
    </row>
    <row r="644" spans="10:12" x14ac:dyDescent="0.2">
      <c r="J644">
        <v>10019636</v>
      </c>
      <c r="K644" t="s">
        <v>5465</v>
      </c>
      <c r="L644">
        <v>24</v>
      </c>
    </row>
    <row r="645" spans="10:12" x14ac:dyDescent="0.2">
      <c r="J645">
        <v>10019640</v>
      </c>
      <c r="K645" t="s">
        <v>561</v>
      </c>
      <c r="L645">
        <v>21</v>
      </c>
    </row>
    <row r="646" spans="10:12" x14ac:dyDescent="0.2">
      <c r="J646">
        <v>10019645</v>
      </c>
      <c r="K646" t="s">
        <v>562</v>
      </c>
      <c r="L646">
        <v>4</v>
      </c>
    </row>
    <row r="647" spans="10:12" x14ac:dyDescent="0.2">
      <c r="J647">
        <v>10019666</v>
      </c>
      <c r="K647" t="s">
        <v>564</v>
      </c>
      <c r="L647">
        <v>25</v>
      </c>
    </row>
    <row r="648" spans="10:12" x14ac:dyDescent="0.2">
      <c r="J648">
        <v>10019669</v>
      </c>
      <c r="K648" t="s">
        <v>565</v>
      </c>
      <c r="L648">
        <v>7</v>
      </c>
    </row>
    <row r="649" spans="10:12" x14ac:dyDescent="0.2">
      <c r="J649">
        <v>10019671</v>
      </c>
      <c r="K649" t="s">
        <v>566</v>
      </c>
      <c r="L649">
        <v>1</v>
      </c>
    </row>
    <row r="650" spans="10:12" x14ac:dyDescent="0.2">
      <c r="J650">
        <v>10019675</v>
      </c>
      <c r="K650" t="s">
        <v>567</v>
      </c>
      <c r="L650">
        <v>13</v>
      </c>
    </row>
    <row r="651" spans="10:12" x14ac:dyDescent="0.2">
      <c r="J651">
        <v>10019678</v>
      </c>
      <c r="K651" t="s">
        <v>568</v>
      </c>
      <c r="L651">
        <v>23</v>
      </c>
    </row>
    <row r="652" spans="10:12" x14ac:dyDescent="0.2">
      <c r="J652">
        <v>10019718</v>
      </c>
      <c r="K652" t="s">
        <v>3655</v>
      </c>
      <c r="L652">
        <v>16</v>
      </c>
    </row>
    <row r="653" spans="10:12" x14ac:dyDescent="0.2">
      <c r="J653">
        <v>10019726</v>
      </c>
      <c r="K653" t="s">
        <v>571</v>
      </c>
      <c r="L653">
        <v>9</v>
      </c>
    </row>
    <row r="654" spans="10:12" x14ac:dyDescent="0.2">
      <c r="J654">
        <v>10019730</v>
      </c>
      <c r="K654" t="s">
        <v>572</v>
      </c>
      <c r="L654">
        <v>12</v>
      </c>
    </row>
    <row r="655" spans="10:12" x14ac:dyDescent="0.2">
      <c r="J655">
        <v>10019731</v>
      </c>
      <c r="K655" t="s">
        <v>573</v>
      </c>
      <c r="L655">
        <v>6</v>
      </c>
    </row>
    <row r="656" spans="10:12" x14ac:dyDescent="0.2">
      <c r="J656">
        <v>10019734</v>
      </c>
      <c r="K656" t="s">
        <v>574</v>
      </c>
      <c r="L656">
        <v>27</v>
      </c>
    </row>
    <row r="657" spans="10:12" x14ac:dyDescent="0.2">
      <c r="J657">
        <v>10019736</v>
      </c>
      <c r="K657" t="s">
        <v>576</v>
      </c>
      <c r="L657">
        <v>7</v>
      </c>
    </row>
    <row r="658" spans="10:12" x14ac:dyDescent="0.2">
      <c r="J658">
        <v>10019739</v>
      </c>
      <c r="K658" t="s">
        <v>577</v>
      </c>
      <c r="L658">
        <v>1</v>
      </c>
    </row>
    <row r="659" spans="10:12" x14ac:dyDescent="0.2">
      <c r="J659">
        <v>10019746</v>
      </c>
      <c r="K659" t="s">
        <v>3662</v>
      </c>
      <c r="L659">
        <v>4</v>
      </c>
    </row>
    <row r="660" spans="10:12" x14ac:dyDescent="0.2">
      <c r="J660">
        <v>10019754</v>
      </c>
      <c r="K660" t="s">
        <v>579</v>
      </c>
      <c r="L660">
        <v>2</v>
      </c>
    </row>
    <row r="661" spans="10:12" x14ac:dyDescent="0.2">
      <c r="J661">
        <v>10019756</v>
      </c>
      <c r="K661" t="s">
        <v>580</v>
      </c>
      <c r="L661">
        <v>13</v>
      </c>
    </row>
    <row r="662" spans="10:12" x14ac:dyDescent="0.2">
      <c r="J662">
        <v>10019758</v>
      </c>
      <c r="K662" t="s">
        <v>581</v>
      </c>
      <c r="L662">
        <v>12</v>
      </c>
    </row>
    <row r="663" spans="10:12" x14ac:dyDescent="0.2">
      <c r="J663">
        <v>10019766</v>
      </c>
      <c r="K663" t="s">
        <v>583</v>
      </c>
      <c r="L663">
        <v>42</v>
      </c>
    </row>
    <row r="664" spans="10:12" x14ac:dyDescent="0.2">
      <c r="J664">
        <v>10019768</v>
      </c>
      <c r="K664" t="s">
        <v>584</v>
      </c>
      <c r="L664">
        <v>12</v>
      </c>
    </row>
    <row r="665" spans="10:12" x14ac:dyDescent="0.2">
      <c r="J665">
        <v>10019805</v>
      </c>
      <c r="K665" t="s">
        <v>585</v>
      </c>
      <c r="L665">
        <v>2</v>
      </c>
    </row>
    <row r="666" spans="10:12" x14ac:dyDescent="0.2">
      <c r="J666">
        <v>10019807</v>
      </c>
      <c r="K666" t="s">
        <v>586</v>
      </c>
      <c r="L666">
        <v>1</v>
      </c>
    </row>
    <row r="667" spans="10:12" x14ac:dyDescent="0.2">
      <c r="J667">
        <v>10019809</v>
      </c>
      <c r="K667" t="s">
        <v>587</v>
      </c>
      <c r="L667">
        <v>59</v>
      </c>
    </row>
    <row r="668" spans="10:12" x14ac:dyDescent="0.2">
      <c r="J668">
        <v>10019811</v>
      </c>
      <c r="K668" t="s">
        <v>588</v>
      </c>
      <c r="L668">
        <v>22</v>
      </c>
    </row>
    <row r="669" spans="10:12" x14ac:dyDescent="0.2">
      <c r="J669">
        <v>10019813</v>
      </c>
      <c r="K669" t="s">
        <v>589</v>
      </c>
      <c r="L669">
        <v>8</v>
      </c>
    </row>
    <row r="670" spans="10:12" x14ac:dyDescent="0.2">
      <c r="J670">
        <v>10019816</v>
      </c>
      <c r="K670" t="s">
        <v>590</v>
      </c>
      <c r="L670">
        <v>6</v>
      </c>
    </row>
    <row r="671" spans="10:12" x14ac:dyDescent="0.2">
      <c r="J671">
        <v>10019819</v>
      </c>
      <c r="K671" t="s">
        <v>592</v>
      </c>
      <c r="L671">
        <v>10</v>
      </c>
    </row>
    <row r="672" spans="10:12" x14ac:dyDescent="0.2">
      <c r="J672">
        <v>10019836</v>
      </c>
      <c r="K672" t="s">
        <v>593</v>
      </c>
      <c r="L672">
        <v>18</v>
      </c>
    </row>
    <row r="673" spans="10:12" x14ac:dyDescent="0.2">
      <c r="J673">
        <v>10019838</v>
      </c>
      <c r="K673" t="s">
        <v>594</v>
      </c>
      <c r="L673">
        <v>18</v>
      </c>
    </row>
    <row r="674" spans="10:12" x14ac:dyDescent="0.2">
      <c r="J674">
        <v>10019840</v>
      </c>
      <c r="K674" t="s">
        <v>595</v>
      </c>
      <c r="L674">
        <v>2</v>
      </c>
    </row>
    <row r="675" spans="10:12" x14ac:dyDescent="0.2">
      <c r="J675">
        <v>10019841</v>
      </c>
      <c r="K675" t="s">
        <v>596</v>
      </c>
      <c r="L675">
        <v>17</v>
      </c>
    </row>
    <row r="676" spans="10:12" x14ac:dyDescent="0.2">
      <c r="J676">
        <v>10019842</v>
      </c>
      <c r="K676" t="s">
        <v>597</v>
      </c>
      <c r="L676">
        <v>4</v>
      </c>
    </row>
    <row r="677" spans="10:12" x14ac:dyDescent="0.2">
      <c r="J677">
        <v>10019843</v>
      </c>
      <c r="K677" t="s">
        <v>5374</v>
      </c>
      <c r="L677">
        <v>3</v>
      </c>
    </row>
    <row r="678" spans="10:12" x14ac:dyDescent="0.2">
      <c r="J678">
        <v>10019846</v>
      </c>
      <c r="K678" t="s">
        <v>3626</v>
      </c>
      <c r="L678">
        <v>1</v>
      </c>
    </row>
    <row r="679" spans="10:12" x14ac:dyDescent="0.2">
      <c r="J679">
        <v>10019850</v>
      </c>
      <c r="K679" t="s">
        <v>598</v>
      </c>
      <c r="L679">
        <v>19</v>
      </c>
    </row>
    <row r="680" spans="10:12" x14ac:dyDescent="0.2">
      <c r="J680">
        <v>10019851</v>
      </c>
      <c r="K680" t="s">
        <v>599</v>
      </c>
      <c r="L680">
        <v>21</v>
      </c>
    </row>
    <row r="681" spans="10:12" x14ac:dyDescent="0.2">
      <c r="J681">
        <v>10019853</v>
      </c>
      <c r="K681" t="s">
        <v>600</v>
      </c>
      <c r="L681">
        <v>125</v>
      </c>
    </row>
    <row r="682" spans="10:12" x14ac:dyDescent="0.2">
      <c r="J682">
        <v>10019856</v>
      </c>
      <c r="K682" t="s">
        <v>601</v>
      </c>
      <c r="L682">
        <v>1</v>
      </c>
    </row>
    <row r="683" spans="10:12" x14ac:dyDescent="0.2">
      <c r="J683">
        <v>10019858</v>
      </c>
      <c r="K683" t="s">
        <v>602</v>
      </c>
      <c r="L683">
        <v>62</v>
      </c>
    </row>
    <row r="684" spans="10:12" x14ac:dyDescent="0.2">
      <c r="J684">
        <v>10019861</v>
      </c>
      <c r="K684" t="s">
        <v>3640</v>
      </c>
      <c r="L684">
        <v>3</v>
      </c>
    </row>
    <row r="685" spans="10:12" x14ac:dyDescent="0.2">
      <c r="J685">
        <v>10019864</v>
      </c>
      <c r="K685" t="s">
        <v>603</v>
      </c>
      <c r="L685">
        <v>24</v>
      </c>
    </row>
    <row r="686" spans="10:12" x14ac:dyDescent="0.2">
      <c r="J686">
        <v>10019865</v>
      </c>
      <c r="K686" t="s">
        <v>604</v>
      </c>
      <c r="L686">
        <v>7</v>
      </c>
    </row>
    <row r="687" spans="10:12" x14ac:dyDescent="0.2">
      <c r="J687">
        <v>10019867</v>
      </c>
      <c r="K687" t="s">
        <v>605</v>
      </c>
      <c r="L687">
        <v>31</v>
      </c>
    </row>
    <row r="688" spans="10:12" x14ac:dyDescent="0.2">
      <c r="J688">
        <v>10019868</v>
      </c>
      <c r="K688" t="s">
        <v>606</v>
      </c>
      <c r="L688">
        <v>6</v>
      </c>
    </row>
    <row r="689" spans="10:12" x14ac:dyDescent="0.2">
      <c r="J689">
        <v>10019869</v>
      </c>
      <c r="K689" t="s">
        <v>607</v>
      </c>
      <c r="L689">
        <v>31</v>
      </c>
    </row>
    <row r="690" spans="10:12" x14ac:dyDescent="0.2">
      <c r="J690">
        <v>10019877</v>
      </c>
      <c r="K690" t="s">
        <v>608</v>
      </c>
      <c r="L690">
        <v>7</v>
      </c>
    </row>
    <row r="691" spans="10:12" x14ac:dyDescent="0.2">
      <c r="J691">
        <v>10019878</v>
      </c>
      <c r="K691" t="s">
        <v>609</v>
      </c>
      <c r="L691">
        <v>1</v>
      </c>
    </row>
    <row r="692" spans="10:12" x14ac:dyDescent="0.2">
      <c r="J692">
        <v>10019879</v>
      </c>
      <c r="K692" t="s">
        <v>610</v>
      </c>
      <c r="L692">
        <v>7</v>
      </c>
    </row>
    <row r="693" spans="10:12" x14ac:dyDescent="0.2">
      <c r="J693">
        <v>10019880</v>
      </c>
      <c r="K693" t="s">
        <v>611</v>
      </c>
      <c r="L693">
        <v>4</v>
      </c>
    </row>
    <row r="694" spans="10:12" x14ac:dyDescent="0.2">
      <c r="J694">
        <v>10019882</v>
      </c>
      <c r="K694" t="s">
        <v>613</v>
      </c>
      <c r="L694">
        <v>32</v>
      </c>
    </row>
    <row r="695" spans="10:12" x14ac:dyDescent="0.2">
      <c r="J695">
        <v>10019887</v>
      </c>
      <c r="K695" t="s">
        <v>614</v>
      </c>
      <c r="L695">
        <v>6</v>
      </c>
    </row>
    <row r="696" spans="10:12" x14ac:dyDescent="0.2">
      <c r="J696">
        <v>10019888</v>
      </c>
      <c r="K696" t="s">
        <v>615</v>
      </c>
      <c r="L696">
        <v>1</v>
      </c>
    </row>
    <row r="697" spans="10:12" x14ac:dyDescent="0.2">
      <c r="J697">
        <v>10019890</v>
      </c>
      <c r="K697" t="s">
        <v>616</v>
      </c>
      <c r="L697">
        <v>5</v>
      </c>
    </row>
    <row r="698" spans="10:12" x14ac:dyDescent="0.2">
      <c r="J698">
        <v>10019892</v>
      </c>
      <c r="K698" t="s">
        <v>617</v>
      </c>
      <c r="L698">
        <v>8</v>
      </c>
    </row>
    <row r="699" spans="10:12" x14ac:dyDescent="0.2">
      <c r="J699">
        <v>10019895</v>
      </c>
      <c r="K699" t="s">
        <v>3886</v>
      </c>
      <c r="L699">
        <v>19</v>
      </c>
    </row>
    <row r="700" spans="10:12" x14ac:dyDescent="0.2">
      <c r="J700">
        <v>10019896</v>
      </c>
      <c r="K700" t="s">
        <v>618</v>
      </c>
      <c r="L700">
        <v>1</v>
      </c>
    </row>
    <row r="701" spans="10:12" x14ac:dyDescent="0.2">
      <c r="J701">
        <v>10019899</v>
      </c>
      <c r="K701" t="s">
        <v>619</v>
      </c>
      <c r="L701">
        <v>16</v>
      </c>
    </row>
    <row r="702" spans="10:12" x14ac:dyDescent="0.2">
      <c r="J702">
        <v>10019902</v>
      </c>
      <c r="K702" t="s">
        <v>5375</v>
      </c>
      <c r="L702">
        <v>14</v>
      </c>
    </row>
    <row r="703" spans="10:12" x14ac:dyDescent="0.2">
      <c r="J703">
        <v>10019908</v>
      </c>
      <c r="K703" t="s">
        <v>621</v>
      </c>
      <c r="L703">
        <v>9</v>
      </c>
    </row>
    <row r="704" spans="10:12" x14ac:dyDescent="0.2">
      <c r="J704">
        <v>10019911</v>
      </c>
      <c r="K704" t="s">
        <v>622</v>
      </c>
      <c r="L704">
        <v>8</v>
      </c>
    </row>
    <row r="705" spans="10:12" x14ac:dyDescent="0.2">
      <c r="J705">
        <v>10019912</v>
      </c>
      <c r="K705" t="s">
        <v>623</v>
      </c>
      <c r="L705">
        <v>24</v>
      </c>
    </row>
    <row r="706" spans="10:12" x14ac:dyDescent="0.2">
      <c r="J706">
        <v>10019914</v>
      </c>
      <c r="K706" t="s">
        <v>9917</v>
      </c>
      <c r="L706">
        <v>1</v>
      </c>
    </row>
    <row r="707" spans="10:12" x14ac:dyDescent="0.2">
      <c r="J707">
        <v>10019916</v>
      </c>
      <c r="K707" t="s">
        <v>624</v>
      </c>
      <c r="L707">
        <v>1</v>
      </c>
    </row>
    <row r="708" spans="10:12" x14ac:dyDescent="0.2">
      <c r="J708">
        <v>10019917</v>
      </c>
      <c r="K708" t="s">
        <v>625</v>
      </c>
      <c r="L708">
        <v>9</v>
      </c>
    </row>
    <row r="709" spans="10:12" x14ac:dyDescent="0.2">
      <c r="J709">
        <v>10019926</v>
      </c>
      <c r="K709" t="s">
        <v>626</v>
      </c>
      <c r="L709">
        <v>120</v>
      </c>
    </row>
    <row r="710" spans="10:12" x14ac:dyDescent="0.2">
      <c r="J710">
        <v>10019928</v>
      </c>
      <c r="K710" t="s">
        <v>3632</v>
      </c>
      <c r="L710">
        <v>2</v>
      </c>
    </row>
    <row r="711" spans="10:12" x14ac:dyDescent="0.2">
      <c r="J711">
        <v>10019930</v>
      </c>
      <c r="K711" t="s">
        <v>627</v>
      </c>
      <c r="L711">
        <v>4</v>
      </c>
    </row>
    <row r="712" spans="10:12" x14ac:dyDescent="0.2">
      <c r="J712">
        <v>10019931</v>
      </c>
      <c r="K712" t="s">
        <v>628</v>
      </c>
      <c r="L712">
        <v>17</v>
      </c>
    </row>
    <row r="713" spans="10:12" x14ac:dyDescent="0.2">
      <c r="J713">
        <v>10019932</v>
      </c>
      <c r="K713" t="s">
        <v>629</v>
      </c>
      <c r="L713">
        <v>20</v>
      </c>
    </row>
    <row r="714" spans="10:12" x14ac:dyDescent="0.2">
      <c r="J714">
        <v>10019933</v>
      </c>
      <c r="K714" t="s">
        <v>3633</v>
      </c>
      <c r="L714">
        <v>302</v>
      </c>
    </row>
    <row r="715" spans="10:12" x14ac:dyDescent="0.2">
      <c r="J715">
        <v>10019936</v>
      </c>
      <c r="K715" t="s">
        <v>630</v>
      </c>
      <c r="L715">
        <v>5</v>
      </c>
    </row>
    <row r="716" spans="10:12" x14ac:dyDescent="0.2">
      <c r="J716">
        <v>10019938</v>
      </c>
      <c r="K716" t="s">
        <v>631</v>
      </c>
      <c r="L716">
        <v>6</v>
      </c>
    </row>
    <row r="717" spans="10:12" x14ac:dyDescent="0.2">
      <c r="J717">
        <v>10019940</v>
      </c>
      <c r="K717" t="s">
        <v>633</v>
      </c>
      <c r="L717">
        <v>14</v>
      </c>
    </row>
    <row r="718" spans="10:12" x14ac:dyDescent="0.2">
      <c r="J718">
        <v>10019941</v>
      </c>
      <c r="K718" t="s">
        <v>634</v>
      </c>
      <c r="L718">
        <v>12</v>
      </c>
    </row>
    <row r="719" spans="10:12" x14ac:dyDescent="0.2">
      <c r="J719">
        <v>10019942</v>
      </c>
      <c r="K719" t="s">
        <v>635</v>
      </c>
      <c r="L719">
        <v>95</v>
      </c>
    </row>
    <row r="720" spans="10:12" x14ac:dyDescent="0.2">
      <c r="J720">
        <v>10019943</v>
      </c>
      <c r="K720" t="s">
        <v>636</v>
      </c>
      <c r="L720">
        <v>6</v>
      </c>
    </row>
    <row r="721" spans="10:12" x14ac:dyDescent="0.2">
      <c r="J721">
        <v>10019945</v>
      </c>
      <c r="K721" t="s">
        <v>637</v>
      </c>
      <c r="L721">
        <v>10</v>
      </c>
    </row>
    <row r="722" spans="10:12" x14ac:dyDescent="0.2">
      <c r="J722">
        <v>10019947</v>
      </c>
      <c r="K722" t="s">
        <v>3887</v>
      </c>
      <c r="L722">
        <v>12</v>
      </c>
    </row>
    <row r="723" spans="10:12" x14ac:dyDescent="0.2">
      <c r="J723">
        <v>10019948</v>
      </c>
      <c r="K723" t="s">
        <v>638</v>
      </c>
      <c r="L723">
        <v>22</v>
      </c>
    </row>
    <row r="724" spans="10:12" x14ac:dyDescent="0.2">
      <c r="J724">
        <v>10019949</v>
      </c>
      <c r="K724" t="s">
        <v>639</v>
      </c>
      <c r="L724">
        <v>115</v>
      </c>
    </row>
    <row r="725" spans="10:12" x14ac:dyDescent="0.2">
      <c r="J725">
        <v>10019950</v>
      </c>
      <c r="K725" t="s">
        <v>640</v>
      </c>
      <c r="L725">
        <v>184</v>
      </c>
    </row>
    <row r="726" spans="10:12" x14ac:dyDescent="0.2">
      <c r="J726">
        <v>10019952</v>
      </c>
      <c r="K726" t="s">
        <v>641</v>
      </c>
      <c r="L726">
        <v>24</v>
      </c>
    </row>
    <row r="727" spans="10:12" x14ac:dyDescent="0.2">
      <c r="J727">
        <v>10019954</v>
      </c>
      <c r="K727" t="s">
        <v>642</v>
      </c>
      <c r="L727">
        <v>13</v>
      </c>
    </row>
    <row r="728" spans="10:12" x14ac:dyDescent="0.2">
      <c r="J728">
        <v>10019955</v>
      </c>
      <c r="K728" t="s">
        <v>643</v>
      </c>
      <c r="L728">
        <v>17</v>
      </c>
    </row>
    <row r="729" spans="10:12" x14ac:dyDescent="0.2">
      <c r="J729">
        <v>10019957</v>
      </c>
      <c r="K729" t="s">
        <v>644</v>
      </c>
      <c r="L729">
        <v>4</v>
      </c>
    </row>
    <row r="730" spans="10:12" x14ac:dyDescent="0.2">
      <c r="J730">
        <v>10019959</v>
      </c>
      <c r="K730" t="s">
        <v>3647</v>
      </c>
      <c r="L730">
        <v>11</v>
      </c>
    </row>
    <row r="731" spans="10:12" x14ac:dyDescent="0.2">
      <c r="J731">
        <v>10019960</v>
      </c>
      <c r="K731" t="s">
        <v>10453</v>
      </c>
      <c r="L731">
        <v>326</v>
      </c>
    </row>
    <row r="732" spans="10:12" x14ac:dyDescent="0.2">
      <c r="J732">
        <v>10019966</v>
      </c>
      <c r="K732" t="s">
        <v>645</v>
      </c>
      <c r="L732">
        <v>18</v>
      </c>
    </row>
    <row r="733" spans="10:12" x14ac:dyDescent="0.2">
      <c r="J733">
        <v>10019967</v>
      </c>
      <c r="K733" t="s">
        <v>3788</v>
      </c>
      <c r="L733">
        <v>19</v>
      </c>
    </row>
    <row r="734" spans="10:12" x14ac:dyDescent="0.2">
      <c r="J734">
        <v>10019969</v>
      </c>
      <c r="K734" t="s">
        <v>646</v>
      </c>
      <c r="L734">
        <v>27</v>
      </c>
    </row>
    <row r="735" spans="10:12" x14ac:dyDescent="0.2">
      <c r="J735">
        <v>10019972</v>
      </c>
      <c r="K735" t="s">
        <v>3627</v>
      </c>
      <c r="L735">
        <v>12</v>
      </c>
    </row>
    <row r="736" spans="10:12" x14ac:dyDescent="0.2">
      <c r="J736">
        <v>10019973</v>
      </c>
      <c r="K736" t="s">
        <v>647</v>
      </c>
      <c r="L736">
        <v>4</v>
      </c>
    </row>
    <row r="737" spans="10:12" x14ac:dyDescent="0.2">
      <c r="J737">
        <v>10019974</v>
      </c>
      <c r="K737" t="s">
        <v>648</v>
      </c>
      <c r="L737">
        <v>13</v>
      </c>
    </row>
    <row r="738" spans="10:12" x14ac:dyDescent="0.2">
      <c r="J738">
        <v>10019975</v>
      </c>
      <c r="K738" t="s">
        <v>3871</v>
      </c>
      <c r="L738">
        <v>2</v>
      </c>
    </row>
    <row r="739" spans="10:12" x14ac:dyDescent="0.2">
      <c r="J739">
        <v>10019976</v>
      </c>
      <c r="K739" t="s">
        <v>3638</v>
      </c>
      <c r="L739">
        <v>57</v>
      </c>
    </row>
    <row r="740" spans="10:12" x14ac:dyDescent="0.2">
      <c r="J740">
        <v>10019977</v>
      </c>
      <c r="K740" t="s">
        <v>649</v>
      </c>
      <c r="L740">
        <v>90</v>
      </c>
    </row>
    <row r="741" spans="10:12" x14ac:dyDescent="0.2">
      <c r="J741">
        <v>10019987</v>
      </c>
      <c r="K741" t="s">
        <v>3900</v>
      </c>
      <c r="L741">
        <v>7</v>
      </c>
    </row>
    <row r="742" spans="10:12" x14ac:dyDescent="0.2">
      <c r="J742">
        <v>10019991</v>
      </c>
      <c r="K742" t="s">
        <v>651</v>
      </c>
      <c r="L742">
        <v>12</v>
      </c>
    </row>
    <row r="743" spans="10:12" x14ac:dyDescent="0.2">
      <c r="J743">
        <v>10019992</v>
      </c>
      <c r="K743" t="s">
        <v>652</v>
      </c>
      <c r="L743">
        <v>7</v>
      </c>
    </row>
    <row r="744" spans="10:12" x14ac:dyDescent="0.2">
      <c r="J744">
        <v>10019997</v>
      </c>
      <c r="K744" t="s">
        <v>3746</v>
      </c>
      <c r="L744">
        <v>10</v>
      </c>
    </row>
    <row r="745" spans="10:12" x14ac:dyDescent="0.2">
      <c r="J745">
        <v>10020001</v>
      </c>
      <c r="K745" t="s">
        <v>655</v>
      </c>
      <c r="L745">
        <v>6</v>
      </c>
    </row>
    <row r="746" spans="10:12" x14ac:dyDescent="0.2">
      <c r="J746">
        <v>10020012</v>
      </c>
      <c r="K746" t="s">
        <v>3631</v>
      </c>
      <c r="L746">
        <v>22</v>
      </c>
    </row>
    <row r="747" spans="10:12" x14ac:dyDescent="0.2">
      <c r="J747">
        <v>10020018</v>
      </c>
      <c r="K747" t="s">
        <v>656</v>
      </c>
      <c r="L747">
        <v>1</v>
      </c>
    </row>
    <row r="748" spans="10:12" x14ac:dyDescent="0.2">
      <c r="J748">
        <v>10020019</v>
      </c>
      <c r="K748" t="s">
        <v>657</v>
      </c>
      <c r="L748">
        <v>5</v>
      </c>
    </row>
    <row r="749" spans="10:12" x14ac:dyDescent="0.2">
      <c r="J749">
        <v>10020023</v>
      </c>
      <c r="K749" t="s">
        <v>3801</v>
      </c>
      <c r="L749">
        <v>2</v>
      </c>
    </row>
    <row r="750" spans="10:12" x14ac:dyDescent="0.2">
      <c r="J750">
        <v>10020025</v>
      </c>
      <c r="K750" t="s">
        <v>658</v>
      </c>
      <c r="L750">
        <v>5</v>
      </c>
    </row>
    <row r="751" spans="10:12" x14ac:dyDescent="0.2">
      <c r="J751">
        <v>10020026</v>
      </c>
      <c r="K751" t="s">
        <v>659</v>
      </c>
      <c r="L751">
        <v>5</v>
      </c>
    </row>
    <row r="752" spans="10:12" x14ac:dyDescent="0.2">
      <c r="J752">
        <v>10020027</v>
      </c>
      <c r="K752" t="s">
        <v>660</v>
      </c>
      <c r="L752">
        <v>78</v>
      </c>
    </row>
    <row r="753" spans="10:12" x14ac:dyDescent="0.2">
      <c r="J753">
        <v>10020028</v>
      </c>
      <c r="K753" t="s">
        <v>3635</v>
      </c>
      <c r="L753">
        <v>15</v>
      </c>
    </row>
    <row r="754" spans="10:12" x14ac:dyDescent="0.2">
      <c r="J754">
        <v>10020031</v>
      </c>
      <c r="K754" t="s">
        <v>661</v>
      </c>
      <c r="L754">
        <v>12</v>
      </c>
    </row>
    <row r="755" spans="10:12" x14ac:dyDescent="0.2">
      <c r="J755">
        <v>10020033</v>
      </c>
      <c r="K755" t="s">
        <v>3718</v>
      </c>
      <c r="L755">
        <v>2</v>
      </c>
    </row>
    <row r="756" spans="10:12" x14ac:dyDescent="0.2">
      <c r="J756">
        <v>10020034</v>
      </c>
      <c r="K756" t="s">
        <v>3717</v>
      </c>
      <c r="L756">
        <v>7</v>
      </c>
    </row>
    <row r="757" spans="10:12" x14ac:dyDescent="0.2">
      <c r="J757">
        <v>10020035</v>
      </c>
      <c r="K757" t="s">
        <v>662</v>
      </c>
      <c r="L757">
        <v>31</v>
      </c>
    </row>
    <row r="758" spans="10:12" x14ac:dyDescent="0.2">
      <c r="J758">
        <v>10020037</v>
      </c>
      <c r="K758" t="s">
        <v>663</v>
      </c>
      <c r="L758">
        <v>17</v>
      </c>
    </row>
    <row r="759" spans="10:12" x14ac:dyDescent="0.2">
      <c r="J759">
        <v>10020039</v>
      </c>
      <c r="K759" t="s">
        <v>664</v>
      </c>
      <c r="L759">
        <v>13</v>
      </c>
    </row>
    <row r="760" spans="10:12" x14ac:dyDescent="0.2">
      <c r="J760">
        <v>10020040</v>
      </c>
      <c r="K760" t="s">
        <v>665</v>
      </c>
      <c r="L760">
        <v>1</v>
      </c>
    </row>
    <row r="761" spans="10:12" x14ac:dyDescent="0.2">
      <c r="J761">
        <v>10020041</v>
      </c>
      <c r="K761" t="s">
        <v>666</v>
      </c>
      <c r="L761">
        <v>1</v>
      </c>
    </row>
    <row r="762" spans="10:12" x14ac:dyDescent="0.2">
      <c r="J762">
        <v>10020052</v>
      </c>
      <c r="K762" t="s">
        <v>10624</v>
      </c>
      <c r="L762">
        <v>3</v>
      </c>
    </row>
    <row r="763" spans="10:12" x14ac:dyDescent="0.2">
      <c r="J763">
        <v>10020056</v>
      </c>
      <c r="K763" t="s">
        <v>668</v>
      </c>
      <c r="L763">
        <v>153</v>
      </c>
    </row>
    <row r="764" spans="10:12" x14ac:dyDescent="0.2">
      <c r="J764">
        <v>10020057</v>
      </c>
      <c r="K764" t="s">
        <v>669</v>
      </c>
      <c r="L764">
        <v>673</v>
      </c>
    </row>
    <row r="765" spans="10:12" x14ac:dyDescent="0.2">
      <c r="J765">
        <v>10020058</v>
      </c>
      <c r="K765" t="s">
        <v>670</v>
      </c>
      <c r="L765" s="36">
        <v>1321</v>
      </c>
    </row>
    <row r="766" spans="10:12" x14ac:dyDescent="0.2">
      <c r="J766">
        <v>10020060</v>
      </c>
      <c r="K766" t="s">
        <v>671</v>
      </c>
      <c r="L766">
        <v>65</v>
      </c>
    </row>
    <row r="767" spans="10:12" x14ac:dyDescent="0.2">
      <c r="J767">
        <v>10020061</v>
      </c>
      <c r="K767" t="s">
        <v>672</v>
      </c>
      <c r="L767">
        <v>24</v>
      </c>
    </row>
    <row r="768" spans="10:12" x14ac:dyDescent="0.2">
      <c r="J768">
        <v>10020062</v>
      </c>
      <c r="K768" t="s">
        <v>3639</v>
      </c>
      <c r="L768">
        <v>47</v>
      </c>
    </row>
    <row r="769" spans="10:12" x14ac:dyDescent="0.2">
      <c r="J769">
        <v>10020063</v>
      </c>
      <c r="K769" t="s">
        <v>3637</v>
      </c>
      <c r="L769">
        <v>84</v>
      </c>
    </row>
    <row r="770" spans="10:12" x14ac:dyDescent="0.2">
      <c r="J770">
        <v>10020065</v>
      </c>
      <c r="K770" t="s">
        <v>3792</v>
      </c>
      <c r="L770">
        <v>4</v>
      </c>
    </row>
    <row r="771" spans="10:12" x14ac:dyDescent="0.2">
      <c r="J771">
        <v>10020106</v>
      </c>
      <c r="K771" t="s">
        <v>674</v>
      </c>
      <c r="L771">
        <v>4</v>
      </c>
    </row>
    <row r="772" spans="10:12" x14ac:dyDescent="0.2">
      <c r="J772">
        <v>10020113</v>
      </c>
      <c r="K772" t="s">
        <v>675</v>
      </c>
      <c r="L772">
        <v>9</v>
      </c>
    </row>
    <row r="773" spans="10:12" x14ac:dyDescent="0.2">
      <c r="J773">
        <v>10020114</v>
      </c>
      <c r="K773" t="s">
        <v>3616</v>
      </c>
      <c r="L773">
        <v>15</v>
      </c>
    </row>
    <row r="774" spans="10:12" x14ac:dyDescent="0.2">
      <c r="J774">
        <v>10020128</v>
      </c>
      <c r="K774" t="s">
        <v>676</v>
      </c>
      <c r="L774">
        <v>44</v>
      </c>
    </row>
    <row r="775" spans="10:12" x14ac:dyDescent="0.2">
      <c r="J775">
        <v>10020134</v>
      </c>
      <c r="K775" t="s">
        <v>5376</v>
      </c>
      <c r="L775">
        <v>3</v>
      </c>
    </row>
    <row r="776" spans="10:12" x14ac:dyDescent="0.2">
      <c r="J776">
        <v>10020135</v>
      </c>
      <c r="K776" t="s">
        <v>3615</v>
      </c>
      <c r="L776">
        <v>3</v>
      </c>
    </row>
    <row r="777" spans="10:12" x14ac:dyDescent="0.2">
      <c r="J777">
        <v>10020136</v>
      </c>
      <c r="K777" t="s">
        <v>3808</v>
      </c>
      <c r="L777">
        <v>16</v>
      </c>
    </row>
    <row r="778" spans="10:12" x14ac:dyDescent="0.2">
      <c r="J778">
        <v>10020137</v>
      </c>
      <c r="K778" t="s">
        <v>677</v>
      </c>
      <c r="L778">
        <v>21</v>
      </c>
    </row>
    <row r="779" spans="10:12" x14ac:dyDescent="0.2">
      <c r="J779">
        <v>10029885</v>
      </c>
      <c r="K779" t="s">
        <v>5377</v>
      </c>
      <c r="L779">
        <v>1</v>
      </c>
    </row>
    <row r="780" spans="10:12" x14ac:dyDescent="0.2">
      <c r="J780">
        <v>10029887</v>
      </c>
      <c r="K780" t="s">
        <v>5378</v>
      </c>
      <c r="L780">
        <v>4</v>
      </c>
    </row>
    <row r="781" spans="10:12" x14ac:dyDescent="0.2">
      <c r="J781">
        <v>10029889</v>
      </c>
      <c r="K781" t="s">
        <v>3747</v>
      </c>
      <c r="L781">
        <v>2</v>
      </c>
    </row>
    <row r="782" spans="10:12" x14ac:dyDescent="0.2">
      <c r="J782">
        <v>10029917</v>
      </c>
      <c r="K782" t="s">
        <v>5425</v>
      </c>
      <c r="L782">
        <v>1</v>
      </c>
    </row>
    <row r="783" spans="10:12" x14ac:dyDescent="0.2">
      <c r="J783">
        <v>10029921</v>
      </c>
      <c r="K783" t="s">
        <v>678</v>
      </c>
      <c r="L783">
        <v>9</v>
      </c>
    </row>
    <row r="784" spans="10:12" x14ac:dyDescent="0.2">
      <c r="J784">
        <v>10029922</v>
      </c>
      <c r="K784" t="s">
        <v>679</v>
      </c>
      <c r="L784">
        <v>16</v>
      </c>
    </row>
    <row r="785" spans="10:12" x14ac:dyDescent="0.2">
      <c r="J785">
        <v>10029924</v>
      </c>
      <c r="K785" t="s">
        <v>680</v>
      </c>
      <c r="L785">
        <v>6</v>
      </c>
    </row>
    <row r="786" spans="10:12" x14ac:dyDescent="0.2">
      <c r="J786">
        <v>10029925</v>
      </c>
      <c r="K786" t="s">
        <v>681</v>
      </c>
      <c r="L786">
        <v>5</v>
      </c>
    </row>
    <row r="787" spans="10:12" x14ac:dyDescent="0.2">
      <c r="J787">
        <v>10029928</v>
      </c>
      <c r="K787" t="s">
        <v>683</v>
      </c>
      <c r="L787">
        <v>23</v>
      </c>
    </row>
    <row r="788" spans="10:12" x14ac:dyDescent="0.2">
      <c r="J788">
        <v>10030735</v>
      </c>
      <c r="K788" t="s">
        <v>685</v>
      </c>
      <c r="L788">
        <v>3</v>
      </c>
    </row>
    <row r="789" spans="10:12" x14ac:dyDescent="0.2">
      <c r="J789">
        <v>10031418</v>
      </c>
      <c r="K789" t="s">
        <v>5466</v>
      </c>
      <c r="L789">
        <v>5</v>
      </c>
    </row>
    <row r="790" spans="10:12" x14ac:dyDescent="0.2">
      <c r="J790">
        <v>10031419</v>
      </c>
      <c r="K790" t="s">
        <v>687</v>
      </c>
      <c r="L790">
        <v>4</v>
      </c>
    </row>
    <row r="791" spans="10:12" x14ac:dyDescent="0.2">
      <c r="J791">
        <v>10032256</v>
      </c>
      <c r="K791" t="s">
        <v>5426</v>
      </c>
      <c r="L791">
        <v>6</v>
      </c>
    </row>
    <row r="792" spans="10:12" x14ac:dyDescent="0.2">
      <c r="J792">
        <v>10032257</v>
      </c>
      <c r="K792" t="s">
        <v>3875</v>
      </c>
      <c r="L792">
        <v>1</v>
      </c>
    </row>
    <row r="793" spans="10:12" x14ac:dyDescent="0.2">
      <c r="J793">
        <v>10032259</v>
      </c>
      <c r="K793" t="s">
        <v>689</v>
      </c>
      <c r="L793">
        <v>9</v>
      </c>
    </row>
    <row r="794" spans="10:12" x14ac:dyDescent="0.2">
      <c r="J794">
        <v>10032260</v>
      </c>
      <c r="K794" t="s">
        <v>690</v>
      </c>
      <c r="L794">
        <v>10</v>
      </c>
    </row>
    <row r="795" spans="10:12" x14ac:dyDescent="0.2">
      <c r="J795">
        <v>10033337</v>
      </c>
      <c r="K795" t="s">
        <v>5380</v>
      </c>
      <c r="L795">
        <v>4</v>
      </c>
    </row>
    <row r="796" spans="10:12" x14ac:dyDescent="0.2">
      <c r="J796">
        <v>10033338</v>
      </c>
      <c r="K796" t="s">
        <v>692</v>
      </c>
      <c r="L796">
        <v>1</v>
      </c>
    </row>
    <row r="797" spans="10:12" x14ac:dyDescent="0.2">
      <c r="J797">
        <v>10036221</v>
      </c>
      <c r="K797" t="s">
        <v>3624</v>
      </c>
      <c r="L797">
        <v>2</v>
      </c>
    </row>
    <row r="798" spans="10:12" x14ac:dyDescent="0.2">
      <c r="J798">
        <v>10036223</v>
      </c>
      <c r="K798" t="s">
        <v>10562</v>
      </c>
      <c r="L798">
        <v>4</v>
      </c>
    </row>
    <row r="799" spans="10:12" x14ac:dyDescent="0.2">
      <c r="J799">
        <v>10036224</v>
      </c>
      <c r="K799" t="s">
        <v>10563</v>
      </c>
      <c r="L799">
        <v>5</v>
      </c>
    </row>
    <row r="800" spans="10:12" x14ac:dyDescent="0.2">
      <c r="J800">
        <v>10036227</v>
      </c>
      <c r="K800" t="s">
        <v>3715</v>
      </c>
      <c r="L800">
        <v>1</v>
      </c>
    </row>
    <row r="801" spans="10:12" x14ac:dyDescent="0.2">
      <c r="J801">
        <v>10036232</v>
      </c>
      <c r="K801" t="s">
        <v>3719</v>
      </c>
      <c r="L801">
        <v>8</v>
      </c>
    </row>
    <row r="802" spans="10:12" x14ac:dyDescent="0.2">
      <c r="J802">
        <v>10036250</v>
      </c>
      <c r="K802" t="s">
        <v>3713</v>
      </c>
      <c r="L802">
        <v>8</v>
      </c>
    </row>
    <row r="803" spans="10:12" x14ac:dyDescent="0.2">
      <c r="J803">
        <v>10038195</v>
      </c>
      <c r="K803" t="s">
        <v>3748</v>
      </c>
      <c r="L803">
        <v>14</v>
      </c>
    </row>
    <row r="804" spans="10:12" x14ac:dyDescent="0.2">
      <c r="J804">
        <v>10038197</v>
      </c>
      <c r="K804" t="s">
        <v>3750</v>
      </c>
      <c r="L804">
        <v>1</v>
      </c>
    </row>
    <row r="805" spans="10:12" x14ac:dyDescent="0.2">
      <c r="J805">
        <v>10038199</v>
      </c>
      <c r="K805" t="s">
        <v>3751</v>
      </c>
      <c r="L805">
        <v>1</v>
      </c>
    </row>
    <row r="806" spans="10:12" x14ac:dyDescent="0.2">
      <c r="J806">
        <v>10039108</v>
      </c>
      <c r="K806" t="s">
        <v>5382</v>
      </c>
      <c r="L806">
        <v>1</v>
      </c>
    </row>
    <row r="807" spans="10:12" x14ac:dyDescent="0.2">
      <c r="J807">
        <v>10039109</v>
      </c>
      <c r="K807" t="s">
        <v>5383</v>
      </c>
      <c r="L807">
        <v>3</v>
      </c>
    </row>
    <row r="808" spans="10:12" x14ac:dyDescent="0.2">
      <c r="J808">
        <v>10039111</v>
      </c>
      <c r="K808" t="s">
        <v>5467</v>
      </c>
      <c r="L808">
        <v>3</v>
      </c>
    </row>
    <row r="809" spans="10:12" x14ac:dyDescent="0.2">
      <c r="J809">
        <v>10039112</v>
      </c>
      <c r="K809" t="s">
        <v>3843</v>
      </c>
      <c r="L809">
        <v>5</v>
      </c>
    </row>
    <row r="810" spans="10:12" x14ac:dyDescent="0.2">
      <c r="J810">
        <v>10039113</v>
      </c>
      <c r="K810" t="s">
        <v>3844</v>
      </c>
      <c r="L810">
        <v>1</v>
      </c>
    </row>
    <row r="811" spans="10:12" x14ac:dyDescent="0.2">
      <c r="J811">
        <v>10039114</v>
      </c>
      <c r="K811" t="s">
        <v>3845</v>
      </c>
      <c r="L811">
        <v>8</v>
      </c>
    </row>
    <row r="812" spans="10:12" x14ac:dyDescent="0.2">
      <c r="J812">
        <v>10039715</v>
      </c>
      <c r="K812" t="s">
        <v>5457</v>
      </c>
      <c r="L812">
        <v>1</v>
      </c>
    </row>
    <row r="813" spans="10:12" x14ac:dyDescent="0.2">
      <c r="J813">
        <v>10039718</v>
      </c>
      <c r="K813" t="s">
        <v>5458</v>
      </c>
      <c r="L813">
        <v>2</v>
      </c>
    </row>
    <row r="814" spans="10:12" x14ac:dyDescent="0.2">
      <c r="J814">
        <v>10039719</v>
      </c>
      <c r="K814" t="s">
        <v>5459</v>
      </c>
      <c r="L814">
        <v>2</v>
      </c>
    </row>
    <row r="815" spans="10:12" x14ac:dyDescent="0.2">
      <c r="J815">
        <v>10039720</v>
      </c>
      <c r="K815" t="s">
        <v>5460</v>
      </c>
      <c r="L815">
        <v>1</v>
      </c>
    </row>
    <row r="816" spans="10:12" x14ac:dyDescent="0.2">
      <c r="J816">
        <v>10039961</v>
      </c>
      <c r="K816" t="s">
        <v>3882</v>
      </c>
      <c r="L816">
        <v>2</v>
      </c>
    </row>
    <row r="817" spans="10:12" x14ac:dyDescent="0.2">
      <c r="J817">
        <v>10039962</v>
      </c>
      <c r="K817" t="s">
        <v>3883</v>
      </c>
      <c r="L817">
        <v>1</v>
      </c>
    </row>
    <row r="818" spans="10:12" x14ac:dyDescent="0.2">
      <c r="J818">
        <v>10039965</v>
      </c>
      <c r="K818" t="s">
        <v>3879</v>
      </c>
      <c r="L818">
        <v>11</v>
      </c>
    </row>
    <row r="819" spans="10:12" x14ac:dyDescent="0.2">
      <c r="J819">
        <v>10039966</v>
      </c>
      <c r="K819" t="s">
        <v>3880</v>
      </c>
      <c r="L819">
        <v>10</v>
      </c>
    </row>
    <row r="820" spans="10:12" x14ac:dyDescent="0.2">
      <c r="J820">
        <v>10039968</v>
      </c>
      <c r="K820" t="s">
        <v>3881</v>
      </c>
      <c r="L820">
        <v>2</v>
      </c>
    </row>
    <row r="821" spans="10:12" x14ac:dyDescent="0.2">
      <c r="J821">
        <v>10039969</v>
      </c>
      <c r="K821" t="s">
        <v>3876</v>
      </c>
      <c r="L821">
        <v>3</v>
      </c>
    </row>
    <row r="822" spans="10:12" x14ac:dyDescent="0.2">
      <c r="J822">
        <v>10039976</v>
      </c>
      <c r="K822" t="s">
        <v>3931</v>
      </c>
      <c r="L822">
        <v>10</v>
      </c>
    </row>
    <row r="823" spans="10:12" x14ac:dyDescent="0.2">
      <c r="J823">
        <v>10040624</v>
      </c>
      <c r="K823" t="s">
        <v>5384</v>
      </c>
      <c r="L823">
        <v>3</v>
      </c>
    </row>
    <row r="824" spans="10:12" x14ac:dyDescent="0.2">
      <c r="J824">
        <v>10040625</v>
      </c>
      <c r="K824" t="s">
        <v>5385</v>
      </c>
      <c r="L824">
        <v>2</v>
      </c>
    </row>
    <row r="825" spans="10:12" x14ac:dyDescent="0.2">
      <c r="J825">
        <v>10040626</v>
      </c>
      <c r="K825" t="s">
        <v>5468</v>
      </c>
      <c r="L825">
        <v>2</v>
      </c>
    </row>
    <row r="826" spans="10:12" x14ac:dyDescent="0.2">
      <c r="J826">
        <v>10040627</v>
      </c>
      <c r="K826" t="s">
        <v>5386</v>
      </c>
      <c r="L826">
        <v>4</v>
      </c>
    </row>
    <row r="827" spans="10:12" x14ac:dyDescent="0.2">
      <c r="J827">
        <v>10040628</v>
      </c>
      <c r="K827" t="s">
        <v>5387</v>
      </c>
      <c r="L827">
        <v>1</v>
      </c>
    </row>
    <row r="828" spans="10:12" x14ac:dyDescent="0.2">
      <c r="J828">
        <v>10040629</v>
      </c>
      <c r="K828" t="s">
        <v>5469</v>
      </c>
      <c r="L828">
        <v>1</v>
      </c>
    </row>
    <row r="829" spans="10:12" x14ac:dyDescent="0.2">
      <c r="J829">
        <v>10040631</v>
      </c>
      <c r="K829" t="s">
        <v>10625</v>
      </c>
      <c r="L829">
        <v>5</v>
      </c>
    </row>
    <row r="830" spans="10:12" x14ac:dyDescent="0.2">
      <c r="J830">
        <v>10040632</v>
      </c>
      <c r="K830" t="s">
        <v>5471</v>
      </c>
      <c r="L830">
        <v>47</v>
      </c>
    </row>
    <row r="831" spans="10:12" x14ac:dyDescent="0.2">
      <c r="J831">
        <v>10040635</v>
      </c>
      <c r="K831" t="s">
        <v>5389</v>
      </c>
      <c r="L831">
        <v>1</v>
      </c>
    </row>
    <row r="832" spans="10:12" x14ac:dyDescent="0.2">
      <c r="J832">
        <v>10040636</v>
      </c>
      <c r="K832" t="s">
        <v>5390</v>
      </c>
      <c r="L832">
        <v>5</v>
      </c>
    </row>
    <row r="833" spans="10:12" x14ac:dyDescent="0.2">
      <c r="J833">
        <v>10040637</v>
      </c>
      <c r="K833" t="s">
        <v>5391</v>
      </c>
      <c r="L833">
        <v>2</v>
      </c>
    </row>
    <row r="834" spans="10:12" x14ac:dyDescent="0.2">
      <c r="J834">
        <v>10040638</v>
      </c>
      <c r="K834" t="s">
        <v>5473</v>
      </c>
      <c r="L834">
        <v>6</v>
      </c>
    </row>
    <row r="835" spans="10:12" x14ac:dyDescent="0.2">
      <c r="J835">
        <v>10041607</v>
      </c>
      <c r="K835" t="s">
        <v>5446</v>
      </c>
      <c r="L835">
        <v>11</v>
      </c>
    </row>
    <row r="836" spans="10:12" x14ac:dyDescent="0.2">
      <c r="J836">
        <v>10041610</v>
      </c>
      <c r="K836" t="s">
        <v>5442</v>
      </c>
      <c r="L836">
        <v>1</v>
      </c>
    </row>
    <row r="837" spans="10:12" x14ac:dyDescent="0.2">
      <c r="J837">
        <v>10041611</v>
      </c>
      <c r="K837" t="s">
        <v>5447</v>
      </c>
      <c r="L837">
        <v>1</v>
      </c>
    </row>
    <row r="838" spans="10:12" x14ac:dyDescent="0.2">
      <c r="J838">
        <v>10041612</v>
      </c>
      <c r="K838" t="s">
        <v>5440</v>
      </c>
      <c r="L838">
        <v>5</v>
      </c>
    </row>
    <row r="839" spans="10:12" x14ac:dyDescent="0.2">
      <c r="J839">
        <v>10041614</v>
      </c>
      <c r="K839" t="s">
        <v>5443</v>
      </c>
      <c r="L839">
        <v>3</v>
      </c>
    </row>
    <row r="840" spans="10:12" x14ac:dyDescent="0.2">
      <c r="J840">
        <v>10041615</v>
      </c>
      <c r="K840" t="s">
        <v>5444</v>
      </c>
      <c r="L840">
        <v>2</v>
      </c>
    </row>
    <row r="841" spans="10:12" x14ac:dyDescent="0.2">
      <c r="J841">
        <v>10041616</v>
      </c>
      <c r="K841" t="s">
        <v>5445</v>
      </c>
      <c r="L841">
        <v>5</v>
      </c>
    </row>
    <row r="842" spans="10:12" x14ac:dyDescent="0.2">
      <c r="J842">
        <v>10041617</v>
      </c>
      <c r="K842" t="s">
        <v>5438</v>
      </c>
      <c r="L842">
        <v>2</v>
      </c>
    </row>
    <row r="843" spans="10:12" x14ac:dyDescent="0.2">
      <c r="J843">
        <v>10041618</v>
      </c>
      <c r="K843" t="s">
        <v>5441</v>
      </c>
      <c r="L843">
        <v>2</v>
      </c>
    </row>
    <row r="844" spans="10:12" x14ac:dyDescent="0.2">
      <c r="J844">
        <v>10041619</v>
      </c>
      <c r="K844" t="s">
        <v>5448</v>
      </c>
      <c r="L844">
        <v>1</v>
      </c>
    </row>
    <row r="845" spans="10:12" x14ac:dyDescent="0.2">
      <c r="J845">
        <v>10041621</v>
      </c>
      <c r="K845" t="s">
        <v>9677</v>
      </c>
      <c r="L845">
        <v>5</v>
      </c>
    </row>
    <row r="846" spans="10:12" x14ac:dyDescent="0.2">
      <c r="J846">
        <v>10041623</v>
      </c>
      <c r="K846" t="s">
        <v>5455</v>
      </c>
      <c r="L846">
        <v>9</v>
      </c>
    </row>
    <row r="847" spans="10:12" x14ac:dyDescent="0.2">
      <c r="J847">
        <v>10041624</v>
      </c>
      <c r="K847" t="s">
        <v>5456</v>
      </c>
      <c r="L847">
        <v>12</v>
      </c>
    </row>
    <row r="848" spans="10:12" x14ac:dyDescent="0.2">
      <c r="J848">
        <v>10041625</v>
      </c>
      <c r="K848" t="s">
        <v>5452</v>
      </c>
      <c r="L848">
        <v>13</v>
      </c>
    </row>
    <row r="849" spans="10:12" x14ac:dyDescent="0.2">
      <c r="J849">
        <v>10041626</v>
      </c>
      <c r="K849" t="s">
        <v>5454</v>
      </c>
      <c r="L849">
        <v>112</v>
      </c>
    </row>
    <row r="850" spans="10:12" x14ac:dyDescent="0.2">
      <c r="J850">
        <v>10041628</v>
      </c>
      <c r="K850" t="s">
        <v>5474</v>
      </c>
      <c r="L850">
        <v>80</v>
      </c>
    </row>
    <row r="851" spans="10:12" x14ac:dyDescent="0.2">
      <c r="J851">
        <v>10041629</v>
      </c>
      <c r="K851" t="s">
        <v>10626</v>
      </c>
      <c r="L851">
        <v>8</v>
      </c>
    </row>
    <row r="852" spans="10:12" x14ac:dyDescent="0.2">
      <c r="J852">
        <v>10041633</v>
      </c>
      <c r="K852" t="s">
        <v>5437</v>
      </c>
      <c r="L852">
        <v>4</v>
      </c>
    </row>
    <row r="853" spans="10:12" x14ac:dyDescent="0.2">
      <c r="J853">
        <v>10043021</v>
      </c>
      <c r="K853" t="s">
        <v>5490</v>
      </c>
      <c r="L853">
        <v>4</v>
      </c>
    </row>
    <row r="854" spans="10:12" x14ac:dyDescent="0.2">
      <c r="J854">
        <v>10043023</v>
      </c>
      <c r="K854" t="s">
        <v>5491</v>
      </c>
      <c r="L854">
        <v>28</v>
      </c>
    </row>
    <row r="855" spans="10:12" x14ac:dyDescent="0.2">
      <c r="J855">
        <v>10043024</v>
      </c>
      <c r="K855" t="s">
        <v>5492</v>
      </c>
      <c r="L855">
        <v>2</v>
      </c>
    </row>
    <row r="856" spans="10:12" x14ac:dyDescent="0.2">
      <c r="J856">
        <v>10044047</v>
      </c>
      <c r="K856" t="s">
        <v>9695</v>
      </c>
      <c r="L856">
        <v>1</v>
      </c>
    </row>
    <row r="857" spans="10:12" x14ac:dyDescent="0.2">
      <c r="J857">
        <v>10044049</v>
      </c>
      <c r="K857" t="s">
        <v>9659</v>
      </c>
      <c r="L857">
        <v>3</v>
      </c>
    </row>
    <row r="858" spans="10:12" x14ac:dyDescent="0.2">
      <c r="J858">
        <v>10044052</v>
      </c>
      <c r="K858" t="s">
        <v>9689</v>
      </c>
      <c r="L858">
        <v>3</v>
      </c>
    </row>
    <row r="859" spans="10:12" x14ac:dyDescent="0.2">
      <c r="J859">
        <v>10044059</v>
      </c>
      <c r="K859" t="s">
        <v>9611</v>
      </c>
      <c r="L859">
        <v>1</v>
      </c>
    </row>
    <row r="860" spans="10:12" x14ac:dyDescent="0.2">
      <c r="J860">
        <v>10044060</v>
      </c>
      <c r="K860" t="s">
        <v>9612</v>
      </c>
      <c r="L860">
        <v>3</v>
      </c>
    </row>
    <row r="861" spans="10:12" x14ac:dyDescent="0.2">
      <c r="J861">
        <v>10044061</v>
      </c>
      <c r="K861" t="s">
        <v>9613</v>
      </c>
      <c r="L861">
        <v>3</v>
      </c>
    </row>
    <row r="862" spans="10:12" x14ac:dyDescent="0.2">
      <c r="J862">
        <v>10044062</v>
      </c>
      <c r="K862" t="s">
        <v>9614</v>
      </c>
      <c r="L862">
        <v>1</v>
      </c>
    </row>
    <row r="863" spans="10:12" x14ac:dyDescent="0.2">
      <c r="J863">
        <v>10044064</v>
      </c>
      <c r="K863" t="s">
        <v>9616</v>
      </c>
      <c r="L863">
        <v>1</v>
      </c>
    </row>
    <row r="864" spans="10:12" x14ac:dyDescent="0.2">
      <c r="J864">
        <v>10044065</v>
      </c>
      <c r="K864" t="s">
        <v>9617</v>
      </c>
      <c r="L864">
        <v>1</v>
      </c>
    </row>
    <row r="865" spans="10:12" x14ac:dyDescent="0.2">
      <c r="J865">
        <v>10044066</v>
      </c>
      <c r="K865" t="s">
        <v>9618</v>
      </c>
      <c r="L865">
        <v>2</v>
      </c>
    </row>
    <row r="866" spans="10:12" x14ac:dyDescent="0.2">
      <c r="J866">
        <v>10044067</v>
      </c>
      <c r="K866" t="s">
        <v>9619</v>
      </c>
      <c r="L866">
        <v>2</v>
      </c>
    </row>
    <row r="867" spans="10:12" x14ac:dyDescent="0.2">
      <c r="J867">
        <v>10044068</v>
      </c>
      <c r="K867" t="s">
        <v>9620</v>
      </c>
      <c r="L867">
        <v>2</v>
      </c>
    </row>
    <row r="868" spans="10:12" x14ac:dyDescent="0.2">
      <c r="J868">
        <v>10044072</v>
      </c>
      <c r="K868" t="s">
        <v>9621</v>
      </c>
      <c r="L868">
        <v>1</v>
      </c>
    </row>
    <row r="869" spans="10:12" x14ac:dyDescent="0.2">
      <c r="J869">
        <v>10044074</v>
      </c>
      <c r="K869" t="s">
        <v>9623</v>
      </c>
      <c r="L869">
        <v>1</v>
      </c>
    </row>
    <row r="870" spans="10:12" x14ac:dyDescent="0.2">
      <c r="J870">
        <v>10044075</v>
      </c>
      <c r="K870" t="s">
        <v>9624</v>
      </c>
      <c r="L870">
        <v>2</v>
      </c>
    </row>
    <row r="871" spans="10:12" x14ac:dyDescent="0.2">
      <c r="J871">
        <v>10044076</v>
      </c>
      <c r="K871" t="s">
        <v>9625</v>
      </c>
      <c r="L871">
        <v>2</v>
      </c>
    </row>
    <row r="872" spans="10:12" x14ac:dyDescent="0.2">
      <c r="J872">
        <v>10044079</v>
      </c>
      <c r="K872" t="s">
        <v>9627</v>
      </c>
      <c r="L872">
        <v>2</v>
      </c>
    </row>
    <row r="873" spans="10:12" x14ac:dyDescent="0.2">
      <c r="J873">
        <v>10044080</v>
      </c>
      <c r="K873" t="s">
        <v>9628</v>
      </c>
      <c r="L873">
        <v>1</v>
      </c>
    </row>
    <row r="874" spans="10:12" x14ac:dyDescent="0.2">
      <c r="J874">
        <v>10044081</v>
      </c>
      <c r="K874" t="s">
        <v>9629</v>
      </c>
      <c r="L874">
        <v>1</v>
      </c>
    </row>
    <row r="875" spans="10:12" x14ac:dyDescent="0.2">
      <c r="J875">
        <v>10044083</v>
      </c>
      <c r="K875" t="s">
        <v>9630</v>
      </c>
      <c r="L875">
        <v>2</v>
      </c>
    </row>
    <row r="876" spans="10:12" x14ac:dyDescent="0.2">
      <c r="J876">
        <v>10044084</v>
      </c>
      <c r="K876" t="s">
        <v>10248</v>
      </c>
      <c r="L876">
        <v>1</v>
      </c>
    </row>
    <row r="877" spans="10:12" x14ac:dyDescent="0.2">
      <c r="J877">
        <v>10044086</v>
      </c>
      <c r="K877" t="s">
        <v>9631</v>
      </c>
      <c r="L877">
        <v>5</v>
      </c>
    </row>
    <row r="878" spans="10:12" x14ac:dyDescent="0.2">
      <c r="J878">
        <v>10044097</v>
      </c>
      <c r="K878" t="s">
        <v>10294</v>
      </c>
      <c r="L878">
        <v>7</v>
      </c>
    </row>
    <row r="879" spans="10:12" x14ac:dyDescent="0.2">
      <c r="J879">
        <v>10044103</v>
      </c>
      <c r="K879" t="s">
        <v>9896</v>
      </c>
      <c r="L879">
        <v>1</v>
      </c>
    </row>
    <row r="880" spans="10:12" x14ac:dyDescent="0.2">
      <c r="J880">
        <v>10044104</v>
      </c>
      <c r="K880" t="s">
        <v>9898</v>
      </c>
      <c r="L880">
        <v>1</v>
      </c>
    </row>
    <row r="881" spans="10:12" x14ac:dyDescent="0.2">
      <c r="J881">
        <v>10044105</v>
      </c>
      <c r="K881" t="s">
        <v>9900</v>
      </c>
      <c r="L881">
        <v>1</v>
      </c>
    </row>
    <row r="882" spans="10:12" x14ac:dyDescent="0.2">
      <c r="J882">
        <v>10044106</v>
      </c>
      <c r="K882" t="s">
        <v>9902</v>
      </c>
      <c r="L882">
        <v>1</v>
      </c>
    </row>
    <row r="883" spans="10:12" x14ac:dyDescent="0.2">
      <c r="J883">
        <v>10044107</v>
      </c>
      <c r="K883" t="s">
        <v>9904</v>
      </c>
      <c r="L883">
        <v>1</v>
      </c>
    </row>
    <row r="884" spans="10:12" x14ac:dyDescent="0.2">
      <c r="J884">
        <v>10044108</v>
      </c>
      <c r="K884" t="s">
        <v>9633</v>
      </c>
      <c r="L884">
        <v>5</v>
      </c>
    </row>
    <row r="885" spans="10:12" x14ac:dyDescent="0.2">
      <c r="J885">
        <v>10044110</v>
      </c>
      <c r="K885" t="s">
        <v>9634</v>
      </c>
      <c r="L885">
        <v>4</v>
      </c>
    </row>
    <row r="886" spans="10:12" x14ac:dyDescent="0.2">
      <c r="J886">
        <v>10044112</v>
      </c>
      <c r="K886" t="s">
        <v>9635</v>
      </c>
      <c r="L886">
        <v>1</v>
      </c>
    </row>
    <row r="887" spans="10:12" x14ac:dyDescent="0.2">
      <c r="J887">
        <v>10044113</v>
      </c>
      <c r="K887" t="s">
        <v>9636</v>
      </c>
      <c r="L887">
        <v>2</v>
      </c>
    </row>
    <row r="888" spans="10:12" x14ac:dyDescent="0.2">
      <c r="J888">
        <v>10044114</v>
      </c>
      <c r="K888" t="s">
        <v>9637</v>
      </c>
      <c r="L888">
        <v>3</v>
      </c>
    </row>
    <row r="889" spans="10:12" x14ac:dyDescent="0.2">
      <c r="J889">
        <v>10044115</v>
      </c>
      <c r="K889" t="s">
        <v>9638</v>
      </c>
      <c r="L889">
        <v>4</v>
      </c>
    </row>
    <row r="890" spans="10:12" x14ac:dyDescent="0.2">
      <c r="J890">
        <v>10044116</v>
      </c>
      <c r="K890" t="s">
        <v>9639</v>
      </c>
      <c r="L890">
        <v>5</v>
      </c>
    </row>
    <row r="891" spans="10:12" x14ac:dyDescent="0.2">
      <c r="J891">
        <v>10044117</v>
      </c>
      <c r="K891" t="s">
        <v>9640</v>
      </c>
      <c r="L891">
        <v>1</v>
      </c>
    </row>
    <row r="892" spans="10:12" x14ac:dyDescent="0.2">
      <c r="J892">
        <v>10044118</v>
      </c>
      <c r="K892" t="s">
        <v>9641</v>
      </c>
      <c r="L892">
        <v>43</v>
      </c>
    </row>
    <row r="893" spans="10:12" x14ac:dyDescent="0.2">
      <c r="J893">
        <v>10044812</v>
      </c>
      <c r="K893" t="s">
        <v>9844</v>
      </c>
      <c r="L893">
        <v>1</v>
      </c>
    </row>
    <row r="894" spans="10:12" x14ac:dyDescent="0.2">
      <c r="J894">
        <v>10044813</v>
      </c>
      <c r="K894" t="s">
        <v>9846</v>
      </c>
      <c r="L894">
        <v>1</v>
      </c>
    </row>
    <row r="895" spans="10:12" x14ac:dyDescent="0.2">
      <c r="J895">
        <v>10044815</v>
      </c>
      <c r="K895" t="s">
        <v>9848</v>
      </c>
      <c r="L895">
        <v>6</v>
      </c>
    </row>
    <row r="896" spans="10:12" x14ac:dyDescent="0.2">
      <c r="J896">
        <v>10045279</v>
      </c>
      <c r="K896" t="s">
        <v>10627</v>
      </c>
      <c r="L896">
        <v>11</v>
      </c>
    </row>
    <row r="897" spans="10:12" x14ac:dyDescent="0.2">
      <c r="J897">
        <v>10045280</v>
      </c>
      <c r="K897" t="s">
        <v>10628</v>
      </c>
      <c r="L897">
        <v>13</v>
      </c>
    </row>
    <row r="898" spans="10:12" x14ac:dyDescent="0.2">
      <c r="J898">
        <v>10045281</v>
      </c>
      <c r="K898" t="s">
        <v>10569</v>
      </c>
      <c r="L898">
        <v>1</v>
      </c>
    </row>
    <row r="899" spans="10:12" x14ac:dyDescent="0.2">
      <c r="J899">
        <v>10045282</v>
      </c>
      <c r="K899" t="s">
        <v>10570</v>
      </c>
      <c r="L899">
        <v>2</v>
      </c>
    </row>
    <row r="900" spans="10:12" x14ac:dyDescent="0.2">
      <c r="J900">
        <v>10045283</v>
      </c>
      <c r="K900" t="s">
        <v>10571</v>
      </c>
      <c r="L900">
        <v>2</v>
      </c>
    </row>
    <row r="901" spans="10:12" x14ac:dyDescent="0.2">
      <c r="J901">
        <v>10045285</v>
      </c>
      <c r="K901" t="s">
        <v>10629</v>
      </c>
      <c r="L901">
        <v>5</v>
      </c>
    </row>
    <row r="902" spans="10:12" x14ac:dyDescent="0.2">
      <c r="J902">
        <v>10045286</v>
      </c>
      <c r="K902" t="s">
        <v>10630</v>
      </c>
      <c r="L902">
        <v>24</v>
      </c>
    </row>
    <row r="903" spans="10:12" x14ac:dyDescent="0.2">
      <c r="J903">
        <v>10045287</v>
      </c>
      <c r="K903" t="s">
        <v>10631</v>
      </c>
      <c r="L903">
        <v>1</v>
      </c>
    </row>
    <row r="904" spans="10:12" x14ac:dyDescent="0.2">
      <c r="J904">
        <v>10045289</v>
      </c>
      <c r="K904" t="s">
        <v>10632</v>
      </c>
      <c r="L904">
        <v>1</v>
      </c>
    </row>
    <row r="905" spans="10:12" x14ac:dyDescent="0.2">
      <c r="J905">
        <v>10045290</v>
      </c>
      <c r="K905" t="s">
        <v>10633</v>
      </c>
      <c r="L905">
        <v>1</v>
      </c>
    </row>
    <row r="906" spans="10:12" x14ac:dyDescent="0.2">
      <c r="J906">
        <v>10045291</v>
      </c>
      <c r="K906" t="s">
        <v>10634</v>
      </c>
      <c r="L906">
        <v>1</v>
      </c>
    </row>
    <row r="907" spans="10:12" x14ac:dyDescent="0.2">
      <c r="J907">
        <v>10046399</v>
      </c>
      <c r="K907" t="s">
        <v>10244</v>
      </c>
      <c r="L907">
        <v>1</v>
      </c>
    </row>
    <row r="908" spans="10:12" x14ac:dyDescent="0.2">
      <c r="J908">
        <v>10046400</v>
      </c>
      <c r="K908" t="s">
        <v>10614</v>
      </c>
      <c r="L908">
        <v>1</v>
      </c>
    </row>
    <row r="909" spans="10:12" x14ac:dyDescent="0.2">
      <c r="J909">
        <v>10046401</v>
      </c>
      <c r="K909" t="s">
        <v>10635</v>
      </c>
      <c r="L909">
        <v>1</v>
      </c>
    </row>
    <row r="910" spans="10:12" x14ac:dyDescent="0.2">
      <c r="J910">
        <v>10046402</v>
      </c>
      <c r="K910" t="s">
        <v>10636</v>
      </c>
      <c r="L910">
        <v>1</v>
      </c>
    </row>
    <row r="911" spans="10:12" x14ac:dyDescent="0.2">
      <c r="J911">
        <v>10046403</v>
      </c>
      <c r="K911" t="s">
        <v>10253</v>
      </c>
      <c r="L911">
        <v>1</v>
      </c>
    </row>
    <row r="912" spans="10:12" x14ac:dyDescent="0.2">
      <c r="J912">
        <v>10046404</v>
      </c>
      <c r="K912" t="s">
        <v>10255</v>
      </c>
      <c r="L912">
        <v>1</v>
      </c>
    </row>
    <row r="913" spans="10:12" x14ac:dyDescent="0.2">
      <c r="J913">
        <v>10046405</v>
      </c>
      <c r="K913" t="s">
        <v>10257</v>
      </c>
      <c r="L913">
        <v>1</v>
      </c>
    </row>
    <row r="914" spans="10:12" x14ac:dyDescent="0.2">
      <c r="J914">
        <v>10046406</v>
      </c>
      <c r="K914" t="s">
        <v>10615</v>
      </c>
      <c r="L914">
        <v>1</v>
      </c>
    </row>
    <row r="915" spans="10:12" x14ac:dyDescent="0.2">
      <c r="J915">
        <v>10046407</v>
      </c>
      <c r="K915" t="s">
        <v>10637</v>
      </c>
      <c r="L915">
        <v>1</v>
      </c>
    </row>
    <row r="916" spans="10:12" x14ac:dyDescent="0.2">
      <c r="J916">
        <v>10046408</v>
      </c>
      <c r="K916" t="s">
        <v>10638</v>
      </c>
      <c r="L916">
        <v>2</v>
      </c>
    </row>
    <row r="917" spans="10:12" x14ac:dyDescent="0.2">
      <c r="J917">
        <v>10046411</v>
      </c>
      <c r="K917" t="s">
        <v>10269</v>
      </c>
      <c r="L917">
        <v>1</v>
      </c>
    </row>
    <row r="918" spans="10:12" x14ac:dyDescent="0.2">
      <c r="J918">
        <v>10046412</v>
      </c>
      <c r="K918" t="s">
        <v>10270</v>
      </c>
      <c r="L918">
        <v>5</v>
      </c>
    </row>
    <row r="919" spans="10:12" x14ac:dyDescent="0.2">
      <c r="J919">
        <v>10046413</v>
      </c>
      <c r="K919" t="s">
        <v>10280</v>
      </c>
      <c r="L919">
        <v>4</v>
      </c>
    </row>
    <row r="920" spans="10:12" x14ac:dyDescent="0.2">
      <c r="J920">
        <v>10046414</v>
      </c>
      <c r="K920" t="s">
        <v>10639</v>
      </c>
      <c r="L920">
        <v>4</v>
      </c>
    </row>
    <row r="921" spans="10:12" x14ac:dyDescent="0.2">
      <c r="J921">
        <v>10046415</v>
      </c>
      <c r="K921" t="s">
        <v>10274</v>
      </c>
      <c r="L921">
        <v>2</v>
      </c>
    </row>
    <row r="922" spans="10:12" x14ac:dyDescent="0.2">
      <c r="J922">
        <v>10046416</v>
      </c>
      <c r="K922" t="s">
        <v>10278</v>
      </c>
      <c r="L922">
        <v>2</v>
      </c>
    </row>
    <row r="923" spans="10:12" x14ac:dyDescent="0.2">
      <c r="J923">
        <v>10046418</v>
      </c>
      <c r="K923" t="s">
        <v>10282</v>
      </c>
      <c r="L923">
        <v>5</v>
      </c>
    </row>
    <row r="924" spans="10:12" x14ac:dyDescent="0.2">
      <c r="J924">
        <v>10046419</v>
      </c>
      <c r="K924" t="s">
        <v>10640</v>
      </c>
      <c r="L924">
        <v>1</v>
      </c>
    </row>
    <row r="925" spans="10:12" x14ac:dyDescent="0.2">
      <c r="J925">
        <v>10046420</v>
      </c>
      <c r="K925" t="s">
        <v>10286</v>
      </c>
      <c r="L925">
        <v>2</v>
      </c>
    </row>
    <row r="926" spans="10:12" x14ac:dyDescent="0.2">
      <c r="J926">
        <v>10046421</v>
      </c>
      <c r="K926" t="s">
        <v>10288</v>
      </c>
      <c r="L926">
        <v>5</v>
      </c>
    </row>
    <row r="927" spans="10:12" x14ac:dyDescent="0.2">
      <c r="J927">
        <v>10046422</v>
      </c>
      <c r="K927" t="s">
        <v>10290</v>
      </c>
      <c r="L927">
        <v>9</v>
      </c>
    </row>
    <row r="928" spans="10:12" x14ac:dyDescent="0.2">
      <c r="J928">
        <v>10046423</v>
      </c>
      <c r="K928" t="s">
        <v>10307</v>
      </c>
      <c r="L928">
        <v>2</v>
      </c>
    </row>
    <row r="929" spans="10:12" x14ac:dyDescent="0.2">
      <c r="J929">
        <v>10046424</v>
      </c>
      <c r="K929" t="s">
        <v>10309</v>
      </c>
      <c r="L929">
        <v>5</v>
      </c>
    </row>
    <row r="930" spans="10:12" x14ac:dyDescent="0.2">
      <c r="J930">
        <v>10046425</v>
      </c>
      <c r="K930" t="s">
        <v>10311</v>
      </c>
      <c r="L930">
        <v>3</v>
      </c>
    </row>
    <row r="931" spans="10:12" x14ac:dyDescent="0.2">
      <c r="J931">
        <v>40003864</v>
      </c>
      <c r="K931" t="s">
        <v>693</v>
      </c>
      <c r="L931">
        <v>8</v>
      </c>
    </row>
    <row r="932" spans="10:12" x14ac:dyDescent="0.2">
      <c r="J932">
        <v>40003865</v>
      </c>
      <c r="K932" t="s">
        <v>694</v>
      </c>
      <c r="L932">
        <v>6</v>
      </c>
    </row>
    <row r="933" spans="10:12" x14ac:dyDescent="0.2">
      <c r="J933">
        <v>40003866</v>
      </c>
      <c r="K933" t="s">
        <v>695</v>
      </c>
      <c r="L933">
        <v>7</v>
      </c>
    </row>
    <row r="934" spans="10:12" x14ac:dyDescent="0.2">
      <c r="J934">
        <v>40003867</v>
      </c>
      <c r="K934" t="s">
        <v>696</v>
      </c>
      <c r="L934">
        <v>62</v>
      </c>
    </row>
    <row r="935" spans="10:12" x14ac:dyDescent="0.2">
      <c r="J935">
        <v>40003869</v>
      </c>
      <c r="K935" t="s">
        <v>698</v>
      </c>
      <c r="L935">
        <v>10</v>
      </c>
    </row>
    <row r="936" spans="10:12" x14ac:dyDescent="0.2">
      <c r="J936">
        <v>40003870</v>
      </c>
      <c r="K936" t="s">
        <v>699</v>
      </c>
      <c r="L936">
        <v>6</v>
      </c>
    </row>
    <row r="937" spans="10:12" x14ac:dyDescent="0.2">
      <c r="J937">
        <v>40003871</v>
      </c>
      <c r="K937" t="s">
        <v>700</v>
      </c>
      <c r="L937">
        <v>16</v>
      </c>
    </row>
    <row r="938" spans="10:12" x14ac:dyDescent="0.2">
      <c r="J938">
        <v>40003872</v>
      </c>
      <c r="K938" t="s">
        <v>701</v>
      </c>
      <c r="L938">
        <v>13</v>
      </c>
    </row>
    <row r="939" spans="10:12" x14ac:dyDescent="0.2">
      <c r="J939">
        <v>40003873</v>
      </c>
      <c r="K939" t="s">
        <v>702</v>
      </c>
      <c r="L939">
        <v>17</v>
      </c>
    </row>
    <row r="940" spans="10:12" x14ac:dyDescent="0.2">
      <c r="J940">
        <v>40003876</v>
      </c>
      <c r="K940" t="s">
        <v>705</v>
      </c>
      <c r="L940">
        <v>1</v>
      </c>
    </row>
    <row r="941" spans="10:12" x14ac:dyDescent="0.2">
      <c r="J941">
        <v>40003877</v>
      </c>
      <c r="K941" t="s">
        <v>706</v>
      </c>
      <c r="L941">
        <v>7</v>
      </c>
    </row>
    <row r="942" spans="10:12" x14ac:dyDescent="0.2">
      <c r="J942">
        <v>40003878</v>
      </c>
      <c r="K942" t="s">
        <v>707</v>
      </c>
      <c r="L942">
        <v>8</v>
      </c>
    </row>
    <row r="943" spans="10:12" x14ac:dyDescent="0.2">
      <c r="J943">
        <v>40003879</v>
      </c>
      <c r="K943" t="s">
        <v>708</v>
      </c>
      <c r="L943">
        <v>2</v>
      </c>
    </row>
    <row r="944" spans="10:12" x14ac:dyDescent="0.2">
      <c r="J944">
        <v>40003881</v>
      </c>
      <c r="K944" t="s">
        <v>709</v>
      </c>
      <c r="L944">
        <v>1</v>
      </c>
    </row>
    <row r="945" spans="10:12" x14ac:dyDescent="0.2">
      <c r="J945">
        <v>40003882</v>
      </c>
      <c r="K945" t="s">
        <v>710</v>
      </c>
      <c r="L945">
        <v>2</v>
      </c>
    </row>
    <row r="946" spans="10:12" x14ac:dyDescent="0.2">
      <c r="J946">
        <v>40005163</v>
      </c>
      <c r="K946" t="s">
        <v>711</v>
      </c>
      <c r="L946">
        <v>11</v>
      </c>
    </row>
    <row r="947" spans="10:12" x14ac:dyDescent="0.2">
      <c r="J947">
        <v>40005165</v>
      </c>
      <c r="K947" t="s">
        <v>712</v>
      </c>
      <c r="L947">
        <v>10</v>
      </c>
    </row>
    <row r="948" spans="10:12" x14ac:dyDescent="0.2">
      <c r="J948">
        <v>40005166</v>
      </c>
      <c r="K948" t="s">
        <v>713</v>
      </c>
      <c r="L948">
        <v>2</v>
      </c>
    </row>
    <row r="949" spans="10:12" x14ac:dyDescent="0.2">
      <c r="J949">
        <v>40005167</v>
      </c>
      <c r="K949" t="s">
        <v>714</v>
      </c>
      <c r="L949">
        <v>10</v>
      </c>
    </row>
    <row r="950" spans="10:12" x14ac:dyDescent="0.2">
      <c r="J950">
        <v>40005168</v>
      </c>
      <c r="K950" t="s">
        <v>715</v>
      </c>
      <c r="L950">
        <v>2</v>
      </c>
    </row>
    <row r="951" spans="10:12" x14ac:dyDescent="0.2">
      <c r="J951">
        <v>40005169</v>
      </c>
      <c r="K951" t="s">
        <v>716</v>
      </c>
      <c r="L951">
        <v>3</v>
      </c>
    </row>
    <row r="952" spans="10:12" x14ac:dyDescent="0.2">
      <c r="J952">
        <v>40005170</v>
      </c>
      <c r="K952" t="s">
        <v>717</v>
      </c>
      <c r="L952">
        <v>3</v>
      </c>
    </row>
    <row r="953" spans="10:12" x14ac:dyDescent="0.2">
      <c r="J953">
        <v>40005171</v>
      </c>
      <c r="K953" t="s">
        <v>718</v>
      </c>
      <c r="L953">
        <v>4</v>
      </c>
    </row>
    <row r="954" spans="10:12" x14ac:dyDescent="0.2">
      <c r="J954">
        <v>40005172</v>
      </c>
      <c r="K954" t="s">
        <v>719</v>
      </c>
      <c r="L954">
        <v>3</v>
      </c>
    </row>
    <row r="955" spans="10:12" x14ac:dyDescent="0.2">
      <c r="J955">
        <v>40005174</v>
      </c>
      <c r="K955" t="s">
        <v>721</v>
      </c>
      <c r="L955">
        <v>5</v>
      </c>
    </row>
    <row r="956" spans="10:12" x14ac:dyDescent="0.2">
      <c r="J956">
        <v>40005177</v>
      </c>
      <c r="K956" t="s">
        <v>722</v>
      </c>
      <c r="L956">
        <v>5</v>
      </c>
    </row>
    <row r="957" spans="10:12" x14ac:dyDescent="0.2">
      <c r="J957">
        <v>40005178</v>
      </c>
      <c r="K957" t="s">
        <v>723</v>
      </c>
      <c r="L957">
        <v>1</v>
      </c>
    </row>
    <row r="958" spans="10:12" x14ac:dyDescent="0.2">
      <c r="J958">
        <v>40005180</v>
      </c>
      <c r="K958" t="s">
        <v>724</v>
      </c>
      <c r="L958">
        <v>4</v>
      </c>
    </row>
    <row r="959" spans="10:12" x14ac:dyDescent="0.2">
      <c r="J959">
        <v>40005181</v>
      </c>
      <c r="K959" t="s">
        <v>725</v>
      </c>
      <c r="L959">
        <v>1</v>
      </c>
    </row>
    <row r="960" spans="10:12" x14ac:dyDescent="0.2">
      <c r="J960">
        <v>40005182</v>
      </c>
      <c r="K960" t="s">
        <v>726</v>
      </c>
      <c r="L960">
        <v>2</v>
      </c>
    </row>
    <row r="961" spans="10:12" x14ac:dyDescent="0.2">
      <c r="J961">
        <v>40005183</v>
      </c>
      <c r="K961" t="s">
        <v>727</v>
      </c>
      <c r="L961">
        <v>1</v>
      </c>
    </row>
    <row r="962" spans="10:12" x14ac:dyDescent="0.2">
      <c r="J962">
        <v>40005184</v>
      </c>
      <c r="K962" t="s">
        <v>728</v>
      </c>
      <c r="L962">
        <v>1</v>
      </c>
    </row>
    <row r="963" spans="10:12" x14ac:dyDescent="0.2">
      <c r="J963">
        <v>40005185</v>
      </c>
      <c r="K963" t="s">
        <v>729</v>
      </c>
      <c r="L963">
        <v>1</v>
      </c>
    </row>
    <row r="964" spans="10:12" x14ac:dyDescent="0.2">
      <c r="J964">
        <v>40005186</v>
      </c>
      <c r="K964" t="s">
        <v>730</v>
      </c>
      <c r="L964">
        <v>7</v>
      </c>
    </row>
    <row r="965" spans="10:12" x14ac:dyDescent="0.2">
      <c r="J965">
        <v>40005187</v>
      </c>
      <c r="K965" t="s">
        <v>731</v>
      </c>
      <c r="L965">
        <v>1</v>
      </c>
    </row>
    <row r="966" spans="10:12" x14ac:dyDescent="0.2">
      <c r="J966">
        <v>40005188</v>
      </c>
      <c r="K966" t="s">
        <v>732</v>
      </c>
      <c r="L966">
        <v>4</v>
      </c>
    </row>
    <row r="967" spans="10:12" x14ac:dyDescent="0.2">
      <c r="J967">
        <v>40005189</v>
      </c>
      <c r="K967" t="s">
        <v>733</v>
      </c>
      <c r="L967">
        <v>3</v>
      </c>
    </row>
    <row r="968" spans="10:12" x14ac:dyDescent="0.2">
      <c r="J968">
        <v>40005190</v>
      </c>
      <c r="K968" t="s">
        <v>734</v>
      </c>
      <c r="L968">
        <v>2</v>
      </c>
    </row>
    <row r="969" spans="10:12" x14ac:dyDescent="0.2">
      <c r="J969">
        <v>40005193</v>
      </c>
      <c r="K969" t="s">
        <v>735</v>
      </c>
      <c r="L969">
        <v>3</v>
      </c>
    </row>
    <row r="970" spans="10:12" x14ac:dyDescent="0.2">
      <c r="J970">
        <v>40005194</v>
      </c>
      <c r="K970" t="s">
        <v>9732</v>
      </c>
      <c r="L970">
        <v>2</v>
      </c>
    </row>
    <row r="971" spans="10:12" x14ac:dyDescent="0.2">
      <c r="J971">
        <v>40005195</v>
      </c>
      <c r="K971" t="s">
        <v>736</v>
      </c>
      <c r="L971">
        <v>2</v>
      </c>
    </row>
    <row r="972" spans="10:12" x14ac:dyDescent="0.2">
      <c r="J972">
        <v>40005196</v>
      </c>
      <c r="K972" t="s">
        <v>737</v>
      </c>
      <c r="L972">
        <v>1</v>
      </c>
    </row>
    <row r="973" spans="10:12" x14ac:dyDescent="0.2">
      <c r="J973">
        <v>40005197</v>
      </c>
      <c r="K973" t="s">
        <v>738</v>
      </c>
      <c r="L973">
        <v>1</v>
      </c>
    </row>
    <row r="974" spans="10:12" x14ac:dyDescent="0.2">
      <c r="J974">
        <v>40005198</v>
      </c>
      <c r="K974" t="s">
        <v>739</v>
      </c>
      <c r="L974">
        <v>1</v>
      </c>
    </row>
    <row r="975" spans="10:12" x14ac:dyDescent="0.2">
      <c r="J975">
        <v>40005199</v>
      </c>
      <c r="K975" t="s">
        <v>740</v>
      </c>
      <c r="L975">
        <v>1</v>
      </c>
    </row>
    <row r="976" spans="10:12" x14ac:dyDescent="0.2">
      <c r="J976">
        <v>40005200</v>
      </c>
      <c r="K976" t="s">
        <v>741</v>
      </c>
      <c r="L976">
        <v>2</v>
      </c>
    </row>
    <row r="977" spans="10:12" x14ac:dyDescent="0.2">
      <c r="J977">
        <v>40005203</v>
      </c>
      <c r="K977" t="s">
        <v>742</v>
      </c>
      <c r="L977">
        <v>10</v>
      </c>
    </row>
    <row r="978" spans="10:12" x14ac:dyDescent="0.2">
      <c r="J978">
        <v>40005204</v>
      </c>
      <c r="K978" t="s">
        <v>10641</v>
      </c>
      <c r="L978">
        <v>1</v>
      </c>
    </row>
    <row r="979" spans="10:12" x14ac:dyDescent="0.2">
      <c r="J979">
        <v>40005205</v>
      </c>
      <c r="K979" t="s">
        <v>743</v>
      </c>
      <c r="L979">
        <v>1</v>
      </c>
    </row>
    <row r="980" spans="10:12" x14ac:dyDescent="0.2">
      <c r="J980">
        <v>40005206</v>
      </c>
      <c r="K980" t="s">
        <v>744</v>
      </c>
      <c r="L980">
        <v>2</v>
      </c>
    </row>
    <row r="981" spans="10:12" x14ac:dyDescent="0.2">
      <c r="J981">
        <v>40005207</v>
      </c>
      <c r="K981" t="s">
        <v>745</v>
      </c>
      <c r="L981">
        <v>4</v>
      </c>
    </row>
    <row r="982" spans="10:12" x14ac:dyDescent="0.2">
      <c r="J982">
        <v>40005208</v>
      </c>
      <c r="K982" t="s">
        <v>746</v>
      </c>
      <c r="L982">
        <v>7</v>
      </c>
    </row>
    <row r="983" spans="10:12" x14ac:dyDescent="0.2">
      <c r="J983">
        <v>40005209</v>
      </c>
      <c r="K983" t="s">
        <v>747</v>
      </c>
      <c r="L983">
        <v>4</v>
      </c>
    </row>
    <row r="984" spans="10:12" x14ac:dyDescent="0.2">
      <c r="J984">
        <v>40005210</v>
      </c>
      <c r="K984" t="s">
        <v>748</v>
      </c>
      <c r="L984">
        <v>5</v>
      </c>
    </row>
    <row r="985" spans="10:12" x14ac:dyDescent="0.2">
      <c r="J985">
        <v>40005211</v>
      </c>
      <c r="K985" t="s">
        <v>749</v>
      </c>
      <c r="L985">
        <v>4</v>
      </c>
    </row>
    <row r="986" spans="10:12" x14ac:dyDescent="0.2">
      <c r="J986">
        <v>40005212</v>
      </c>
      <c r="K986" t="s">
        <v>750</v>
      </c>
      <c r="L986">
        <v>4</v>
      </c>
    </row>
    <row r="987" spans="10:12" x14ac:dyDescent="0.2">
      <c r="J987">
        <v>40005213</v>
      </c>
      <c r="K987" t="s">
        <v>751</v>
      </c>
      <c r="L987">
        <v>4</v>
      </c>
    </row>
    <row r="988" spans="10:12" x14ac:dyDescent="0.2">
      <c r="J988">
        <v>40005214</v>
      </c>
      <c r="K988" t="s">
        <v>752</v>
      </c>
      <c r="L988">
        <v>2</v>
      </c>
    </row>
    <row r="989" spans="10:12" x14ac:dyDescent="0.2">
      <c r="J989">
        <v>40005215</v>
      </c>
      <c r="K989" t="s">
        <v>753</v>
      </c>
      <c r="L989">
        <v>2</v>
      </c>
    </row>
    <row r="990" spans="10:12" x14ac:dyDescent="0.2">
      <c r="J990">
        <v>40005225</v>
      </c>
      <c r="K990" t="s">
        <v>754</v>
      </c>
      <c r="L990">
        <v>1</v>
      </c>
    </row>
    <row r="991" spans="10:12" x14ac:dyDescent="0.2">
      <c r="J991">
        <v>40005227</v>
      </c>
      <c r="K991" t="s">
        <v>755</v>
      </c>
      <c r="L991">
        <v>20</v>
      </c>
    </row>
    <row r="992" spans="10:12" x14ac:dyDescent="0.2">
      <c r="J992">
        <v>40005228</v>
      </c>
      <c r="K992" t="s">
        <v>5475</v>
      </c>
      <c r="L992">
        <v>13</v>
      </c>
    </row>
    <row r="993" spans="10:12" x14ac:dyDescent="0.2">
      <c r="J993">
        <v>40005230</v>
      </c>
      <c r="K993" t="s">
        <v>756</v>
      </c>
      <c r="L993">
        <v>2</v>
      </c>
    </row>
    <row r="994" spans="10:12" x14ac:dyDescent="0.2">
      <c r="J994">
        <v>40005231</v>
      </c>
      <c r="K994" t="s">
        <v>757</v>
      </c>
      <c r="L994">
        <v>3</v>
      </c>
    </row>
    <row r="995" spans="10:12" x14ac:dyDescent="0.2">
      <c r="J995">
        <v>40005232</v>
      </c>
      <c r="K995" t="s">
        <v>758</v>
      </c>
      <c r="L995">
        <v>3</v>
      </c>
    </row>
    <row r="996" spans="10:12" x14ac:dyDescent="0.2">
      <c r="J996">
        <v>40005233</v>
      </c>
      <c r="K996" t="s">
        <v>759</v>
      </c>
      <c r="L996">
        <v>9</v>
      </c>
    </row>
    <row r="997" spans="10:12" x14ac:dyDescent="0.2">
      <c r="J997">
        <v>40005234</v>
      </c>
      <c r="K997" t="s">
        <v>760</v>
      </c>
      <c r="L997">
        <v>13</v>
      </c>
    </row>
    <row r="998" spans="10:12" x14ac:dyDescent="0.2">
      <c r="J998">
        <v>40005235</v>
      </c>
      <c r="K998" t="s">
        <v>761</v>
      </c>
      <c r="L998">
        <v>2</v>
      </c>
    </row>
    <row r="999" spans="10:12" x14ac:dyDescent="0.2">
      <c r="J999">
        <v>40005236</v>
      </c>
      <c r="K999" t="s">
        <v>762</v>
      </c>
      <c r="L999">
        <v>1</v>
      </c>
    </row>
    <row r="1000" spans="10:12" x14ac:dyDescent="0.2">
      <c r="J1000">
        <v>40005242</v>
      </c>
      <c r="K1000" t="s">
        <v>763</v>
      </c>
      <c r="L1000">
        <v>1</v>
      </c>
    </row>
    <row r="1001" spans="10:12" x14ac:dyDescent="0.2">
      <c r="J1001">
        <v>40005243</v>
      </c>
      <c r="K1001" t="s">
        <v>764</v>
      </c>
      <c r="L1001">
        <v>1</v>
      </c>
    </row>
    <row r="1002" spans="10:12" x14ac:dyDescent="0.2">
      <c r="J1002">
        <v>40005244</v>
      </c>
      <c r="K1002" t="s">
        <v>765</v>
      </c>
      <c r="L1002">
        <v>35</v>
      </c>
    </row>
    <row r="1003" spans="10:12" x14ac:dyDescent="0.2">
      <c r="J1003">
        <v>40005245</v>
      </c>
      <c r="K1003" t="s">
        <v>766</v>
      </c>
      <c r="L1003">
        <v>5</v>
      </c>
    </row>
    <row r="1004" spans="10:12" x14ac:dyDescent="0.2">
      <c r="J1004">
        <v>40005246</v>
      </c>
      <c r="K1004" t="s">
        <v>767</v>
      </c>
      <c r="L1004">
        <v>10</v>
      </c>
    </row>
    <row r="1005" spans="10:12" x14ac:dyDescent="0.2">
      <c r="J1005">
        <v>40005247</v>
      </c>
      <c r="K1005" t="s">
        <v>3815</v>
      </c>
      <c r="L1005">
        <v>1</v>
      </c>
    </row>
    <row r="1006" spans="10:12" x14ac:dyDescent="0.2">
      <c r="J1006">
        <v>40005248</v>
      </c>
      <c r="K1006" t="s">
        <v>768</v>
      </c>
      <c r="L1006">
        <v>9</v>
      </c>
    </row>
    <row r="1007" spans="10:12" x14ac:dyDescent="0.2">
      <c r="J1007">
        <v>40005249</v>
      </c>
      <c r="K1007" t="s">
        <v>769</v>
      </c>
      <c r="L1007">
        <v>2</v>
      </c>
    </row>
    <row r="1008" spans="10:12" x14ac:dyDescent="0.2">
      <c r="J1008">
        <v>40005250</v>
      </c>
      <c r="K1008" t="s">
        <v>770</v>
      </c>
      <c r="L1008">
        <v>4</v>
      </c>
    </row>
    <row r="1009" spans="10:12" x14ac:dyDescent="0.2">
      <c r="J1009">
        <v>40005252</v>
      </c>
      <c r="K1009" t="s">
        <v>771</v>
      </c>
      <c r="L1009">
        <v>2</v>
      </c>
    </row>
    <row r="1010" spans="10:12" x14ac:dyDescent="0.2">
      <c r="J1010">
        <v>40005253</v>
      </c>
      <c r="K1010" t="s">
        <v>772</v>
      </c>
      <c r="L1010">
        <v>6</v>
      </c>
    </row>
    <row r="1011" spans="10:12" x14ac:dyDescent="0.2">
      <c r="J1011">
        <v>40005254</v>
      </c>
      <c r="K1011" t="s">
        <v>9763</v>
      </c>
      <c r="L1011">
        <v>5</v>
      </c>
    </row>
    <row r="1012" spans="10:12" x14ac:dyDescent="0.2">
      <c r="J1012">
        <v>40005255</v>
      </c>
      <c r="K1012" t="s">
        <v>773</v>
      </c>
      <c r="L1012">
        <v>2</v>
      </c>
    </row>
    <row r="1013" spans="10:12" x14ac:dyDescent="0.2">
      <c r="J1013">
        <v>40005256</v>
      </c>
      <c r="K1013" t="s">
        <v>9793</v>
      </c>
      <c r="L1013">
        <v>1</v>
      </c>
    </row>
    <row r="1014" spans="10:12" x14ac:dyDescent="0.2">
      <c r="J1014">
        <v>40005257</v>
      </c>
      <c r="K1014" t="s">
        <v>9791</v>
      </c>
      <c r="L1014">
        <v>1</v>
      </c>
    </row>
    <row r="1015" spans="10:12" x14ac:dyDescent="0.2">
      <c r="J1015">
        <v>40005258</v>
      </c>
      <c r="K1015" t="s">
        <v>9799</v>
      </c>
      <c r="L1015">
        <v>1</v>
      </c>
    </row>
    <row r="1016" spans="10:12" x14ac:dyDescent="0.2">
      <c r="J1016">
        <v>40005259</v>
      </c>
      <c r="K1016" t="s">
        <v>774</v>
      </c>
      <c r="L1016">
        <v>3</v>
      </c>
    </row>
    <row r="1017" spans="10:12" x14ac:dyDescent="0.2">
      <c r="J1017">
        <v>40005260</v>
      </c>
      <c r="K1017" t="s">
        <v>775</v>
      </c>
      <c r="L1017">
        <v>5</v>
      </c>
    </row>
    <row r="1018" spans="10:12" x14ac:dyDescent="0.2">
      <c r="J1018">
        <v>40005261</v>
      </c>
      <c r="K1018" t="s">
        <v>776</v>
      </c>
      <c r="L1018">
        <v>4</v>
      </c>
    </row>
    <row r="1019" spans="10:12" x14ac:dyDescent="0.2">
      <c r="J1019">
        <v>40005262</v>
      </c>
      <c r="K1019" t="s">
        <v>777</v>
      </c>
      <c r="L1019">
        <v>3</v>
      </c>
    </row>
    <row r="1020" spans="10:12" x14ac:dyDescent="0.2">
      <c r="J1020">
        <v>40005263</v>
      </c>
      <c r="K1020" t="s">
        <v>778</v>
      </c>
      <c r="L1020">
        <v>1</v>
      </c>
    </row>
    <row r="1021" spans="10:12" x14ac:dyDescent="0.2">
      <c r="J1021">
        <v>40005266</v>
      </c>
      <c r="K1021" t="s">
        <v>779</v>
      </c>
      <c r="L1021">
        <v>2</v>
      </c>
    </row>
    <row r="1022" spans="10:12" x14ac:dyDescent="0.2">
      <c r="J1022">
        <v>40005270</v>
      </c>
      <c r="K1022" t="s">
        <v>3910</v>
      </c>
      <c r="L1022">
        <v>1</v>
      </c>
    </row>
    <row r="1023" spans="10:12" x14ac:dyDescent="0.2">
      <c r="J1023">
        <v>40005271</v>
      </c>
      <c r="K1023" t="s">
        <v>780</v>
      </c>
      <c r="L1023">
        <v>3</v>
      </c>
    </row>
    <row r="1024" spans="10:12" x14ac:dyDescent="0.2">
      <c r="J1024">
        <v>40005272</v>
      </c>
      <c r="K1024" t="s">
        <v>781</v>
      </c>
      <c r="L1024">
        <v>1</v>
      </c>
    </row>
    <row r="1025" spans="10:12" x14ac:dyDescent="0.2">
      <c r="J1025">
        <v>40005274</v>
      </c>
      <c r="K1025" t="s">
        <v>9767</v>
      </c>
      <c r="L1025">
        <v>3</v>
      </c>
    </row>
    <row r="1026" spans="10:12" x14ac:dyDescent="0.2">
      <c r="J1026">
        <v>40005275</v>
      </c>
      <c r="K1026" t="s">
        <v>782</v>
      </c>
      <c r="L1026">
        <v>2</v>
      </c>
    </row>
    <row r="1027" spans="10:12" x14ac:dyDescent="0.2">
      <c r="J1027">
        <v>40005276</v>
      </c>
      <c r="K1027" t="s">
        <v>783</v>
      </c>
      <c r="L1027">
        <v>1</v>
      </c>
    </row>
    <row r="1028" spans="10:12" x14ac:dyDescent="0.2">
      <c r="J1028">
        <v>40005277</v>
      </c>
      <c r="K1028" t="s">
        <v>784</v>
      </c>
      <c r="L1028">
        <v>4</v>
      </c>
    </row>
    <row r="1029" spans="10:12" x14ac:dyDescent="0.2">
      <c r="J1029">
        <v>40005284</v>
      </c>
      <c r="K1029" t="s">
        <v>785</v>
      </c>
      <c r="L1029">
        <v>5</v>
      </c>
    </row>
    <row r="1030" spans="10:12" x14ac:dyDescent="0.2">
      <c r="J1030">
        <v>40005285</v>
      </c>
      <c r="K1030" t="s">
        <v>786</v>
      </c>
      <c r="L1030">
        <v>5</v>
      </c>
    </row>
    <row r="1031" spans="10:12" x14ac:dyDescent="0.2">
      <c r="J1031">
        <v>40005286</v>
      </c>
      <c r="K1031" t="s">
        <v>787</v>
      </c>
      <c r="L1031">
        <v>1</v>
      </c>
    </row>
    <row r="1032" spans="10:12" x14ac:dyDescent="0.2">
      <c r="J1032">
        <v>40005288</v>
      </c>
      <c r="K1032" t="s">
        <v>788</v>
      </c>
      <c r="L1032">
        <v>1</v>
      </c>
    </row>
    <row r="1033" spans="10:12" x14ac:dyDescent="0.2">
      <c r="J1033">
        <v>40005289</v>
      </c>
      <c r="K1033" t="s">
        <v>789</v>
      </c>
      <c r="L1033">
        <v>2</v>
      </c>
    </row>
    <row r="1034" spans="10:12" x14ac:dyDescent="0.2">
      <c r="J1034">
        <v>40005291</v>
      </c>
      <c r="K1034" t="s">
        <v>791</v>
      </c>
      <c r="L1034">
        <v>19</v>
      </c>
    </row>
    <row r="1035" spans="10:12" x14ac:dyDescent="0.2">
      <c r="J1035">
        <v>40005292</v>
      </c>
      <c r="K1035" t="s">
        <v>792</v>
      </c>
      <c r="L1035">
        <v>5</v>
      </c>
    </row>
    <row r="1036" spans="10:12" x14ac:dyDescent="0.2">
      <c r="J1036">
        <v>40005293</v>
      </c>
      <c r="K1036" t="s">
        <v>793</v>
      </c>
      <c r="L1036">
        <v>4</v>
      </c>
    </row>
    <row r="1037" spans="10:12" x14ac:dyDescent="0.2">
      <c r="J1037">
        <v>40005294</v>
      </c>
      <c r="K1037" t="s">
        <v>794</v>
      </c>
      <c r="L1037">
        <v>2</v>
      </c>
    </row>
    <row r="1038" spans="10:12" x14ac:dyDescent="0.2">
      <c r="J1038">
        <v>40005295</v>
      </c>
      <c r="K1038" t="s">
        <v>9553</v>
      </c>
      <c r="L1038">
        <v>1</v>
      </c>
    </row>
    <row r="1039" spans="10:12" x14ac:dyDescent="0.2">
      <c r="J1039">
        <v>40005296</v>
      </c>
      <c r="K1039" t="s">
        <v>795</v>
      </c>
      <c r="L1039">
        <v>5</v>
      </c>
    </row>
    <row r="1040" spans="10:12" x14ac:dyDescent="0.2">
      <c r="J1040">
        <v>40005298</v>
      </c>
      <c r="K1040" t="s">
        <v>796</v>
      </c>
      <c r="L1040">
        <v>1</v>
      </c>
    </row>
    <row r="1041" spans="10:12" x14ac:dyDescent="0.2">
      <c r="J1041">
        <v>40005301</v>
      </c>
      <c r="K1041" t="s">
        <v>798</v>
      </c>
      <c r="L1041">
        <v>2</v>
      </c>
    </row>
    <row r="1042" spans="10:12" x14ac:dyDescent="0.2">
      <c r="J1042">
        <v>40005303</v>
      </c>
      <c r="K1042" t="s">
        <v>799</v>
      </c>
      <c r="L1042">
        <v>3</v>
      </c>
    </row>
    <row r="1043" spans="10:12" x14ac:dyDescent="0.2">
      <c r="J1043">
        <v>40005305</v>
      </c>
      <c r="K1043" t="s">
        <v>800</v>
      </c>
      <c r="L1043">
        <v>4</v>
      </c>
    </row>
    <row r="1044" spans="10:12" x14ac:dyDescent="0.2">
      <c r="J1044">
        <v>40005306</v>
      </c>
      <c r="K1044" t="s">
        <v>801</v>
      </c>
      <c r="L1044">
        <v>10</v>
      </c>
    </row>
    <row r="1045" spans="10:12" x14ac:dyDescent="0.2">
      <c r="J1045">
        <v>40005310</v>
      </c>
      <c r="K1045" t="s">
        <v>802</v>
      </c>
      <c r="L1045">
        <v>3</v>
      </c>
    </row>
    <row r="1046" spans="10:12" x14ac:dyDescent="0.2">
      <c r="J1046">
        <v>40005311</v>
      </c>
      <c r="K1046" t="s">
        <v>803</v>
      </c>
      <c r="L1046">
        <v>1</v>
      </c>
    </row>
    <row r="1047" spans="10:12" x14ac:dyDescent="0.2">
      <c r="J1047">
        <v>40005312</v>
      </c>
      <c r="K1047" t="s">
        <v>804</v>
      </c>
      <c r="L1047">
        <v>2</v>
      </c>
    </row>
    <row r="1048" spans="10:12" x14ac:dyDescent="0.2">
      <c r="J1048">
        <v>40005313</v>
      </c>
      <c r="K1048" t="s">
        <v>805</v>
      </c>
      <c r="L1048">
        <v>28</v>
      </c>
    </row>
    <row r="1049" spans="10:12" x14ac:dyDescent="0.2">
      <c r="J1049">
        <v>40005314</v>
      </c>
      <c r="K1049" t="s">
        <v>806</v>
      </c>
      <c r="L1049">
        <v>3</v>
      </c>
    </row>
    <row r="1050" spans="10:12" x14ac:dyDescent="0.2">
      <c r="J1050">
        <v>40005316</v>
      </c>
      <c r="K1050" t="s">
        <v>807</v>
      </c>
      <c r="L1050">
        <v>5</v>
      </c>
    </row>
    <row r="1051" spans="10:12" x14ac:dyDescent="0.2">
      <c r="J1051">
        <v>40005317</v>
      </c>
      <c r="K1051" t="s">
        <v>808</v>
      </c>
      <c r="L1051">
        <v>5</v>
      </c>
    </row>
    <row r="1052" spans="10:12" x14ac:dyDescent="0.2">
      <c r="J1052">
        <v>40005318</v>
      </c>
      <c r="K1052" t="s">
        <v>809</v>
      </c>
      <c r="L1052">
        <v>4</v>
      </c>
    </row>
    <row r="1053" spans="10:12" x14ac:dyDescent="0.2">
      <c r="J1053">
        <v>40005319</v>
      </c>
      <c r="K1053" t="s">
        <v>810</v>
      </c>
      <c r="L1053">
        <v>4</v>
      </c>
    </row>
    <row r="1054" spans="10:12" x14ac:dyDescent="0.2">
      <c r="J1054">
        <v>40005321</v>
      </c>
      <c r="K1054" t="s">
        <v>811</v>
      </c>
      <c r="L1054">
        <v>1</v>
      </c>
    </row>
    <row r="1055" spans="10:12" x14ac:dyDescent="0.2">
      <c r="J1055">
        <v>40005322</v>
      </c>
      <c r="K1055" t="s">
        <v>812</v>
      </c>
      <c r="L1055">
        <v>1</v>
      </c>
    </row>
    <row r="1056" spans="10:12" x14ac:dyDescent="0.2">
      <c r="J1056">
        <v>40005323</v>
      </c>
      <c r="K1056" t="s">
        <v>813</v>
      </c>
      <c r="L1056">
        <v>2</v>
      </c>
    </row>
    <row r="1057" spans="10:12" x14ac:dyDescent="0.2">
      <c r="J1057">
        <v>40005325</v>
      </c>
      <c r="K1057" t="s">
        <v>814</v>
      </c>
      <c r="L1057">
        <v>5</v>
      </c>
    </row>
    <row r="1058" spans="10:12" x14ac:dyDescent="0.2">
      <c r="J1058">
        <v>40005326</v>
      </c>
      <c r="K1058" t="s">
        <v>815</v>
      </c>
      <c r="L1058">
        <v>6</v>
      </c>
    </row>
    <row r="1059" spans="10:12" x14ac:dyDescent="0.2">
      <c r="J1059">
        <v>40005328</v>
      </c>
      <c r="K1059" t="s">
        <v>816</v>
      </c>
      <c r="L1059">
        <v>2</v>
      </c>
    </row>
    <row r="1060" spans="10:12" x14ac:dyDescent="0.2">
      <c r="J1060">
        <v>40005329</v>
      </c>
      <c r="K1060" t="s">
        <v>817</v>
      </c>
      <c r="L1060">
        <v>1</v>
      </c>
    </row>
    <row r="1061" spans="10:12" x14ac:dyDescent="0.2">
      <c r="J1061">
        <v>40005330</v>
      </c>
      <c r="K1061" t="s">
        <v>818</v>
      </c>
      <c r="L1061">
        <v>2</v>
      </c>
    </row>
    <row r="1062" spans="10:12" x14ac:dyDescent="0.2">
      <c r="J1062">
        <v>40005331</v>
      </c>
      <c r="K1062" t="s">
        <v>9746</v>
      </c>
      <c r="L1062">
        <v>3</v>
      </c>
    </row>
    <row r="1063" spans="10:12" x14ac:dyDescent="0.2">
      <c r="J1063">
        <v>40005332</v>
      </c>
      <c r="K1063" t="s">
        <v>819</v>
      </c>
      <c r="L1063">
        <v>2</v>
      </c>
    </row>
    <row r="1064" spans="10:12" x14ac:dyDescent="0.2">
      <c r="J1064">
        <v>40005334</v>
      </c>
      <c r="K1064" t="s">
        <v>821</v>
      </c>
      <c r="L1064">
        <v>6</v>
      </c>
    </row>
    <row r="1065" spans="10:12" x14ac:dyDescent="0.2">
      <c r="J1065">
        <v>40005335</v>
      </c>
      <c r="K1065" t="s">
        <v>822</v>
      </c>
      <c r="L1065">
        <v>2</v>
      </c>
    </row>
    <row r="1066" spans="10:12" x14ac:dyDescent="0.2">
      <c r="J1066">
        <v>40005336</v>
      </c>
      <c r="K1066" t="s">
        <v>823</v>
      </c>
      <c r="L1066">
        <v>2</v>
      </c>
    </row>
    <row r="1067" spans="10:12" x14ac:dyDescent="0.2">
      <c r="J1067">
        <v>40005337</v>
      </c>
      <c r="K1067" t="s">
        <v>824</v>
      </c>
      <c r="L1067">
        <v>3</v>
      </c>
    </row>
    <row r="1068" spans="10:12" x14ac:dyDescent="0.2">
      <c r="J1068">
        <v>40005338</v>
      </c>
      <c r="K1068" t="s">
        <v>825</v>
      </c>
      <c r="L1068">
        <v>2</v>
      </c>
    </row>
    <row r="1069" spans="10:12" x14ac:dyDescent="0.2">
      <c r="J1069">
        <v>40005339</v>
      </c>
      <c r="K1069" t="s">
        <v>826</v>
      </c>
      <c r="L1069">
        <v>2</v>
      </c>
    </row>
    <row r="1070" spans="10:12" x14ac:dyDescent="0.2">
      <c r="J1070">
        <v>40005340</v>
      </c>
      <c r="K1070" t="s">
        <v>3839</v>
      </c>
      <c r="L1070">
        <v>1</v>
      </c>
    </row>
    <row r="1071" spans="10:12" x14ac:dyDescent="0.2">
      <c r="J1071">
        <v>40005341</v>
      </c>
      <c r="K1071" t="s">
        <v>827</v>
      </c>
      <c r="L1071">
        <v>1</v>
      </c>
    </row>
    <row r="1072" spans="10:12" x14ac:dyDescent="0.2">
      <c r="J1072">
        <v>40005342</v>
      </c>
      <c r="K1072" t="s">
        <v>828</v>
      </c>
      <c r="L1072">
        <v>1</v>
      </c>
    </row>
    <row r="1073" spans="10:12" x14ac:dyDescent="0.2">
      <c r="J1073">
        <v>40005343</v>
      </c>
      <c r="K1073" t="s">
        <v>829</v>
      </c>
      <c r="L1073">
        <v>3</v>
      </c>
    </row>
    <row r="1074" spans="10:12" x14ac:dyDescent="0.2">
      <c r="J1074">
        <v>40005345</v>
      </c>
      <c r="K1074" t="s">
        <v>830</v>
      </c>
      <c r="L1074">
        <v>17</v>
      </c>
    </row>
    <row r="1075" spans="10:12" x14ac:dyDescent="0.2">
      <c r="J1075">
        <v>40005346</v>
      </c>
      <c r="K1075" t="s">
        <v>831</v>
      </c>
      <c r="L1075">
        <v>4</v>
      </c>
    </row>
    <row r="1076" spans="10:12" x14ac:dyDescent="0.2">
      <c r="J1076">
        <v>40005347</v>
      </c>
      <c r="K1076" t="s">
        <v>832</v>
      </c>
      <c r="L1076">
        <v>7</v>
      </c>
    </row>
    <row r="1077" spans="10:12" x14ac:dyDescent="0.2">
      <c r="J1077">
        <v>40005349</v>
      </c>
      <c r="K1077" t="s">
        <v>834</v>
      </c>
      <c r="L1077">
        <v>2</v>
      </c>
    </row>
    <row r="1078" spans="10:12" x14ac:dyDescent="0.2">
      <c r="J1078">
        <v>40005350</v>
      </c>
      <c r="K1078" t="s">
        <v>835</v>
      </c>
      <c r="L1078">
        <v>8</v>
      </c>
    </row>
    <row r="1079" spans="10:12" x14ac:dyDescent="0.2">
      <c r="J1079">
        <v>40005351</v>
      </c>
      <c r="K1079" t="s">
        <v>836</v>
      </c>
      <c r="L1079">
        <v>1</v>
      </c>
    </row>
    <row r="1080" spans="10:12" x14ac:dyDescent="0.2">
      <c r="J1080">
        <v>40005352</v>
      </c>
      <c r="K1080" t="s">
        <v>837</v>
      </c>
      <c r="L1080">
        <v>2</v>
      </c>
    </row>
    <row r="1081" spans="10:12" x14ac:dyDescent="0.2">
      <c r="J1081">
        <v>40005353</v>
      </c>
      <c r="K1081" t="s">
        <v>838</v>
      </c>
      <c r="L1081">
        <v>1</v>
      </c>
    </row>
    <row r="1082" spans="10:12" x14ac:dyDescent="0.2">
      <c r="J1082">
        <v>40005354</v>
      </c>
      <c r="K1082" t="s">
        <v>839</v>
      </c>
      <c r="L1082">
        <v>9</v>
      </c>
    </row>
    <row r="1083" spans="10:12" x14ac:dyDescent="0.2">
      <c r="J1083">
        <v>40005356</v>
      </c>
      <c r="K1083" t="s">
        <v>840</v>
      </c>
      <c r="L1083">
        <v>35</v>
      </c>
    </row>
    <row r="1084" spans="10:12" x14ac:dyDescent="0.2">
      <c r="J1084">
        <v>40005357</v>
      </c>
      <c r="K1084" t="s">
        <v>841</v>
      </c>
      <c r="L1084">
        <v>1</v>
      </c>
    </row>
    <row r="1085" spans="10:12" x14ac:dyDescent="0.2">
      <c r="J1085">
        <v>40005358</v>
      </c>
      <c r="K1085" t="s">
        <v>842</v>
      </c>
      <c r="L1085">
        <v>6</v>
      </c>
    </row>
    <row r="1086" spans="10:12" x14ac:dyDescent="0.2">
      <c r="J1086">
        <v>40005360</v>
      </c>
      <c r="K1086" t="s">
        <v>3906</v>
      </c>
      <c r="L1086">
        <v>5</v>
      </c>
    </row>
    <row r="1087" spans="10:12" x14ac:dyDescent="0.2">
      <c r="J1087">
        <v>40005361</v>
      </c>
      <c r="K1087" t="s">
        <v>843</v>
      </c>
      <c r="L1087">
        <v>2</v>
      </c>
    </row>
    <row r="1088" spans="10:12" x14ac:dyDescent="0.2">
      <c r="J1088">
        <v>40005362</v>
      </c>
      <c r="K1088" t="s">
        <v>844</v>
      </c>
      <c r="L1088">
        <v>5</v>
      </c>
    </row>
    <row r="1089" spans="10:12" x14ac:dyDescent="0.2">
      <c r="J1089">
        <v>40005364</v>
      </c>
      <c r="K1089" t="s">
        <v>845</v>
      </c>
      <c r="L1089">
        <v>2</v>
      </c>
    </row>
    <row r="1090" spans="10:12" x14ac:dyDescent="0.2">
      <c r="J1090">
        <v>40005365</v>
      </c>
      <c r="K1090" t="s">
        <v>846</v>
      </c>
      <c r="L1090">
        <v>1</v>
      </c>
    </row>
    <row r="1091" spans="10:12" x14ac:dyDescent="0.2">
      <c r="J1091">
        <v>40005366</v>
      </c>
      <c r="K1091" t="s">
        <v>847</v>
      </c>
      <c r="L1091">
        <v>5</v>
      </c>
    </row>
    <row r="1092" spans="10:12" x14ac:dyDescent="0.2">
      <c r="J1092">
        <v>40005367</v>
      </c>
      <c r="K1092" t="s">
        <v>848</v>
      </c>
      <c r="L1092">
        <v>5</v>
      </c>
    </row>
    <row r="1093" spans="10:12" x14ac:dyDescent="0.2">
      <c r="J1093">
        <v>40005368</v>
      </c>
      <c r="K1093" t="s">
        <v>849</v>
      </c>
      <c r="L1093">
        <v>5</v>
      </c>
    </row>
    <row r="1094" spans="10:12" x14ac:dyDescent="0.2">
      <c r="J1094">
        <v>40005369</v>
      </c>
      <c r="K1094" t="s">
        <v>850</v>
      </c>
      <c r="L1094">
        <v>3</v>
      </c>
    </row>
    <row r="1095" spans="10:12" x14ac:dyDescent="0.2">
      <c r="J1095">
        <v>40005370</v>
      </c>
      <c r="K1095" t="s">
        <v>851</v>
      </c>
      <c r="L1095">
        <v>1</v>
      </c>
    </row>
    <row r="1096" spans="10:12" x14ac:dyDescent="0.2">
      <c r="J1096">
        <v>40005371</v>
      </c>
      <c r="K1096" t="s">
        <v>852</v>
      </c>
      <c r="L1096">
        <v>5</v>
      </c>
    </row>
    <row r="1097" spans="10:12" x14ac:dyDescent="0.2">
      <c r="J1097">
        <v>40005373</v>
      </c>
      <c r="K1097" t="s">
        <v>3726</v>
      </c>
      <c r="L1097">
        <v>2</v>
      </c>
    </row>
    <row r="1098" spans="10:12" x14ac:dyDescent="0.2">
      <c r="J1098">
        <v>40005374</v>
      </c>
      <c r="K1098" t="s">
        <v>854</v>
      </c>
      <c r="L1098">
        <v>3</v>
      </c>
    </row>
    <row r="1099" spans="10:12" x14ac:dyDescent="0.2">
      <c r="J1099">
        <v>40005375</v>
      </c>
      <c r="K1099" t="s">
        <v>5301</v>
      </c>
      <c r="L1099">
        <v>5</v>
      </c>
    </row>
    <row r="1100" spans="10:12" x14ac:dyDescent="0.2">
      <c r="J1100">
        <v>40005376</v>
      </c>
      <c r="K1100" t="s">
        <v>855</v>
      </c>
      <c r="L1100">
        <v>1</v>
      </c>
    </row>
    <row r="1101" spans="10:12" x14ac:dyDescent="0.2">
      <c r="J1101">
        <v>40005377</v>
      </c>
      <c r="K1101" t="s">
        <v>856</v>
      </c>
      <c r="L1101">
        <v>3</v>
      </c>
    </row>
    <row r="1102" spans="10:12" x14ac:dyDescent="0.2">
      <c r="J1102">
        <v>40005378</v>
      </c>
      <c r="K1102" t="s">
        <v>9737</v>
      </c>
      <c r="L1102">
        <v>3</v>
      </c>
    </row>
    <row r="1103" spans="10:12" x14ac:dyDescent="0.2">
      <c r="J1103">
        <v>40005379</v>
      </c>
      <c r="K1103" t="s">
        <v>857</v>
      </c>
      <c r="L1103">
        <v>6</v>
      </c>
    </row>
    <row r="1104" spans="10:12" x14ac:dyDescent="0.2">
      <c r="J1104">
        <v>40005380</v>
      </c>
      <c r="K1104" t="s">
        <v>858</v>
      </c>
      <c r="L1104">
        <v>1</v>
      </c>
    </row>
    <row r="1105" spans="10:12" x14ac:dyDescent="0.2">
      <c r="J1105">
        <v>40005381</v>
      </c>
      <c r="K1105" t="s">
        <v>859</v>
      </c>
      <c r="L1105">
        <v>8</v>
      </c>
    </row>
    <row r="1106" spans="10:12" x14ac:dyDescent="0.2">
      <c r="J1106">
        <v>40005382</v>
      </c>
      <c r="K1106" t="s">
        <v>860</v>
      </c>
      <c r="L1106">
        <v>3</v>
      </c>
    </row>
    <row r="1107" spans="10:12" x14ac:dyDescent="0.2">
      <c r="J1107">
        <v>40005383</v>
      </c>
      <c r="K1107" t="s">
        <v>861</v>
      </c>
      <c r="L1107">
        <v>9</v>
      </c>
    </row>
    <row r="1108" spans="10:12" x14ac:dyDescent="0.2">
      <c r="J1108">
        <v>40005384</v>
      </c>
      <c r="K1108" t="s">
        <v>3834</v>
      </c>
      <c r="L1108">
        <v>1</v>
      </c>
    </row>
    <row r="1109" spans="10:12" x14ac:dyDescent="0.2">
      <c r="J1109">
        <v>40005385</v>
      </c>
      <c r="K1109" t="s">
        <v>862</v>
      </c>
      <c r="L1109">
        <v>3</v>
      </c>
    </row>
    <row r="1110" spans="10:12" x14ac:dyDescent="0.2">
      <c r="J1110">
        <v>40005386</v>
      </c>
      <c r="K1110" t="s">
        <v>863</v>
      </c>
      <c r="L1110">
        <v>12</v>
      </c>
    </row>
    <row r="1111" spans="10:12" x14ac:dyDescent="0.2">
      <c r="J1111">
        <v>40005387</v>
      </c>
      <c r="K1111" t="s">
        <v>864</v>
      </c>
      <c r="L1111">
        <v>5</v>
      </c>
    </row>
    <row r="1112" spans="10:12" x14ac:dyDescent="0.2">
      <c r="J1112">
        <v>40005388</v>
      </c>
      <c r="K1112" t="s">
        <v>865</v>
      </c>
      <c r="L1112">
        <v>3</v>
      </c>
    </row>
    <row r="1113" spans="10:12" x14ac:dyDescent="0.2">
      <c r="J1113">
        <v>40005389</v>
      </c>
      <c r="K1113" t="s">
        <v>866</v>
      </c>
      <c r="L1113">
        <v>3</v>
      </c>
    </row>
    <row r="1114" spans="10:12" x14ac:dyDescent="0.2">
      <c r="J1114">
        <v>40005390</v>
      </c>
      <c r="K1114" t="s">
        <v>867</v>
      </c>
      <c r="L1114">
        <v>1</v>
      </c>
    </row>
    <row r="1115" spans="10:12" x14ac:dyDescent="0.2">
      <c r="J1115">
        <v>40005391</v>
      </c>
      <c r="K1115" t="s">
        <v>868</v>
      </c>
      <c r="L1115">
        <v>1</v>
      </c>
    </row>
    <row r="1116" spans="10:12" x14ac:dyDescent="0.2">
      <c r="J1116">
        <v>40005392</v>
      </c>
      <c r="K1116" t="s">
        <v>869</v>
      </c>
      <c r="L1116">
        <v>8</v>
      </c>
    </row>
    <row r="1117" spans="10:12" x14ac:dyDescent="0.2">
      <c r="J1117">
        <v>40005393</v>
      </c>
      <c r="K1117" t="s">
        <v>870</v>
      </c>
      <c r="L1117">
        <v>21</v>
      </c>
    </row>
    <row r="1118" spans="10:12" x14ac:dyDescent="0.2">
      <c r="J1118">
        <v>40005394</v>
      </c>
      <c r="K1118" t="s">
        <v>871</v>
      </c>
      <c r="L1118">
        <v>6</v>
      </c>
    </row>
    <row r="1119" spans="10:12" x14ac:dyDescent="0.2">
      <c r="J1119">
        <v>40005395</v>
      </c>
      <c r="K1119" t="s">
        <v>872</v>
      </c>
      <c r="L1119">
        <v>1</v>
      </c>
    </row>
    <row r="1120" spans="10:12" x14ac:dyDescent="0.2">
      <c r="J1120">
        <v>40005396</v>
      </c>
      <c r="K1120" t="s">
        <v>873</v>
      </c>
      <c r="L1120">
        <v>1</v>
      </c>
    </row>
    <row r="1121" spans="10:12" x14ac:dyDescent="0.2">
      <c r="J1121">
        <v>40005398</v>
      </c>
      <c r="K1121" t="s">
        <v>875</v>
      </c>
      <c r="L1121">
        <v>1</v>
      </c>
    </row>
    <row r="1122" spans="10:12" x14ac:dyDescent="0.2">
      <c r="J1122">
        <v>40005399</v>
      </c>
      <c r="K1122" t="s">
        <v>876</v>
      </c>
      <c r="L1122">
        <v>1</v>
      </c>
    </row>
    <row r="1123" spans="10:12" x14ac:dyDescent="0.2">
      <c r="J1123">
        <v>40005400</v>
      </c>
      <c r="K1123" t="s">
        <v>877</v>
      </c>
      <c r="L1123">
        <v>5</v>
      </c>
    </row>
    <row r="1124" spans="10:12" x14ac:dyDescent="0.2">
      <c r="J1124">
        <v>40005401</v>
      </c>
      <c r="K1124" t="s">
        <v>878</v>
      </c>
      <c r="L1124">
        <v>7</v>
      </c>
    </row>
    <row r="1125" spans="10:12" x14ac:dyDescent="0.2">
      <c r="J1125">
        <v>40005402</v>
      </c>
      <c r="K1125" t="s">
        <v>879</v>
      </c>
      <c r="L1125">
        <v>2</v>
      </c>
    </row>
    <row r="1126" spans="10:12" x14ac:dyDescent="0.2">
      <c r="J1126">
        <v>40005403</v>
      </c>
      <c r="K1126" t="s">
        <v>880</v>
      </c>
      <c r="L1126">
        <v>2</v>
      </c>
    </row>
    <row r="1127" spans="10:12" x14ac:dyDescent="0.2">
      <c r="J1127">
        <v>40005404</v>
      </c>
      <c r="K1127" t="s">
        <v>881</v>
      </c>
      <c r="L1127">
        <v>4</v>
      </c>
    </row>
    <row r="1128" spans="10:12" x14ac:dyDescent="0.2">
      <c r="J1128">
        <v>40005405</v>
      </c>
      <c r="K1128" t="s">
        <v>882</v>
      </c>
      <c r="L1128">
        <v>1</v>
      </c>
    </row>
    <row r="1129" spans="10:12" x14ac:dyDescent="0.2">
      <c r="J1129">
        <v>40005406</v>
      </c>
      <c r="K1129" t="s">
        <v>883</v>
      </c>
      <c r="L1129">
        <v>5</v>
      </c>
    </row>
    <row r="1130" spans="10:12" x14ac:dyDescent="0.2">
      <c r="J1130">
        <v>40005407</v>
      </c>
      <c r="K1130" t="s">
        <v>5427</v>
      </c>
      <c r="L1130">
        <v>3</v>
      </c>
    </row>
    <row r="1131" spans="10:12" x14ac:dyDescent="0.2">
      <c r="J1131">
        <v>40005408</v>
      </c>
      <c r="K1131" t="s">
        <v>884</v>
      </c>
      <c r="L1131">
        <v>5</v>
      </c>
    </row>
    <row r="1132" spans="10:12" x14ac:dyDescent="0.2">
      <c r="J1132">
        <v>40005409</v>
      </c>
      <c r="K1132" t="s">
        <v>885</v>
      </c>
      <c r="L1132">
        <v>5</v>
      </c>
    </row>
    <row r="1133" spans="10:12" x14ac:dyDescent="0.2">
      <c r="J1133">
        <v>40005410</v>
      </c>
      <c r="K1133" t="s">
        <v>886</v>
      </c>
      <c r="L1133">
        <v>3</v>
      </c>
    </row>
    <row r="1134" spans="10:12" x14ac:dyDescent="0.2">
      <c r="J1134">
        <v>40005411</v>
      </c>
      <c r="K1134" t="s">
        <v>887</v>
      </c>
      <c r="L1134">
        <v>1</v>
      </c>
    </row>
    <row r="1135" spans="10:12" x14ac:dyDescent="0.2">
      <c r="J1135">
        <v>40005412</v>
      </c>
      <c r="K1135" t="s">
        <v>888</v>
      </c>
      <c r="L1135">
        <v>5</v>
      </c>
    </row>
    <row r="1136" spans="10:12" x14ac:dyDescent="0.2">
      <c r="J1136">
        <v>40005413</v>
      </c>
      <c r="K1136" t="s">
        <v>889</v>
      </c>
      <c r="L1136">
        <v>14</v>
      </c>
    </row>
    <row r="1137" spans="10:12" x14ac:dyDescent="0.2">
      <c r="J1137">
        <v>40005414</v>
      </c>
      <c r="K1137" t="s">
        <v>890</v>
      </c>
      <c r="L1137">
        <v>6</v>
      </c>
    </row>
    <row r="1138" spans="10:12" x14ac:dyDescent="0.2">
      <c r="J1138">
        <v>40005415</v>
      </c>
      <c r="K1138" t="s">
        <v>891</v>
      </c>
      <c r="L1138">
        <v>2</v>
      </c>
    </row>
    <row r="1139" spans="10:12" x14ac:dyDescent="0.2">
      <c r="J1139">
        <v>40005416</v>
      </c>
      <c r="K1139" t="s">
        <v>892</v>
      </c>
      <c r="L1139">
        <v>2</v>
      </c>
    </row>
    <row r="1140" spans="10:12" x14ac:dyDescent="0.2">
      <c r="J1140">
        <v>40005417</v>
      </c>
      <c r="K1140" t="s">
        <v>893</v>
      </c>
      <c r="L1140">
        <v>2</v>
      </c>
    </row>
    <row r="1141" spans="10:12" x14ac:dyDescent="0.2">
      <c r="J1141">
        <v>40005418</v>
      </c>
      <c r="K1141" t="s">
        <v>894</v>
      </c>
      <c r="L1141">
        <v>7</v>
      </c>
    </row>
    <row r="1142" spans="10:12" x14ac:dyDescent="0.2">
      <c r="J1142">
        <v>40005419</v>
      </c>
      <c r="K1142" t="s">
        <v>895</v>
      </c>
      <c r="L1142">
        <v>2</v>
      </c>
    </row>
    <row r="1143" spans="10:12" x14ac:dyDescent="0.2">
      <c r="J1143">
        <v>40005420</v>
      </c>
      <c r="K1143" t="s">
        <v>896</v>
      </c>
      <c r="L1143">
        <v>3</v>
      </c>
    </row>
    <row r="1144" spans="10:12" x14ac:dyDescent="0.2">
      <c r="J1144">
        <v>40005421</v>
      </c>
      <c r="K1144" t="s">
        <v>897</v>
      </c>
      <c r="L1144">
        <v>2</v>
      </c>
    </row>
    <row r="1145" spans="10:12" x14ac:dyDescent="0.2">
      <c r="J1145">
        <v>40005422</v>
      </c>
      <c r="K1145" t="s">
        <v>898</v>
      </c>
      <c r="L1145">
        <v>4</v>
      </c>
    </row>
    <row r="1146" spans="10:12" x14ac:dyDescent="0.2">
      <c r="J1146">
        <v>40005423</v>
      </c>
      <c r="K1146" t="s">
        <v>899</v>
      </c>
      <c r="L1146">
        <v>2</v>
      </c>
    </row>
    <row r="1147" spans="10:12" x14ac:dyDescent="0.2">
      <c r="J1147">
        <v>40005425</v>
      </c>
      <c r="K1147" t="s">
        <v>900</v>
      </c>
      <c r="L1147">
        <v>2</v>
      </c>
    </row>
    <row r="1148" spans="10:12" x14ac:dyDescent="0.2">
      <c r="J1148">
        <v>40005426</v>
      </c>
      <c r="K1148" t="s">
        <v>901</v>
      </c>
      <c r="L1148">
        <v>1</v>
      </c>
    </row>
    <row r="1149" spans="10:12" x14ac:dyDescent="0.2">
      <c r="J1149">
        <v>40005427</v>
      </c>
      <c r="K1149" t="s">
        <v>902</v>
      </c>
      <c r="L1149">
        <v>1</v>
      </c>
    </row>
    <row r="1150" spans="10:12" x14ac:dyDescent="0.2">
      <c r="J1150">
        <v>40005428</v>
      </c>
      <c r="K1150" t="s">
        <v>903</v>
      </c>
      <c r="L1150">
        <v>1</v>
      </c>
    </row>
    <row r="1151" spans="10:12" x14ac:dyDescent="0.2">
      <c r="J1151">
        <v>40005429</v>
      </c>
      <c r="K1151" t="s">
        <v>904</v>
      </c>
      <c r="L1151">
        <v>1</v>
      </c>
    </row>
    <row r="1152" spans="10:12" x14ac:dyDescent="0.2">
      <c r="J1152">
        <v>40005430</v>
      </c>
      <c r="K1152" t="s">
        <v>905</v>
      </c>
      <c r="L1152">
        <v>2</v>
      </c>
    </row>
    <row r="1153" spans="10:12" x14ac:dyDescent="0.2">
      <c r="J1153">
        <v>40005431</v>
      </c>
      <c r="K1153" t="s">
        <v>906</v>
      </c>
      <c r="L1153">
        <v>12</v>
      </c>
    </row>
    <row r="1154" spans="10:12" x14ac:dyDescent="0.2">
      <c r="J1154">
        <v>40005432</v>
      </c>
      <c r="K1154" t="s">
        <v>907</v>
      </c>
      <c r="L1154">
        <v>1</v>
      </c>
    </row>
    <row r="1155" spans="10:12" x14ac:dyDescent="0.2">
      <c r="J1155">
        <v>40005433</v>
      </c>
      <c r="K1155" t="s">
        <v>908</v>
      </c>
      <c r="L1155">
        <v>2</v>
      </c>
    </row>
    <row r="1156" spans="10:12" x14ac:dyDescent="0.2">
      <c r="J1156">
        <v>40005434</v>
      </c>
      <c r="K1156" t="s">
        <v>5428</v>
      </c>
      <c r="L1156">
        <v>6</v>
      </c>
    </row>
    <row r="1157" spans="10:12" x14ac:dyDescent="0.2">
      <c r="J1157">
        <v>40005435</v>
      </c>
      <c r="K1157" t="s">
        <v>909</v>
      </c>
      <c r="L1157">
        <v>2</v>
      </c>
    </row>
    <row r="1158" spans="10:12" x14ac:dyDescent="0.2">
      <c r="J1158">
        <v>40005437</v>
      </c>
      <c r="K1158" t="s">
        <v>911</v>
      </c>
      <c r="L1158">
        <v>1</v>
      </c>
    </row>
    <row r="1159" spans="10:12" x14ac:dyDescent="0.2">
      <c r="J1159">
        <v>40005438</v>
      </c>
      <c r="K1159" t="s">
        <v>912</v>
      </c>
      <c r="L1159">
        <v>1</v>
      </c>
    </row>
    <row r="1160" spans="10:12" x14ac:dyDescent="0.2">
      <c r="J1160">
        <v>40005439</v>
      </c>
      <c r="K1160" t="s">
        <v>913</v>
      </c>
      <c r="L1160">
        <v>1</v>
      </c>
    </row>
    <row r="1161" spans="10:12" x14ac:dyDescent="0.2">
      <c r="J1161">
        <v>40005440</v>
      </c>
      <c r="K1161" t="s">
        <v>914</v>
      </c>
      <c r="L1161">
        <v>3</v>
      </c>
    </row>
    <row r="1162" spans="10:12" x14ac:dyDescent="0.2">
      <c r="J1162">
        <v>40005441</v>
      </c>
      <c r="K1162" t="s">
        <v>915</v>
      </c>
      <c r="L1162">
        <v>1</v>
      </c>
    </row>
    <row r="1163" spans="10:12" x14ac:dyDescent="0.2">
      <c r="J1163">
        <v>40005442</v>
      </c>
      <c r="K1163" t="s">
        <v>916</v>
      </c>
      <c r="L1163">
        <v>1</v>
      </c>
    </row>
    <row r="1164" spans="10:12" x14ac:dyDescent="0.2">
      <c r="J1164">
        <v>40005443</v>
      </c>
      <c r="K1164" t="s">
        <v>917</v>
      </c>
      <c r="L1164">
        <v>6</v>
      </c>
    </row>
    <row r="1165" spans="10:12" x14ac:dyDescent="0.2">
      <c r="J1165">
        <v>40005444</v>
      </c>
      <c r="K1165" t="s">
        <v>10642</v>
      </c>
      <c r="L1165">
        <v>3</v>
      </c>
    </row>
    <row r="1166" spans="10:12" x14ac:dyDescent="0.2">
      <c r="J1166">
        <v>40005445</v>
      </c>
      <c r="K1166" t="s">
        <v>918</v>
      </c>
      <c r="L1166">
        <v>1</v>
      </c>
    </row>
    <row r="1167" spans="10:12" x14ac:dyDescent="0.2">
      <c r="J1167">
        <v>40005446</v>
      </c>
      <c r="K1167" t="s">
        <v>919</v>
      </c>
      <c r="L1167">
        <v>5</v>
      </c>
    </row>
    <row r="1168" spans="10:12" x14ac:dyDescent="0.2">
      <c r="J1168">
        <v>40005447</v>
      </c>
      <c r="K1168" t="s">
        <v>920</v>
      </c>
      <c r="L1168">
        <v>1</v>
      </c>
    </row>
    <row r="1169" spans="10:12" x14ac:dyDescent="0.2">
      <c r="J1169">
        <v>40005448</v>
      </c>
      <c r="K1169" t="s">
        <v>921</v>
      </c>
      <c r="L1169">
        <v>4</v>
      </c>
    </row>
    <row r="1170" spans="10:12" x14ac:dyDescent="0.2">
      <c r="J1170">
        <v>40005449</v>
      </c>
      <c r="K1170" t="s">
        <v>922</v>
      </c>
      <c r="L1170">
        <v>7</v>
      </c>
    </row>
    <row r="1171" spans="10:12" x14ac:dyDescent="0.2">
      <c r="J1171">
        <v>40005450</v>
      </c>
      <c r="K1171" t="s">
        <v>923</v>
      </c>
      <c r="L1171">
        <v>1</v>
      </c>
    </row>
    <row r="1172" spans="10:12" x14ac:dyDescent="0.2">
      <c r="J1172">
        <v>40005451</v>
      </c>
      <c r="K1172" t="s">
        <v>924</v>
      </c>
      <c r="L1172">
        <v>2</v>
      </c>
    </row>
    <row r="1173" spans="10:12" x14ac:dyDescent="0.2">
      <c r="J1173">
        <v>40005452</v>
      </c>
      <c r="K1173" t="s">
        <v>925</v>
      </c>
      <c r="L1173">
        <v>4</v>
      </c>
    </row>
    <row r="1174" spans="10:12" x14ac:dyDescent="0.2">
      <c r="J1174">
        <v>40005453</v>
      </c>
      <c r="K1174" t="s">
        <v>926</v>
      </c>
      <c r="L1174">
        <v>1</v>
      </c>
    </row>
    <row r="1175" spans="10:12" x14ac:dyDescent="0.2">
      <c r="J1175">
        <v>40005454</v>
      </c>
      <c r="K1175" t="s">
        <v>927</v>
      </c>
      <c r="L1175">
        <v>2</v>
      </c>
    </row>
    <row r="1176" spans="10:12" x14ac:dyDescent="0.2">
      <c r="J1176">
        <v>40005455</v>
      </c>
      <c r="K1176" t="s">
        <v>928</v>
      </c>
      <c r="L1176">
        <v>1</v>
      </c>
    </row>
    <row r="1177" spans="10:12" x14ac:dyDescent="0.2">
      <c r="J1177">
        <v>40005457</v>
      </c>
      <c r="K1177" t="s">
        <v>930</v>
      </c>
      <c r="L1177">
        <v>1</v>
      </c>
    </row>
    <row r="1178" spans="10:12" x14ac:dyDescent="0.2">
      <c r="J1178">
        <v>40005458</v>
      </c>
      <c r="K1178" t="s">
        <v>931</v>
      </c>
      <c r="L1178">
        <v>24</v>
      </c>
    </row>
    <row r="1179" spans="10:12" x14ac:dyDescent="0.2">
      <c r="J1179">
        <v>40005459</v>
      </c>
      <c r="K1179" t="s">
        <v>932</v>
      </c>
      <c r="L1179">
        <v>6</v>
      </c>
    </row>
    <row r="1180" spans="10:12" x14ac:dyDescent="0.2">
      <c r="J1180">
        <v>40005460</v>
      </c>
      <c r="K1180" t="s">
        <v>933</v>
      </c>
      <c r="L1180">
        <v>5</v>
      </c>
    </row>
    <row r="1181" spans="10:12" x14ac:dyDescent="0.2">
      <c r="J1181">
        <v>40005461</v>
      </c>
      <c r="K1181" t="s">
        <v>934</v>
      </c>
      <c r="L1181">
        <v>2</v>
      </c>
    </row>
    <row r="1182" spans="10:12" x14ac:dyDescent="0.2">
      <c r="J1182">
        <v>40005462</v>
      </c>
      <c r="K1182" t="s">
        <v>935</v>
      </c>
      <c r="L1182">
        <v>1</v>
      </c>
    </row>
    <row r="1183" spans="10:12" x14ac:dyDescent="0.2">
      <c r="J1183">
        <v>40005463</v>
      </c>
      <c r="K1183" t="s">
        <v>936</v>
      </c>
      <c r="L1183">
        <v>6</v>
      </c>
    </row>
    <row r="1184" spans="10:12" x14ac:dyDescent="0.2">
      <c r="J1184">
        <v>40005465</v>
      </c>
      <c r="K1184" t="s">
        <v>937</v>
      </c>
      <c r="L1184">
        <v>1</v>
      </c>
    </row>
    <row r="1185" spans="10:12" x14ac:dyDescent="0.2">
      <c r="J1185">
        <v>40005467</v>
      </c>
      <c r="K1185" t="s">
        <v>938</v>
      </c>
      <c r="L1185">
        <v>2</v>
      </c>
    </row>
    <row r="1186" spans="10:12" x14ac:dyDescent="0.2">
      <c r="J1186">
        <v>40005468</v>
      </c>
      <c r="K1186" t="s">
        <v>939</v>
      </c>
      <c r="L1186">
        <v>5</v>
      </c>
    </row>
    <row r="1187" spans="10:12" x14ac:dyDescent="0.2">
      <c r="J1187">
        <v>40005469</v>
      </c>
      <c r="K1187" t="s">
        <v>940</v>
      </c>
      <c r="L1187">
        <v>1</v>
      </c>
    </row>
    <row r="1188" spans="10:12" x14ac:dyDescent="0.2">
      <c r="J1188">
        <v>40005470</v>
      </c>
      <c r="K1188" t="s">
        <v>941</v>
      </c>
      <c r="L1188">
        <v>7</v>
      </c>
    </row>
    <row r="1189" spans="10:12" x14ac:dyDescent="0.2">
      <c r="J1189">
        <v>40005471</v>
      </c>
      <c r="K1189" t="s">
        <v>942</v>
      </c>
      <c r="L1189">
        <v>1</v>
      </c>
    </row>
    <row r="1190" spans="10:12" x14ac:dyDescent="0.2">
      <c r="J1190">
        <v>40005473</v>
      </c>
      <c r="K1190" t="s">
        <v>944</v>
      </c>
      <c r="L1190">
        <v>1</v>
      </c>
    </row>
    <row r="1191" spans="10:12" x14ac:dyDescent="0.2">
      <c r="J1191">
        <v>40005474</v>
      </c>
      <c r="K1191" t="s">
        <v>945</v>
      </c>
      <c r="L1191">
        <v>1</v>
      </c>
    </row>
    <row r="1192" spans="10:12" x14ac:dyDescent="0.2">
      <c r="J1192">
        <v>40005475</v>
      </c>
      <c r="K1192" t="s">
        <v>946</v>
      </c>
      <c r="L1192">
        <v>1</v>
      </c>
    </row>
    <row r="1193" spans="10:12" x14ac:dyDescent="0.2">
      <c r="J1193">
        <v>40005476</v>
      </c>
      <c r="K1193" t="s">
        <v>947</v>
      </c>
      <c r="L1193">
        <v>2</v>
      </c>
    </row>
    <row r="1194" spans="10:12" x14ac:dyDescent="0.2">
      <c r="J1194">
        <v>40005477</v>
      </c>
      <c r="K1194" t="s">
        <v>948</v>
      </c>
      <c r="L1194">
        <v>1</v>
      </c>
    </row>
    <row r="1195" spans="10:12" x14ac:dyDescent="0.2">
      <c r="J1195">
        <v>40005478</v>
      </c>
      <c r="K1195" t="s">
        <v>949</v>
      </c>
      <c r="L1195">
        <v>2</v>
      </c>
    </row>
    <row r="1196" spans="10:12" x14ac:dyDescent="0.2">
      <c r="J1196">
        <v>40005479</v>
      </c>
      <c r="K1196" t="s">
        <v>950</v>
      </c>
      <c r="L1196">
        <v>1</v>
      </c>
    </row>
    <row r="1197" spans="10:12" x14ac:dyDescent="0.2">
      <c r="J1197">
        <v>40005481</v>
      </c>
      <c r="K1197" t="s">
        <v>951</v>
      </c>
      <c r="L1197">
        <v>1</v>
      </c>
    </row>
    <row r="1198" spans="10:12" x14ac:dyDescent="0.2">
      <c r="J1198">
        <v>40005482</v>
      </c>
      <c r="K1198" t="s">
        <v>952</v>
      </c>
      <c r="L1198">
        <v>1</v>
      </c>
    </row>
    <row r="1199" spans="10:12" x14ac:dyDescent="0.2">
      <c r="J1199">
        <v>40005483</v>
      </c>
      <c r="K1199" t="s">
        <v>953</v>
      </c>
      <c r="L1199">
        <v>1</v>
      </c>
    </row>
    <row r="1200" spans="10:12" x14ac:dyDescent="0.2">
      <c r="J1200">
        <v>40005484</v>
      </c>
      <c r="K1200" t="s">
        <v>954</v>
      </c>
      <c r="L1200">
        <v>2</v>
      </c>
    </row>
    <row r="1201" spans="10:12" x14ac:dyDescent="0.2">
      <c r="J1201">
        <v>40005485</v>
      </c>
      <c r="K1201" t="s">
        <v>955</v>
      </c>
      <c r="L1201">
        <v>1</v>
      </c>
    </row>
    <row r="1202" spans="10:12" x14ac:dyDescent="0.2">
      <c r="J1202">
        <v>40005486</v>
      </c>
      <c r="K1202" t="s">
        <v>956</v>
      </c>
      <c r="L1202">
        <v>2</v>
      </c>
    </row>
    <row r="1203" spans="10:12" x14ac:dyDescent="0.2">
      <c r="J1203">
        <v>40005487</v>
      </c>
      <c r="K1203" t="s">
        <v>957</v>
      </c>
      <c r="L1203">
        <v>4</v>
      </c>
    </row>
    <row r="1204" spans="10:12" x14ac:dyDescent="0.2">
      <c r="J1204">
        <v>40005488</v>
      </c>
      <c r="K1204" t="s">
        <v>958</v>
      </c>
      <c r="L1204">
        <v>1</v>
      </c>
    </row>
    <row r="1205" spans="10:12" x14ac:dyDescent="0.2">
      <c r="J1205">
        <v>40005490</v>
      </c>
      <c r="K1205" t="s">
        <v>959</v>
      </c>
      <c r="L1205">
        <v>2</v>
      </c>
    </row>
    <row r="1206" spans="10:12" x14ac:dyDescent="0.2">
      <c r="J1206">
        <v>40005491</v>
      </c>
      <c r="K1206" t="s">
        <v>960</v>
      </c>
      <c r="L1206">
        <v>12</v>
      </c>
    </row>
    <row r="1207" spans="10:12" x14ac:dyDescent="0.2">
      <c r="J1207">
        <v>40005492</v>
      </c>
      <c r="K1207" t="s">
        <v>961</v>
      </c>
      <c r="L1207">
        <v>1</v>
      </c>
    </row>
    <row r="1208" spans="10:12" x14ac:dyDescent="0.2">
      <c r="J1208">
        <v>40005493</v>
      </c>
      <c r="K1208" t="s">
        <v>962</v>
      </c>
      <c r="L1208">
        <v>2</v>
      </c>
    </row>
    <row r="1209" spans="10:12" x14ac:dyDescent="0.2">
      <c r="J1209">
        <v>40005494</v>
      </c>
      <c r="K1209" t="s">
        <v>963</v>
      </c>
      <c r="L1209">
        <v>1</v>
      </c>
    </row>
    <row r="1210" spans="10:12" x14ac:dyDescent="0.2">
      <c r="J1210">
        <v>40005495</v>
      </c>
      <c r="K1210" t="s">
        <v>964</v>
      </c>
      <c r="L1210">
        <v>1</v>
      </c>
    </row>
    <row r="1211" spans="10:12" x14ac:dyDescent="0.2">
      <c r="J1211">
        <v>40005496</v>
      </c>
      <c r="K1211" t="s">
        <v>965</v>
      </c>
      <c r="L1211">
        <v>2</v>
      </c>
    </row>
    <row r="1212" spans="10:12" x14ac:dyDescent="0.2">
      <c r="J1212">
        <v>40005497</v>
      </c>
      <c r="K1212" t="s">
        <v>966</v>
      </c>
      <c r="L1212">
        <v>1</v>
      </c>
    </row>
    <row r="1213" spans="10:12" x14ac:dyDescent="0.2">
      <c r="J1213">
        <v>40005499</v>
      </c>
      <c r="K1213" t="s">
        <v>967</v>
      </c>
      <c r="L1213">
        <v>1</v>
      </c>
    </row>
    <row r="1214" spans="10:12" x14ac:dyDescent="0.2">
      <c r="J1214">
        <v>40005500</v>
      </c>
      <c r="K1214" t="s">
        <v>968</v>
      </c>
      <c r="L1214">
        <v>2</v>
      </c>
    </row>
    <row r="1215" spans="10:12" x14ac:dyDescent="0.2">
      <c r="J1215">
        <v>40005501</v>
      </c>
      <c r="K1215" t="s">
        <v>969</v>
      </c>
      <c r="L1215">
        <v>1</v>
      </c>
    </row>
    <row r="1216" spans="10:12" x14ac:dyDescent="0.2">
      <c r="J1216">
        <v>40005502</v>
      </c>
      <c r="K1216" t="s">
        <v>970</v>
      </c>
      <c r="L1216">
        <v>1</v>
      </c>
    </row>
    <row r="1217" spans="10:12" x14ac:dyDescent="0.2">
      <c r="J1217">
        <v>40005503</v>
      </c>
      <c r="K1217" t="s">
        <v>971</v>
      </c>
      <c r="L1217">
        <v>1</v>
      </c>
    </row>
    <row r="1218" spans="10:12" x14ac:dyDescent="0.2">
      <c r="J1218">
        <v>40005504</v>
      </c>
      <c r="K1218" t="s">
        <v>972</v>
      </c>
      <c r="L1218">
        <v>8</v>
      </c>
    </row>
    <row r="1219" spans="10:12" x14ac:dyDescent="0.2">
      <c r="J1219">
        <v>40005507</v>
      </c>
      <c r="K1219" t="s">
        <v>973</v>
      </c>
      <c r="L1219">
        <v>1</v>
      </c>
    </row>
    <row r="1220" spans="10:12" x14ac:dyDescent="0.2">
      <c r="J1220">
        <v>40005508</v>
      </c>
      <c r="K1220" t="s">
        <v>974</v>
      </c>
      <c r="L1220">
        <v>1</v>
      </c>
    </row>
    <row r="1221" spans="10:12" x14ac:dyDescent="0.2">
      <c r="J1221">
        <v>40005509</v>
      </c>
      <c r="K1221" t="s">
        <v>975</v>
      </c>
      <c r="L1221">
        <v>1</v>
      </c>
    </row>
    <row r="1222" spans="10:12" x14ac:dyDescent="0.2">
      <c r="J1222">
        <v>40005510</v>
      </c>
      <c r="K1222" t="s">
        <v>976</v>
      </c>
      <c r="L1222">
        <v>1</v>
      </c>
    </row>
    <row r="1223" spans="10:12" x14ac:dyDescent="0.2">
      <c r="J1223">
        <v>40005511</v>
      </c>
      <c r="K1223" t="s">
        <v>977</v>
      </c>
      <c r="L1223">
        <v>1</v>
      </c>
    </row>
    <row r="1224" spans="10:12" x14ac:dyDescent="0.2">
      <c r="J1224">
        <v>40005513</v>
      </c>
      <c r="K1224" t="s">
        <v>978</v>
      </c>
      <c r="L1224">
        <v>1</v>
      </c>
    </row>
    <row r="1225" spans="10:12" x14ac:dyDescent="0.2">
      <c r="J1225">
        <v>40005515</v>
      </c>
      <c r="K1225" t="s">
        <v>979</v>
      </c>
      <c r="L1225">
        <v>1</v>
      </c>
    </row>
    <row r="1226" spans="10:12" x14ac:dyDescent="0.2">
      <c r="J1226">
        <v>40005516</v>
      </c>
      <c r="K1226" t="s">
        <v>980</v>
      </c>
      <c r="L1226">
        <v>1</v>
      </c>
    </row>
    <row r="1227" spans="10:12" x14ac:dyDescent="0.2">
      <c r="J1227">
        <v>40005517</v>
      </c>
      <c r="K1227" t="s">
        <v>981</v>
      </c>
      <c r="L1227">
        <v>1</v>
      </c>
    </row>
    <row r="1228" spans="10:12" x14ac:dyDescent="0.2">
      <c r="J1228">
        <v>40005518</v>
      </c>
      <c r="K1228" t="s">
        <v>982</v>
      </c>
      <c r="L1228">
        <v>1</v>
      </c>
    </row>
    <row r="1229" spans="10:12" x14ac:dyDescent="0.2">
      <c r="J1229">
        <v>40005519</v>
      </c>
      <c r="K1229" t="s">
        <v>983</v>
      </c>
      <c r="L1229">
        <v>10</v>
      </c>
    </row>
    <row r="1230" spans="10:12" x14ac:dyDescent="0.2">
      <c r="J1230">
        <v>40005520</v>
      </c>
      <c r="K1230" t="s">
        <v>984</v>
      </c>
      <c r="L1230">
        <v>1</v>
      </c>
    </row>
    <row r="1231" spans="10:12" x14ac:dyDescent="0.2">
      <c r="J1231">
        <v>40005521</v>
      </c>
      <c r="K1231" t="s">
        <v>985</v>
      </c>
      <c r="L1231">
        <v>1</v>
      </c>
    </row>
    <row r="1232" spans="10:12" x14ac:dyDescent="0.2">
      <c r="J1232">
        <v>40005522</v>
      </c>
      <c r="K1232" t="s">
        <v>986</v>
      </c>
      <c r="L1232">
        <v>1</v>
      </c>
    </row>
    <row r="1233" spans="10:12" x14ac:dyDescent="0.2">
      <c r="J1233">
        <v>40005523</v>
      </c>
      <c r="K1233" t="s">
        <v>987</v>
      </c>
      <c r="L1233">
        <v>1</v>
      </c>
    </row>
    <row r="1234" spans="10:12" x14ac:dyDescent="0.2">
      <c r="J1234">
        <v>40005524</v>
      </c>
      <c r="K1234" t="s">
        <v>988</v>
      </c>
      <c r="L1234">
        <v>1</v>
      </c>
    </row>
    <row r="1235" spans="10:12" x14ac:dyDescent="0.2">
      <c r="J1235">
        <v>40005525</v>
      </c>
      <c r="K1235" t="s">
        <v>989</v>
      </c>
      <c r="L1235">
        <v>1</v>
      </c>
    </row>
    <row r="1236" spans="10:12" x14ac:dyDescent="0.2">
      <c r="J1236">
        <v>40005526</v>
      </c>
      <c r="K1236" t="s">
        <v>990</v>
      </c>
      <c r="L1236">
        <v>1</v>
      </c>
    </row>
    <row r="1237" spans="10:12" x14ac:dyDescent="0.2">
      <c r="J1237">
        <v>40005527</v>
      </c>
      <c r="K1237" t="s">
        <v>991</v>
      </c>
      <c r="L1237">
        <v>3</v>
      </c>
    </row>
    <row r="1238" spans="10:12" x14ac:dyDescent="0.2">
      <c r="J1238">
        <v>40005528</v>
      </c>
      <c r="K1238" t="s">
        <v>992</v>
      </c>
      <c r="L1238">
        <v>1</v>
      </c>
    </row>
    <row r="1239" spans="10:12" x14ac:dyDescent="0.2">
      <c r="J1239">
        <v>40005529</v>
      </c>
      <c r="K1239" t="s">
        <v>993</v>
      </c>
      <c r="L1239">
        <v>1</v>
      </c>
    </row>
    <row r="1240" spans="10:12" x14ac:dyDescent="0.2">
      <c r="J1240">
        <v>40005530</v>
      </c>
      <c r="K1240" t="s">
        <v>994</v>
      </c>
      <c r="L1240">
        <v>1</v>
      </c>
    </row>
    <row r="1241" spans="10:12" x14ac:dyDescent="0.2">
      <c r="J1241">
        <v>40005531</v>
      </c>
      <c r="K1241" t="s">
        <v>995</v>
      </c>
      <c r="L1241">
        <v>5</v>
      </c>
    </row>
    <row r="1242" spans="10:12" x14ac:dyDescent="0.2">
      <c r="J1242">
        <v>40005532</v>
      </c>
      <c r="K1242" t="s">
        <v>996</v>
      </c>
      <c r="L1242">
        <v>2</v>
      </c>
    </row>
    <row r="1243" spans="10:12" x14ac:dyDescent="0.2">
      <c r="J1243">
        <v>40005534</v>
      </c>
      <c r="K1243" t="s">
        <v>997</v>
      </c>
      <c r="L1243">
        <v>5</v>
      </c>
    </row>
    <row r="1244" spans="10:12" x14ac:dyDescent="0.2">
      <c r="J1244">
        <v>40005535</v>
      </c>
      <c r="K1244" t="s">
        <v>3692</v>
      </c>
      <c r="L1244">
        <v>1</v>
      </c>
    </row>
    <row r="1245" spans="10:12" x14ac:dyDescent="0.2">
      <c r="J1245">
        <v>40005536</v>
      </c>
      <c r="K1245" t="s">
        <v>998</v>
      </c>
      <c r="L1245">
        <v>5</v>
      </c>
    </row>
    <row r="1246" spans="10:12" x14ac:dyDescent="0.2">
      <c r="J1246">
        <v>40005537</v>
      </c>
      <c r="K1246" t="s">
        <v>999</v>
      </c>
      <c r="L1246">
        <v>7</v>
      </c>
    </row>
    <row r="1247" spans="10:12" x14ac:dyDescent="0.2">
      <c r="J1247">
        <v>40005538</v>
      </c>
      <c r="K1247" t="s">
        <v>1000</v>
      </c>
      <c r="L1247">
        <v>1</v>
      </c>
    </row>
    <row r="1248" spans="10:12" x14ac:dyDescent="0.2">
      <c r="J1248">
        <v>40005540</v>
      </c>
      <c r="K1248" t="s">
        <v>1001</v>
      </c>
      <c r="L1248">
        <v>3</v>
      </c>
    </row>
    <row r="1249" spans="10:12" x14ac:dyDescent="0.2">
      <c r="J1249">
        <v>40005541</v>
      </c>
      <c r="K1249" t="s">
        <v>3914</v>
      </c>
      <c r="L1249">
        <v>4</v>
      </c>
    </row>
    <row r="1250" spans="10:12" x14ac:dyDescent="0.2">
      <c r="J1250">
        <v>40005542</v>
      </c>
      <c r="K1250" t="s">
        <v>1002</v>
      </c>
      <c r="L1250">
        <v>1</v>
      </c>
    </row>
    <row r="1251" spans="10:12" x14ac:dyDescent="0.2">
      <c r="J1251">
        <v>40005543</v>
      </c>
      <c r="K1251" t="s">
        <v>1003</v>
      </c>
      <c r="L1251">
        <v>1</v>
      </c>
    </row>
    <row r="1252" spans="10:12" x14ac:dyDescent="0.2">
      <c r="J1252">
        <v>40005544</v>
      </c>
      <c r="K1252" t="s">
        <v>1004</v>
      </c>
      <c r="L1252">
        <v>4</v>
      </c>
    </row>
    <row r="1253" spans="10:12" x14ac:dyDescent="0.2">
      <c r="J1253">
        <v>40005546</v>
      </c>
      <c r="K1253" t="s">
        <v>1006</v>
      </c>
      <c r="L1253">
        <v>1</v>
      </c>
    </row>
    <row r="1254" spans="10:12" x14ac:dyDescent="0.2">
      <c r="J1254">
        <v>40005547</v>
      </c>
      <c r="K1254" t="s">
        <v>1007</v>
      </c>
      <c r="L1254">
        <v>6</v>
      </c>
    </row>
    <row r="1255" spans="10:12" x14ac:dyDescent="0.2">
      <c r="J1255">
        <v>40005549</v>
      </c>
      <c r="K1255" t="s">
        <v>1008</v>
      </c>
      <c r="L1255">
        <v>4</v>
      </c>
    </row>
    <row r="1256" spans="10:12" x14ac:dyDescent="0.2">
      <c r="J1256">
        <v>40005550</v>
      </c>
      <c r="K1256" t="s">
        <v>1009</v>
      </c>
      <c r="L1256">
        <v>4</v>
      </c>
    </row>
    <row r="1257" spans="10:12" x14ac:dyDescent="0.2">
      <c r="J1257">
        <v>40005551</v>
      </c>
      <c r="K1257" t="s">
        <v>1010</v>
      </c>
      <c r="L1257">
        <v>9</v>
      </c>
    </row>
    <row r="1258" spans="10:12" x14ac:dyDescent="0.2">
      <c r="J1258">
        <v>40005552</v>
      </c>
      <c r="K1258" t="s">
        <v>1011</v>
      </c>
      <c r="L1258">
        <v>2</v>
      </c>
    </row>
    <row r="1259" spans="10:12" x14ac:dyDescent="0.2">
      <c r="J1259">
        <v>40005553</v>
      </c>
      <c r="K1259" t="s">
        <v>1012</v>
      </c>
      <c r="L1259">
        <v>11</v>
      </c>
    </row>
    <row r="1260" spans="10:12" x14ac:dyDescent="0.2">
      <c r="J1260">
        <v>40005554</v>
      </c>
      <c r="K1260" t="s">
        <v>1013</v>
      </c>
      <c r="L1260">
        <v>1</v>
      </c>
    </row>
    <row r="1261" spans="10:12" x14ac:dyDescent="0.2">
      <c r="J1261">
        <v>40005555</v>
      </c>
      <c r="K1261" t="s">
        <v>3657</v>
      </c>
      <c r="L1261">
        <v>52</v>
      </c>
    </row>
    <row r="1262" spans="10:12" x14ac:dyDescent="0.2">
      <c r="J1262">
        <v>40005556</v>
      </c>
      <c r="K1262" t="s">
        <v>1014</v>
      </c>
      <c r="L1262">
        <v>1</v>
      </c>
    </row>
    <row r="1263" spans="10:12" x14ac:dyDescent="0.2">
      <c r="J1263">
        <v>40005558</v>
      </c>
      <c r="K1263" t="s">
        <v>1015</v>
      </c>
      <c r="L1263">
        <v>5</v>
      </c>
    </row>
    <row r="1264" spans="10:12" x14ac:dyDescent="0.2">
      <c r="J1264">
        <v>40005560</v>
      </c>
      <c r="K1264" t="s">
        <v>1016</v>
      </c>
      <c r="L1264">
        <v>2</v>
      </c>
    </row>
    <row r="1265" spans="10:12" x14ac:dyDescent="0.2">
      <c r="J1265">
        <v>40005564</v>
      </c>
      <c r="K1265" t="s">
        <v>1017</v>
      </c>
      <c r="L1265">
        <v>10</v>
      </c>
    </row>
    <row r="1266" spans="10:12" x14ac:dyDescent="0.2">
      <c r="J1266">
        <v>40005565</v>
      </c>
      <c r="K1266" t="s">
        <v>1018</v>
      </c>
      <c r="L1266">
        <v>2</v>
      </c>
    </row>
    <row r="1267" spans="10:12" x14ac:dyDescent="0.2">
      <c r="J1267">
        <v>40005567</v>
      </c>
      <c r="K1267" t="s">
        <v>1019</v>
      </c>
      <c r="L1267">
        <v>1</v>
      </c>
    </row>
    <row r="1268" spans="10:12" x14ac:dyDescent="0.2">
      <c r="J1268">
        <v>40005568</v>
      </c>
      <c r="K1268" t="s">
        <v>1020</v>
      </c>
      <c r="L1268">
        <v>4</v>
      </c>
    </row>
    <row r="1269" spans="10:12" x14ac:dyDescent="0.2">
      <c r="J1269">
        <v>40005569</v>
      </c>
      <c r="K1269" t="s">
        <v>1021</v>
      </c>
      <c r="L1269">
        <v>9</v>
      </c>
    </row>
    <row r="1270" spans="10:12" x14ac:dyDescent="0.2">
      <c r="J1270">
        <v>40005570</v>
      </c>
      <c r="K1270" t="s">
        <v>1022</v>
      </c>
      <c r="L1270">
        <v>1</v>
      </c>
    </row>
    <row r="1271" spans="10:12" x14ac:dyDescent="0.2">
      <c r="J1271">
        <v>40005572</v>
      </c>
      <c r="K1271" t="s">
        <v>1024</v>
      </c>
      <c r="L1271">
        <v>7</v>
      </c>
    </row>
    <row r="1272" spans="10:12" x14ac:dyDescent="0.2">
      <c r="J1272">
        <v>40005573</v>
      </c>
      <c r="K1272" t="s">
        <v>1025</v>
      </c>
      <c r="L1272">
        <v>1</v>
      </c>
    </row>
    <row r="1273" spans="10:12" x14ac:dyDescent="0.2">
      <c r="J1273">
        <v>40005574</v>
      </c>
      <c r="K1273" t="s">
        <v>1026</v>
      </c>
      <c r="L1273">
        <v>7</v>
      </c>
    </row>
    <row r="1274" spans="10:12" x14ac:dyDescent="0.2">
      <c r="J1274">
        <v>40005575</v>
      </c>
      <c r="K1274" t="s">
        <v>1027</v>
      </c>
      <c r="L1274">
        <v>18</v>
      </c>
    </row>
    <row r="1275" spans="10:12" x14ac:dyDescent="0.2">
      <c r="J1275">
        <v>40005577</v>
      </c>
      <c r="K1275" t="s">
        <v>1028</v>
      </c>
      <c r="L1275">
        <v>6</v>
      </c>
    </row>
    <row r="1276" spans="10:12" x14ac:dyDescent="0.2">
      <c r="J1276">
        <v>40005578</v>
      </c>
      <c r="K1276" t="s">
        <v>3846</v>
      </c>
      <c r="L1276">
        <v>5</v>
      </c>
    </row>
    <row r="1277" spans="10:12" x14ac:dyDescent="0.2">
      <c r="J1277">
        <v>40005579</v>
      </c>
      <c r="K1277" t="s">
        <v>1029</v>
      </c>
      <c r="L1277">
        <v>3</v>
      </c>
    </row>
    <row r="1278" spans="10:12" x14ac:dyDescent="0.2">
      <c r="J1278">
        <v>40005580</v>
      </c>
      <c r="K1278" t="s">
        <v>1030</v>
      </c>
      <c r="L1278">
        <v>1</v>
      </c>
    </row>
    <row r="1279" spans="10:12" x14ac:dyDescent="0.2">
      <c r="J1279">
        <v>40005581</v>
      </c>
      <c r="K1279" t="s">
        <v>1031</v>
      </c>
      <c r="L1279">
        <v>10</v>
      </c>
    </row>
    <row r="1280" spans="10:12" x14ac:dyDescent="0.2">
      <c r="J1280">
        <v>40005583</v>
      </c>
      <c r="K1280" t="s">
        <v>1032</v>
      </c>
      <c r="L1280">
        <v>1</v>
      </c>
    </row>
    <row r="1281" spans="10:12" x14ac:dyDescent="0.2">
      <c r="J1281">
        <v>40005584</v>
      </c>
      <c r="K1281" t="s">
        <v>1033</v>
      </c>
      <c r="L1281">
        <v>16</v>
      </c>
    </row>
    <row r="1282" spans="10:12" x14ac:dyDescent="0.2">
      <c r="J1282">
        <v>40005586</v>
      </c>
      <c r="K1282" t="s">
        <v>1034</v>
      </c>
      <c r="L1282">
        <v>2</v>
      </c>
    </row>
    <row r="1283" spans="10:12" x14ac:dyDescent="0.2">
      <c r="J1283">
        <v>40005587</v>
      </c>
      <c r="K1283" t="s">
        <v>1035</v>
      </c>
      <c r="L1283">
        <v>2</v>
      </c>
    </row>
    <row r="1284" spans="10:12" x14ac:dyDescent="0.2">
      <c r="J1284">
        <v>40005588</v>
      </c>
      <c r="K1284" t="s">
        <v>1036</v>
      </c>
      <c r="L1284">
        <v>1</v>
      </c>
    </row>
    <row r="1285" spans="10:12" x14ac:dyDescent="0.2">
      <c r="J1285">
        <v>40005589</v>
      </c>
      <c r="K1285" t="s">
        <v>1037</v>
      </c>
      <c r="L1285">
        <v>1</v>
      </c>
    </row>
    <row r="1286" spans="10:12" x14ac:dyDescent="0.2">
      <c r="J1286">
        <v>40005590</v>
      </c>
      <c r="K1286" t="s">
        <v>1038</v>
      </c>
      <c r="L1286">
        <v>14</v>
      </c>
    </row>
    <row r="1287" spans="10:12" x14ac:dyDescent="0.2">
      <c r="J1287">
        <v>40005592</v>
      </c>
      <c r="K1287" t="s">
        <v>1039</v>
      </c>
      <c r="L1287">
        <v>7</v>
      </c>
    </row>
    <row r="1288" spans="10:12" x14ac:dyDescent="0.2">
      <c r="J1288">
        <v>40005593</v>
      </c>
      <c r="K1288" t="s">
        <v>1040</v>
      </c>
      <c r="L1288">
        <v>5</v>
      </c>
    </row>
    <row r="1289" spans="10:12" x14ac:dyDescent="0.2">
      <c r="J1289">
        <v>40005594</v>
      </c>
      <c r="K1289" t="s">
        <v>3752</v>
      </c>
      <c r="L1289">
        <v>2</v>
      </c>
    </row>
    <row r="1290" spans="10:12" x14ac:dyDescent="0.2">
      <c r="J1290">
        <v>40005596</v>
      </c>
      <c r="K1290" t="s">
        <v>1041</v>
      </c>
      <c r="L1290">
        <v>14</v>
      </c>
    </row>
    <row r="1291" spans="10:12" x14ac:dyDescent="0.2">
      <c r="J1291">
        <v>40005598</v>
      </c>
      <c r="K1291" t="s">
        <v>1042</v>
      </c>
      <c r="L1291">
        <v>5</v>
      </c>
    </row>
    <row r="1292" spans="10:12" x14ac:dyDescent="0.2">
      <c r="J1292">
        <v>40005599</v>
      </c>
      <c r="K1292" t="s">
        <v>1043</v>
      </c>
      <c r="L1292">
        <v>15</v>
      </c>
    </row>
    <row r="1293" spans="10:12" x14ac:dyDescent="0.2">
      <c r="J1293">
        <v>40005600</v>
      </c>
      <c r="K1293" t="s">
        <v>1044</v>
      </c>
      <c r="L1293">
        <v>9</v>
      </c>
    </row>
    <row r="1294" spans="10:12" x14ac:dyDescent="0.2">
      <c r="J1294">
        <v>40005601</v>
      </c>
      <c r="K1294" t="s">
        <v>1045</v>
      </c>
      <c r="L1294">
        <v>25</v>
      </c>
    </row>
    <row r="1295" spans="10:12" x14ac:dyDescent="0.2">
      <c r="J1295">
        <v>40005602</v>
      </c>
      <c r="K1295" t="s">
        <v>1046</v>
      </c>
      <c r="L1295">
        <v>10</v>
      </c>
    </row>
    <row r="1296" spans="10:12" x14ac:dyDescent="0.2">
      <c r="J1296">
        <v>40005603</v>
      </c>
      <c r="K1296" t="s">
        <v>1047</v>
      </c>
      <c r="L1296">
        <v>9</v>
      </c>
    </row>
    <row r="1297" spans="10:12" x14ac:dyDescent="0.2">
      <c r="J1297">
        <v>40005604</v>
      </c>
      <c r="K1297" t="s">
        <v>1048</v>
      </c>
      <c r="L1297">
        <v>3</v>
      </c>
    </row>
    <row r="1298" spans="10:12" x14ac:dyDescent="0.2">
      <c r="J1298">
        <v>40005605</v>
      </c>
      <c r="K1298" t="s">
        <v>1049</v>
      </c>
      <c r="L1298">
        <v>10</v>
      </c>
    </row>
    <row r="1299" spans="10:12" x14ac:dyDescent="0.2">
      <c r="J1299">
        <v>40005606</v>
      </c>
      <c r="K1299" t="s">
        <v>1050</v>
      </c>
      <c r="L1299">
        <v>9</v>
      </c>
    </row>
    <row r="1300" spans="10:12" x14ac:dyDescent="0.2">
      <c r="J1300">
        <v>40005607</v>
      </c>
      <c r="K1300" t="s">
        <v>1051</v>
      </c>
      <c r="L1300">
        <v>10</v>
      </c>
    </row>
    <row r="1301" spans="10:12" x14ac:dyDescent="0.2">
      <c r="J1301">
        <v>40005608</v>
      </c>
      <c r="K1301" t="s">
        <v>1052</v>
      </c>
      <c r="L1301">
        <v>15</v>
      </c>
    </row>
    <row r="1302" spans="10:12" x14ac:dyDescent="0.2">
      <c r="J1302">
        <v>40005609</v>
      </c>
      <c r="K1302" t="s">
        <v>1053</v>
      </c>
      <c r="L1302">
        <v>3</v>
      </c>
    </row>
    <row r="1303" spans="10:12" x14ac:dyDescent="0.2">
      <c r="J1303">
        <v>40005610</v>
      </c>
      <c r="K1303" t="s">
        <v>1054</v>
      </c>
      <c r="L1303">
        <v>28</v>
      </c>
    </row>
    <row r="1304" spans="10:12" x14ac:dyDescent="0.2">
      <c r="J1304">
        <v>40005612</v>
      </c>
      <c r="K1304" t="s">
        <v>1055</v>
      </c>
      <c r="L1304">
        <v>6</v>
      </c>
    </row>
    <row r="1305" spans="10:12" x14ac:dyDescent="0.2">
      <c r="J1305">
        <v>40005613</v>
      </c>
      <c r="K1305" t="s">
        <v>1056</v>
      </c>
      <c r="L1305">
        <v>5</v>
      </c>
    </row>
    <row r="1306" spans="10:12" x14ac:dyDescent="0.2">
      <c r="J1306">
        <v>40005614</v>
      </c>
      <c r="K1306" t="s">
        <v>1057</v>
      </c>
      <c r="L1306">
        <v>3</v>
      </c>
    </row>
    <row r="1307" spans="10:12" x14ac:dyDescent="0.2">
      <c r="J1307">
        <v>40005615</v>
      </c>
      <c r="K1307" t="s">
        <v>1058</v>
      </c>
      <c r="L1307">
        <v>8</v>
      </c>
    </row>
    <row r="1308" spans="10:12" x14ac:dyDescent="0.2">
      <c r="J1308">
        <v>40005616</v>
      </c>
      <c r="K1308" t="s">
        <v>1059</v>
      </c>
      <c r="L1308">
        <v>10</v>
      </c>
    </row>
    <row r="1309" spans="10:12" x14ac:dyDescent="0.2">
      <c r="J1309">
        <v>40005617</v>
      </c>
      <c r="K1309" t="s">
        <v>1060</v>
      </c>
      <c r="L1309">
        <v>11</v>
      </c>
    </row>
    <row r="1310" spans="10:12" x14ac:dyDescent="0.2">
      <c r="J1310">
        <v>40005618</v>
      </c>
      <c r="K1310" t="s">
        <v>1061</v>
      </c>
      <c r="L1310">
        <v>5</v>
      </c>
    </row>
    <row r="1311" spans="10:12" x14ac:dyDescent="0.2">
      <c r="J1311">
        <v>40005620</v>
      </c>
      <c r="K1311" t="s">
        <v>1063</v>
      </c>
      <c r="L1311">
        <v>10</v>
      </c>
    </row>
    <row r="1312" spans="10:12" x14ac:dyDescent="0.2">
      <c r="J1312">
        <v>40005621</v>
      </c>
      <c r="K1312" t="s">
        <v>1064</v>
      </c>
      <c r="L1312">
        <v>10</v>
      </c>
    </row>
    <row r="1313" spans="10:12" x14ac:dyDescent="0.2">
      <c r="J1313">
        <v>40005622</v>
      </c>
      <c r="K1313" t="s">
        <v>1065</v>
      </c>
      <c r="L1313">
        <v>5</v>
      </c>
    </row>
    <row r="1314" spans="10:12" x14ac:dyDescent="0.2">
      <c r="J1314">
        <v>40005623</v>
      </c>
      <c r="K1314" t="s">
        <v>1066</v>
      </c>
      <c r="L1314">
        <v>10</v>
      </c>
    </row>
    <row r="1315" spans="10:12" x14ac:dyDescent="0.2">
      <c r="J1315">
        <v>40005624</v>
      </c>
      <c r="K1315" t="s">
        <v>1067</v>
      </c>
      <c r="L1315">
        <v>15</v>
      </c>
    </row>
    <row r="1316" spans="10:12" x14ac:dyDescent="0.2">
      <c r="J1316">
        <v>40005625</v>
      </c>
      <c r="K1316" t="s">
        <v>1068</v>
      </c>
      <c r="L1316">
        <v>43</v>
      </c>
    </row>
    <row r="1317" spans="10:12" x14ac:dyDescent="0.2">
      <c r="J1317">
        <v>40005626</v>
      </c>
      <c r="K1317" t="s">
        <v>1069</v>
      </c>
      <c r="L1317">
        <v>10</v>
      </c>
    </row>
    <row r="1318" spans="10:12" x14ac:dyDescent="0.2">
      <c r="J1318">
        <v>40005627</v>
      </c>
      <c r="K1318" t="s">
        <v>1070</v>
      </c>
      <c r="L1318">
        <v>15</v>
      </c>
    </row>
    <row r="1319" spans="10:12" x14ac:dyDescent="0.2">
      <c r="J1319">
        <v>40005629</v>
      </c>
      <c r="K1319" t="s">
        <v>1072</v>
      </c>
      <c r="L1319">
        <v>8</v>
      </c>
    </row>
    <row r="1320" spans="10:12" x14ac:dyDescent="0.2">
      <c r="J1320">
        <v>40005630</v>
      </c>
      <c r="K1320" t="s">
        <v>1073</v>
      </c>
      <c r="L1320">
        <v>10</v>
      </c>
    </row>
    <row r="1321" spans="10:12" x14ac:dyDescent="0.2">
      <c r="J1321">
        <v>40005631</v>
      </c>
      <c r="K1321" t="s">
        <v>1074</v>
      </c>
      <c r="L1321">
        <v>11</v>
      </c>
    </row>
    <row r="1322" spans="10:12" x14ac:dyDescent="0.2">
      <c r="J1322">
        <v>40005632</v>
      </c>
      <c r="K1322" t="s">
        <v>1075</v>
      </c>
      <c r="L1322">
        <v>9</v>
      </c>
    </row>
    <row r="1323" spans="10:12" x14ac:dyDescent="0.2">
      <c r="J1323">
        <v>40005633</v>
      </c>
      <c r="K1323" t="s">
        <v>1076</v>
      </c>
      <c r="L1323">
        <v>3</v>
      </c>
    </row>
    <row r="1324" spans="10:12" x14ac:dyDescent="0.2">
      <c r="J1324">
        <v>40005634</v>
      </c>
      <c r="K1324" t="s">
        <v>1077</v>
      </c>
      <c r="L1324">
        <v>1</v>
      </c>
    </row>
    <row r="1325" spans="10:12" x14ac:dyDescent="0.2">
      <c r="J1325">
        <v>40005636</v>
      </c>
      <c r="K1325" t="s">
        <v>1078</v>
      </c>
      <c r="L1325">
        <v>8</v>
      </c>
    </row>
    <row r="1326" spans="10:12" x14ac:dyDescent="0.2">
      <c r="J1326">
        <v>40005637</v>
      </c>
      <c r="K1326" t="s">
        <v>1079</v>
      </c>
      <c r="L1326">
        <v>6</v>
      </c>
    </row>
    <row r="1327" spans="10:12" x14ac:dyDescent="0.2">
      <c r="J1327">
        <v>40005639</v>
      </c>
      <c r="K1327" t="s">
        <v>9554</v>
      </c>
      <c r="L1327">
        <v>2</v>
      </c>
    </row>
    <row r="1328" spans="10:12" x14ac:dyDescent="0.2">
      <c r="J1328">
        <v>40005640</v>
      </c>
      <c r="K1328" t="s">
        <v>1080</v>
      </c>
      <c r="L1328">
        <v>2</v>
      </c>
    </row>
    <row r="1329" spans="10:12" x14ac:dyDescent="0.2">
      <c r="J1329">
        <v>40005641</v>
      </c>
      <c r="K1329" t="s">
        <v>1081</v>
      </c>
      <c r="L1329">
        <v>10</v>
      </c>
    </row>
    <row r="1330" spans="10:12" x14ac:dyDescent="0.2">
      <c r="J1330">
        <v>40005642</v>
      </c>
      <c r="K1330" t="s">
        <v>1082</v>
      </c>
      <c r="L1330">
        <v>7</v>
      </c>
    </row>
    <row r="1331" spans="10:12" x14ac:dyDescent="0.2">
      <c r="J1331">
        <v>40005643</v>
      </c>
      <c r="K1331" t="s">
        <v>1083</v>
      </c>
      <c r="L1331">
        <v>6</v>
      </c>
    </row>
    <row r="1332" spans="10:12" x14ac:dyDescent="0.2">
      <c r="J1332">
        <v>40005644</v>
      </c>
      <c r="K1332" t="s">
        <v>1084</v>
      </c>
      <c r="L1332">
        <v>18</v>
      </c>
    </row>
    <row r="1333" spans="10:12" x14ac:dyDescent="0.2">
      <c r="J1333">
        <v>40005645</v>
      </c>
      <c r="K1333" t="s">
        <v>1085</v>
      </c>
      <c r="L1333">
        <v>2</v>
      </c>
    </row>
    <row r="1334" spans="10:12" x14ac:dyDescent="0.2">
      <c r="J1334">
        <v>40005647</v>
      </c>
      <c r="K1334" t="s">
        <v>1086</v>
      </c>
      <c r="L1334">
        <v>7</v>
      </c>
    </row>
    <row r="1335" spans="10:12" x14ac:dyDescent="0.2">
      <c r="J1335">
        <v>40005648</v>
      </c>
      <c r="K1335" t="s">
        <v>1087</v>
      </c>
      <c r="L1335">
        <v>8</v>
      </c>
    </row>
    <row r="1336" spans="10:12" x14ac:dyDescent="0.2">
      <c r="J1336">
        <v>40005649</v>
      </c>
      <c r="K1336" t="s">
        <v>1088</v>
      </c>
      <c r="L1336">
        <v>10</v>
      </c>
    </row>
    <row r="1337" spans="10:12" x14ac:dyDescent="0.2">
      <c r="J1337">
        <v>40005650</v>
      </c>
      <c r="K1337" t="s">
        <v>1089</v>
      </c>
      <c r="L1337">
        <v>18</v>
      </c>
    </row>
    <row r="1338" spans="10:12" x14ac:dyDescent="0.2">
      <c r="J1338">
        <v>40005651</v>
      </c>
      <c r="K1338" t="s">
        <v>1090</v>
      </c>
      <c r="L1338">
        <v>1</v>
      </c>
    </row>
    <row r="1339" spans="10:12" x14ac:dyDescent="0.2">
      <c r="J1339">
        <v>40005652</v>
      </c>
      <c r="K1339" t="s">
        <v>1091</v>
      </c>
      <c r="L1339">
        <v>1</v>
      </c>
    </row>
    <row r="1340" spans="10:12" x14ac:dyDescent="0.2">
      <c r="J1340">
        <v>40005653</v>
      </c>
      <c r="K1340" t="s">
        <v>1092</v>
      </c>
      <c r="L1340">
        <v>3</v>
      </c>
    </row>
    <row r="1341" spans="10:12" x14ac:dyDescent="0.2">
      <c r="J1341">
        <v>40005655</v>
      </c>
      <c r="K1341" t="s">
        <v>1093</v>
      </c>
      <c r="L1341">
        <v>1</v>
      </c>
    </row>
    <row r="1342" spans="10:12" x14ac:dyDescent="0.2">
      <c r="J1342">
        <v>40005656</v>
      </c>
      <c r="K1342" t="s">
        <v>1094</v>
      </c>
      <c r="L1342">
        <v>4</v>
      </c>
    </row>
    <row r="1343" spans="10:12" x14ac:dyDescent="0.2">
      <c r="J1343">
        <v>40005657</v>
      </c>
      <c r="K1343" t="s">
        <v>1095</v>
      </c>
      <c r="L1343">
        <v>1</v>
      </c>
    </row>
    <row r="1344" spans="10:12" x14ac:dyDescent="0.2">
      <c r="J1344">
        <v>40005658</v>
      </c>
      <c r="K1344" t="s">
        <v>1096</v>
      </c>
      <c r="L1344">
        <v>33</v>
      </c>
    </row>
    <row r="1345" spans="10:12" x14ac:dyDescent="0.2">
      <c r="J1345">
        <v>40005659</v>
      </c>
      <c r="K1345" t="s">
        <v>1097</v>
      </c>
      <c r="L1345">
        <v>8</v>
      </c>
    </row>
    <row r="1346" spans="10:12" x14ac:dyDescent="0.2">
      <c r="J1346">
        <v>40005660</v>
      </c>
      <c r="K1346" t="s">
        <v>1098</v>
      </c>
      <c r="L1346">
        <v>11</v>
      </c>
    </row>
    <row r="1347" spans="10:12" x14ac:dyDescent="0.2">
      <c r="J1347">
        <v>40005661</v>
      </c>
      <c r="K1347" t="s">
        <v>1099</v>
      </c>
      <c r="L1347">
        <v>4</v>
      </c>
    </row>
    <row r="1348" spans="10:12" x14ac:dyDescent="0.2">
      <c r="J1348">
        <v>40005662</v>
      </c>
      <c r="K1348" t="s">
        <v>1100</v>
      </c>
      <c r="L1348">
        <v>3</v>
      </c>
    </row>
    <row r="1349" spans="10:12" x14ac:dyDescent="0.2">
      <c r="J1349">
        <v>40005663</v>
      </c>
      <c r="K1349" t="s">
        <v>9866</v>
      </c>
      <c r="L1349">
        <v>5</v>
      </c>
    </row>
    <row r="1350" spans="10:12" x14ac:dyDescent="0.2">
      <c r="J1350">
        <v>40005664</v>
      </c>
      <c r="K1350" t="s">
        <v>1101</v>
      </c>
      <c r="L1350">
        <v>21</v>
      </c>
    </row>
    <row r="1351" spans="10:12" x14ac:dyDescent="0.2">
      <c r="J1351">
        <v>40005665</v>
      </c>
      <c r="K1351" t="s">
        <v>1102</v>
      </c>
      <c r="L1351">
        <v>16</v>
      </c>
    </row>
    <row r="1352" spans="10:12" x14ac:dyDescent="0.2">
      <c r="J1352">
        <v>40005666</v>
      </c>
      <c r="K1352" t="s">
        <v>1103</v>
      </c>
      <c r="L1352">
        <v>14</v>
      </c>
    </row>
    <row r="1353" spans="10:12" x14ac:dyDescent="0.2">
      <c r="J1353">
        <v>40005667</v>
      </c>
      <c r="K1353" t="s">
        <v>1104</v>
      </c>
      <c r="L1353">
        <v>9</v>
      </c>
    </row>
    <row r="1354" spans="10:12" x14ac:dyDescent="0.2">
      <c r="J1354">
        <v>40005668</v>
      </c>
      <c r="K1354" t="s">
        <v>1105</v>
      </c>
      <c r="L1354">
        <v>11</v>
      </c>
    </row>
    <row r="1355" spans="10:12" x14ac:dyDescent="0.2">
      <c r="J1355">
        <v>40005669</v>
      </c>
      <c r="K1355" t="s">
        <v>1106</v>
      </c>
      <c r="L1355">
        <v>13</v>
      </c>
    </row>
    <row r="1356" spans="10:12" x14ac:dyDescent="0.2">
      <c r="J1356">
        <v>40005672</v>
      </c>
      <c r="K1356" t="s">
        <v>1108</v>
      </c>
      <c r="L1356">
        <v>8</v>
      </c>
    </row>
    <row r="1357" spans="10:12" x14ac:dyDescent="0.2">
      <c r="J1357">
        <v>40005673</v>
      </c>
      <c r="K1357" t="s">
        <v>1109</v>
      </c>
      <c r="L1357">
        <v>1</v>
      </c>
    </row>
    <row r="1358" spans="10:12" x14ac:dyDescent="0.2">
      <c r="J1358">
        <v>40005674</v>
      </c>
      <c r="K1358" t="s">
        <v>1110</v>
      </c>
      <c r="L1358">
        <v>2</v>
      </c>
    </row>
    <row r="1359" spans="10:12" x14ac:dyDescent="0.2">
      <c r="J1359">
        <v>40005675</v>
      </c>
      <c r="K1359" t="s">
        <v>1111</v>
      </c>
      <c r="L1359">
        <v>11</v>
      </c>
    </row>
    <row r="1360" spans="10:12" x14ac:dyDescent="0.2">
      <c r="J1360">
        <v>40005676</v>
      </c>
      <c r="K1360" t="s">
        <v>1112</v>
      </c>
      <c r="L1360">
        <v>3</v>
      </c>
    </row>
    <row r="1361" spans="10:12" x14ac:dyDescent="0.2">
      <c r="J1361">
        <v>40005678</v>
      </c>
      <c r="K1361" t="s">
        <v>1113</v>
      </c>
      <c r="L1361">
        <v>1</v>
      </c>
    </row>
    <row r="1362" spans="10:12" x14ac:dyDescent="0.2">
      <c r="J1362">
        <v>40005680</v>
      </c>
      <c r="K1362" t="s">
        <v>1114</v>
      </c>
      <c r="L1362">
        <v>22</v>
      </c>
    </row>
    <row r="1363" spans="10:12" x14ac:dyDescent="0.2">
      <c r="J1363">
        <v>40005681</v>
      </c>
      <c r="K1363" t="s">
        <v>1115</v>
      </c>
      <c r="L1363">
        <v>13</v>
      </c>
    </row>
    <row r="1364" spans="10:12" x14ac:dyDescent="0.2">
      <c r="J1364">
        <v>40005683</v>
      </c>
      <c r="K1364" t="s">
        <v>1117</v>
      </c>
      <c r="L1364">
        <v>17</v>
      </c>
    </row>
    <row r="1365" spans="10:12" x14ac:dyDescent="0.2">
      <c r="J1365">
        <v>40005684</v>
      </c>
      <c r="K1365" t="s">
        <v>1118</v>
      </c>
      <c r="L1365">
        <v>15</v>
      </c>
    </row>
    <row r="1366" spans="10:12" x14ac:dyDescent="0.2">
      <c r="J1366">
        <v>40005685</v>
      </c>
      <c r="K1366" t="s">
        <v>1119</v>
      </c>
      <c r="L1366">
        <v>3</v>
      </c>
    </row>
    <row r="1367" spans="10:12" x14ac:dyDescent="0.2">
      <c r="J1367">
        <v>40005686</v>
      </c>
      <c r="K1367" t="s">
        <v>1120</v>
      </c>
      <c r="L1367">
        <v>4</v>
      </c>
    </row>
    <row r="1368" spans="10:12" x14ac:dyDescent="0.2">
      <c r="J1368">
        <v>40005687</v>
      </c>
      <c r="K1368" t="s">
        <v>1121</v>
      </c>
      <c r="L1368">
        <v>10</v>
      </c>
    </row>
    <row r="1369" spans="10:12" x14ac:dyDescent="0.2">
      <c r="J1369">
        <v>40005688</v>
      </c>
      <c r="K1369" t="s">
        <v>1122</v>
      </c>
      <c r="L1369">
        <v>35</v>
      </c>
    </row>
    <row r="1370" spans="10:12" x14ac:dyDescent="0.2">
      <c r="J1370">
        <v>40005690</v>
      </c>
      <c r="K1370" t="s">
        <v>1123</v>
      </c>
      <c r="L1370">
        <v>4</v>
      </c>
    </row>
    <row r="1371" spans="10:12" x14ac:dyDescent="0.2">
      <c r="J1371">
        <v>40005691</v>
      </c>
      <c r="K1371" t="s">
        <v>1124</v>
      </c>
      <c r="L1371">
        <v>5</v>
      </c>
    </row>
    <row r="1372" spans="10:12" x14ac:dyDescent="0.2">
      <c r="J1372">
        <v>40005692</v>
      </c>
      <c r="K1372" t="s">
        <v>1125</v>
      </c>
      <c r="L1372">
        <v>3</v>
      </c>
    </row>
    <row r="1373" spans="10:12" x14ac:dyDescent="0.2">
      <c r="J1373">
        <v>40005693</v>
      </c>
      <c r="K1373" t="s">
        <v>1126</v>
      </c>
      <c r="L1373">
        <v>24</v>
      </c>
    </row>
    <row r="1374" spans="10:12" x14ac:dyDescent="0.2">
      <c r="J1374">
        <v>40005694</v>
      </c>
      <c r="K1374" t="s">
        <v>1127</v>
      </c>
      <c r="L1374">
        <v>5</v>
      </c>
    </row>
    <row r="1375" spans="10:12" x14ac:dyDescent="0.2">
      <c r="J1375">
        <v>40005695</v>
      </c>
      <c r="K1375" t="s">
        <v>1128</v>
      </c>
      <c r="L1375">
        <v>9</v>
      </c>
    </row>
    <row r="1376" spans="10:12" x14ac:dyDescent="0.2">
      <c r="J1376">
        <v>40005697</v>
      </c>
      <c r="K1376" t="s">
        <v>1129</v>
      </c>
      <c r="L1376">
        <v>2</v>
      </c>
    </row>
    <row r="1377" spans="10:12" x14ac:dyDescent="0.2">
      <c r="J1377">
        <v>40005698</v>
      </c>
      <c r="K1377" t="s">
        <v>1130</v>
      </c>
      <c r="L1377">
        <v>2</v>
      </c>
    </row>
    <row r="1378" spans="10:12" x14ac:dyDescent="0.2">
      <c r="J1378">
        <v>40005699</v>
      </c>
      <c r="K1378" t="s">
        <v>1131</v>
      </c>
      <c r="L1378">
        <v>10</v>
      </c>
    </row>
    <row r="1379" spans="10:12" x14ac:dyDescent="0.2">
      <c r="J1379">
        <v>40005700</v>
      </c>
      <c r="K1379" t="s">
        <v>1132</v>
      </c>
      <c r="L1379">
        <v>2</v>
      </c>
    </row>
    <row r="1380" spans="10:12" x14ac:dyDescent="0.2">
      <c r="J1380">
        <v>40005701</v>
      </c>
      <c r="K1380" t="s">
        <v>1133</v>
      </c>
      <c r="L1380">
        <v>15</v>
      </c>
    </row>
    <row r="1381" spans="10:12" x14ac:dyDescent="0.2">
      <c r="J1381">
        <v>40005702</v>
      </c>
      <c r="K1381" t="s">
        <v>1134</v>
      </c>
      <c r="L1381">
        <v>2</v>
      </c>
    </row>
    <row r="1382" spans="10:12" x14ac:dyDescent="0.2">
      <c r="J1382">
        <v>40005704</v>
      </c>
      <c r="K1382" t="s">
        <v>1136</v>
      </c>
      <c r="L1382">
        <v>6</v>
      </c>
    </row>
    <row r="1383" spans="10:12" x14ac:dyDescent="0.2">
      <c r="J1383">
        <v>40005706</v>
      </c>
      <c r="K1383" t="s">
        <v>3753</v>
      </c>
      <c r="L1383">
        <v>14</v>
      </c>
    </row>
    <row r="1384" spans="10:12" x14ac:dyDescent="0.2">
      <c r="J1384">
        <v>40005708</v>
      </c>
      <c r="K1384" t="s">
        <v>1138</v>
      </c>
      <c r="L1384">
        <v>3</v>
      </c>
    </row>
    <row r="1385" spans="10:12" x14ac:dyDescent="0.2">
      <c r="J1385">
        <v>40005709</v>
      </c>
      <c r="K1385" t="s">
        <v>1139</v>
      </c>
      <c r="L1385">
        <v>3</v>
      </c>
    </row>
    <row r="1386" spans="10:12" x14ac:dyDescent="0.2">
      <c r="J1386">
        <v>40005710</v>
      </c>
      <c r="K1386" t="s">
        <v>1140</v>
      </c>
      <c r="L1386">
        <v>3</v>
      </c>
    </row>
    <row r="1387" spans="10:12" x14ac:dyDescent="0.2">
      <c r="J1387">
        <v>40005711</v>
      </c>
      <c r="K1387" t="s">
        <v>1141</v>
      </c>
      <c r="L1387">
        <v>3</v>
      </c>
    </row>
    <row r="1388" spans="10:12" x14ac:dyDescent="0.2">
      <c r="J1388">
        <v>40005712</v>
      </c>
      <c r="K1388" t="s">
        <v>5299</v>
      </c>
      <c r="L1388">
        <v>8</v>
      </c>
    </row>
    <row r="1389" spans="10:12" x14ac:dyDescent="0.2">
      <c r="J1389">
        <v>40005713</v>
      </c>
      <c r="K1389" t="s">
        <v>1142</v>
      </c>
      <c r="L1389">
        <v>2</v>
      </c>
    </row>
    <row r="1390" spans="10:12" x14ac:dyDescent="0.2">
      <c r="J1390">
        <v>40005714</v>
      </c>
      <c r="K1390" t="s">
        <v>1143</v>
      </c>
      <c r="L1390">
        <v>6</v>
      </c>
    </row>
    <row r="1391" spans="10:12" x14ac:dyDescent="0.2">
      <c r="J1391">
        <v>40005715</v>
      </c>
      <c r="K1391" t="s">
        <v>1144</v>
      </c>
      <c r="L1391">
        <v>33</v>
      </c>
    </row>
    <row r="1392" spans="10:12" x14ac:dyDescent="0.2">
      <c r="J1392">
        <v>40005716</v>
      </c>
      <c r="K1392" t="s">
        <v>1145</v>
      </c>
      <c r="L1392">
        <v>1</v>
      </c>
    </row>
    <row r="1393" spans="10:12" x14ac:dyDescent="0.2">
      <c r="J1393">
        <v>40005718</v>
      </c>
      <c r="K1393" t="s">
        <v>1146</v>
      </c>
      <c r="L1393">
        <v>5</v>
      </c>
    </row>
    <row r="1394" spans="10:12" x14ac:dyDescent="0.2">
      <c r="J1394">
        <v>40005719</v>
      </c>
      <c r="K1394" t="s">
        <v>1147</v>
      </c>
      <c r="L1394">
        <v>27</v>
      </c>
    </row>
    <row r="1395" spans="10:12" x14ac:dyDescent="0.2">
      <c r="J1395">
        <v>40005720</v>
      </c>
      <c r="K1395" t="s">
        <v>1148</v>
      </c>
      <c r="L1395">
        <v>1</v>
      </c>
    </row>
    <row r="1396" spans="10:12" x14ac:dyDescent="0.2">
      <c r="J1396">
        <v>40005721</v>
      </c>
      <c r="K1396" t="s">
        <v>1149</v>
      </c>
      <c r="L1396">
        <v>7</v>
      </c>
    </row>
    <row r="1397" spans="10:12" x14ac:dyDescent="0.2">
      <c r="J1397">
        <v>40005722</v>
      </c>
      <c r="K1397" t="s">
        <v>1150</v>
      </c>
      <c r="L1397">
        <v>8</v>
      </c>
    </row>
    <row r="1398" spans="10:12" x14ac:dyDescent="0.2">
      <c r="J1398">
        <v>40005723</v>
      </c>
      <c r="K1398" t="s">
        <v>1151</v>
      </c>
      <c r="L1398">
        <v>2</v>
      </c>
    </row>
    <row r="1399" spans="10:12" x14ac:dyDescent="0.2">
      <c r="J1399">
        <v>40005724</v>
      </c>
      <c r="K1399" t="s">
        <v>1152</v>
      </c>
      <c r="L1399">
        <v>1</v>
      </c>
    </row>
    <row r="1400" spans="10:12" x14ac:dyDescent="0.2">
      <c r="J1400">
        <v>40005725</v>
      </c>
      <c r="K1400" t="s">
        <v>1153</v>
      </c>
      <c r="L1400">
        <v>1</v>
      </c>
    </row>
    <row r="1401" spans="10:12" x14ac:dyDescent="0.2">
      <c r="J1401">
        <v>40005726</v>
      </c>
      <c r="K1401" t="s">
        <v>1154</v>
      </c>
      <c r="L1401">
        <v>14</v>
      </c>
    </row>
    <row r="1402" spans="10:12" x14ac:dyDescent="0.2">
      <c r="J1402">
        <v>40005727</v>
      </c>
      <c r="K1402" t="s">
        <v>1155</v>
      </c>
      <c r="L1402">
        <v>1</v>
      </c>
    </row>
    <row r="1403" spans="10:12" x14ac:dyDescent="0.2">
      <c r="J1403">
        <v>40005728</v>
      </c>
      <c r="K1403" t="s">
        <v>1156</v>
      </c>
      <c r="L1403">
        <v>3</v>
      </c>
    </row>
    <row r="1404" spans="10:12" x14ac:dyDescent="0.2">
      <c r="J1404">
        <v>40005729</v>
      </c>
      <c r="K1404" t="s">
        <v>1157</v>
      </c>
      <c r="L1404">
        <v>1</v>
      </c>
    </row>
    <row r="1405" spans="10:12" x14ac:dyDescent="0.2">
      <c r="J1405">
        <v>40005730</v>
      </c>
      <c r="K1405" t="s">
        <v>1158</v>
      </c>
      <c r="L1405">
        <v>5</v>
      </c>
    </row>
    <row r="1406" spans="10:12" x14ac:dyDescent="0.2">
      <c r="J1406">
        <v>40005731</v>
      </c>
      <c r="K1406" t="s">
        <v>1159</v>
      </c>
      <c r="L1406">
        <v>17</v>
      </c>
    </row>
    <row r="1407" spans="10:12" x14ac:dyDescent="0.2">
      <c r="J1407">
        <v>40005732</v>
      </c>
      <c r="K1407" t="s">
        <v>1160</v>
      </c>
      <c r="L1407">
        <v>24</v>
      </c>
    </row>
    <row r="1408" spans="10:12" x14ac:dyDescent="0.2">
      <c r="J1408">
        <v>40005734</v>
      </c>
      <c r="K1408" t="s">
        <v>9872</v>
      </c>
      <c r="L1408">
        <v>2</v>
      </c>
    </row>
    <row r="1409" spans="10:12" x14ac:dyDescent="0.2">
      <c r="J1409">
        <v>40005735</v>
      </c>
      <c r="K1409" t="s">
        <v>1162</v>
      </c>
      <c r="L1409">
        <v>2</v>
      </c>
    </row>
    <row r="1410" spans="10:12" x14ac:dyDescent="0.2">
      <c r="J1410">
        <v>40005736</v>
      </c>
      <c r="K1410" t="s">
        <v>1163</v>
      </c>
      <c r="L1410">
        <v>6</v>
      </c>
    </row>
    <row r="1411" spans="10:12" x14ac:dyDescent="0.2">
      <c r="J1411">
        <v>40005737</v>
      </c>
      <c r="K1411" t="s">
        <v>1164</v>
      </c>
      <c r="L1411">
        <v>9</v>
      </c>
    </row>
    <row r="1412" spans="10:12" x14ac:dyDescent="0.2">
      <c r="J1412">
        <v>40005738</v>
      </c>
      <c r="K1412" t="s">
        <v>1165</v>
      </c>
      <c r="L1412">
        <v>2</v>
      </c>
    </row>
    <row r="1413" spans="10:12" x14ac:dyDescent="0.2">
      <c r="J1413">
        <v>40005739</v>
      </c>
      <c r="K1413" t="s">
        <v>1166</v>
      </c>
      <c r="L1413">
        <v>10</v>
      </c>
    </row>
    <row r="1414" spans="10:12" x14ac:dyDescent="0.2">
      <c r="J1414">
        <v>40005740</v>
      </c>
      <c r="K1414" t="s">
        <v>1167</v>
      </c>
      <c r="L1414">
        <v>10</v>
      </c>
    </row>
    <row r="1415" spans="10:12" x14ac:dyDescent="0.2">
      <c r="J1415">
        <v>40005741</v>
      </c>
      <c r="K1415" t="s">
        <v>1168</v>
      </c>
      <c r="L1415">
        <v>4</v>
      </c>
    </row>
    <row r="1416" spans="10:12" x14ac:dyDescent="0.2">
      <c r="J1416">
        <v>40005742</v>
      </c>
      <c r="K1416" t="s">
        <v>1169</v>
      </c>
      <c r="L1416">
        <v>2</v>
      </c>
    </row>
    <row r="1417" spans="10:12" x14ac:dyDescent="0.2">
      <c r="J1417">
        <v>40005743</v>
      </c>
      <c r="K1417" t="s">
        <v>1170</v>
      </c>
      <c r="L1417">
        <v>1</v>
      </c>
    </row>
    <row r="1418" spans="10:12" x14ac:dyDescent="0.2">
      <c r="J1418">
        <v>40005744</v>
      </c>
      <c r="K1418" t="s">
        <v>1171</v>
      </c>
      <c r="L1418">
        <v>10</v>
      </c>
    </row>
    <row r="1419" spans="10:12" x14ac:dyDescent="0.2">
      <c r="J1419">
        <v>40005745</v>
      </c>
      <c r="K1419" t="s">
        <v>1172</v>
      </c>
      <c r="L1419">
        <v>1</v>
      </c>
    </row>
    <row r="1420" spans="10:12" x14ac:dyDescent="0.2">
      <c r="J1420">
        <v>40005746</v>
      </c>
      <c r="K1420" t="s">
        <v>1173</v>
      </c>
      <c r="L1420">
        <v>19</v>
      </c>
    </row>
    <row r="1421" spans="10:12" x14ac:dyDescent="0.2">
      <c r="J1421">
        <v>40005747</v>
      </c>
      <c r="K1421" t="s">
        <v>1174</v>
      </c>
      <c r="L1421">
        <v>4</v>
      </c>
    </row>
    <row r="1422" spans="10:12" x14ac:dyDescent="0.2">
      <c r="J1422">
        <v>40005748</v>
      </c>
      <c r="K1422" t="s">
        <v>1175</v>
      </c>
      <c r="L1422">
        <v>1</v>
      </c>
    </row>
    <row r="1423" spans="10:12" x14ac:dyDescent="0.2">
      <c r="J1423">
        <v>40005749</v>
      </c>
      <c r="K1423" t="s">
        <v>1176</v>
      </c>
      <c r="L1423">
        <v>1</v>
      </c>
    </row>
    <row r="1424" spans="10:12" x14ac:dyDescent="0.2">
      <c r="J1424">
        <v>40005750</v>
      </c>
      <c r="K1424" t="s">
        <v>1177</v>
      </c>
      <c r="L1424">
        <v>1</v>
      </c>
    </row>
    <row r="1425" spans="10:12" x14ac:dyDescent="0.2">
      <c r="J1425">
        <v>40005752</v>
      </c>
      <c r="K1425" t="s">
        <v>1178</v>
      </c>
      <c r="L1425">
        <v>1</v>
      </c>
    </row>
    <row r="1426" spans="10:12" x14ac:dyDescent="0.2">
      <c r="J1426">
        <v>40005753</v>
      </c>
      <c r="K1426" t="s">
        <v>1179</v>
      </c>
      <c r="L1426">
        <v>1</v>
      </c>
    </row>
    <row r="1427" spans="10:12" x14ac:dyDescent="0.2">
      <c r="J1427">
        <v>40005754</v>
      </c>
      <c r="K1427" t="s">
        <v>1180</v>
      </c>
      <c r="L1427">
        <v>5</v>
      </c>
    </row>
    <row r="1428" spans="10:12" x14ac:dyDescent="0.2">
      <c r="J1428">
        <v>40005755</v>
      </c>
      <c r="K1428" t="s">
        <v>1181</v>
      </c>
      <c r="L1428">
        <v>4</v>
      </c>
    </row>
    <row r="1429" spans="10:12" x14ac:dyDescent="0.2">
      <c r="J1429">
        <v>40005756</v>
      </c>
      <c r="K1429" t="s">
        <v>1182</v>
      </c>
      <c r="L1429">
        <v>1</v>
      </c>
    </row>
    <row r="1430" spans="10:12" x14ac:dyDescent="0.2">
      <c r="J1430">
        <v>40005757</v>
      </c>
      <c r="K1430" t="s">
        <v>1183</v>
      </c>
      <c r="L1430">
        <v>2</v>
      </c>
    </row>
    <row r="1431" spans="10:12" x14ac:dyDescent="0.2">
      <c r="J1431">
        <v>40005759</v>
      </c>
      <c r="K1431" t="s">
        <v>1184</v>
      </c>
      <c r="L1431">
        <v>1</v>
      </c>
    </row>
    <row r="1432" spans="10:12" x14ac:dyDescent="0.2">
      <c r="J1432">
        <v>40005760</v>
      </c>
      <c r="K1432" t="s">
        <v>1185</v>
      </c>
      <c r="L1432">
        <v>2</v>
      </c>
    </row>
    <row r="1433" spans="10:12" x14ac:dyDescent="0.2">
      <c r="J1433">
        <v>40005761</v>
      </c>
      <c r="K1433" t="s">
        <v>1186</v>
      </c>
      <c r="L1433">
        <v>1</v>
      </c>
    </row>
    <row r="1434" spans="10:12" x14ac:dyDescent="0.2">
      <c r="J1434">
        <v>40005762</v>
      </c>
      <c r="K1434" t="s">
        <v>1187</v>
      </c>
      <c r="L1434">
        <v>4</v>
      </c>
    </row>
    <row r="1435" spans="10:12" x14ac:dyDescent="0.2">
      <c r="J1435">
        <v>40005763</v>
      </c>
      <c r="K1435" t="s">
        <v>1188</v>
      </c>
      <c r="L1435">
        <v>1</v>
      </c>
    </row>
    <row r="1436" spans="10:12" x14ac:dyDescent="0.2">
      <c r="J1436">
        <v>40005764</v>
      </c>
      <c r="K1436" t="s">
        <v>1189</v>
      </c>
      <c r="L1436">
        <v>1</v>
      </c>
    </row>
    <row r="1437" spans="10:12" x14ac:dyDescent="0.2">
      <c r="J1437">
        <v>40005765</v>
      </c>
      <c r="K1437" t="s">
        <v>1190</v>
      </c>
      <c r="L1437">
        <v>6</v>
      </c>
    </row>
    <row r="1438" spans="10:12" x14ac:dyDescent="0.2">
      <c r="J1438">
        <v>40005766</v>
      </c>
      <c r="K1438" t="s">
        <v>1191</v>
      </c>
      <c r="L1438">
        <v>5</v>
      </c>
    </row>
    <row r="1439" spans="10:12" x14ac:dyDescent="0.2">
      <c r="J1439">
        <v>40005767</v>
      </c>
      <c r="K1439" t="s">
        <v>1192</v>
      </c>
      <c r="L1439">
        <v>5</v>
      </c>
    </row>
    <row r="1440" spans="10:12" x14ac:dyDescent="0.2">
      <c r="J1440">
        <v>40005768</v>
      </c>
      <c r="K1440" t="s">
        <v>1193</v>
      </c>
      <c r="L1440">
        <v>5</v>
      </c>
    </row>
    <row r="1441" spans="10:12" x14ac:dyDescent="0.2">
      <c r="J1441">
        <v>40005769</v>
      </c>
      <c r="K1441" t="s">
        <v>1194</v>
      </c>
      <c r="L1441">
        <v>1</v>
      </c>
    </row>
    <row r="1442" spans="10:12" x14ac:dyDescent="0.2">
      <c r="J1442">
        <v>40005770</v>
      </c>
      <c r="K1442" t="s">
        <v>1195</v>
      </c>
      <c r="L1442">
        <v>1</v>
      </c>
    </row>
    <row r="1443" spans="10:12" x14ac:dyDescent="0.2">
      <c r="J1443">
        <v>40005771</v>
      </c>
      <c r="K1443" t="s">
        <v>1196</v>
      </c>
      <c r="L1443">
        <v>1</v>
      </c>
    </row>
    <row r="1444" spans="10:12" x14ac:dyDescent="0.2">
      <c r="J1444">
        <v>40005772</v>
      </c>
      <c r="K1444" t="s">
        <v>1197</v>
      </c>
      <c r="L1444">
        <v>2</v>
      </c>
    </row>
    <row r="1445" spans="10:12" x14ac:dyDescent="0.2">
      <c r="J1445">
        <v>40005773</v>
      </c>
      <c r="K1445" t="s">
        <v>1198</v>
      </c>
      <c r="L1445">
        <v>1</v>
      </c>
    </row>
    <row r="1446" spans="10:12" x14ac:dyDescent="0.2">
      <c r="J1446">
        <v>40005774</v>
      </c>
      <c r="K1446" t="s">
        <v>1199</v>
      </c>
      <c r="L1446">
        <v>2</v>
      </c>
    </row>
    <row r="1447" spans="10:12" x14ac:dyDescent="0.2">
      <c r="J1447">
        <v>40005775</v>
      </c>
      <c r="K1447" t="s">
        <v>1200</v>
      </c>
      <c r="L1447">
        <v>3</v>
      </c>
    </row>
    <row r="1448" spans="10:12" x14ac:dyDescent="0.2">
      <c r="J1448">
        <v>40005776</v>
      </c>
      <c r="K1448" t="s">
        <v>1201</v>
      </c>
      <c r="L1448">
        <v>6</v>
      </c>
    </row>
    <row r="1449" spans="10:12" x14ac:dyDescent="0.2">
      <c r="J1449">
        <v>40005777</v>
      </c>
      <c r="K1449" t="s">
        <v>1202</v>
      </c>
      <c r="L1449">
        <v>1</v>
      </c>
    </row>
    <row r="1450" spans="10:12" x14ac:dyDescent="0.2">
      <c r="J1450">
        <v>40005778</v>
      </c>
      <c r="K1450" t="s">
        <v>1203</v>
      </c>
      <c r="L1450">
        <v>2</v>
      </c>
    </row>
    <row r="1451" spans="10:12" x14ac:dyDescent="0.2">
      <c r="J1451">
        <v>40005779</v>
      </c>
      <c r="K1451" t="s">
        <v>1204</v>
      </c>
      <c r="L1451">
        <v>13</v>
      </c>
    </row>
    <row r="1452" spans="10:12" x14ac:dyDescent="0.2">
      <c r="J1452">
        <v>40005780</v>
      </c>
      <c r="K1452" t="s">
        <v>1205</v>
      </c>
      <c r="L1452">
        <v>2</v>
      </c>
    </row>
    <row r="1453" spans="10:12" x14ac:dyDescent="0.2">
      <c r="J1453">
        <v>40005781</v>
      </c>
      <c r="K1453" t="s">
        <v>1206</v>
      </c>
      <c r="L1453">
        <v>1</v>
      </c>
    </row>
    <row r="1454" spans="10:12" x14ac:dyDescent="0.2">
      <c r="J1454">
        <v>40005782</v>
      </c>
      <c r="K1454" t="s">
        <v>1207</v>
      </c>
      <c r="L1454">
        <v>4</v>
      </c>
    </row>
    <row r="1455" spans="10:12" x14ac:dyDescent="0.2">
      <c r="J1455">
        <v>40005783</v>
      </c>
      <c r="K1455" t="s">
        <v>1208</v>
      </c>
      <c r="L1455">
        <v>1</v>
      </c>
    </row>
    <row r="1456" spans="10:12" x14ac:dyDescent="0.2">
      <c r="J1456">
        <v>40005784</v>
      </c>
      <c r="K1456" t="s">
        <v>1209</v>
      </c>
      <c r="L1456">
        <v>7</v>
      </c>
    </row>
    <row r="1457" spans="10:12" x14ac:dyDescent="0.2">
      <c r="J1457">
        <v>40005785</v>
      </c>
      <c r="K1457" t="s">
        <v>3835</v>
      </c>
      <c r="L1457">
        <v>7</v>
      </c>
    </row>
    <row r="1458" spans="10:12" x14ac:dyDescent="0.2">
      <c r="J1458">
        <v>40005787</v>
      </c>
      <c r="K1458" t="s">
        <v>1211</v>
      </c>
      <c r="L1458">
        <v>2</v>
      </c>
    </row>
    <row r="1459" spans="10:12" x14ac:dyDescent="0.2">
      <c r="J1459">
        <v>40005788</v>
      </c>
      <c r="K1459" t="s">
        <v>1212</v>
      </c>
      <c r="L1459">
        <v>6</v>
      </c>
    </row>
    <row r="1460" spans="10:12" x14ac:dyDescent="0.2">
      <c r="J1460">
        <v>40005789</v>
      </c>
      <c r="K1460" t="s">
        <v>1213</v>
      </c>
      <c r="L1460">
        <v>1</v>
      </c>
    </row>
    <row r="1461" spans="10:12" x14ac:dyDescent="0.2">
      <c r="J1461">
        <v>40005790</v>
      </c>
      <c r="K1461" t="s">
        <v>1214</v>
      </c>
      <c r="L1461">
        <v>4</v>
      </c>
    </row>
    <row r="1462" spans="10:12" x14ac:dyDescent="0.2">
      <c r="J1462">
        <v>40005792</v>
      </c>
      <c r="K1462" t="s">
        <v>1215</v>
      </c>
      <c r="L1462">
        <v>1</v>
      </c>
    </row>
    <row r="1463" spans="10:12" x14ac:dyDescent="0.2">
      <c r="J1463">
        <v>40005793</v>
      </c>
      <c r="K1463" t="s">
        <v>1216</v>
      </c>
      <c r="L1463">
        <v>1</v>
      </c>
    </row>
    <row r="1464" spans="10:12" x14ac:dyDescent="0.2">
      <c r="J1464">
        <v>40005794</v>
      </c>
      <c r="K1464" t="s">
        <v>1217</v>
      </c>
      <c r="L1464">
        <v>3</v>
      </c>
    </row>
    <row r="1465" spans="10:12" x14ac:dyDescent="0.2">
      <c r="J1465">
        <v>40005795</v>
      </c>
      <c r="K1465" t="s">
        <v>1218</v>
      </c>
      <c r="L1465">
        <v>2</v>
      </c>
    </row>
    <row r="1466" spans="10:12" x14ac:dyDescent="0.2">
      <c r="J1466">
        <v>40005796</v>
      </c>
      <c r="K1466" t="s">
        <v>1219</v>
      </c>
      <c r="L1466">
        <v>1</v>
      </c>
    </row>
    <row r="1467" spans="10:12" x14ac:dyDescent="0.2">
      <c r="J1467">
        <v>40005797</v>
      </c>
      <c r="K1467" t="s">
        <v>1220</v>
      </c>
      <c r="L1467">
        <v>1</v>
      </c>
    </row>
    <row r="1468" spans="10:12" x14ac:dyDescent="0.2">
      <c r="J1468">
        <v>40005798</v>
      </c>
      <c r="K1468" t="s">
        <v>1221</v>
      </c>
      <c r="L1468">
        <v>3</v>
      </c>
    </row>
    <row r="1469" spans="10:12" x14ac:dyDescent="0.2">
      <c r="J1469">
        <v>40005800</v>
      </c>
      <c r="K1469" t="s">
        <v>1222</v>
      </c>
      <c r="L1469">
        <v>5</v>
      </c>
    </row>
    <row r="1470" spans="10:12" x14ac:dyDescent="0.2">
      <c r="J1470">
        <v>40005801</v>
      </c>
      <c r="K1470" t="s">
        <v>1223</v>
      </c>
      <c r="L1470">
        <v>19</v>
      </c>
    </row>
    <row r="1471" spans="10:12" x14ac:dyDescent="0.2">
      <c r="J1471">
        <v>40005802</v>
      </c>
      <c r="K1471" t="s">
        <v>1224</v>
      </c>
      <c r="L1471">
        <v>12</v>
      </c>
    </row>
    <row r="1472" spans="10:12" x14ac:dyDescent="0.2">
      <c r="J1472">
        <v>40005803</v>
      </c>
      <c r="K1472" t="s">
        <v>1225</v>
      </c>
      <c r="L1472">
        <v>11</v>
      </c>
    </row>
    <row r="1473" spans="10:12" x14ac:dyDescent="0.2">
      <c r="J1473">
        <v>40005804</v>
      </c>
      <c r="K1473" t="s">
        <v>1226</v>
      </c>
      <c r="L1473">
        <v>4</v>
      </c>
    </row>
    <row r="1474" spans="10:12" x14ac:dyDescent="0.2">
      <c r="J1474">
        <v>40005805</v>
      </c>
      <c r="K1474" t="s">
        <v>1227</v>
      </c>
      <c r="L1474">
        <v>4</v>
      </c>
    </row>
    <row r="1475" spans="10:12" x14ac:dyDescent="0.2">
      <c r="J1475">
        <v>40005806</v>
      </c>
      <c r="K1475" t="s">
        <v>1228</v>
      </c>
      <c r="L1475">
        <v>9</v>
      </c>
    </row>
    <row r="1476" spans="10:12" x14ac:dyDescent="0.2">
      <c r="J1476">
        <v>40005807</v>
      </c>
      <c r="K1476" t="s">
        <v>1229</v>
      </c>
      <c r="L1476">
        <v>9</v>
      </c>
    </row>
    <row r="1477" spans="10:12" x14ac:dyDescent="0.2">
      <c r="J1477">
        <v>40005808</v>
      </c>
      <c r="K1477" t="s">
        <v>1230</v>
      </c>
      <c r="L1477">
        <v>4</v>
      </c>
    </row>
    <row r="1478" spans="10:12" x14ac:dyDescent="0.2">
      <c r="J1478">
        <v>40005809</v>
      </c>
      <c r="K1478" t="s">
        <v>1231</v>
      </c>
      <c r="L1478">
        <v>1</v>
      </c>
    </row>
    <row r="1479" spans="10:12" x14ac:dyDescent="0.2">
      <c r="J1479">
        <v>40005810</v>
      </c>
      <c r="K1479" t="s">
        <v>1232</v>
      </c>
      <c r="L1479">
        <v>2</v>
      </c>
    </row>
    <row r="1480" spans="10:12" x14ac:dyDescent="0.2">
      <c r="J1480">
        <v>40005811</v>
      </c>
      <c r="K1480" t="s">
        <v>9884</v>
      </c>
      <c r="L1480">
        <v>1</v>
      </c>
    </row>
    <row r="1481" spans="10:12" x14ac:dyDescent="0.2">
      <c r="J1481">
        <v>40005812</v>
      </c>
      <c r="K1481" t="s">
        <v>1233</v>
      </c>
      <c r="L1481">
        <v>1</v>
      </c>
    </row>
    <row r="1482" spans="10:12" x14ac:dyDescent="0.2">
      <c r="J1482">
        <v>40005813</v>
      </c>
      <c r="K1482" t="s">
        <v>1234</v>
      </c>
      <c r="L1482">
        <v>3</v>
      </c>
    </row>
    <row r="1483" spans="10:12" x14ac:dyDescent="0.2">
      <c r="J1483">
        <v>40005814</v>
      </c>
      <c r="K1483" t="s">
        <v>1235</v>
      </c>
      <c r="L1483">
        <v>2</v>
      </c>
    </row>
    <row r="1484" spans="10:12" x14ac:dyDescent="0.2">
      <c r="J1484">
        <v>40005815</v>
      </c>
      <c r="K1484" t="s">
        <v>1236</v>
      </c>
      <c r="L1484">
        <v>4</v>
      </c>
    </row>
    <row r="1485" spans="10:12" x14ac:dyDescent="0.2">
      <c r="J1485">
        <v>40005816</v>
      </c>
      <c r="K1485" t="s">
        <v>1237</v>
      </c>
      <c r="L1485">
        <v>2</v>
      </c>
    </row>
    <row r="1486" spans="10:12" x14ac:dyDescent="0.2">
      <c r="J1486">
        <v>40005818</v>
      </c>
      <c r="K1486" t="s">
        <v>1238</v>
      </c>
      <c r="L1486">
        <v>5</v>
      </c>
    </row>
    <row r="1487" spans="10:12" x14ac:dyDescent="0.2">
      <c r="J1487">
        <v>40005819</v>
      </c>
      <c r="K1487" t="s">
        <v>1239</v>
      </c>
      <c r="L1487">
        <v>1</v>
      </c>
    </row>
    <row r="1488" spans="10:12" x14ac:dyDescent="0.2">
      <c r="J1488">
        <v>40005820</v>
      </c>
      <c r="K1488" t="s">
        <v>1240</v>
      </c>
      <c r="L1488">
        <v>2</v>
      </c>
    </row>
    <row r="1489" spans="10:12" x14ac:dyDescent="0.2">
      <c r="J1489">
        <v>40005821</v>
      </c>
      <c r="K1489" t="s">
        <v>1241</v>
      </c>
      <c r="L1489">
        <v>4</v>
      </c>
    </row>
    <row r="1490" spans="10:12" x14ac:dyDescent="0.2">
      <c r="J1490">
        <v>40005822</v>
      </c>
      <c r="K1490" t="s">
        <v>1242</v>
      </c>
      <c r="L1490">
        <v>2</v>
      </c>
    </row>
    <row r="1491" spans="10:12" x14ac:dyDescent="0.2">
      <c r="J1491">
        <v>40005823</v>
      </c>
      <c r="K1491" t="s">
        <v>1243</v>
      </c>
      <c r="L1491">
        <v>7</v>
      </c>
    </row>
    <row r="1492" spans="10:12" x14ac:dyDescent="0.2">
      <c r="J1492">
        <v>40005824</v>
      </c>
      <c r="K1492" t="s">
        <v>1244</v>
      </c>
      <c r="L1492">
        <v>7</v>
      </c>
    </row>
    <row r="1493" spans="10:12" x14ac:dyDescent="0.2">
      <c r="J1493">
        <v>40005826</v>
      </c>
      <c r="K1493" t="s">
        <v>1246</v>
      </c>
      <c r="L1493">
        <v>15</v>
      </c>
    </row>
    <row r="1494" spans="10:12" x14ac:dyDescent="0.2">
      <c r="J1494">
        <v>40005827</v>
      </c>
      <c r="K1494" t="s">
        <v>1247</v>
      </c>
      <c r="L1494">
        <v>10</v>
      </c>
    </row>
    <row r="1495" spans="10:12" x14ac:dyDescent="0.2">
      <c r="J1495">
        <v>40005828</v>
      </c>
      <c r="K1495" t="s">
        <v>1248</v>
      </c>
      <c r="L1495">
        <v>2</v>
      </c>
    </row>
    <row r="1496" spans="10:12" x14ac:dyDescent="0.2">
      <c r="J1496">
        <v>40005829</v>
      </c>
      <c r="K1496" t="s">
        <v>10643</v>
      </c>
      <c r="L1496">
        <v>4</v>
      </c>
    </row>
    <row r="1497" spans="10:12" x14ac:dyDescent="0.2">
      <c r="J1497">
        <v>40005830</v>
      </c>
      <c r="K1497" t="s">
        <v>1249</v>
      </c>
      <c r="L1497">
        <v>10</v>
      </c>
    </row>
    <row r="1498" spans="10:12" x14ac:dyDescent="0.2">
      <c r="J1498">
        <v>40005831</v>
      </c>
      <c r="K1498" t="s">
        <v>1250</v>
      </c>
      <c r="L1498">
        <v>4</v>
      </c>
    </row>
    <row r="1499" spans="10:12" x14ac:dyDescent="0.2">
      <c r="J1499">
        <v>40005832</v>
      </c>
      <c r="K1499" t="s">
        <v>1251</v>
      </c>
      <c r="L1499">
        <v>19</v>
      </c>
    </row>
    <row r="1500" spans="10:12" x14ac:dyDescent="0.2">
      <c r="J1500">
        <v>40005833</v>
      </c>
      <c r="K1500" t="s">
        <v>1252</v>
      </c>
      <c r="L1500">
        <v>5</v>
      </c>
    </row>
    <row r="1501" spans="10:12" x14ac:dyDescent="0.2">
      <c r="J1501">
        <v>40005834</v>
      </c>
      <c r="K1501" t="s">
        <v>1253</v>
      </c>
      <c r="L1501">
        <v>2</v>
      </c>
    </row>
    <row r="1502" spans="10:12" x14ac:dyDescent="0.2">
      <c r="J1502">
        <v>40005835</v>
      </c>
      <c r="K1502" t="s">
        <v>1254</v>
      </c>
      <c r="L1502">
        <v>26</v>
      </c>
    </row>
    <row r="1503" spans="10:12" x14ac:dyDescent="0.2">
      <c r="J1503">
        <v>40005836</v>
      </c>
      <c r="K1503" t="s">
        <v>1255</v>
      </c>
      <c r="L1503">
        <v>7</v>
      </c>
    </row>
    <row r="1504" spans="10:12" x14ac:dyDescent="0.2">
      <c r="J1504">
        <v>40005837</v>
      </c>
      <c r="K1504" t="s">
        <v>1256</v>
      </c>
      <c r="L1504">
        <v>14</v>
      </c>
    </row>
    <row r="1505" spans="10:12" x14ac:dyDescent="0.2">
      <c r="J1505">
        <v>40005838</v>
      </c>
      <c r="K1505" t="s">
        <v>1257</v>
      </c>
      <c r="L1505">
        <v>12</v>
      </c>
    </row>
    <row r="1506" spans="10:12" x14ac:dyDescent="0.2">
      <c r="J1506">
        <v>40005839</v>
      </c>
      <c r="K1506" t="s">
        <v>1258</v>
      </c>
      <c r="L1506">
        <v>6</v>
      </c>
    </row>
    <row r="1507" spans="10:12" x14ac:dyDescent="0.2">
      <c r="J1507">
        <v>40005841</v>
      </c>
      <c r="K1507" t="s">
        <v>1259</v>
      </c>
      <c r="L1507">
        <v>8</v>
      </c>
    </row>
    <row r="1508" spans="10:12" x14ac:dyDescent="0.2">
      <c r="J1508">
        <v>40005842</v>
      </c>
      <c r="K1508" t="s">
        <v>1260</v>
      </c>
      <c r="L1508">
        <v>8</v>
      </c>
    </row>
    <row r="1509" spans="10:12" x14ac:dyDescent="0.2">
      <c r="J1509">
        <v>40005843</v>
      </c>
      <c r="K1509" t="s">
        <v>1261</v>
      </c>
      <c r="L1509">
        <v>48</v>
      </c>
    </row>
    <row r="1510" spans="10:12" x14ac:dyDescent="0.2">
      <c r="J1510">
        <v>40005844</v>
      </c>
      <c r="K1510" t="s">
        <v>1262</v>
      </c>
      <c r="L1510">
        <v>20</v>
      </c>
    </row>
    <row r="1511" spans="10:12" x14ac:dyDescent="0.2">
      <c r="J1511">
        <v>40005846</v>
      </c>
      <c r="K1511" t="s">
        <v>1263</v>
      </c>
      <c r="L1511">
        <v>4</v>
      </c>
    </row>
    <row r="1512" spans="10:12" x14ac:dyDescent="0.2">
      <c r="J1512">
        <v>40005847</v>
      </c>
      <c r="K1512" t="s">
        <v>1264</v>
      </c>
      <c r="L1512">
        <v>22</v>
      </c>
    </row>
    <row r="1513" spans="10:12" x14ac:dyDescent="0.2">
      <c r="J1513">
        <v>40005849</v>
      </c>
      <c r="K1513" t="s">
        <v>1265</v>
      </c>
      <c r="L1513">
        <v>4</v>
      </c>
    </row>
    <row r="1514" spans="10:12" x14ac:dyDescent="0.2">
      <c r="J1514">
        <v>40005850</v>
      </c>
      <c r="K1514" t="s">
        <v>1266</v>
      </c>
      <c r="L1514">
        <v>1</v>
      </c>
    </row>
    <row r="1515" spans="10:12" x14ac:dyDescent="0.2">
      <c r="J1515">
        <v>40005851</v>
      </c>
      <c r="K1515" t="s">
        <v>1267</v>
      </c>
      <c r="L1515">
        <v>4</v>
      </c>
    </row>
    <row r="1516" spans="10:12" x14ac:dyDescent="0.2">
      <c r="J1516">
        <v>40005852</v>
      </c>
      <c r="K1516" t="s">
        <v>1268</v>
      </c>
      <c r="L1516">
        <v>1</v>
      </c>
    </row>
    <row r="1517" spans="10:12" x14ac:dyDescent="0.2">
      <c r="J1517">
        <v>40005853</v>
      </c>
      <c r="K1517" t="s">
        <v>1269</v>
      </c>
      <c r="L1517">
        <v>16</v>
      </c>
    </row>
    <row r="1518" spans="10:12" x14ac:dyDescent="0.2">
      <c r="J1518">
        <v>40005854</v>
      </c>
      <c r="K1518" t="s">
        <v>1270</v>
      </c>
      <c r="L1518">
        <v>1</v>
      </c>
    </row>
    <row r="1519" spans="10:12" x14ac:dyDescent="0.2">
      <c r="J1519">
        <v>40005855</v>
      </c>
      <c r="K1519" t="s">
        <v>1271</v>
      </c>
      <c r="L1519">
        <v>3</v>
      </c>
    </row>
    <row r="1520" spans="10:12" x14ac:dyDescent="0.2">
      <c r="J1520">
        <v>40005856</v>
      </c>
      <c r="K1520" t="s">
        <v>1272</v>
      </c>
      <c r="L1520">
        <v>2</v>
      </c>
    </row>
    <row r="1521" spans="10:12" x14ac:dyDescent="0.2">
      <c r="J1521">
        <v>40005857</v>
      </c>
      <c r="K1521" t="s">
        <v>1273</v>
      </c>
      <c r="L1521">
        <v>2</v>
      </c>
    </row>
    <row r="1522" spans="10:12" x14ac:dyDescent="0.2">
      <c r="J1522">
        <v>40005858</v>
      </c>
      <c r="K1522" t="s">
        <v>1274</v>
      </c>
      <c r="L1522">
        <v>8</v>
      </c>
    </row>
    <row r="1523" spans="10:12" x14ac:dyDescent="0.2">
      <c r="J1523">
        <v>40005859</v>
      </c>
      <c r="K1523" t="s">
        <v>1275</v>
      </c>
      <c r="L1523">
        <v>2</v>
      </c>
    </row>
    <row r="1524" spans="10:12" x14ac:dyDescent="0.2">
      <c r="J1524">
        <v>40005860</v>
      </c>
      <c r="K1524" t="s">
        <v>1276</v>
      </c>
      <c r="L1524">
        <v>6</v>
      </c>
    </row>
    <row r="1525" spans="10:12" x14ac:dyDescent="0.2">
      <c r="J1525">
        <v>40005861</v>
      </c>
      <c r="K1525" t="s">
        <v>1277</v>
      </c>
      <c r="L1525">
        <v>7</v>
      </c>
    </row>
    <row r="1526" spans="10:12" x14ac:dyDescent="0.2">
      <c r="J1526">
        <v>40005862</v>
      </c>
      <c r="K1526" t="s">
        <v>1278</v>
      </c>
      <c r="L1526">
        <v>13</v>
      </c>
    </row>
    <row r="1527" spans="10:12" x14ac:dyDescent="0.2">
      <c r="J1527">
        <v>40005863</v>
      </c>
      <c r="K1527" t="s">
        <v>1279</v>
      </c>
      <c r="L1527">
        <v>6</v>
      </c>
    </row>
    <row r="1528" spans="10:12" x14ac:dyDescent="0.2">
      <c r="J1528">
        <v>40005864</v>
      </c>
      <c r="K1528" t="s">
        <v>1280</v>
      </c>
      <c r="L1528">
        <v>3</v>
      </c>
    </row>
    <row r="1529" spans="10:12" x14ac:dyDescent="0.2">
      <c r="J1529">
        <v>40005865</v>
      </c>
      <c r="K1529" t="s">
        <v>1281</v>
      </c>
      <c r="L1529">
        <v>3</v>
      </c>
    </row>
    <row r="1530" spans="10:12" x14ac:dyDescent="0.2">
      <c r="J1530">
        <v>40005866</v>
      </c>
      <c r="K1530" t="s">
        <v>1282</v>
      </c>
      <c r="L1530">
        <v>8</v>
      </c>
    </row>
    <row r="1531" spans="10:12" x14ac:dyDescent="0.2">
      <c r="J1531">
        <v>40005868</v>
      </c>
      <c r="K1531" t="s">
        <v>1284</v>
      </c>
      <c r="L1531">
        <v>5</v>
      </c>
    </row>
    <row r="1532" spans="10:12" x14ac:dyDescent="0.2">
      <c r="J1532">
        <v>40005869</v>
      </c>
      <c r="K1532" t="s">
        <v>1285</v>
      </c>
      <c r="L1532">
        <v>5</v>
      </c>
    </row>
    <row r="1533" spans="10:12" x14ac:dyDescent="0.2">
      <c r="J1533">
        <v>40005870</v>
      </c>
      <c r="K1533" t="s">
        <v>1286</v>
      </c>
      <c r="L1533">
        <v>4</v>
      </c>
    </row>
    <row r="1534" spans="10:12" x14ac:dyDescent="0.2">
      <c r="J1534">
        <v>40005871</v>
      </c>
      <c r="K1534" t="s">
        <v>1287</v>
      </c>
      <c r="L1534">
        <v>5</v>
      </c>
    </row>
    <row r="1535" spans="10:12" x14ac:dyDescent="0.2">
      <c r="J1535">
        <v>40005872</v>
      </c>
      <c r="K1535" t="s">
        <v>1288</v>
      </c>
      <c r="L1535">
        <v>3</v>
      </c>
    </row>
    <row r="1536" spans="10:12" x14ac:dyDescent="0.2">
      <c r="J1536">
        <v>40005873</v>
      </c>
      <c r="K1536" t="s">
        <v>1289</v>
      </c>
      <c r="L1536">
        <v>4</v>
      </c>
    </row>
    <row r="1537" spans="10:12" x14ac:dyDescent="0.2">
      <c r="J1537">
        <v>40005874</v>
      </c>
      <c r="K1537" t="s">
        <v>1290</v>
      </c>
      <c r="L1537">
        <v>8</v>
      </c>
    </row>
    <row r="1538" spans="10:12" x14ac:dyDescent="0.2">
      <c r="J1538">
        <v>40005875</v>
      </c>
      <c r="K1538" t="s">
        <v>1291</v>
      </c>
      <c r="L1538">
        <v>11</v>
      </c>
    </row>
    <row r="1539" spans="10:12" x14ac:dyDescent="0.2">
      <c r="J1539">
        <v>40005876</v>
      </c>
      <c r="K1539" t="s">
        <v>1292</v>
      </c>
      <c r="L1539">
        <v>2</v>
      </c>
    </row>
    <row r="1540" spans="10:12" x14ac:dyDescent="0.2">
      <c r="J1540">
        <v>40005877</v>
      </c>
      <c r="K1540" t="s">
        <v>1293</v>
      </c>
      <c r="L1540">
        <v>134</v>
      </c>
    </row>
    <row r="1541" spans="10:12" x14ac:dyDescent="0.2">
      <c r="J1541">
        <v>40005878</v>
      </c>
      <c r="K1541" t="s">
        <v>1294</v>
      </c>
      <c r="L1541">
        <v>7</v>
      </c>
    </row>
    <row r="1542" spans="10:12" x14ac:dyDescent="0.2">
      <c r="J1542">
        <v>40005879</v>
      </c>
      <c r="K1542" t="s">
        <v>1295</v>
      </c>
      <c r="L1542">
        <v>17</v>
      </c>
    </row>
    <row r="1543" spans="10:12" x14ac:dyDescent="0.2">
      <c r="J1543">
        <v>40005880</v>
      </c>
      <c r="K1543" t="s">
        <v>1296</v>
      </c>
      <c r="L1543">
        <v>9</v>
      </c>
    </row>
    <row r="1544" spans="10:12" x14ac:dyDescent="0.2">
      <c r="J1544">
        <v>40005881</v>
      </c>
      <c r="K1544" t="s">
        <v>1297</v>
      </c>
      <c r="L1544">
        <v>3</v>
      </c>
    </row>
    <row r="1545" spans="10:12" x14ac:dyDescent="0.2">
      <c r="J1545">
        <v>40005882</v>
      </c>
      <c r="K1545" t="s">
        <v>1298</v>
      </c>
      <c r="L1545">
        <v>4</v>
      </c>
    </row>
    <row r="1546" spans="10:12" x14ac:dyDescent="0.2">
      <c r="J1546">
        <v>40005883</v>
      </c>
      <c r="K1546" t="s">
        <v>1299</v>
      </c>
      <c r="L1546">
        <v>7</v>
      </c>
    </row>
    <row r="1547" spans="10:12" x14ac:dyDescent="0.2">
      <c r="J1547">
        <v>40005884</v>
      </c>
      <c r="K1547" t="s">
        <v>1300</v>
      </c>
      <c r="L1547">
        <v>14</v>
      </c>
    </row>
    <row r="1548" spans="10:12" x14ac:dyDescent="0.2">
      <c r="J1548">
        <v>40005885</v>
      </c>
      <c r="K1548" t="s">
        <v>1301</v>
      </c>
      <c r="L1548">
        <v>8</v>
      </c>
    </row>
    <row r="1549" spans="10:12" x14ac:dyDescent="0.2">
      <c r="J1549">
        <v>40005886</v>
      </c>
      <c r="K1549" t="s">
        <v>1302</v>
      </c>
      <c r="L1549">
        <v>4</v>
      </c>
    </row>
    <row r="1550" spans="10:12" x14ac:dyDescent="0.2">
      <c r="J1550">
        <v>40005887</v>
      </c>
      <c r="K1550" t="s">
        <v>1303</v>
      </c>
      <c r="L1550">
        <v>9</v>
      </c>
    </row>
    <row r="1551" spans="10:12" x14ac:dyDescent="0.2">
      <c r="J1551">
        <v>40005888</v>
      </c>
      <c r="K1551" t="s">
        <v>1304</v>
      </c>
      <c r="L1551">
        <v>3</v>
      </c>
    </row>
    <row r="1552" spans="10:12" x14ac:dyDescent="0.2">
      <c r="J1552">
        <v>40005889</v>
      </c>
      <c r="K1552" t="s">
        <v>1305</v>
      </c>
      <c r="L1552">
        <v>9</v>
      </c>
    </row>
    <row r="1553" spans="10:12" x14ac:dyDescent="0.2">
      <c r="J1553">
        <v>40005890</v>
      </c>
      <c r="K1553" t="s">
        <v>1306</v>
      </c>
      <c r="L1553">
        <v>5</v>
      </c>
    </row>
    <row r="1554" spans="10:12" x14ac:dyDescent="0.2">
      <c r="J1554">
        <v>40005891</v>
      </c>
      <c r="K1554" t="s">
        <v>1307</v>
      </c>
      <c r="L1554">
        <v>5</v>
      </c>
    </row>
    <row r="1555" spans="10:12" x14ac:dyDescent="0.2">
      <c r="J1555">
        <v>40005892</v>
      </c>
      <c r="K1555" t="s">
        <v>1308</v>
      </c>
      <c r="L1555">
        <v>2</v>
      </c>
    </row>
    <row r="1556" spans="10:12" x14ac:dyDescent="0.2">
      <c r="J1556">
        <v>40005894</v>
      </c>
      <c r="K1556" t="s">
        <v>1309</v>
      </c>
      <c r="L1556">
        <v>1</v>
      </c>
    </row>
    <row r="1557" spans="10:12" x14ac:dyDescent="0.2">
      <c r="J1557">
        <v>40005896</v>
      </c>
      <c r="K1557" t="s">
        <v>1310</v>
      </c>
      <c r="L1557">
        <v>1</v>
      </c>
    </row>
    <row r="1558" spans="10:12" x14ac:dyDescent="0.2">
      <c r="J1558">
        <v>40005897</v>
      </c>
      <c r="K1558" t="s">
        <v>1311</v>
      </c>
      <c r="L1558">
        <v>9</v>
      </c>
    </row>
    <row r="1559" spans="10:12" x14ac:dyDescent="0.2">
      <c r="J1559">
        <v>40005898</v>
      </c>
      <c r="K1559" t="s">
        <v>1312</v>
      </c>
      <c r="L1559">
        <v>2</v>
      </c>
    </row>
    <row r="1560" spans="10:12" x14ac:dyDescent="0.2">
      <c r="J1560">
        <v>40005899</v>
      </c>
      <c r="K1560" t="s">
        <v>1313</v>
      </c>
      <c r="L1560">
        <v>17</v>
      </c>
    </row>
    <row r="1561" spans="10:12" x14ac:dyDescent="0.2">
      <c r="J1561">
        <v>40005900</v>
      </c>
      <c r="K1561" t="s">
        <v>9779</v>
      </c>
      <c r="L1561">
        <v>4</v>
      </c>
    </row>
    <row r="1562" spans="10:12" x14ac:dyDescent="0.2">
      <c r="J1562">
        <v>40005901</v>
      </c>
      <c r="K1562" t="s">
        <v>1314</v>
      </c>
      <c r="L1562">
        <v>2</v>
      </c>
    </row>
    <row r="1563" spans="10:12" x14ac:dyDescent="0.2">
      <c r="J1563">
        <v>40005902</v>
      </c>
      <c r="K1563" t="s">
        <v>1315</v>
      </c>
      <c r="L1563">
        <v>1</v>
      </c>
    </row>
    <row r="1564" spans="10:12" x14ac:dyDescent="0.2">
      <c r="J1564">
        <v>40005903</v>
      </c>
      <c r="K1564" t="s">
        <v>1316</v>
      </c>
      <c r="L1564">
        <v>1</v>
      </c>
    </row>
    <row r="1565" spans="10:12" x14ac:dyDescent="0.2">
      <c r="J1565">
        <v>40005904</v>
      </c>
      <c r="K1565" t="s">
        <v>1317</v>
      </c>
      <c r="L1565">
        <v>2</v>
      </c>
    </row>
    <row r="1566" spans="10:12" x14ac:dyDescent="0.2">
      <c r="J1566">
        <v>40005906</v>
      </c>
      <c r="K1566" t="s">
        <v>1318</v>
      </c>
      <c r="L1566">
        <v>2</v>
      </c>
    </row>
    <row r="1567" spans="10:12" x14ac:dyDescent="0.2">
      <c r="J1567">
        <v>40005907</v>
      </c>
      <c r="K1567" t="s">
        <v>1319</v>
      </c>
      <c r="L1567">
        <v>1</v>
      </c>
    </row>
    <row r="1568" spans="10:12" x14ac:dyDescent="0.2">
      <c r="J1568">
        <v>40005908</v>
      </c>
      <c r="K1568" t="s">
        <v>9777</v>
      </c>
      <c r="L1568">
        <v>2</v>
      </c>
    </row>
    <row r="1569" spans="10:12" x14ac:dyDescent="0.2">
      <c r="J1569">
        <v>40005909</v>
      </c>
      <c r="K1569" t="s">
        <v>1320</v>
      </c>
      <c r="L1569">
        <v>2</v>
      </c>
    </row>
    <row r="1570" spans="10:12" x14ac:dyDescent="0.2">
      <c r="J1570">
        <v>40005910</v>
      </c>
      <c r="K1570" t="s">
        <v>1321</v>
      </c>
      <c r="L1570">
        <v>16</v>
      </c>
    </row>
    <row r="1571" spans="10:12" x14ac:dyDescent="0.2">
      <c r="J1571">
        <v>40005911</v>
      </c>
      <c r="K1571" t="s">
        <v>1322</v>
      </c>
      <c r="L1571">
        <v>8</v>
      </c>
    </row>
    <row r="1572" spans="10:12" x14ac:dyDescent="0.2">
      <c r="J1572">
        <v>40005912</v>
      </c>
      <c r="K1572" t="s">
        <v>1323</v>
      </c>
      <c r="L1572">
        <v>9</v>
      </c>
    </row>
    <row r="1573" spans="10:12" x14ac:dyDescent="0.2">
      <c r="J1573">
        <v>40005914</v>
      </c>
      <c r="K1573" t="s">
        <v>1325</v>
      </c>
      <c r="L1573">
        <v>5</v>
      </c>
    </row>
    <row r="1574" spans="10:12" x14ac:dyDescent="0.2">
      <c r="J1574">
        <v>40005915</v>
      </c>
      <c r="K1574" t="s">
        <v>1326</v>
      </c>
      <c r="L1574">
        <v>1</v>
      </c>
    </row>
    <row r="1575" spans="10:12" x14ac:dyDescent="0.2">
      <c r="J1575">
        <v>40005916</v>
      </c>
      <c r="K1575" t="s">
        <v>1327</v>
      </c>
      <c r="L1575">
        <v>5</v>
      </c>
    </row>
    <row r="1576" spans="10:12" x14ac:dyDescent="0.2">
      <c r="J1576">
        <v>40005917</v>
      </c>
      <c r="K1576" t="s">
        <v>1328</v>
      </c>
      <c r="L1576">
        <v>1</v>
      </c>
    </row>
    <row r="1577" spans="10:12" x14ac:dyDescent="0.2">
      <c r="J1577">
        <v>40005919</v>
      </c>
      <c r="K1577" t="s">
        <v>1329</v>
      </c>
      <c r="L1577">
        <v>9</v>
      </c>
    </row>
    <row r="1578" spans="10:12" x14ac:dyDescent="0.2">
      <c r="J1578">
        <v>40005920</v>
      </c>
      <c r="K1578" t="s">
        <v>1330</v>
      </c>
      <c r="L1578">
        <v>3</v>
      </c>
    </row>
    <row r="1579" spans="10:12" x14ac:dyDescent="0.2">
      <c r="J1579">
        <v>40005921</v>
      </c>
      <c r="K1579" t="s">
        <v>1331</v>
      </c>
      <c r="L1579">
        <v>22</v>
      </c>
    </row>
    <row r="1580" spans="10:12" x14ac:dyDescent="0.2">
      <c r="J1580">
        <v>40005922</v>
      </c>
      <c r="K1580" t="s">
        <v>1332</v>
      </c>
      <c r="L1580">
        <v>1</v>
      </c>
    </row>
    <row r="1581" spans="10:12" x14ac:dyDescent="0.2">
      <c r="J1581">
        <v>40005923</v>
      </c>
      <c r="K1581" t="s">
        <v>1333</v>
      </c>
      <c r="L1581">
        <v>7</v>
      </c>
    </row>
    <row r="1582" spans="10:12" x14ac:dyDescent="0.2">
      <c r="J1582">
        <v>40005924</v>
      </c>
      <c r="K1582" t="s">
        <v>1334</v>
      </c>
      <c r="L1582">
        <v>53</v>
      </c>
    </row>
    <row r="1583" spans="10:12" x14ac:dyDescent="0.2">
      <c r="J1583">
        <v>40005925</v>
      </c>
      <c r="K1583" t="s">
        <v>1335</v>
      </c>
      <c r="L1583">
        <v>16</v>
      </c>
    </row>
    <row r="1584" spans="10:12" x14ac:dyDescent="0.2">
      <c r="J1584">
        <v>40005926</v>
      </c>
      <c r="K1584" t="s">
        <v>1336</v>
      </c>
      <c r="L1584">
        <v>5</v>
      </c>
    </row>
    <row r="1585" spans="10:12" x14ac:dyDescent="0.2">
      <c r="J1585">
        <v>40005928</v>
      </c>
      <c r="K1585" t="s">
        <v>1337</v>
      </c>
      <c r="L1585">
        <v>1</v>
      </c>
    </row>
    <row r="1586" spans="10:12" x14ac:dyDescent="0.2">
      <c r="J1586">
        <v>40005929</v>
      </c>
      <c r="K1586" t="s">
        <v>1338</v>
      </c>
      <c r="L1586">
        <v>10</v>
      </c>
    </row>
    <row r="1587" spans="10:12" x14ac:dyDescent="0.2">
      <c r="J1587">
        <v>40005930</v>
      </c>
      <c r="K1587" t="s">
        <v>1339</v>
      </c>
      <c r="L1587">
        <v>6</v>
      </c>
    </row>
    <row r="1588" spans="10:12" x14ac:dyDescent="0.2">
      <c r="J1588">
        <v>40005931</v>
      </c>
      <c r="K1588" t="s">
        <v>1340</v>
      </c>
      <c r="L1588">
        <v>29</v>
      </c>
    </row>
    <row r="1589" spans="10:12" x14ac:dyDescent="0.2">
      <c r="J1589">
        <v>40005932</v>
      </c>
      <c r="K1589" t="s">
        <v>1341</v>
      </c>
      <c r="L1589">
        <v>3</v>
      </c>
    </row>
    <row r="1590" spans="10:12" x14ac:dyDescent="0.2">
      <c r="J1590">
        <v>40005933</v>
      </c>
      <c r="K1590" t="s">
        <v>1342</v>
      </c>
      <c r="L1590">
        <v>7</v>
      </c>
    </row>
    <row r="1591" spans="10:12" x14ac:dyDescent="0.2">
      <c r="J1591">
        <v>40005934</v>
      </c>
      <c r="K1591" t="s">
        <v>1343</v>
      </c>
      <c r="L1591">
        <v>9</v>
      </c>
    </row>
    <row r="1592" spans="10:12" x14ac:dyDescent="0.2">
      <c r="J1592">
        <v>40005935</v>
      </c>
      <c r="K1592" t="s">
        <v>1344</v>
      </c>
      <c r="L1592">
        <v>15</v>
      </c>
    </row>
    <row r="1593" spans="10:12" x14ac:dyDescent="0.2">
      <c r="J1593">
        <v>40005936</v>
      </c>
      <c r="K1593" t="s">
        <v>1345</v>
      </c>
      <c r="L1593">
        <v>9</v>
      </c>
    </row>
    <row r="1594" spans="10:12" x14ac:dyDescent="0.2">
      <c r="J1594">
        <v>40005937</v>
      </c>
      <c r="K1594" t="s">
        <v>1346</v>
      </c>
      <c r="L1594">
        <v>4</v>
      </c>
    </row>
    <row r="1595" spans="10:12" x14ac:dyDescent="0.2">
      <c r="J1595">
        <v>40005938</v>
      </c>
      <c r="K1595" t="s">
        <v>10644</v>
      </c>
      <c r="L1595">
        <v>2</v>
      </c>
    </row>
    <row r="1596" spans="10:12" x14ac:dyDescent="0.2">
      <c r="J1596">
        <v>40005939</v>
      </c>
      <c r="K1596" t="s">
        <v>1347</v>
      </c>
      <c r="L1596">
        <v>2</v>
      </c>
    </row>
    <row r="1597" spans="10:12" x14ac:dyDescent="0.2">
      <c r="J1597">
        <v>40005941</v>
      </c>
      <c r="K1597" t="s">
        <v>1348</v>
      </c>
      <c r="L1597">
        <v>5</v>
      </c>
    </row>
    <row r="1598" spans="10:12" x14ac:dyDescent="0.2">
      <c r="J1598">
        <v>40005942</v>
      </c>
      <c r="K1598" t="s">
        <v>1349</v>
      </c>
      <c r="L1598">
        <v>6</v>
      </c>
    </row>
    <row r="1599" spans="10:12" x14ac:dyDescent="0.2">
      <c r="J1599">
        <v>40005943</v>
      </c>
      <c r="K1599" t="s">
        <v>1350</v>
      </c>
      <c r="L1599">
        <v>5</v>
      </c>
    </row>
    <row r="1600" spans="10:12" x14ac:dyDescent="0.2">
      <c r="J1600">
        <v>40005944</v>
      </c>
      <c r="K1600" t="s">
        <v>1351</v>
      </c>
      <c r="L1600">
        <v>3</v>
      </c>
    </row>
    <row r="1601" spans="10:12" x14ac:dyDescent="0.2">
      <c r="J1601">
        <v>40005945</v>
      </c>
      <c r="K1601" t="s">
        <v>1352</v>
      </c>
      <c r="L1601">
        <v>23</v>
      </c>
    </row>
    <row r="1602" spans="10:12" x14ac:dyDescent="0.2">
      <c r="J1602">
        <v>40005946</v>
      </c>
      <c r="K1602" t="s">
        <v>1353</v>
      </c>
      <c r="L1602">
        <v>3</v>
      </c>
    </row>
    <row r="1603" spans="10:12" x14ac:dyDescent="0.2">
      <c r="J1603">
        <v>40005947</v>
      </c>
      <c r="K1603" t="s">
        <v>1354</v>
      </c>
      <c r="L1603">
        <v>10</v>
      </c>
    </row>
    <row r="1604" spans="10:12" x14ac:dyDescent="0.2">
      <c r="J1604">
        <v>40005948</v>
      </c>
      <c r="K1604" t="s">
        <v>1355</v>
      </c>
      <c r="L1604">
        <v>2</v>
      </c>
    </row>
    <row r="1605" spans="10:12" x14ac:dyDescent="0.2">
      <c r="J1605">
        <v>40005949</v>
      </c>
      <c r="K1605" t="s">
        <v>1356</v>
      </c>
      <c r="L1605">
        <v>2</v>
      </c>
    </row>
    <row r="1606" spans="10:12" x14ac:dyDescent="0.2">
      <c r="J1606">
        <v>40005950</v>
      </c>
      <c r="K1606" t="s">
        <v>1357</v>
      </c>
      <c r="L1606">
        <v>5</v>
      </c>
    </row>
    <row r="1607" spans="10:12" x14ac:dyDescent="0.2">
      <c r="J1607">
        <v>40005951</v>
      </c>
      <c r="K1607" t="s">
        <v>1358</v>
      </c>
      <c r="L1607">
        <v>9</v>
      </c>
    </row>
    <row r="1608" spans="10:12" x14ac:dyDescent="0.2">
      <c r="J1608">
        <v>40005952</v>
      </c>
      <c r="K1608" t="s">
        <v>1359</v>
      </c>
      <c r="L1608">
        <v>9</v>
      </c>
    </row>
    <row r="1609" spans="10:12" x14ac:dyDescent="0.2">
      <c r="J1609">
        <v>40005953</v>
      </c>
      <c r="K1609" t="s">
        <v>1360</v>
      </c>
      <c r="L1609">
        <v>7</v>
      </c>
    </row>
    <row r="1610" spans="10:12" x14ac:dyDescent="0.2">
      <c r="J1610">
        <v>40005954</v>
      </c>
      <c r="K1610" t="s">
        <v>1361</v>
      </c>
      <c r="L1610">
        <v>2</v>
      </c>
    </row>
    <row r="1611" spans="10:12" x14ac:dyDescent="0.2">
      <c r="J1611">
        <v>40005955</v>
      </c>
      <c r="K1611" t="s">
        <v>1362</v>
      </c>
      <c r="L1611">
        <v>11</v>
      </c>
    </row>
    <row r="1612" spans="10:12" x14ac:dyDescent="0.2">
      <c r="J1612">
        <v>40005956</v>
      </c>
      <c r="K1612" t="s">
        <v>1363</v>
      </c>
      <c r="L1612">
        <v>17</v>
      </c>
    </row>
    <row r="1613" spans="10:12" x14ac:dyDescent="0.2">
      <c r="J1613">
        <v>40005957</v>
      </c>
      <c r="K1613" t="s">
        <v>1364</v>
      </c>
      <c r="L1613">
        <v>2</v>
      </c>
    </row>
    <row r="1614" spans="10:12" x14ac:dyDescent="0.2">
      <c r="J1614">
        <v>40005958</v>
      </c>
      <c r="K1614" t="s">
        <v>1365</v>
      </c>
      <c r="L1614">
        <v>3</v>
      </c>
    </row>
    <row r="1615" spans="10:12" x14ac:dyDescent="0.2">
      <c r="J1615">
        <v>40005959</v>
      </c>
      <c r="K1615" t="s">
        <v>1366</v>
      </c>
      <c r="L1615">
        <v>1</v>
      </c>
    </row>
    <row r="1616" spans="10:12" x14ac:dyDescent="0.2">
      <c r="J1616">
        <v>40005961</v>
      </c>
      <c r="K1616" t="s">
        <v>9882</v>
      </c>
      <c r="L1616">
        <v>7</v>
      </c>
    </row>
    <row r="1617" spans="10:12" x14ac:dyDescent="0.2">
      <c r="J1617">
        <v>40005962</v>
      </c>
      <c r="K1617" t="s">
        <v>1368</v>
      </c>
      <c r="L1617">
        <v>2</v>
      </c>
    </row>
    <row r="1618" spans="10:12" x14ac:dyDescent="0.2">
      <c r="J1618">
        <v>40005963</v>
      </c>
      <c r="K1618" t="s">
        <v>1369</v>
      </c>
      <c r="L1618">
        <v>9</v>
      </c>
    </row>
    <row r="1619" spans="10:12" x14ac:dyDescent="0.2">
      <c r="J1619">
        <v>40005964</v>
      </c>
      <c r="K1619" t="s">
        <v>1370</v>
      </c>
      <c r="L1619">
        <v>10</v>
      </c>
    </row>
    <row r="1620" spans="10:12" x14ac:dyDescent="0.2">
      <c r="J1620">
        <v>40005965</v>
      </c>
      <c r="K1620" t="s">
        <v>5476</v>
      </c>
      <c r="L1620">
        <v>26</v>
      </c>
    </row>
    <row r="1621" spans="10:12" x14ac:dyDescent="0.2">
      <c r="J1621">
        <v>40005966</v>
      </c>
      <c r="K1621" t="s">
        <v>1371</v>
      </c>
      <c r="L1621">
        <v>2</v>
      </c>
    </row>
    <row r="1622" spans="10:12" x14ac:dyDescent="0.2">
      <c r="J1622">
        <v>40005967</v>
      </c>
      <c r="K1622" t="s">
        <v>1372</v>
      </c>
      <c r="L1622">
        <v>7</v>
      </c>
    </row>
    <row r="1623" spans="10:12" x14ac:dyDescent="0.2">
      <c r="J1623">
        <v>40005968</v>
      </c>
      <c r="K1623" t="s">
        <v>1373</v>
      </c>
      <c r="L1623">
        <v>2</v>
      </c>
    </row>
    <row r="1624" spans="10:12" x14ac:dyDescent="0.2">
      <c r="J1624">
        <v>40005969</v>
      </c>
      <c r="K1624" t="s">
        <v>1374</v>
      </c>
      <c r="L1624">
        <v>1</v>
      </c>
    </row>
    <row r="1625" spans="10:12" x14ac:dyDescent="0.2">
      <c r="J1625">
        <v>40005970</v>
      </c>
      <c r="K1625" t="s">
        <v>1375</v>
      </c>
      <c r="L1625">
        <v>12</v>
      </c>
    </row>
    <row r="1626" spans="10:12" x14ac:dyDescent="0.2">
      <c r="J1626">
        <v>40005971</v>
      </c>
      <c r="K1626" t="s">
        <v>1376</v>
      </c>
      <c r="L1626">
        <v>3</v>
      </c>
    </row>
    <row r="1627" spans="10:12" x14ac:dyDescent="0.2">
      <c r="J1627">
        <v>40005972</v>
      </c>
      <c r="K1627" t="s">
        <v>1377</v>
      </c>
      <c r="L1627">
        <v>3</v>
      </c>
    </row>
    <row r="1628" spans="10:12" x14ac:dyDescent="0.2">
      <c r="J1628">
        <v>40005973</v>
      </c>
      <c r="K1628" t="s">
        <v>1378</v>
      </c>
      <c r="L1628">
        <v>3</v>
      </c>
    </row>
    <row r="1629" spans="10:12" x14ac:dyDescent="0.2">
      <c r="J1629">
        <v>40005974</v>
      </c>
      <c r="K1629" t="s">
        <v>1379</v>
      </c>
      <c r="L1629">
        <v>3</v>
      </c>
    </row>
    <row r="1630" spans="10:12" x14ac:dyDescent="0.2">
      <c r="J1630">
        <v>40005975</v>
      </c>
      <c r="K1630" t="s">
        <v>1380</v>
      </c>
      <c r="L1630">
        <v>1</v>
      </c>
    </row>
    <row r="1631" spans="10:12" x14ac:dyDescent="0.2">
      <c r="J1631">
        <v>40005976</v>
      </c>
      <c r="K1631" t="s">
        <v>1381</v>
      </c>
      <c r="L1631">
        <v>3</v>
      </c>
    </row>
    <row r="1632" spans="10:12" x14ac:dyDescent="0.2">
      <c r="J1632">
        <v>40005977</v>
      </c>
      <c r="K1632" t="s">
        <v>1382</v>
      </c>
      <c r="L1632">
        <v>2</v>
      </c>
    </row>
    <row r="1633" spans="10:12" x14ac:dyDescent="0.2">
      <c r="J1633">
        <v>40005978</v>
      </c>
      <c r="K1633" t="s">
        <v>1383</v>
      </c>
      <c r="L1633">
        <v>3</v>
      </c>
    </row>
    <row r="1634" spans="10:12" x14ac:dyDescent="0.2">
      <c r="J1634">
        <v>40005979</v>
      </c>
      <c r="K1634" t="s">
        <v>1384</v>
      </c>
      <c r="L1634">
        <v>22</v>
      </c>
    </row>
    <row r="1635" spans="10:12" x14ac:dyDescent="0.2">
      <c r="J1635">
        <v>40005980</v>
      </c>
      <c r="K1635" t="s">
        <v>1385</v>
      </c>
      <c r="L1635">
        <v>3</v>
      </c>
    </row>
    <row r="1636" spans="10:12" x14ac:dyDescent="0.2">
      <c r="J1636">
        <v>40005981</v>
      </c>
      <c r="K1636" t="s">
        <v>1386</v>
      </c>
      <c r="L1636">
        <v>2</v>
      </c>
    </row>
    <row r="1637" spans="10:12" x14ac:dyDescent="0.2">
      <c r="J1637">
        <v>40005982</v>
      </c>
      <c r="K1637" t="s">
        <v>1387</v>
      </c>
      <c r="L1637">
        <v>3</v>
      </c>
    </row>
    <row r="1638" spans="10:12" x14ac:dyDescent="0.2">
      <c r="J1638">
        <v>40005983</v>
      </c>
      <c r="K1638" t="s">
        <v>1388</v>
      </c>
      <c r="L1638">
        <v>14</v>
      </c>
    </row>
    <row r="1639" spans="10:12" x14ac:dyDescent="0.2">
      <c r="J1639">
        <v>40005984</v>
      </c>
      <c r="K1639" t="s">
        <v>1389</v>
      </c>
      <c r="L1639">
        <v>1</v>
      </c>
    </row>
    <row r="1640" spans="10:12" x14ac:dyDescent="0.2">
      <c r="J1640">
        <v>40005985</v>
      </c>
      <c r="K1640" t="s">
        <v>1390</v>
      </c>
      <c r="L1640">
        <v>13</v>
      </c>
    </row>
    <row r="1641" spans="10:12" x14ac:dyDescent="0.2">
      <c r="J1641">
        <v>40005986</v>
      </c>
      <c r="K1641" t="s">
        <v>1391</v>
      </c>
      <c r="L1641">
        <v>6</v>
      </c>
    </row>
    <row r="1642" spans="10:12" x14ac:dyDescent="0.2">
      <c r="J1642">
        <v>40005987</v>
      </c>
      <c r="K1642" t="s">
        <v>1392</v>
      </c>
      <c r="L1642">
        <v>6</v>
      </c>
    </row>
    <row r="1643" spans="10:12" x14ac:dyDescent="0.2">
      <c r="J1643">
        <v>40005988</v>
      </c>
      <c r="K1643" t="s">
        <v>1393</v>
      </c>
      <c r="L1643">
        <v>6</v>
      </c>
    </row>
    <row r="1644" spans="10:12" x14ac:dyDescent="0.2">
      <c r="J1644">
        <v>40005989</v>
      </c>
      <c r="K1644" t="s">
        <v>1394</v>
      </c>
      <c r="L1644">
        <v>4</v>
      </c>
    </row>
    <row r="1645" spans="10:12" x14ac:dyDescent="0.2">
      <c r="J1645">
        <v>40005990</v>
      </c>
      <c r="K1645" t="s">
        <v>1395</v>
      </c>
      <c r="L1645">
        <v>11</v>
      </c>
    </row>
    <row r="1646" spans="10:12" x14ac:dyDescent="0.2">
      <c r="J1646">
        <v>40005991</v>
      </c>
      <c r="K1646" t="s">
        <v>1396</v>
      </c>
      <c r="L1646">
        <v>8</v>
      </c>
    </row>
    <row r="1647" spans="10:12" x14ac:dyDescent="0.2">
      <c r="J1647">
        <v>40005992</v>
      </c>
      <c r="K1647" t="s">
        <v>1397</v>
      </c>
      <c r="L1647">
        <v>6</v>
      </c>
    </row>
    <row r="1648" spans="10:12" x14ac:dyDescent="0.2">
      <c r="J1648">
        <v>40005993</v>
      </c>
      <c r="K1648" t="s">
        <v>1398</v>
      </c>
      <c r="L1648">
        <v>12</v>
      </c>
    </row>
    <row r="1649" spans="10:12" x14ac:dyDescent="0.2">
      <c r="J1649">
        <v>40005994</v>
      </c>
      <c r="K1649" t="s">
        <v>1399</v>
      </c>
      <c r="L1649">
        <v>10</v>
      </c>
    </row>
    <row r="1650" spans="10:12" x14ac:dyDescent="0.2">
      <c r="J1650">
        <v>40005995</v>
      </c>
      <c r="K1650" t="s">
        <v>1400</v>
      </c>
      <c r="L1650">
        <v>9</v>
      </c>
    </row>
    <row r="1651" spans="10:12" x14ac:dyDescent="0.2">
      <c r="J1651">
        <v>40005996</v>
      </c>
      <c r="K1651" t="s">
        <v>1401</v>
      </c>
      <c r="L1651">
        <v>7</v>
      </c>
    </row>
    <row r="1652" spans="10:12" x14ac:dyDescent="0.2">
      <c r="J1652">
        <v>40005997</v>
      </c>
      <c r="K1652" t="s">
        <v>1402</v>
      </c>
      <c r="L1652">
        <v>3</v>
      </c>
    </row>
    <row r="1653" spans="10:12" x14ac:dyDescent="0.2">
      <c r="J1653">
        <v>40005998</v>
      </c>
      <c r="K1653" t="s">
        <v>1403</v>
      </c>
      <c r="L1653">
        <v>3</v>
      </c>
    </row>
    <row r="1654" spans="10:12" x14ac:dyDescent="0.2">
      <c r="J1654">
        <v>40005999</v>
      </c>
      <c r="K1654" t="s">
        <v>1404</v>
      </c>
      <c r="L1654">
        <v>4</v>
      </c>
    </row>
    <row r="1655" spans="10:12" x14ac:dyDescent="0.2">
      <c r="J1655">
        <v>40006000</v>
      </c>
      <c r="K1655" t="s">
        <v>1405</v>
      </c>
      <c r="L1655">
        <v>2</v>
      </c>
    </row>
    <row r="1656" spans="10:12" x14ac:dyDescent="0.2">
      <c r="J1656">
        <v>40006002</v>
      </c>
      <c r="K1656" t="s">
        <v>1407</v>
      </c>
      <c r="L1656">
        <v>7</v>
      </c>
    </row>
    <row r="1657" spans="10:12" x14ac:dyDescent="0.2">
      <c r="J1657">
        <v>40006003</v>
      </c>
      <c r="K1657" t="s">
        <v>1408</v>
      </c>
      <c r="L1657">
        <v>23</v>
      </c>
    </row>
    <row r="1658" spans="10:12" x14ac:dyDescent="0.2">
      <c r="J1658">
        <v>40006004</v>
      </c>
      <c r="K1658" t="s">
        <v>1409</v>
      </c>
      <c r="L1658">
        <v>6</v>
      </c>
    </row>
    <row r="1659" spans="10:12" x14ac:dyDescent="0.2">
      <c r="J1659">
        <v>40006005</v>
      </c>
      <c r="K1659" t="s">
        <v>1410</v>
      </c>
      <c r="L1659">
        <v>8</v>
      </c>
    </row>
    <row r="1660" spans="10:12" x14ac:dyDescent="0.2">
      <c r="J1660">
        <v>40006006</v>
      </c>
      <c r="K1660" t="s">
        <v>1411</v>
      </c>
      <c r="L1660">
        <v>1</v>
      </c>
    </row>
    <row r="1661" spans="10:12" x14ac:dyDescent="0.2">
      <c r="J1661">
        <v>40006007</v>
      </c>
      <c r="K1661" t="s">
        <v>1412</v>
      </c>
      <c r="L1661">
        <v>6</v>
      </c>
    </row>
    <row r="1662" spans="10:12" x14ac:dyDescent="0.2">
      <c r="J1662">
        <v>40006008</v>
      </c>
      <c r="K1662" t="s">
        <v>1413</v>
      </c>
      <c r="L1662">
        <v>4</v>
      </c>
    </row>
    <row r="1663" spans="10:12" x14ac:dyDescent="0.2">
      <c r="J1663">
        <v>40006009</v>
      </c>
      <c r="K1663" t="s">
        <v>1414</v>
      </c>
      <c r="L1663">
        <v>1</v>
      </c>
    </row>
    <row r="1664" spans="10:12" x14ac:dyDescent="0.2">
      <c r="J1664">
        <v>40006010</v>
      </c>
      <c r="K1664" t="s">
        <v>1415</v>
      </c>
      <c r="L1664">
        <v>2</v>
      </c>
    </row>
    <row r="1665" spans="10:12" x14ac:dyDescent="0.2">
      <c r="J1665">
        <v>40006011</v>
      </c>
      <c r="K1665" t="s">
        <v>1416</v>
      </c>
      <c r="L1665">
        <v>3</v>
      </c>
    </row>
    <row r="1666" spans="10:12" x14ac:dyDescent="0.2">
      <c r="J1666">
        <v>40006013</v>
      </c>
      <c r="K1666" t="s">
        <v>1418</v>
      </c>
      <c r="L1666">
        <v>2</v>
      </c>
    </row>
    <row r="1667" spans="10:12" x14ac:dyDescent="0.2">
      <c r="J1667">
        <v>40006014</v>
      </c>
      <c r="K1667" t="s">
        <v>1419</v>
      </c>
      <c r="L1667">
        <v>2</v>
      </c>
    </row>
    <row r="1668" spans="10:12" x14ac:dyDescent="0.2">
      <c r="J1668">
        <v>40006015</v>
      </c>
      <c r="K1668" t="s">
        <v>1420</v>
      </c>
      <c r="L1668">
        <v>2</v>
      </c>
    </row>
    <row r="1669" spans="10:12" x14ac:dyDescent="0.2">
      <c r="J1669">
        <v>40006017</v>
      </c>
      <c r="K1669" t="s">
        <v>1421</v>
      </c>
      <c r="L1669">
        <v>2</v>
      </c>
    </row>
    <row r="1670" spans="10:12" x14ac:dyDescent="0.2">
      <c r="J1670">
        <v>40006019</v>
      </c>
      <c r="K1670" t="s">
        <v>1422</v>
      </c>
      <c r="L1670">
        <v>6</v>
      </c>
    </row>
    <row r="1671" spans="10:12" x14ac:dyDescent="0.2">
      <c r="J1671">
        <v>40006020</v>
      </c>
      <c r="K1671" t="s">
        <v>1423</v>
      </c>
      <c r="L1671">
        <v>5</v>
      </c>
    </row>
    <row r="1672" spans="10:12" x14ac:dyDescent="0.2">
      <c r="J1672">
        <v>40006022</v>
      </c>
      <c r="K1672" t="s">
        <v>1424</v>
      </c>
      <c r="L1672">
        <v>3</v>
      </c>
    </row>
    <row r="1673" spans="10:12" x14ac:dyDescent="0.2">
      <c r="J1673">
        <v>40006023</v>
      </c>
      <c r="K1673" t="s">
        <v>1425</v>
      </c>
      <c r="L1673">
        <v>8</v>
      </c>
    </row>
    <row r="1674" spans="10:12" x14ac:dyDescent="0.2">
      <c r="J1674">
        <v>40006024</v>
      </c>
      <c r="K1674" t="s">
        <v>1426</v>
      </c>
      <c r="L1674">
        <v>2</v>
      </c>
    </row>
    <row r="1675" spans="10:12" x14ac:dyDescent="0.2">
      <c r="J1675">
        <v>40006025</v>
      </c>
      <c r="K1675" t="s">
        <v>1427</v>
      </c>
      <c r="L1675">
        <v>1</v>
      </c>
    </row>
    <row r="1676" spans="10:12" x14ac:dyDescent="0.2">
      <c r="J1676">
        <v>40006026</v>
      </c>
      <c r="K1676" t="s">
        <v>1428</v>
      </c>
      <c r="L1676">
        <v>7</v>
      </c>
    </row>
    <row r="1677" spans="10:12" x14ac:dyDescent="0.2">
      <c r="J1677">
        <v>40006027</v>
      </c>
      <c r="K1677" t="s">
        <v>1429</v>
      </c>
      <c r="L1677">
        <v>11</v>
      </c>
    </row>
    <row r="1678" spans="10:12" x14ac:dyDescent="0.2">
      <c r="J1678">
        <v>40006029</v>
      </c>
      <c r="K1678" t="s">
        <v>1430</v>
      </c>
      <c r="L1678">
        <v>3</v>
      </c>
    </row>
    <row r="1679" spans="10:12" x14ac:dyDescent="0.2">
      <c r="J1679">
        <v>40006030</v>
      </c>
      <c r="K1679" t="s">
        <v>1431</v>
      </c>
      <c r="L1679">
        <v>7</v>
      </c>
    </row>
    <row r="1680" spans="10:12" x14ac:dyDescent="0.2">
      <c r="J1680">
        <v>40006031</v>
      </c>
      <c r="K1680" t="s">
        <v>1432</v>
      </c>
      <c r="L1680">
        <v>1</v>
      </c>
    </row>
    <row r="1681" spans="10:12" x14ac:dyDescent="0.2">
      <c r="J1681">
        <v>40006032</v>
      </c>
      <c r="K1681" t="s">
        <v>1433</v>
      </c>
      <c r="L1681">
        <v>2</v>
      </c>
    </row>
    <row r="1682" spans="10:12" x14ac:dyDescent="0.2">
      <c r="J1682">
        <v>40006033</v>
      </c>
      <c r="K1682" t="s">
        <v>1434</v>
      </c>
      <c r="L1682">
        <v>31</v>
      </c>
    </row>
    <row r="1683" spans="10:12" x14ac:dyDescent="0.2">
      <c r="J1683">
        <v>40006034</v>
      </c>
      <c r="K1683" t="s">
        <v>1435</v>
      </c>
      <c r="L1683">
        <v>20</v>
      </c>
    </row>
    <row r="1684" spans="10:12" x14ac:dyDescent="0.2">
      <c r="J1684">
        <v>40006035</v>
      </c>
      <c r="K1684" t="s">
        <v>1436</v>
      </c>
      <c r="L1684">
        <v>9</v>
      </c>
    </row>
    <row r="1685" spans="10:12" x14ac:dyDescent="0.2">
      <c r="J1685">
        <v>40006036</v>
      </c>
      <c r="K1685" t="s">
        <v>1437</v>
      </c>
      <c r="L1685">
        <v>4</v>
      </c>
    </row>
    <row r="1686" spans="10:12" x14ac:dyDescent="0.2">
      <c r="J1686">
        <v>40006037</v>
      </c>
      <c r="K1686" t="s">
        <v>1438</v>
      </c>
      <c r="L1686">
        <v>5</v>
      </c>
    </row>
    <row r="1687" spans="10:12" x14ac:dyDescent="0.2">
      <c r="J1687">
        <v>40006038</v>
      </c>
      <c r="K1687" t="s">
        <v>1439</v>
      </c>
      <c r="L1687">
        <v>5</v>
      </c>
    </row>
    <row r="1688" spans="10:12" x14ac:dyDescent="0.2">
      <c r="J1688">
        <v>40006039</v>
      </c>
      <c r="K1688" t="s">
        <v>1440</v>
      </c>
      <c r="L1688">
        <v>1</v>
      </c>
    </row>
    <row r="1689" spans="10:12" x14ac:dyDescent="0.2">
      <c r="J1689">
        <v>40006040</v>
      </c>
      <c r="K1689" t="s">
        <v>1441</v>
      </c>
      <c r="L1689">
        <v>9</v>
      </c>
    </row>
    <row r="1690" spans="10:12" x14ac:dyDescent="0.2">
      <c r="J1690">
        <v>40006042</v>
      </c>
      <c r="K1690" t="s">
        <v>1442</v>
      </c>
      <c r="L1690">
        <v>5</v>
      </c>
    </row>
    <row r="1691" spans="10:12" x14ac:dyDescent="0.2">
      <c r="J1691">
        <v>40006043</v>
      </c>
      <c r="K1691" t="s">
        <v>1443</v>
      </c>
      <c r="L1691">
        <v>10</v>
      </c>
    </row>
    <row r="1692" spans="10:12" x14ac:dyDescent="0.2">
      <c r="J1692">
        <v>40006045</v>
      </c>
      <c r="K1692" t="s">
        <v>1444</v>
      </c>
      <c r="L1692">
        <v>1</v>
      </c>
    </row>
    <row r="1693" spans="10:12" x14ac:dyDescent="0.2">
      <c r="J1693">
        <v>40006046</v>
      </c>
      <c r="K1693" t="s">
        <v>1445</v>
      </c>
      <c r="L1693">
        <v>7</v>
      </c>
    </row>
    <row r="1694" spans="10:12" x14ac:dyDescent="0.2">
      <c r="J1694">
        <v>40006047</v>
      </c>
      <c r="K1694" t="s">
        <v>1446</v>
      </c>
      <c r="L1694">
        <v>10</v>
      </c>
    </row>
    <row r="1695" spans="10:12" x14ac:dyDescent="0.2">
      <c r="J1695">
        <v>40006048</v>
      </c>
      <c r="K1695" t="s">
        <v>1447</v>
      </c>
      <c r="L1695">
        <v>1</v>
      </c>
    </row>
    <row r="1696" spans="10:12" x14ac:dyDescent="0.2">
      <c r="J1696">
        <v>40006049</v>
      </c>
      <c r="K1696" t="s">
        <v>1448</v>
      </c>
      <c r="L1696">
        <v>1</v>
      </c>
    </row>
    <row r="1697" spans="10:12" x14ac:dyDescent="0.2">
      <c r="J1697">
        <v>40006050</v>
      </c>
      <c r="K1697" t="s">
        <v>1449</v>
      </c>
      <c r="L1697">
        <v>31</v>
      </c>
    </row>
    <row r="1698" spans="10:12" x14ac:dyDescent="0.2">
      <c r="J1698">
        <v>40006051</v>
      </c>
      <c r="K1698" t="s">
        <v>1450</v>
      </c>
      <c r="L1698">
        <v>1</v>
      </c>
    </row>
    <row r="1699" spans="10:12" x14ac:dyDescent="0.2">
      <c r="J1699">
        <v>40006052</v>
      </c>
      <c r="K1699" t="s">
        <v>1451</v>
      </c>
      <c r="L1699">
        <v>1</v>
      </c>
    </row>
    <row r="1700" spans="10:12" x14ac:dyDescent="0.2">
      <c r="J1700">
        <v>40006053</v>
      </c>
      <c r="K1700" t="s">
        <v>1452</v>
      </c>
      <c r="L1700">
        <v>14</v>
      </c>
    </row>
    <row r="1701" spans="10:12" x14ac:dyDescent="0.2">
      <c r="J1701">
        <v>40006055</v>
      </c>
      <c r="K1701" t="s">
        <v>1453</v>
      </c>
      <c r="L1701">
        <v>1</v>
      </c>
    </row>
    <row r="1702" spans="10:12" x14ac:dyDescent="0.2">
      <c r="J1702">
        <v>40006057</v>
      </c>
      <c r="K1702" t="s">
        <v>3922</v>
      </c>
      <c r="L1702">
        <v>5</v>
      </c>
    </row>
    <row r="1703" spans="10:12" x14ac:dyDescent="0.2">
      <c r="J1703">
        <v>40006058</v>
      </c>
      <c r="K1703" t="s">
        <v>1454</v>
      </c>
      <c r="L1703">
        <v>3</v>
      </c>
    </row>
    <row r="1704" spans="10:12" x14ac:dyDescent="0.2">
      <c r="J1704">
        <v>40006059</v>
      </c>
      <c r="K1704" t="s">
        <v>1455</v>
      </c>
      <c r="L1704">
        <v>25</v>
      </c>
    </row>
    <row r="1705" spans="10:12" x14ac:dyDescent="0.2">
      <c r="J1705">
        <v>40006060</v>
      </c>
      <c r="K1705" t="s">
        <v>5392</v>
      </c>
      <c r="L1705">
        <v>7</v>
      </c>
    </row>
    <row r="1706" spans="10:12" x14ac:dyDescent="0.2">
      <c r="J1706">
        <v>40006061</v>
      </c>
      <c r="K1706" t="s">
        <v>1456</v>
      </c>
      <c r="L1706">
        <v>4</v>
      </c>
    </row>
    <row r="1707" spans="10:12" x14ac:dyDescent="0.2">
      <c r="J1707">
        <v>40006062</v>
      </c>
      <c r="K1707" t="s">
        <v>3917</v>
      </c>
      <c r="L1707">
        <v>20</v>
      </c>
    </row>
    <row r="1708" spans="10:12" x14ac:dyDescent="0.2">
      <c r="J1708">
        <v>40006063</v>
      </c>
      <c r="K1708" t="s">
        <v>1457</v>
      </c>
      <c r="L1708">
        <v>4</v>
      </c>
    </row>
    <row r="1709" spans="10:12" x14ac:dyDescent="0.2">
      <c r="J1709">
        <v>40006064</v>
      </c>
      <c r="K1709" t="s">
        <v>1458</v>
      </c>
      <c r="L1709">
        <v>6</v>
      </c>
    </row>
    <row r="1710" spans="10:12" x14ac:dyDescent="0.2">
      <c r="J1710">
        <v>40006065</v>
      </c>
      <c r="K1710" t="s">
        <v>1459</v>
      </c>
      <c r="L1710">
        <v>15</v>
      </c>
    </row>
    <row r="1711" spans="10:12" x14ac:dyDescent="0.2">
      <c r="J1711">
        <v>40006066</v>
      </c>
      <c r="K1711" t="s">
        <v>1460</v>
      </c>
      <c r="L1711">
        <v>13</v>
      </c>
    </row>
    <row r="1712" spans="10:12" x14ac:dyDescent="0.2">
      <c r="J1712">
        <v>40006067</v>
      </c>
      <c r="K1712" t="s">
        <v>1461</v>
      </c>
      <c r="L1712">
        <v>126</v>
      </c>
    </row>
    <row r="1713" spans="10:12" x14ac:dyDescent="0.2">
      <c r="J1713">
        <v>40006068</v>
      </c>
      <c r="K1713" t="s">
        <v>1462</v>
      </c>
      <c r="L1713">
        <v>5</v>
      </c>
    </row>
    <row r="1714" spans="10:12" x14ac:dyDescent="0.2">
      <c r="J1714">
        <v>40006069</v>
      </c>
      <c r="K1714" t="s">
        <v>1463</v>
      </c>
      <c r="L1714">
        <v>4</v>
      </c>
    </row>
    <row r="1715" spans="10:12" x14ac:dyDescent="0.2">
      <c r="J1715">
        <v>40006070</v>
      </c>
      <c r="K1715" t="s">
        <v>1464</v>
      </c>
      <c r="L1715">
        <v>2</v>
      </c>
    </row>
    <row r="1716" spans="10:12" x14ac:dyDescent="0.2">
      <c r="J1716">
        <v>40006072</v>
      </c>
      <c r="K1716" t="s">
        <v>1465</v>
      </c>
      <c r="L1716">
        <v>87</v>
      </c>
    </row>
    <row r="1717" spans="10:12" x14ac:dyDescent="0.2">
      <c r="J1717">
        <v>40006073</v>
      </c>
      <c r="K1717" t="s">
        <v>1466</v>
      </c>
      <c r="L1717">
        <v>23</v>
      </c>
    </row>
    <row r="1718" spans="10:12" x14ac:dyDescent="0.2">
      <c r="J1718">
        <v>40006075</v>
      </c>
      <c r="K1718" t="s">
        <v>1468</v>
      </c>
      <c r="L1718">
        <v>57</v>
      </c>
    </row>
    <row r="1719" spans="10:12" x14ac:dyDescent="0.2">
      <c r="J1719">
        <v>40006076</v>
      </c>
      <c r="K1719" t="s">
        <v>1469</v>
      </c>
      <c r="L1719">
        <v>18</v>
      </c>
    </row>
    <row r="1720" spans="10:12" x14ac:dyDescent="0.2">
      <c r="J1720">
        <v>40006077</v>
      </c>
      <c r="K1720" t="s">
        <v>1470</v>
      </c>
      <c r="L1720">
        <v>81</v>
      </c>
    </row>
    <row r="1721" spans="10:12" x14ac:dyDescent="0.2">
      <c r="J1721">
        <v>40006078</v>
      </c>
      <c r="K1721" t="s">
        <v>1471</v>
      </c>
      <c r="L1721">
        <v>11</v>
      </c>
    </row>
    <row r="1722" spans="10:12" x14ac:dyDescent="0.2">
      <c r="J1722">
        <v>40006080</v>
      </c>
      <c r="K1722" t="s">
        <v>1472</v>
      </c>
      <c r="L1722">
        <v>20</v>
      </c>
    </row>
    <row r="1723" spans="10:12" x14ac:dyDescent="0.2">
      <c r="J1723">
        <v>40006081</v>
      </c>
      <c r="K1723" t="s">
        <v>1473</v>
      </c>
      <c r="L1723">
        <v>4</v>
      </c>
    </row>
    <row r="1724" spans="10:12" x14ac:dyDescent="0.2">
      <c r="J1724">
        <v>40006082</v>
      </c>
      <c r="K1724" t="s">
        <v>1474</v>
      </c>
      <c r="L1724">
        <v>8</v>
      </c>
    </row>
    <row r="1725" spans="10:12" x14ac:dyDescent="0.2">
      <c r="J1725">
        <v>40006083</v>
      </c>
      <c r="K1725" t="s">
        <v>1475</v>
      </c>
      <c r="L1725">
        <v>1</v>
      </c>
    </row>
    <row r="1726" spans="10:12" x14ac:dyDescent="0.2">
      <c r="J1726">
        <v>40006084</v>
      </c>
      <c r="K1726" t="s">
        <v>1476</v>
      </c>
      <c r="L1726">
        <v>10</v>
      </c>
    </row>
    <row r="1727" spans="10:12" x14ac:dyDescent="0.2">
      <c r="J1727">
        <v>40006085</v>
      </c>
      <c r="K1727" t="s">
        <v>1477</v>
      </c>
      <c r="L1727">
        <v>10</v>
      </c>
    </row>
    <row r="1728" spans="10:12" x14ac:dyDescent="0.2">
      <c r="J1728">
        <v>40006086</v>
      </c>
      <c r="K1728" t="s">
        <v>1478</v>
      </c>
      <c r="L1728">
        <v>1</v>
      </c>
    </row>
    <row r="1729" spans="10:12" x14ac:dyDescent="0.2">
      <c r="J1729">
        <v>40006087</v>
      </c>
      <c r="K1729" t="s">
        <v>1479</v>
      </c>
      <c r="L1729">
        <v>2</v>
      </c>
    </row>
    <row r="1730" spans="10:12" x14ac:dyDescent="0.2">
      <c r="J1730">
        <v>40006088</v>
      </c>
      <c r="K1730" t="s">
        <v>1480</v>
      </c>
      <c r="L1730">
        <v>8</v>
      </c>
    </row>
    <row r="1731" spans="10:12" x14ac:dyDescent="0.2">
      <c r="J1731">
        <v>40006089</v>
      </c>
      <c r="K1731" t="s">
        <v>3821</v>
      </c>
      <c r="L1731">
        <v>8</v>
      </c>
    </row>
    <row r="1732" spans="10:12" x14ac:dyDescent="0.2">
      <c r="J1732">
        <v>40006090</v>
      </c>
      <c r="K1732" t="s">
        <v>1481</v>
      </c>
      <c r="L1732">
        <v>8</v>
      </c>
    </row>
    <row r="1733" spans="10:12" x14ac:dyDescent="0.2">
      <c r="J1733">
        <v>40006091</v>
      </c>
      <c r="K1733" t="s">
        <v>1482</v>
      </c>
      <c r="L1733">
        <v>2</v>
      </c>
    </row>
    <row r="1734" spans="10:12" x14ac:dyDescent="0.2">
      <c r="J1734">
        <v>40006092</v>
      </c>
      <c r="K1734" t="s">
        <v>1483</v>
      </c>
      <c r="L1734">
        <v>15</v>
      </c>
    </row>
    <row r="1735" spans="10:12" x14ac:dyDescent="0.2">
      <c r="J1735">
        <v>40006093</v>
      </c>
      <c r="K1735" t="s">
        <v>1484</v>
      </c>
      <c r="L1735">
        <v>1</v>
      </c>
    </row>
    <row r="1736" spans="10:12" x14ac:dyDescent="0.2">
      <c r="J1736">
        <v>40006094</v>
      </c>
      <c r="K1736" t="s">
        <v>1485</v>
      </c>
      <c r="L1736">
        <v>63</v>
      </c>
    </row>
    <row r="1737" spans="10:12" x14ac:dyDescent="0.2">
      <c r="J1737">
        <v>40006095</v>
      </c>
      <c r="K1737" t="s">
        <v>1486</v>
      </c>
      <c r="L1737">
        <v>56</v>
      </c>
    </row>
    <row r="1738" spans="10:12" x14ac:dyDescent="0.2">
      <c r="J1738">
        <v>40006096</v>
      </c>
      <c r="K1738" t="s">
        <v>1487</v>
      </c>
      <c r="L1738">
        <v>13</v>
      </c>
    </row>
    <row r="1739" spans="10:12" x14ac:dyDescent="0.2">
      <c r="J1739">
        <v>40006097</v>
      </c>
      <c r="K1739" t="s">
        <v>1488</v>
      </c>
      <c r="L1739">
        <v>1</v>
      </c>
    </row>
    <row r="1740" spans="10:12" x14ac:dyDescent="0.2">
      <c r="J1740">
        <v>40006098</v>
      </c>
      <c r="K1740" t="s">
        <v>1489</v>
      </c>
      <c r="L1740">
        <v>45</v>
      </c>
    </row>
    <row r="1741" spans="10:12" x14ac:dyDescent="0.2">
      <c r="J1741">
        <v>40006100</v>
      </c>
      <c r="K1741" t="s">
        <v>1491</v>
      </c>
      <c r="L1741">
        <v>2</v>
      </c>
    </row>
    <row r="1742" spans="10:12" x14ac:dyDescent="0.2">
      <c r="J1742">
        <v>40006101</v>
      </c>
      <c r="K1742" t="s">
        <v>1492</v>
      </c>
      <c r="L1742">
        <v>10</v>
      </c>
    </row>
    <row r="1743" spans="10:12" x14ac:dyDescent="0.2">
      <c r="J1743">
        <v>40006102</v>
      </c>
      <c r="K1743" t="s">
        <v>1493</v>
      </c>
      <c r="L1743">
        <v>1</v>
      </c>
    </row>
    <row r="1744" spans="10:12" x14ac:dyDescent="0.2">
      <c r="J1744">
        <v>40006103</v>
      </c>
      <c r="K1744" t="s">
        <v>1494</v>
      </c>
      <c r="L1744">
        <v>17</v>
      </c>
    </row>
    <row r="1745" spans="10:12" x14ac:dyDescent="0.2">
      <c r="J1745">
        <v>40006104</v>
      </c>
      <c r="K1745" t="s">
        <v>1495</v>
      </c>
      <c r="L1745">
        <v>2</v>
      </c>
    </row>
    <row r="1746" spans="10:12" x14ac:dyDescent="0.2">
      <c r="J1746">
        <v>40006105</v>
      </c>
      <c r="K1746" t="s">
        <v>1496</v>
      </c>
      <c r="L1746">
        <v>60</v>
      </c>
    </row>
    <row r="1747" spans="10:12" x14ac:dyDescent="0.2">
      <c r="J1747">
        <v>40006107</v>
      </c>
      <c r="K1747" t="s">
        <v>1498</v>
      </c>
      <c r="L1747">
        <v>5</v>
      </c>
    </row>
    <row r="1748" spans="10:12" x14ac:dyDescent="0.2">
      <c r="J1748">
        <v>40006108</v>
      </c>
      <c r="K1748" t="s">
        <v>1499</v>
      </c>
      <c r="L1748">
        <v>-5</v>
      </c>
    </row>
    <row r="1749" spans="10:12" x14ac:dyDescent="0.2">
      <c r="J1749">
        <v>40006109</v>
      </c>
      <c r="K1749" t="s">
        <v>1500</v>
      </c>
      <c r="L1749">
        <v>50</v>
      </c>
    </row>
    <row r="1750" spans="10:12" x14ac:dyDescent="0.2">
      <c r="J1750">
        <v>40006110</v>
      </c>
      <c r="K1750" t="s">
        <v>1501</v>
      </c>
      <c r="L1750">
        <v>12</v>
      </c>
    </row>
    <row r="1751" spans="10:12" x14ac:dyDescent="0.2">
      <c r="J1751">
        <v>40006111</v>
      </c>
      <c r="K1751" t="s">
        <v>1502</v>
      </c>
      <c r="L1751">
        <v>11</v>
      </c>
    </row>
    <row r="1752" spans="10:12" x14ac:dyDescent="0.2">
      <c r="J1752">
        <v>40006112</v>
      </c>
      <c r="K1752" t="s">
        <v>1503</v>
      </c>
      <c r="L1752">
        <v>2</v>
      </c>
    </row>
    <row r="1753" spans="10:12" x14ac:dyDescent="0.2">
      <c r="J1753">
        <v>40006113</v>
      </c>
      <c r="K1753" t="s">
        <v>1504</v>
      </c>
      <c r="L1753">
        <v>4</v>
      </c>
    </row>
    <row r="1754" spans="10:12" x14ac:dyDescent="0.2">
      <c r="J1754">
        <v>40006115</v>
      </c>
      <c r="K1754" t="s">
        <v>1506</v>
      </c>
      <c r="L1754">
        <v>7</v>
      </c>
    </row>
    <row r="1755" spans="10:12" x14ac:dyDescent="0.2">
      <c r="J1755">
        <v>40006116</v>
      </c>
      <c r="K1755" t="s">
        <v>1507</v>
      </c>
      <c r="L1755">
        <v>8</v>
      </c>
    </row>
    <row r="1756" spans="10:12" x14ac:dyDescent="0.2">
      <c r="J1756">
        <v>40006117</v>
      </c>
      <c r="K1756" t="s">
        <v>1508</v>
      </c>
      <c r="L1756">
        <v>10</v>
      </c>
    </row>
    <row r="1757" spans="10:12" x14ac:dyDescent="0.2">
      <c r="J1757">
        <v>40006118</v>
      </c>
      <c r="K1757" t="s">
        <v>1509</v>
      </c>
      <c r="L1757">
        <v>4</v>
      </c>
    </row>
    <row r="1758" spans="10:12" x14ac:dyDescent="0.2">
      <c r="J1758">
        <v>40006119</v>
      </c>
      <c r="K1758" t="s">
        <v>1510</v>
      </c>
      <c r="L1758">
        <v>16</v>
      </c>
    </row>
    <row r="1759" spans="10:12" x14ac:dyDescent="0.2">
      <c r="J1759">
        <v>40006120</v>
      </c>
      <c r="K1759" t="s">
        <v>1511</v>
      </c>
      <c r="L1759">
        <v>6</v>
      </c>
    </row>
    <row r="1760" spans="10:12" x14ac:dyDescent="0.2">
      <c r="J1760">
        <v>40006121</v>
      </c>
      <c r="K1760" t="s">
        <v>1512</v>
      </c>
      <c r="L1760">
        <v>4</v>
      </c>
    </row>
    <row r="1761" spans="10:12" x14ac:dyDescent="0.2">
      <c r="J1761">
        <v>40006122</v>
      </c>
      <c r="K1761" t="s">
        <v>1513</v>
      </c>
      <c r="L1761">
        <v>4</v>
      </c>
    </row>
    <row r="1762" spans="10:12" x14ac:dyDescent="0.2">
      <c r="J1762">
        <v>40006123</v>
      </c>
      <c r="K1762" t="s">
        <v>1514</v>
      </c>
      <c r="L1762">
        <v>6</v>
      </c>
    </row>
    <row r="1763" spans="10:12" x14ac:dyDescent="0.2">
      <c r="J1763">
        <v>40006124</v>
      </c>
      <c r="K1763" t="s">
        <v>1515</v>
      </c>
      <c r="L1763">
        <v>1</v>
      </c>
    </row>
    <row r="1764" spans="10:12" x14ac:dyDescent="0.2">
      <c r="J1764">
        <v>40006125</v>
      </c>
      <c r="K1764" t="s">
        <v>1516</v>
      </c>
      <c r="L1764">
        <v>3</v>
      </c>
    </row>
    <row r="1765" spans="10:12" x14ac:dyDescent="0.2">
      <c r="J1765">
        <v>40006126</v>
      </c>
      <c r="K1765" t="s">
        <v>1517</v>
      </c>
      <c r="L1765">
        <v>4</v>
      </c>
    </row>
    <row r="1766" spans="10:12" x14ac:dyDescent="0.2">
      <c r="J1766">
        <v>40006127</v>
      </c>
      <c r="K1766" t="s">
        <v>1518</v>
      </c>
      <c r="L1766">
        <v>16</v>
      </c>
    </row>
    <row r="1767" spans="10:12" x14ac:dyDescent="0.2">
      <c r="J1767">
        <v>40006128</v>
      </c>
      <c r="K1767" t="s">
        <v>1519</v>
      </c>
      <c r="L1767">
        <v>2</v>
      </c>
    </row>
    <row r="1768" spans="10:12" x14ac:dyDescent="0.2">
      <c r="J1768">
        <v>40006129</v>
      </c>
      <c r="K1768" t="s">
        <v>1520</v>
      </c>
      <c r="L1768">
        <v>5</v>
      </c>
    </row>
    <row r="1769" spans="10:12" x14ac:dyDescent="0.2">
      <c r="J1769">
        <v>40006130</v>
      </c>
      <c r="K1769" t="s">
        <v>1521</v>
      </c>
      <c r="L1769">
        <v>11</v>
      </c>
    </row>
    <row r="1770" spans="10:12" x14ac:dyDescent="0.2">
      <c r="J1770">
        <v>40006131</v>
      </c>
      <c r="K1770" t="s">
        <v>1522</v>
      </c>
      <c r="L1770">
        <v>4</v>
      </c>
    </row>
    <row r="1771" spans="10:12" x14ac:dyDescent="0.2">
      <c r="J1771">
        <v>40006132</v>
      </c>
      <c r="K1771" t="s">
        <v>1523</v>
      </c>
      <c r="L1771">
        <v>12</v>
      </c>
    </row>
    <row r="1772" spans="10:12" x14ac:dyDescent="0.2">
      <c r="J1772">
        <v>40006133</v>
      </c>
      <c r="K1772" t="s">
        <v>1524</v>
      </c>
      <c r="L1772">
        <v>5</v>
      </c>
    </row>
    <row r="1773" spans="10:12" x14ac:dyDescent="0.2">
      <c r="J1773">
        <v>40006134</v>
      </c>
      <c r="K1773" t="s">
        <v>1525</v>
      </c>
      <c r="L1773">
        <v>3</v>
      </c>
    </row>
    <row r="1774" spans="10:12" x14ac:dyDescent="0.2">
      <c r="J1774">
        <v>40006135</v>
      </c>
      <c r="K1774" t="s">
        <v>1526</v>
      </c>
      <c r="L1774">
        <v>3</v>
      </c>
    </row>
    <row r="1775" spans="10:12" x14ac:dyDescent="0.2">
      <c r="J1775">
        <v>40006136</v>
      </c>
      <c r="K1775" t="s">
        <v>1527</v>
      </c>
      <c r="L1775">
        <v>5</v>
      </c>
    </row>
    <row r="1776" spans="10:12" x14ac:dyDescent="0.2">
      <c r="J1776">
        <v>40006137</v>
      </c>
      <c r="K1776" t="s">
        <v>1528</v>
      </c>
      <c r="L1776">
        <v>1</v>
      </c>
    </row>
    <row r="1777" spans="10:12" x14ac:dyDescent="0.2">
      <c r="J1777">
        <v>40006138</v>
      </c>
      <c r="K1777" t="s">
        <v>1529</v>
      </c>
      <c r="L1777">
        <v>8</v>
      </c>
    </row>
    <row r="1778" spans="10:12" x14ac:dyDescent="0.2">
      <c r="J1778">
        <v>40006139</v>
      </c>
      <c r="K1778" t="s">
        <v>1530</v>
      </c>
      <c r="L1778">
        <v>1</v>
      </c>
    </row>
    <row r="1779" spans="10:12" x14ac:dyDescent="0.2">
      <c r="J1779">
        <v>40006140</v>
      </c>
      <c r="K1779" t="s">
        <v>1531</v>
      </c>
      <c r="L1779">
        <v>3</v>
      </c>
    </row>
    <row r="1780" spans="10:12" x14ac:dyDescent="0.2">
      <c r="J1780">
        <v>40006141</v>
      </c>
      <c r="K1780" t="s">
        <v>1532</v>
      </c>
      <c r="L1780">
        <v>194</v>
      </c>
    </row>
    <row r="1781" spans="10:12" x14ac:dyDescent="0.2">
      <c r="J1781">
        <v>40006142</v>
      </c>
      <c r="K1781" t="s">
        <v>1533</v>
      </c>
      <c r="L1781">
        <v>10</v>
      </c>
    </row>
    <row r="1782" spans="10:12" x14ac:dyDescent="0.2">
      <c r="J1782">
        <v>40006143</v>
      </c>
      <c r="K1782" t="s">
        <v>1534</v>
      </c>
      <c r="L1782">
        <v>14</v>
      </c>
    </row>
    <row r="1783" spans="10:12" x14ac:dyDescent="0.2">
      <c r="J1783">
        <v>40006144</v>
      </c>
      <c r="K1783" t="s">
        <v>1535</v>
      </c>
      <c r="L1783">
        <v>10</v>
      </c>
    </row>
    <row r="1784" spans="10:12" x14ac:dyDescent="0.2">
      <c r="J1784">
        <v>40006145</v>
      </c>
      <c r="K1784" t="s">
        <v>1536</v>
      </c>
      <c r="L1784">
        <v>10</v>
      </c>
    </row>
    <row r="1785" spans="10:12" x14ac:dyDescent="0.2">
      <c r="J1785">
        <v>40006146</v>
      </c>
      <c r="K1785" t="s">
        <v>1537</v>
      </c>
      <c r="L1785">
        <v>3</v>
      </c>
    </row>
    <row r="1786" spans="10:12" x14ac:dyDescent="0.2">
      <c r="J1786">
        <v>40006147</v>
      </c>
      <c r="K1786" t="s">
        <v>1538</v>
      </c>
      <c r="L1786">
        <v>1</v>
      </c>
    </row>
    <row r="1787" spans="10:12" x14ac:dyDescent="0.2">
      <c r="J1787">
        <v>40006148</v>
      </c>
      <c r="K1787" t="s">
        <v>1539</v>
      </c>
      <c r="L1787">
        <v>2</v>
      </c>
    </row>
    <row r="1788" spans="10:12" x14ac:dyDescent="0.2">
      <c r="J1788">
        <v>40006149</v>
      </c>
      <c r="K1788" t="s">
        <v>1540</v>
      </c>
      <c r="L1788">
        <v>1</v>
      </c>
    </row>
    <row r="1789" spans="10:12" x14ac:dyDescent="0.2">
      <c r="J1789">
        <v>40006150</v>
      </c>
      <c r="K1789" t="s">
        <v>1541</v>
      </c>
      <c r="L1789">
        <v>7</v>
      </c>
    </row>
    <row r="1790" spans="10:12" x14ac:dyDescent="0.2">
      <c r="J1790">
        <v>40006151</v>
      </c>
      <c r="K1790" t="s">
        <v>1542</v>
      </c>
      <c r="L1790">
        <v>4</v>
      </c>
    </row>
    <row r="1791" spans="10:12" x14ac:dyDescent="0.2">
      <c r="J1791">
        <v>40006154</v>
      </c>
      <c r="K1791" t="s">
        <v>1543</v>
      </c>
      <c r="L1791">
        <v>10</v>
      </c>
    </row>
    <row r="1792" spans="10:12" x14ac:dyDescent="0.2">
      <c r="J1792">
        <v>40006155</v>
      </c>
      <c r="K1792" t="s">
        <v>5393</v>
      </c>
      <c r="L1792">
        <v>1</v>
      </c>
    </row>
    <row r="1793" spans="10:12" x14ac:dyDescent="0.2">
      <c r="J1793">
        <v>40006157</v>
      </c>
      <c r="K1793" t="s">
        <v>1544</v>
      </c>
      <c r="L1793">
        <v>3</v>
      </c>
    </row>
    <row r="1794" spans="10:12" x14ac:dyDescent="0.2">
      <c r="J1794">
        <v>40006158</v>
      </c>
      <c r="K1794" t="s">
        <v>1545</v>
      </c>
      <c r="L1794">
        <v>7</v>
      </c>
    </row>
    <row r="1795" spans="10:12" x14ac:dyDescent="0.2">
      <c r="J1795">
        <v>40006159</v>
      </c>
      <c r="K1795" t="s">
        <v>1546</v>
      </c>
      <c r="L1795">
        <v>3</v>
      </c>
    </row>
    <row r="1796" spans="10:12" x14ac:dyDescent="0.2">
      <c r="J1796">
        <v>40006160</v>
      </c>
      <c r="K1796" t="s">
        <v>1547</v>
      </c>
      <c r="L1796">
        <v>11</v>
      </c>
    </row>
    <row r="1797" spans="10:12" x14ac:dyDescent="0.2">
      <c r="J1797">
        <v>40006161</v>
      </c>
      <c r="K1797" t="s">
        <v>1548</v>
      </c>
      <c r="L1797">
        <v>12</v>
      </c>
    </row>
    <row r="1798" spans="10:12" x14ac:dyDescent="0.2">
      <c r="J1798">
        <v>40006162</v>
      </c>
      <c r="K1798" t="s">
        <v>1549</v>
      </c>
      <c r="L1798">
        <v>11</v>
      </c>
    </row>
    <row r="1799" spans="10:12" x14ac:dyDescent="0.2">
      <c r="J1799">
        <v>40006163</v>
      </c>
      <c r="K1799" t="s">
        <v>1550</v>
      </c>
      <c r="L1799">
        <v>12</v>
      </c>
    </row>
    <row r="1800" spans="10:12" x14ac:dyDescent="0.2">
      <c r="J1800">
        <v>40006164</v>
      </c>
      <c r="K1800" t="s">
        <v>1551</v>
      </c>
      <c r="L1800">
        <v>9</v>
      </c>
    </row>
    <row r="1801" spans="10:12" x14ac:dyDescent="0.2">
      <c r="J1801">
        <v>40006165</v>
      </c>
      <c r="K1801" t="s">
        <v>1552</v>
      </c>
      <c r="L1801">
        <v>7</v>
      </c>
    </row>
    <row r="1802" spans="10:12" x14ac:dyDescent="0.2">
      <c r="J1802">
        <v>40006166</v>
      </c>
      <c r="K1802" t="s">
        <v>9860</v>
      </c>
      <c r="L1802">
        <v>2</v>
      </c>
    </row>
    <row r="1803" spans="10:12" x14ac:dyDescent="0.2">
      <c r="J1803">
        <v>40006167</v>
      </c>
      <c r="K1803" t="s">
        <v>1553</v>
      </c>
      <c r="L1803">
        <v>1</v>
      </c>
    </row>
    <row r="1804" spans="10:12" x14ac:dyDescent="0.2">
      <c r="J1804">
        <v>40006168</v>
      </c>
      <c r="K1804" t="s">
        <v>1554</v>
      </c>
      <c r="L1804">
        <v>4</v>
      </c>
    </row>
    <row r="1805" spans="10:12" x14ac:dyDescent="0.2">
      <c r="J1805">
        <v>40006169</v>
      </c>
      <c r="K1805" t="s">
        <v>1555</v>
      </c>
      <c r="L1805">
        <v>7</v>
      </c>
    </row>
    <row r="1806" spans="10:12" x14ac:dyDescent="0.2">
      <c r="J1806">
        <v>40006170</v>
      </c>
      <c r="K1806" t="s">
        <v>1556</v>
      </c>
      <c r="L1806">
        <v>1</v>
      </c>
    </row>
    <row r="1807" spans="10:12" x14ac:dyDescent="0.2">
      <c r="J1807">
        <v>40006171</v>
      </c>
      <c r="K1807" t="s">
        <v>1557</v>
      </c>
      <c r="L1807">
        <v>1</v>
      </c>
    </row>
    <row r="1808" spans="10:12" x14ac:dyDescent="0.2">
      <c r="J1808">
        <v>40006172</v>
      </c>
      <c r="K1808" t="s">
        <v>1558</v>
      </c>
      <c r="L1808">
        <v>5</v>
      </c>
    </row>
    <row r="1809" spans="10:12" x14ac:dyDescent="0.2">
      <c r="J1809">
        <v>40006173</v>
      </c>
      <c r="K1809" t="s">
        <v>5477</v>
      </c>
      <c r="L1809">
        <v>7</v>
      </c>
    </row>
    <row r="1810" spans="10:12" x14ac:dyDescent="0.2">
      <c r="J1810">
        <v>40006174</v>
      </c>
      <c r="K1810" t="s">
        <v>1559</v>
      </c>
      <c r="L1810">
        <v>1</v>
      </c>
    </row>
    <row r="1811" spans="10:12" x14ac:dyDescent="0.2">
      <c r="J1811">
        <v>40006175</v>
      </c>
      <c r="K1811" t="s">
        <v>1560</v>
      </c>
      <c r="L1811">
        <v>4</v>
      </c>
    </row>
    <row r="1812" spans="10:12" x14ac:dyDescent="0.2">
      <c r="J1812">
        <v>40006176</v>
      </c>
      <c r="K1812" t="s">
        <v>1561</v>
      </c>
      <c r="L1812">
        <v>1</v>
      </c>
    </row>
    <row r="1813" spans="10:12" x14ac:dyDescent="0.2">
      <c r="J1813">
        <v>40006177</v>
      </c>
      <c r="K1813" t="s">
        <v>1562</v>
      </c>
      <c r="L1813">
        <v>38</v>
      </c>
    </row>
    <row r="1814" spans="10:12" x14ac:dyDescent="0.2">
      <c r="J1814">
        <v>40006178</v>
      </c>
      <c r="K1814" t="s">
        <v>1563</v>
      </c>
      <c r="L1814">
        <v>2</v>
      </c>
    </row>
    <row r="1815" spans="10:12" x14ac:dyDescent="0.2">
      <c r="J1815">
        <v>40006179</v>
      </c>
      <c r="K1815" t="s">
        <v>1564</v>
      </c>
      <c r="L1815">
        <v>2</v>
      </c>
    </row>
    <row r="1816" spans="10:12" x14ac:dyDescent="0.2">
      <c r="J1816">
        <v>40006180</v>
      </c>
      <c r="K1816" t="s">
        <v>1565</v>
      </c>
      <c r="L1816">
        <v>2</v>
      </c>
    </row>
    <row r="1817" spans="10:12" x14ac:dyDescent="0.2">
      <c r="J1817">
        <v>40006181</v>
      </c>
      <c r="K1817" t="s">
        <v>1566</v>
      </c>
      <c r="L1817">
        <v>5</v>
      </c>
    </row>
    <row r="1818" spans="10:12" x14ac:dyDescent="0.2">
      <c r="J1818">
        <v>40006182</v>
      </c>
      <c r="K1818" t="s">
        <v>1567</v>
      </c>
      <c r="L1818">
        <v>1</v>
      </c>
    </row>
    <row r="1819" spans="10:12" x14ac:dyDescent="0.2">
      <c r="J1819">
        <v>40006183</v>
      </c>
      <c r="K1819" t="s">
        <v>1568</v>
      </c>
      <c r="L1819">
        <v>1</v>
      </c>
    </row>
    <row r="1820" spans="10:12" x14ac:dyDescent="0.2">
      <c r="J1820">
        <v>40006184</v>
      </c>
      <c r="K1820" t="s">
        <v>1569</v>
      </c>
      <c r="L1820">
        <v>1</v>
      </c>
    </row>
    <row r="1821" spans="10:12" x14ac:dyDescent="0.2">
      <c r="J1821">
        <v>40006185</v>
      </c>
      <c r="K1821" t="s">
        <v>1570</v>
      </c>
      <c r="L1821">
        <v>4</v>
      </c>
    </row>
    <row r="1822" spans="10:12" x14ac:dyDescent="0.2">
      <c r="J1822">
        <v>40006186</v>
      </c>
      <c r="K1822" t="s">
        <v>5394</v>
      </c>
      <c r="L1822">
        <v>1</v>
      </c>
    </row>
    <row r="1823" spans="10:12" x14ac:dyDescent="0.2">
      <c r="J1823">
        <v>40006188</v>
      </c>
      <c r="K1823" t="s">
        <v>1571</v>
      </c>
      <c r="L1823">
        <v>1</v>
      </c>
    </row>
    <row r="1824" spans="10:12" x14ac:dyDescent="0.2">
      <c r="J1824">
        <v>40006189</v>
      </c>
      <c r="K1824" t="s">
        <v>1572</v>
      </c>
      <c r="L1824">
        <v>10</v>
      </c>
    </row>
    <row r="1825" spans="10:12" x14ac:dyDescent="0.2">
      <c r="J1825">
        <v>40006190</v>
      </c>
      <c r="K1825" t="s">
        <v>1573</v>
      </c>
      <c r="L1825">
        <v>1</v>
      </c>
    </row>
    <row r="1826" spans="10:12" x14ac:dyDescent="0.2">
      <c r="J1826">
        <v>40006191</v>
      </c>
      <c r="K1826" t="s">
        <v>1574</v>
      </c>
      <c r="L1826">
        <v>7</v>
      </c>
    </row>
    <row r="1827" spans="10:12" x14ac:dyDescent="0.2">
      <c r="J1827">
        <v>40006192</v>
      </c>
      <c r="K1827" t="s">
        <v>1575</v>
      </c>
      <c r="L1827">
        <v>18</v>
      </c>
    </row>
    <row r="1828" spans="10:12" x14ac:dyDescent="0.2">
      <c r="J1828">
        <v>40006193</v>
      </c>
      <c r="K1828" t="s">
        <v>1576</v>
      </c>
      <c r="L1828">
        <v>3</v>
      </c>
    </row>
    <row r="1829" spans="10:12" x14ac:dyDescent="0.2">
      <c r="J1829">
        <v>40006194</v>
      </c>
      <c r="K1829" t="s">
        <v>1577</v>
      </c>
      <c r="L1829">
        <v>1</v>
      </c>
    </row>
    <row r="1830" spans="10:12" x14ac:dyDescent="0.2">
      <c r="J1830">
        <v>40006195</v>
      </c>
      <c r="K1830" t="s">
        <v>1578</v>
      </c>
      <c r="L1830">
        <v>1</v>
      </c>
    </row>
    <row r="1831" spans="10:12" x14ac:dyDescent="0.2">
      <c r="J1831">
        <v>40006196</v>
      </c>
      <c r="K1831" t="s">
        <v>1579</v>
      </c>
      <c r="L1831">
        <v>4</v>
      </c>
    </row>
    <row r="1832" spans="10:12" x14ac:dyDescent="0.2">
      <c r="J1832">
        <v>40006197</v>
      </c>
      <c r="K1832" t="s">
        <v>1580</v>
      </c>
      <c r="L1832">
        <v>8</v>
      </c>
    </row>
    <row r="1833" spans="10:12" x14ac:dyDescent="0.2">
      <c r="J1833">
        <v>40006198</v>
      </c>
      <c r="K1833" t="s">
        <v>1581</v>
      </c>
      <c r="L1833">
        <v>3</v>
      </c>
    </row>
    <row r="1834" spans="10:12" x14ac:dyDescent="0.2">
      <c r="J1834">
        <v>40006199</v>
      </c>
      <c r="K1834" t="s">
        <v>1582</v>
      </c>
      <c r="L1834">
        <v>1</v>
      </c>
    </row>
    <row r="1835" spans="10:12" x14ac:dyDescent="0.2">
      <c r="J1835">
        <v>40006200</v>
      </c>
      <c r="K1835" t="s">
        <v>1583</v>
      </c>
      <c r="L1835">
        <v>3</v>
      </c>
    </row>
    <row r="1836" spans="10:12" x14ac:dyDescent="0.2">
      <c r="J1836">
        <v>40006201</v>
      </c>
      <c r="K1836" t="s">
        <v>1584</v>
      </c>
      <c r="L1836">
        <v>1</v>
      </c>
    </row>
    <row r="1837" spans="10:12" x14ac:dyDescent="0.2">
      <c r="J1837">
        <v>40006202</v>
      </c>
      <c r="K1837" t="s">
        <v>1585</v>
      </c>
      <c r="L1837">
        <v>3</v>
      </c>
    </row>
    <row r="1838" spans="10:12" x14ac:dyDescent="0.2">
      <c r="J1838">
        <v>40006203</v>
      </c>
      <c r="K1838" t="s">
        <v>1586</v>
      </c>
      <c r="L1838">
        <v>3</v>
      </c>
    </row>
    <row r="1839" spans="10:12" x14ac:dyDescent="0.2">
      <c r="J1839">
        <v>40006204</v>
      </c>
      <c r="K1839" t="s">
        <v>1587</v>
      </c>
      <c r="L1839">
        <v>1</v>
      </c>
    </row>
    <row r="1840" spans="10:12" x14ac:dyDescent="0.2">
      <c r="J1840">
        <v>40006205</v>
      </c>
      <c r="K1840" t="s">
        <v>1588</v>
      </c>
      <c r="L1840">
        <v>11</v>
      </c>
    </row>
    <row r="1841" spans="10:12" x14ac:dyDescent="0.2">
      <c r="J1841">
        <v>40006206</v>
      </c>
      <c r="K1841" t="s">
        <v>1589</v>
      </c>
      <c r="L1841">
        <v>1</v>
      </c>
    </row>
    <row r="1842" spans="10:12" x14ac:dyDescent="0.2">
      <c r="J1842">
        <v>40006207</v>
      </c>
      <c r="K1842" t="s">
        <v>1590</v>
      </c>
      <c r="L1842">
        <v>8</v>
      </c>
    </row>
    <row r="1843" spans="10:12" x14ac:dyDescent="0.2">
      <c r="J1843">
        <v>40006209</v>
      </c>
      <c r="K1843" t="s">
        <v>1592</v>
      </c>
      <c r="L1843">
        <v>5</v>
      </c>
    </row>
    <row r="1844" spans="10:12" x14ac:dyDescent="0.2">
      <c r="J1844">
        <v>40006210</v>
      </c>
      <c r="K1844" t="s">
        <v>1593</v>
      </c>
      <c r="L1844">
        <v>1</v>
      </c>
    </row>
    <row r="1845" spans="10:12" x14ac:dyDescent="0.2">
      <c r="J1845">
        <v>40006211</v>
      </c>
      <c r="K1845" t="s">
        <v>1594</v>
      </c>
      <c r="L1845">
        <v>11</v>
      </c>
    </row>
    <row r="1846" spans="10:12" x14ac:dyDescent="0.2">
      <c r="J1846">
        <v>40006212</v>
      </c>
      <c r="K1846" t="s">
        <v>1595</v>
      </c>
      <c r="L1846">
        <v>7</v>
      </c>
    </row>
    <row r="1847" spans="10:12" x14ac:dyDescent="0.2">
      <c r="J1847">
        <v>40006213</v>
      </c>
      <c r="K1847" t="s">
        <v>1596</v>
      </c>
      <c r="L1847">
        <v>1</v>
      </c>
    </row>
    <row r="1848" spans="10:12" x14ac:dyDescent="0.2">
      <c r="J1848">
        <v>40006214</v>
      </c>
      <c r="K1848" t="s">
        <v>1597</v>
      </c>
      <c r="L1848">
        <v>1</v>
      </c>
    </row>
    <row r="1849" spans="10:12" x14ac:dyDescent="0.2">
      <c r="J1849">
        <v>40006215</v>
      </c>
      <c r="K1849" t="s">
        <v>1598</v>
      </c>
      <c r="L1849">
        <v>2</v>
      </c>
    </row>
    <row r="1850" spans="10:12" x14ac:dyDescent="0.2">
      <c r="J1850">
        <v>40006217</v>
      </c>
      <c r="K1850" t="s">
        <v>1599</v>
      </c>
      <c r="L1850">
        <v>5</v>
      </c>
    </row>
    <row r="1851" spans="10:12" x14ac:dyDescent="0.2">
      <c r="J1851">
        <v>40006218</v>
      </c>
      <c r="K1851" t="s">
        <v>1600</v>
      </c>
      <c r="L1851">
        <v>2</v>
      </c>
    </row>
    <row r="1852" spans="10:12" x14ac:dyDescent="0.2">
      <c r="J1852">
        <v>40006220</v>
      </c>
      <c r="K1852" t="s">
        <v>1601</v>
      </c>
      <c r="L1852">
        <v>2</v>
      </c>
    </row>
    <row r="1853" spans="10:12" x14ac:dyDescent="0.2">
      <c r="J1853">
        <v>40006221</v>
      </c>
      <c r="K1853" t="s">
        <v>1602</v>
      </c>
      <c r="L1853">
        <v>1</v>
      </c>
    </row>
    <row r="1854" spans="10:12" x14ac:dyDescent="0.2">
      <c r="J1854">
        <v>40006222</v>
      </c>
      <c r="K1854" t="s">
        <v>1603</v>
      </c>
      <c r="L1854">
        <v>1</v>
      </c>
    </row>
    <row r="1855" spans="10:12" x14ac:dyDescent="0.2">
      <c r="J1855">
        <v>40006223</v>
      </c>
      <c r="K1855" t="s">
        <v>1604</v>
      </c>
      <c r="L1855">
        <v>1</v>
      </c>
    </row>
    <row r="1856" spans="10:12" x14ac:dyDescent="0.2">
      <c r="J1856">
        <v>40006225</v>
      </c>
      <c r="K1856" t="s">
        <v>1605</v>
      </c>
      <c r="L1856">
        <v>1</v>
      </c>
    </row>
    <row r="1857" spans="10:12" x14ac:dyDescent="0.2">
      <c r="J1857">
        <v>40006226</v>
      </c>
      <c r="K1857" t="s">
        <v>1606</v>
      </c>
      <c r="L1857">
        <v>1</v>
      </c>
    </row>
    <row r="1858" spans="10:12" x14ac:dyDescent="0.2">
      <c r="J1858">
        <v>40006227</v>
      </c>
      <c r="K1858" t="s">
        <v>1607</v>
      </c>
      <c r="L1858">
        <v>3</v>
      </c>
    </row>
    <row r="1859" spans="10:12" x14ac:dyDescent="0.2">
      <c r="J1859">
        <v>40006228</v>
      </c>
      <c r="K1859" t="s">
        <v>1608</v>
      </c>
      <c r="L1859">
        <v>2</v>
      </c>
    </row>
    <row r="1860" spans="10:12" x14ac:dyDescent="0.2">
      <c r="J1860">
        <v>40006230</v>
      </c>
      <c r="K1860" t="s">
        <v>1609</v>
      </c>
      <c r="L1860">
        <v>1</v>
      </c>
    </row>
    <row r="1861" spans="10:12" x14ac:dyDescent="0.2">
      <c r="J1861">
        <v>40006231</v>
      </c>
      <c r="K1861" t="s">
        <v>1610</v>
      </c>
      <c r="L1861">
        <v>3</v>
      </c>
    </row>
    <row r="1862" spans="10:12" x14ac:dyDescent="0.2">
      <c r="J1862">
        <v>40006233</v>
      </c>
      <c r="K1862" t="s">
        <v>1611</v>
      </c>
      <c r="L1862">
        <v>5</v>
      </c>
    </row>
    <row r="1863" spans="10:12" x14ac:dyDescent="0.2">
      <c r="J1863">
        <v>40006234</v>
      </c>
      <c r="K1863" t="s">
        <v>1612</v>
      </c>
      <c r="L1863">
        <v>2</v>
      </c>
    </row>
    <row r="1864" spans="10:12" x14ac:dyDescent="0.2">
      <c r="J1864">
        <v>40006235</v>
      </c>
      <c r="K1864" t="s">
        <v>1613</v>
      </c>
      <c r="L1864">
        <v>10</v>
      </c>
    </row>
    <row r="1865" spans="10:12" x14ac:dyDescent="0.2">
      <c r="J1865">
        <v>40006236</v>
      </c>
      <c r="K1865" t="s">
        <v>1614</v>
      </c>
      <c r="L1865">
        <v>3</v>
      </c>
    </row>
    <row r="1866" spans="10:12" x14ac:dyDescent="0.2">
      <c r="J1866">
        <v>40006237</v>
      </c>
      <c r="K1866" t="s">
        <v>1615</v>
      </c>
      <c r="L1866">
        <v>9</v>
      </c>
    </row>
    <row r="1867" spans="10:12" x14ac:dyDescent="0.2">
      <c r="J1867">
        <v>40006238</v>
      </c>
      <c r="K1867" t="s">
        <v>1616</v>
      </c>
      <c r="L1867">
        <v>10</v>
      </c>
    </row>
    <row r="1868" spans="10:12" x14ac:dyDescent="0.2">
      <c r="J1868">
        <v>40006239</v>
      </c>
      <c r="K1868" t="s">
        <v>1617</v>
      </c>
      <c r="L1868">
        <v>2</v>
      </c>
    </row>
    <row r="1869" spans="10:12" x14ac:dyDescent="0.2">
      <c r="J1869">
        <v>40006240</v>
      </c>
      <c r="K1869" t="s">
        <v>3829</v>
      </c>
      <c r="L1869">
        <v>3</v>
      </c>
    </row>
    <row r="1870" spans="10:12" x14ac:dyDescent="0.2">
      <c r="J1870">
        <v>40006241</v>
      </c>
      <c r="K1870" t="s">
        <v>1618</v>
      </c>
      <c r="L1870">
        <v>1</v>
      </c>
    </row>
    <row r="1871" spans="10:12" x14ac:dyDescent="0.2">
      <c r="J1871">
        <v>40006242</v>
      </c>
      <c r="K1871" t="s">
        <v>1619</v>
      </c>
      <c r="L1871">
        <v>32</v>
      </c>
    </row>
    <row r="1872" spans="10:12" x14ac:dyDescent="0.2">
      <c r="J1872">
        <v>40006243</v>
      </c>
      <c r="K1872" t="s">
        <v>1620</v>
      </c>
      <c r="L1872">
        <v>1</v>
      </c>
    </row>
    <row r="1873" spans="10:12" x14ac:dyDescent="0.2">
      <c r="J1873">
        <v>40006244</v>
      </c>
      <c r="K1873" t="s">
        <v>1621</v>
      </c>
      <c r="L1873">
        <v>10</v>
      </c>
    </row>
    <row r="1874" spans="10:12" x14ac:dyDescent="0.2">
      <c r="J1874">
        <v>40006245</v>
      </c>
      <c r="K1874" t="s">
        <v>1622</v>
      </c>
      <c r="L1874">
        <v>2</v>
      </c>
    </row>
    <row r="1875" spans="10:12" x14ac:dyDescent="0.2">
      <c r="J1875">
        <v>40006246</v>
      </c>
      <c r="K1875" t="s">
        <v>1623</v>
      </c>
      <c r="L1875">
        <v>3</v>
      </c>
    </row>
    <row r="1876" spans="10:12" x14ac:dyDescent="0.2">
      <c r="J1876">
        <v>40006247</v>
      </c>
      <c r="K1876" t="s">
        <v>1624</v>
      </c>
      <c r="L1876">
        <v>1</v>
      </c>
    </row>
    <row r="1877" spans="10:12" x14ac:dyDescent="0.2">
      <c r="J1877">
        <v>40006248</v>
      </c>
      <c r="K1877" t="s">
        <v>1625</v>
      </c>
      <c r="L1877">
        <v>6</v>
      </c>
    </row>
    <row r="1878" spans="10:12" x14ac:dyDescent="0.2">
      <c r="J1878">
        <v>40006249</v>
      </c>
      <c r="K1878" t="s">
        <v>1626</v>
      </c>
      <c r="L1878">
        <v>2</v>
      </c>
    </row>
    <row r="1879" spans="10:12" x14ac:dyDescent="0.2">
      <c r="J1879">
        <v>40006250</v>
      </c>
      <c r="K1879" t="s">
        <v>1627</v>
      </c>
      <c r="L1879">
        <v>5</v>
      </c>
    </row>
    <row r="1880" spans="10:12" x14ac:dyDescent="0.2">
      <c r="J1880">
        <v>40006251</v>
      </c>
      <c r="K1880" t="s">
        <v>1628</v>
      </c>
      <c r="L1880">
        <v>6</v>
      </c>
    </row>
    <row r="1881" spans="10:12" x14ac:dyDescent="0.2">
      <c r="J1881">
        <v>40006253</v>
      </c>
      <c r="K1881" t="s">
        <v>1630</v>
      </c>
      <c r="L1881">
        <v>1</v>
      </c>
    </row>
    <row r="1882" spans="10:12" x14ac:dyDescent="0.2">
      <c r="J1882">
        <v>40006254</v>
      </c>
      <c r="K1882" t="s">
        <v>1631</v>
      </c>
      <c r="L1882">
        <v>1</v>
      </c>
    </row>
    <row r="1883" spans="10:12" x14ac:dyDescent="0.2">
      <c r="J1883">
        <v>40006255</v>
      </c>
      <c r="K1883" t="s">
        <v>1632</v>
      </c>
      <c r="L1883">
        <v>5</v>
      </c>
    </row>
    <row r="1884" spans="10:12" x14ac:dyDescent="0.2">
      <c r="J1884">
        <v>40006256</v>
      </c>
      <c r="K1884" t="s">
        <v>1633</v>
      </c>
      <c r="L1884">
        <v>1</v>
      </c>
    </row>
    <row r="1885" spans="10:12" x14ac:dyDescent="0.2">
      <c r="J1885">
        <v>40006257</v>
      </c>
      <c r="K1885" t="s">
        <v>1634</v>
      </c>
      <c r="L1885">
        <v>1</v>
      </c>
    </row>
    <row r="1886" spans="10:12" x14ac:dyDescent="0.2">
      <c r="J1886">
        <v>40006258</v>
      </c>
      <c r="K1886" t="s">
        <v>1635</v>
      </c>
      <c r="L1886">
        <v>1</v>
      </c>
    </row>
    <row r="1887" spans="10:12" x14ac:dyDescent="0.2">
      <c r="J1887">
        <v>40006259</v>
      </c>
      <c r="K1887" t="s">
        <v>5478</v>
      </c>
      <c r="L1887">
        <v>4</v>
      </c>
    </row>
    <row r="1888" spans="10:12" x14ac:dyDescent="0.2">
      <c r="J1888">
        <v>40006260</v>
      </c>
      <c r="K1888" t="s">
        <v>1636</v>
      </c>
      <c r="L1888">
        <v>1</v>
      </c>
    </row>
    <row r="1889" spans="10:12" x14ac:dyDescent="0.2">
      <c r="J1889">
        <v>40006261</v>
      </c>
      <c r="K1889" t="s">
        <v>1637</v>
      </c>
      <c r="L1889">
        <v>3</v>
      </c>
    </row>
    <row r="1890" spans="10:12" x14ac:dyDescent="0.2">
      <c r="J1890">
        <v>40006262</v>
      </c>
      <c r="K1890" t="s">
        <v>1638</v>
      </c>
      <c r="L1890">
        <v>1</v>
      </c>
    </row>
    <row r="1891" spans="10:12" x14ac:dyDescent="0.2">
      <c r="J1891">
        <v>40006263</v>
      </c>
      <c r="K1891" t="s">
        <v>1639</v>
      </c>
      <c r="L1891">
        <v>3</v>
      </c>
    </row>
    <row r="1892" spans="10:12" x14ac:dyDescent="0.2">
      <c r="J1892">
        <v>40006264</v>
      </c>
      <c r="K1892" t="s">
        <v>1640</v>
      </c>
      <c r="L1892">
        <v>1</v>
      </c>
    </row>
    <row r="1893" spans="10:12" x14ac:dyDescent="0.2">
      <c r="J1893">
        <v>40006265</v>
      </c>
      <c r="K1893" t="s">
        <v>1641</v>
      </c>
      <c r="L1893">
        <v>1</v>
      </c>
    </row>
    <row r="1894" spans="10:12" x14ac:dyDescent="0.2">
      <c r="J1894">
        <v>40006267</v>
      </c>
      <c r="K1894" t="s">
        <v>1643</v>
      </c>
      <c r="L1894">
        <v>1</v>
      </c>
    </row>
    <row r="1895" spans="10:12" x14ac:dyDescent="0.2">
      <c r="J1895">
        <v>40006268</v>
      </c>
      <c r="K1895" t="s">
        <v>3836</v>
      </c>
      <c r="L1895">
        <v>2</v>
      </c>
    </row>
    <row r="1896" spans="10:12" x14ac:dyDescent="0.2">
      <c r="J1896">
        <v>40006269</v>
      </c>
      <c r="K1896" t="s">
        <v>1644</v>
      </c>
      <c r="L1896">
        <v>37</v>
      </c>
    </row>
    <row r="1897" spans="10:12" x14ac:dyDescent="0.2">
      <c r="J1897">
        <v>40006270</v>
      </c>
      <c r="K1897" t="s">
        <v>1645</v>
      </c>
      <c r="L1897">
        <v>1</v>
      </c>
    </row>
    <row r="1898" spans="10:12" x14ac:dyDescent="0.2">
      <c r="J1898">
        <v>40006271</v>
      </c>
      <c r="K1898" t="s">
        <v>3686</v>
      </c>
      <c r="L1898">
        <v>2</v>
      </c>
    </row>
    <row r="1899" spans="10:12" x14ac:dyDescent="0.2">
      <c r="J1899">
        <v>40006272</v>
      </c>
      <c r="K1899" t="s">
        <v>1646</v>
      </c>
      <c r="L1899">
        <v>1</v>
      </c>
    </row>
    <row r="1900" spans="10:12" x14ac:dyDescent="0.2">
      <c r="J1900">
        <v>40006273</v>
      </c>
      <c r="K1900" t="s">
        <v>1647</v>
      </c>
      <c r="L1900">
        <v>1</v>
      </c>
    </row>
    <row r="1901" spans="10:12" x14ac:dyDescent="0.2">
      <c r="J1901">
        <v>40006274</v>
      </c>
      <c r="K1901" t="s">
        <v>1648</v>
      </c>
      <c r="L1901">
        <v>2</v>
      </c>
    </row>
    <row r="1902" spans="10:12" x14ac:dyDescent="0.2">
      <c r="J1902">
        <v>40006275</v>
      </c>
      <c r="K1902" t="s">
        <v>1649</v>
      </c>
      <c r="L1902">
        <v>2</v>
      </c>
    </row>
    <row r="1903" spans="10:12" x14ac:dyDescent="0.2">
      <c r="J1903">
        <v>40006276</v>
      </c>
      <c r="K1903" t="s">
        <v>1650</v>
      </c>
      <c r="L1903">
        <v>1</v>
      </c>
    </row>
    <row r="1904" spans="10:12" x14ac:dyDescent="0.2">
      <c r="J1904">
        <v>40006277</v>
      </c>
      <c r="K1904" t="s">
        <v>1651</v>
      </c>
      <c r="L1904">
        <v>3</v>
      </c>
    </row>
    <row r="1905" spans="10:12" x14ac:dyDescent="0.2">
      <c r="J1905">
        <v>40006278</v>
      </c>
      <c r="K1905" t="s">
        <v>1652</v>
      </c>
      <c r="L1905">
        <v>1</v>
      </c>
    </row>
    <row r="1906" spans="10:12" x14ac:dyDescent="0.2">
      <c r="J1906">
        <v>40006279</v>
      </c>
      <c r="K1906" t="s">
        <v>1653</v>
      </c>
      <c r="L1906">
        <v>1</v>
      </c>
    </row>
    <row r="1907" spans="10:12" x14ac:dyDescent="0.2">
      <c r="J1907">
        <v>40006280</v>
      </c>
      <c r="K1907" t="s">
        <v>3817</v>
      </c>
      <c r="L1907">
        <v>2</v>
      </c>
    </row>
    <row r="1908" spans="10:12" x14ac:dyDescent="0.2">
      <c r="J1908">
        <v>40006281</v>
      </c>
      <c r="K1908" t="s">
        <v>1654</v>
      </c>
      <c r="L1908">
        <v>3</v>
      </c>
    </row>
    <row r="1909" spans="10:12" x14ac:dyDescent="0.2">
      <c r="J1909">
        <v>40006282</v>
      </c>
      <c r="K1909" t="s">
        <v>1655</v>
      </c>
      <c r="L1909">
        <v>1</v>
      </c>
    </row>
    <row r="1910" spans="10:12" x14ac:dyDescent="0.2">
      <c r="J1910">
        <v>40006283</v>
      </c>
      <c r="K1910" t="s">
        <v>1656</v>
      </c>
      <c r="L1910">
        <v>1</v>
      </c>
    </row>
    <row r="1911" spans="10:12" x14ac:dyDescent="0.2">
      <c r="J1911">
        <v>40006284</v>
      </c>
      <c r="K1911" t="s">
        <v>1657</v>
      </c>
      <c r="L1911">
        <v>5</v>
      </c>
    </row>
    <row r="1912" spans="10:12" x14ac:dyDescent="0.2">
      <c r="J1912">
        <v>40006285</v>
      </c>
      <c r="K1912" t="s">
        <v>1658</v>
      </c>
      <c r="L1912">
        <v>3</v>
      </c>
    </row>
    <row r="1913" spans="10:12" x14ac:dyDescent="0.2">
      <c r="J1913">
        <v>40006286</v>
      </c>
      <c r="K1913" t="s">
        <v>1659</v>
      </c>
      <c r="L1913">
        <v>10</v>
      </c>
    </row>
    <row r="1914" spans="10:12" x14ac:dyDescent="0.2">
      <c r="J1914">
        <v>40006287</v>
      </c>
      <c r="K1914" t="s">
        <v>1660</v>
      </c>
      <c r="L1914">
        <v>1</v>
      </c>
    </row>
    <row r="1915" spans="10:12" x14ac:dyDescent="0.2">
      <c r="J1915">
        <v>40006288</v>
      </c>
      <c r="K1915" t="s">
        <v>1661</v>
      </c>
      <c r="L1915">
        <v>10</v>
      </c>
    </row>
    <row r="1916" spans="10:12" x14ac:dyDescent="0.2">
      <c r="J1916">
        <v>40006289</v>
      </c>
      <c r="K1916" t="s">
        <v>1662</v>
      </c>
      <c r="L1916">
        <v>1</v>
      </c>
    </row>
    <row r="1917" spans="10:12" x14ac:dyDescent="0.2">
      <c r="J1917">
        <v>40006290</v>
      </c>
      <c r="K1917" t="s">
        <v>1663</v>
      </c>
      <c r="L1917">
        <v>9</v>
      </c>
    </row>
    <row r="1918" spans="10:12" x14ac:dyDescent="0.2">
      <c r="J1918">
        <v>40006291</v>
      </c>
      <c r="K1918" t="s">
        <v>1664</v>
      </c>
      <c r="L1918">
        <v>23</v>
      </c>
    </row>
    <row r="1919" spans="10:12" x14ac:dyDescent="0.2">
      <c r="J1919">
        <v>40006292</v>
      </c>
      <c r="K1919" t="s">
        <v>1665</v>
      </c>
      <c r="L1919">
        <v>1</v>
      </c>
    </row>
    <row r="1920" spans="10:12" x14ac:dyDescent="0.2">
      <c r="J1920">
        <v>40006293</v>
      </c>
      <c r="K1920" t="s">
        <v>1666</v>
      </c>
      <c r="L1920">
        <v>1</v>
      </c>
    </row>
    <row r="1921" spans="10:12" x14ac:dyDescent="0.2">
      <c r="J1921">
        <v>40006294</v>
      </c>
      <c r="K1921" t="s">
        <v>1667</v>
      </c>
      <c r="L1921">
        <v>18</v>
      </c>
    </row>
    <row r="1922" spans="10:12" x14ac:dyDescent="0.2">
      <c r="J1922">
        <v>40006295</v>
      </c>
      <c r="K1922" t="s">
        <v>1668</v>
      </c>
      <c r="L1922">
        <v>2</v>
      </c>
    </row>
    <row r="1923" spans="10:12" x14ac:dyDescent="0.2">
      <c r="J1923">
        <v>40006296</v>
      </c>
      <c r="K1923" t="s">
        <v>1669</v>
      </c>
      <c r="L1923">
        <v>1</v>
      </c>
    </row>
    <row r="1924" spans="10:12" x14ac:dyDescent="0.2">
      <c r="J1924">
        <v>40006297</v>
      </c>
      <c r="K1924" t="s">
        <v>1670</v>
      </c>
      <c r="L1924">
        <v>10</v>
      </c>
    </row>
    <row r="1925" spans="10:12" x14ac:dyDescent="0.2">
      <c r="J1925">
        <v>40006298</v>
      </c>
      <c r="K1925" t="s">
        <v>9911</v>
      </c>
      <c r="L1925">
        <v>6</v>
      </c>
    </row>
    <row r="1926" spans="10:12" x14ac:dyDescent="0.2">
      <c r="J1926">
        <v>40006299</v>
      </c>
      <c r="K1926" t="s">
        <v>1671</v>
      </c>
      <c r="L1926">
        <v>6</v>
      </c>
    </row>
    <row r="1927" spans="10:12" x14ac:dyDescent="0.2">
      <c r="J1927">
        <v>40006300</v>
      </c>
      <c r="K1927" t="s">
        <v>3812</v>
      </c>
      <c r="L1927">
        <v>10</v>
      </c>
    </row>
    <row r="1928" spans="10:12" x14ac:dyDescent="0.2">
      <c r="J1928">
        <v>40006301</v>
      </c>
      <c r="K1928" t="s">
        <v>3680</v>
      </c>
      <c r="L1928">
        <v>1</v>
      </c>
    </row>
    <row r="1929" spans="10:12" x14ac:dyDescent="0.2">
      <c r="J1929">
        <v>40006302</v>
      </c>
      <c r="K1929" t="s">
        <v>1672</v>
      </c>
      <c r="L1929">
        <v>2</v>
      </c>
    </row>
    <row r="1930" spans="10:12" x14ac:dyDescent="0.2">
      <c r="J1930">
        <v>40006303</v>
      </c>
      <c r="K1930" t="s">
        <v>1673</v>
      </c>
      <c r="L1930">
        <v>1</v>
      </c>
    </row>
    <row r="1931" spans="10:12" x14ac:dyDescent="0.2">
      <c r="J1931">
        <v>40006304</v>
      </c>
      <c r="K1931" t="s">
        <v>1674</v>
      </c>
      <c r="L1931">
        <v>17</v>
      </c>
    </row>
    <row r="1932" spans="10:12" x14ac:dyDescent="0.2">
      <c r="J1932">
        <v>40006306</v>
      </c>
      <c r="K1932" t="s">
        <v>1675</v>
      </c>
      <c r="L1932">
        <v>10</v>
      </c>
    </row>
    <row r="1933" spans="10:12" x14ac:dyDescent="0.2">
      <c r="J1933">
        <v>40006308</v>
      </c>
      <c r="K1933" t="s">
        <v>1676</v>
      </c>
      <c r="L1933">
        <v>6</v>
      </c>
    </row>
    <row r="1934" spans="10:12" x14ac:dyDescent="0.2">
      <c r="J1934">
        <v>40006309</v>
      </c>
      <c r="K1934" t="s">
        <v>1677</v>
      </c>
      <c r="L1934">
        <v>18</v>
      </c>
    </row>
    <row r="1935" spans="10:12" x14ac:dyDescent="0.2">
      <c r="J1935">
        <v>40006310</v>
      </c>
      <c r="K1935" t="s">
        <v>1678</v>
      </c>
      <c r="L1935">
        <v>1</v>
      </c>
    </row>
    <row r="1936" spans="10:12" x14ac:dyDescent="0.2">
      <c r="J1936">
        <v>40006311</v>
      </c>
      <c r="K1936" t="s">
        <v>1679</v>
      </c>
      <c r="L1936">
        <v>10</v>
      </c>
    </row>
    <row r="1937" spans="10:12" x14ac:dyDescent="0.2">
      <c r="J1937">
        <v>40006313</v>
      </c>
      <c r="K1937" t="s">
        <v>1680</v>
      </c>
      <c r="L1937">
        <v>24</v>
      </c>
    </row>
    <row r="1938" spans="10:12" x14ac:dyDescent="0.2">
      <c r="J1938">
        <v>40006314</v>
      </c>
      <c r="K1938" t="s">
        <v>1681</v>
      </c>
      <c r="L1938">
        <v>4</v>
      </c>
    </row>
    <row r="1939" spans="10:12" x14ac:dyDescent="0.2">
      <c r="J1939">
        <v>40006315</v>
      </c>
      <c r="K1939" t="s">
        <v>1682</v>
      </c>
      <c r="L1939">
        <v>5</v>
      </c>
    </row>
    <row r="1940" spans="10:12" x14ac:dyDescent="0.2">
      <c r="J1940">
        <v>40006316</v>
      </c>
      <c r="K1940" t="s">
        <v>1683</v>
      </c>
      <c r="L1940">
        <v>36</v>
      </c>
    </row>
    <row r="1941" spans="10:12" x14ac:dyDescent="0.2">
      <c r="J1941">
        <v>40006317</v>
      </c>
      <c r="K1941" t="s">
        <v>1684</v>
      </c>
      <c r="L1941">
        <v>9</v>
      </c>
    </row>
    <row r="1942" spans="10:12" x14ac:dyDescent="0.2">
      <c r="J1942">
        <v>40006318</v>
      </c>
      <c r="K1942" t="s">
        <v>1685</v>
      </c>
      <c r="L1942">
        <v>1</v>
      </c>
    </row>
    <row r="1943" spans="10:12" x14ac:dyDescent="0.2">
      <c r="J1943">
        <v>40006319</v>
      </c>
      <c r="K1943" t="s">
        <v>1686</v>
      </c>
      <c r="L1943">
        <v>10</v>
      </c>
    </row>
    <row r="1944" spans="10:12" x14ac:dyDescent="0.2">
      <c r="J1944">
        <v>40006320</v>
      </c>
      <c r="K1944" t="s">
        <v>1687</v>
      </c>
      <c r="L1944">
        <v>11</v>
      </c>
    </row>
    <row r="1945" spans="10:12" x14ac:dyDescent="0.2">
      <c r="J1945">
        <v>40006321</v>
      </c>
      <c r="K1945" t="s">
        <v>1688</v>
      </c>
      <c r="L1945">
        <v>3</v>
      </c>
    </row>
    <row r="1946" spans="10:12" x14ac:dyDescent="0.2">
      <c r="J1946">
        <v>40006323</v>
      </c>
      <c r="K1946" t="s">
        <v>1690</v>
      </c>
      <c r="L1946">
        <v>5</v>
      </c>
    </row>
    <row r="1947" spans="10:12" x14ac:dyDescent="0.2">
      <c r="J1947">
        <v>40006324</v>
      </c>
      <c r="K1947" t="s">
        <v>1691</v>
      </c>
      <c r="L1947">
        <v>5</v>
      </c>
    </row>
    <row r="1948" spans="10:12" x14ac:dyDescent="0.2">
      <c r="J1948">
        <v>40006325</v>
      </c>
      <c r="K1948" t="s">
        <v>1692</v>
      </c>
      <c r="L1948">
        <v>5</v>
      </c>
    </row>
    <row r="1949" spans="10:12" x14ac:dyDescent="0.2">
      <c r="J1949">
        <v>40006326</v>
      </c>
      <c r="K1949" t="s">
        <v>1693</v>
      </c>
      <c r="L1949">
        <v>8</v>
      </c>
    </row>
    <row r="1950" spans="10:12" x14ac:dyDescent="0.2">
      <c r="J1950">
        <v>40006327</v>
      </c>
      <c r="K1950" t="s">
        <v>1694</v>
      </c>
      <c r="L1950">
        <v>2</v>
      </c>
    </row>
    <row r="1951" spans="10:12" x14ac:dyDescent="0.2">
      <c r="J1951">
        <v>40006328</v>
      </c>
      <c r="K1951" t="s">
        <v>1695</v>
      </c>
      <c r="L1951">
        <v>1</v>
      </c>
    </row>
    <row r="1952" spans="10:12" x14ac:dyDescent="0.2">
      <c r="J1952">
        <v>40006329</v>
      </c>
      <c r="K1952" t="s">
        <v>1696</v>
      </c>
      <c r="L1952">
        <v>15</v>
      </c>
    </row>
    <row r="1953" spans="10:12" x14ac:dyDescent="0.2">
      <c r="J1953">
        <v>40006330</v>
      </c>
      <c r="K1953" t="s">
        <v>1697</v>
      </c>
      <c r="L1953">
        <v>26</v>
      </c>
    </row>
    <row r="1954" spans="10:12" x14ac:dyDescent="0.2">
      <c r="J1954">
        <v>40006331</v>
      </c>
      <c r="K1954" t="s">
        <v>1698</v>
      </c>
      <c r="L1954">
        <v>22</v>
      </c>
    </row>
    <row r="1955" spans="10:12" x14ac:dyDescent="0.2">
      <c r="J1955">
        <v>40006332</v>
      </c>
      <c r="K1955" t="s">
        <v>1699</v>
      </c>
      <c r="L1955">
        <v>32</v>
      </c>
    </row>
    <row r="1956" spans="10:12" x14ac:dyDescent="0.2">
      <c r="J1956">
        <v>40006333</v>
      </c>
      <c r="K1956" t="s">
        <v>1700</v>
      </c>
      <c r="L1956">
        <v>4</v>
      </c>
    </row>
    <row r="1957" spans="10:12" x14ac:dyDescent="0.2">
      <c r="J1957">
        <v>40006334</v>
      </c>
      <c r="K1957" t="s">
        <v>3696</v>
      </c>
      <c r="L1957">
        <v>4</v>
      </c>
    </row>
    <row r="1958" spans="10:12" x14ac:dyDescent="0.2">
      <c r="J1958">
        <v>40006335</v>
      </c>
      <c r="K1958" t="s">
        <v>1701</v>
      </c>
      <c r="L1958">
        <v>1</v>
      </c>
    </row>
    <row r="1959" spans="10:12" x14ac:dyDescent="0.2">
      <c r="J1959">
        <v>40006336</v>
      </c>
      <c r="K1959" t="s">
        <v>1702</v>
      </c>
      <c r="L1959">
        <v>1</v>
      </c>
    </row>
    <row r="1960" spans="10:12" x14ac:dyDescent="0.2">
      <c r="J1960">
        <v>40006337</v>
      </c>
      <c r="K1960" t="s">
        <v>3679</v>
      </c>
      <c r="L1960">
        <v>7</v>
      </c>
    </row>
    <row r="1961" spans="10:12" x14ac:dyDescent="0.2">
      <c r="J1961">
        <v>40006338</v>
      </c>
      <c r="K1961" t="s">
        <v>1703</v>
      </c>
      <c r="L1961">
        <v>1</v>
      </c>
    </row>
    <row r="1962" spans="10:12" x14ac:dyDescent="0.2">
      <c r="J1962">
        <v>40006339</v>
      </c>
      <c r="K1962" t="s">
        <v>1704</v>
      </c>
      <c r="L1962">
        <v>1</v>
      </c>
    </row>
    <row r="1963" spans="10:12" x14ac:dyDescent="0.2">
      <c r="J1963">
        <v>40006340</v>
      </c>
      <c r="K1963" t="s">
        <v>1705</v>
      </c>
      <c r="L1963">
        <v>3</v>
      </c>
    </row>
    <row r="1964" spans="10:12" x14ac:dyDescent="0.2">
      <c r="J1964">
        <v>40006341</v>
      </c>
      <c r="K1964" t="s">
        <v>1706</v>
      </c>
      <c r="L1964">
        <v>3</v>
      </c>
    </row>
    <row r="1965" spans="10:12" x14ac:dyDescent="0.2">
      <c r="J1965">
        <v>40006342</v>
      </c>
      <c r="K1965" t="s">
        <v>1707</v>
      </c>
      <c r="L1965">
        <v>3</v>
      </c>
    </row>
    <row r="1966" spans="10:12" x14ac:dyDescent="0.2">
      <c r="J1966">
        <v>40006343</v>
      </c>
      <c r="K1966" t="s">
        <v>1708</v>
      </c>
      <c r="L1966">
        <v>3</v>
      </c>
    </row>
    <row r="1967" spans="10:12" x14ac:dyDescent="0.2">
      <c r="J1967">
        <v>40006345</v>
      </c>
      <c r="K1967" t="s">
        <v>1709</v>
      </c>
      <c r="L1967">
        <v>9</v>
      </c>
    </row>
    <row r="1968" spans="10:12" x14ac:dyDescent="0.2">
      <c r="J1968">
        <v>40006346</v>
      </c>
      <c r="K1968" t="s">
        <v>1710</v>
      </c>
      <c r="L1968">
        <v>2</v>
      </c>
    </row>
    <row r="1969" spans="10:12" x14ac:dyDescent="0.2">
      <c r="J1969">
        <v>40006347</v>
      </c>
      <c r="K1969" t="s">
        <v>1711</v>
      </c>
      <c r="L1969">
        <v>2</v>
      </c>
    </row>
    <row r="1970" spans="10:12" x14ac:dyDescent="0.2">
      <c r="J1970">
        <v>40006348</v>
      </c>
      <c r="K1970" t="s">
        <v>1712</v>
      </c>
      <c r="L1970">
        <v>14</v>
      </c>
    </row>
    <row r="1971" spans="10:12" x14ac:dyDescent="0.2">
      <c r="J1971">
        <v>40006349</v>
      </c>
      <c r="K1971" t="s">
        <v>1713</v>
      </c>
      <c r="L1971">
        <v>3</v>
      </c>
    </row>
    <row r="1972" spans="10:12" x14ac:dyDescent="0.2">
      <c r="J1972">
        <v>40006350</v>
      </c>
      <c r="K1972" t="s">
        <v>1714</v>
      </c>
      <c r="L1972">
        <v>3</v>
      </c>
    </row>
    <row r="1973" spans="10:12" x14ac:dyDescent="0.2">
      <c r="J1973">
        <v>40006351</v>
      </c>
      <c r="K1973" t="s">
        <v>1715</v>
      </c>
      <c r="L1973">
        <v>10</v>
      </c>
    </row>
    <row r="1974" spans="10:12" x14ac:dyDescent="0.2">
      <c r="J1974">
        <v>40006352</v>
      </c>
      <c r="K1974" t="s">
        <v>1716</v>
      </c>
      <c r="L1974">
        <v>2</v>
      </c>
    </row>
    <row r="1975" spans="10:12" x14ac:dyDescent="0.2">
      <c r="J1975">
        <v>40006353</v>
      </c>
      <c r="K1975" t="s">
        <v>1717</v>
      </c>
      <c r="L1975">
        <v>10</v>
      </c>
    </row>
    <row r="1976" spans="10:12" x14ac:dyDescent="0.2">
      <c r="J1976">
        <v>40006354</v>
      </c>
      <c r="K1976" t="s">
        <v>1718</v>
      </c>
      <c r="L1976">
        <v>3</v>
      </c>
    </row>
    <row r="1977" spans="10:12" x14ac:dyDescent="0.2">
      <c r="J1977">
        <v>40006355</v>
      </c>
      <c r="K1977" t="s">
        <v>1719</v>
      </c>
      <c r="L1977">
        <v>4</v>
      </c>
    </row>
    <row r="1978" spans="10:12" x14ac:dyDescent="0.2">
      <c r="J1978">
        <v>40006357</v>
      </c>
      <c r="K1978" t="s">
        <v>1720</v>
      </c>
      <c r="L1978">
        <v>6</v>
      </c>
    </row>
    <row r="1979" spans="10:12" x14ac:dyDescent="0.2">
      <c r="J1979">
        <v>40006359</v>
      </c>
      <c r="K1979" t="s">
        <v>1722</v>
      </c>
      <c r="L1979">
        <v>7</v>
      </c>
    </row>
    <row r="1980" spans="10:12" x14ac:dyDescent="0.2">
      <c r="J1980">
        <v>40006360</v>
      </c>
      <c r="K1980" t="s">
        <v>1723</v>
      </c>
      <c r="L1980">
        <v>1</v>
      </c>
    </row>
    <row r="1981" spans="10:12" x14ac:dyDescent="0.2">
      <c r="J1981">
        <v>40006361</v>
      </c>
      <c r="K1981" t="s">
        <v>1724</v>
      </c>
      <c r="L1981">
        <v>2</v>
      </c>
    </row>
    <row r="1982" spans="10:12" x14ac:dyDescent="0.2">
      <c r="J1982">
        <v>40006362</v>
      </c>
      <c r="K1982" t="s">
        <v>1725</v>
      </c>
      <c r="L1982">
        <v>28</v>
      </c>
    </row>
    <row r="1983" spans="10:12" x14ac:dyDescent="0.2">
      <c r="J1983">
        <v>40006363</v>
      </c>
      <c r="K1983" t="s">
        <v>1726</v>
      </c>
      <c r="L1983">
        <v>18</v>
      </c>
    </row>
    <row r="1984" spans="10:12" x14ac:dyDescent="0.2">
      <c r="J1984">
        <v>40006364</v>
      </c>
      <c r="K1984" t="s">
        <v>1727</v>
      </c>
      <c r="L1984">
        <v>5</v>
      </c>
    </row>
    <row r="1985" spans="10:12" x14ac:dyDescent="0.2">
      <c r="J1985">
        <v>40006365</v>
      </c>
      <c r="K1985" t="s">
        <v>1728</v>
      </c>
      <c r="L1985">
        <v>3</v>
      </c>
    </row>
    <row r="1986" spans="10:12" x14ac:dyDescent="0.2">
      <c r="J1986">
        <v>40006366</v>
      </c>
      <c r="K1986" t="s">
        <v>1729</v>
      </c>
      <c r="L1986">
        <v>6</v>
      </c>
    </row>
    <row r="1987" spans="10:12" x14ac:dyDescent="0.2">
      <c r="J1987">
        <v>40006368</v>
      </c>
      <c r="K1987" t="s">
        <v>3735</v>
      </c>
      <c r="L1987">
        <v>5</v>
      </c>
    </row>
    <row r="1988" spans="10:12" x14ac:dyDescent="0.2">
      <c r="J1988">
        <v>40006371</v>
      </c>
      <c r="K1988" t="s">
        <v>1731</v>
      </c>
      <c r="L1988">
        <v>1</v>
      </c>
    </row>
    <row r="1989" spans="10:12" x14ac:dyDescent="0.2">
      <c r="J1989">
        <v>40006372</v>
      </c>
      <c r="K1989" t="s">
        <v>1732</v>
      </c>
      <c r="L1989">
        <v>3</v>
      </c>
    </row>
    <row r="1990" spans="10:12" x14ac:dyDescent="0.2">
      <c r="J1990">
        <v>40006373</v>
      </c>
      <c r="K1990" t="s">
        <v>1733</v>
      </c>
      <c r="L1990">
        <v>1</v>
      </c>
    </row>
    <row r="1991" spans="10:12" x14ac:dyDescent="0.2">
      <c r="J1991">
        <v>40006374</v>
      </c>
      <c r="K1991" t="s">
        <v>1734</v>
      </c>
      <c r="L1991">
        <v>1</v>
      </c>
    </row>
    <row r="1992" spans="10:12" x14ac:dyDescent="0.2">
      <c r="J1992">
        <v>40006375</v>
      </c>
      <c r="K1992" t="s">
        <v>1735</v>
      </c>
      <c r="L1992">
        <v>1</v>
      </c>
    </row>
    <row r="1993" spans="10:12" x14ac:dyDescent="0.2">
      <c r="J1993">
        <v>40006376</v>
      </c>
      <c r="K1993" t="s">
        <v>1736</v>
      </c>
      <c r="L1993">
        <v>7</v>
      </c>
    </row>
    <row r="1994" spans="10:12" x14ac:dyDescent="0.2">
      <c r="J1994">
        <v>40006377</v>
      </c>
      <c r="K1994" t="s">
        <v>1737</v>
      </c>
      <c r="L1994">
        <v>3</v>
      </c>
    </row>
    <row r="1995" spans="10:12" x14ac:dyDescent="0.2">
      <c r="J1995">
        <v>40006378</v>
      </c>
      <c r="K1995" t="s">
        <v>1738</v>
      </c>
      <c r="L1995">
        <v>1</v>
      </c>
    </row>
    <row r="1996" spans="10:12" x14ac:dyDescent="0.2">
      <c r="J1996">
        <v>40006379</v>
      </c>
      <c r="K1996" t="s">
        <v>1739</v>
      </c>
      <c r="L1996">
        <v>2</v>
      </c>
    </row>
    <row r="1997" spans="10:12" x14ac:dyDescent="0.2">
      <c r="J1997">
        <v>40006380</v>
      </c>
      <c r="K1997" t="s">
        <v>1740</v>
      </c>
      <c r="L1997">
        <v>3</v>
      </c>
    </row>
    <row r="1998" spans="10:12" x14ac:dyDescent="0.2">
      <c r="J1998">
        <v>40006381</v>
      </c>
      <c r="K1998" t="s">
        <v>1741</v>
      </c>
      <c r="L1998">
        <v>3</v>
      </c>
    </row>
    <row r="1999" spans="10:12" x14ac:dyDescent="0.2">
      <c r="J1999">
        <v>40006382</v>
      </c>
      <c r="K1999" t="s">
        <v>1742</v>
      </c>
      <c r="L1999">
        <v>7</v>
      </c>
    </row>
    <row r="2000" spans="10:12" x14ac:dyDescent="0.2">
      <c r="J2000">
        <v>40006383</v>
      </c>
      <c r="K2000" t="s">
        <v>1743</v>
      </c>
      <c r="L2000">
        <v>5</v>
      </c>
    </row>
    <row r="2001" spans="10:12" x14ac:dyDescent="0.2">
      <c r="J2001">
        <v>40006384</v>
      </c>
      <c r="K2001" t="s">
        <v>1744</v>
      </c>
      <c r="L2001">
        <v>4</v>
      </c>
    </row>
    <row r="2002" spans="10:12" x14ac:dyDescent="0.2">
      <c r="J2002">
        <v>40006385</v>
      </c>
      <c r="K2002" t="s">
        <v>1745</v>
      </c>
      <c r="L2002">
        <v>3</v>
      </c>
    </row>
    <row r="2003" spans="10:12" x14ac:dyDescent="0.2">
      <c r="J2003">
        <v>40006386</v>
      </c>
      <c r="K2003" t="s">
        <v>1746</v>
      </c>
      <c r="L2003">
        <v>3</v>
      </c>
    </row>
    <row r="2004" spans="10:12" x14ac:dyDescent="0.2">
      <c r="J2004">
        <v>40006387</v>
      </c>
      <c r="K2004" t="s">
        <v>1747</v>
      </c>
      <c r="L2004">
        <v>5</v>
      </c>
    </row>
    <row r="2005" spans="10:12" x14ac:dyDescent="0.2">
      <c r="J2005">
        <v>40006388</v>
      </c>
      <c r="K2005" t="s">
        <v>1748</v>
      </c>
      <c r="L2005">
        <v>4</v>
      </c>
    </row>
    <row r="2006" spans="10:12" x14ac:dyDescent="0.2">
      <c r="J2006">
        <v>40006389</v>
      </c>
      <c r="K2006" t="s">
        <v>1749</v>
      </c>
      <c r="L2006">
        <v>1</v>
      </c>
    </row>
    <row r="2007" spans="10:12" x14ac:dyDescent="0.2">
      <c r="J2007">
        <v>40006390</v>
      </c>
      <c r="K2007" t="s">
        <v>1750</v>
      </c>
      <c r="L2007">
        <v>10</v>
      </c>
    </row>
    <row r="2008" spans="10:12" x14ac:dyDescent="0.2">
      <c r="J2008">
        <v>40006391</v>
      </c>
      <c r="K2008" t="s">
        <v>1751</v>
      </c>
      <c r="L2008">
        <v>1</v>
      </c>
    </row>
    <row r="2009" spans="10:12" x14ac:dyDescent="0.2">
      <c r="J2009">
        <v>40006392</v>
      </c>
      <c r="K2009" t="s">
        <v>1752</v>
      </c>
      <c r="L2009">
        <v>6</v>
      </c>
    </row>
    <row r="2010" spans="10:12" x14ac:dyDescent="0.2">
      <c r="J2010">
        <v>40006393</v>
      </c>
      <c r="K2010" t="s">
        <v>1753</v>
      </c>
      <c r="L2010">
        <v>5</v>
      </c>
    </row>
    <row r="2011" spans="10:12" x14ac:dyDescent="0.2">
      <c r="J2011">
        <v>40006394</v>
      </c>
      <c r="K2011" t="s">
        <v>1754</v>
      </c>
      <c r="L2011">
        <v>5</v>
      </c>
    </row>
    <row r="2012" spans="10:12" x14ac:dyDescent="0.2">
      <c r="J2012">
        <v>40006395</v>
      </c>
      <c r="K2012" t="s">
        <v>1755</v>
      </c>
      <c r="L2012">
        <v>5</v>
      </c>
    </row>
    <row r="2013" spans="10:12" x14ac:dyDescent="0.2">
      <c r="J2013">
        <v>40006396</v>
      </c>
      <c r="K2013" t="s">
        <v>1756</v>
      </c>
      <c r="L2013">
        <v>5</v>
      </c>
    </row>
    <row r="2014" spans="10:12" x14ac:dyDescent="0.2">
      <c r="J2014">
        <v>40006397</v>
      </c>
      <c r="K2014" t="s">
        <v>1757</v>
      </c>
      <c r="L2014">
        <v>4</v>
      </c>
    </row>
    <row r="2015" spans="10:12" x14ac:dyDescent="0.2">
      <c r="J2015">
        <v>40006398</v>
      </c>
      <c r="K2015" t="s">
        <v>1758</v>
      </c>
      <c r="L2015">
        <v>5</v>
      </c>
    </row>
    <row r="2016" spans="10:12" x14ac:dyDescent="0.2">
      <c r="J2016">
        <v>40006399</v>
      </c>
      <c r="K2016" t="s">
        <v>1759</v>
      </c>
      <c r="L2016">
        <v>6</v>
      </c>
    </row>
    <row r="2017" spans="10:12" x14ac:dyDescent="0.2">
      <c r="J2017">
        <v>40006400</v>
      </c>
      <c r="K2017" t="s">
        <v>1760</v>
      </c>
      <c r="L2017">
        <v>2</v>
      </c>
    </row>
    <row r="2018" spans="10:12" x14ac:dyDescent="0.2">
      <c r="J2018">
        <v>40006401</v>
      </c>
      <c r="K2018" t="s">
        <v>1761</v>
      </c>
      <c r="L2018">
        <v>12</v>
      </c>
    </row>
    <row r="2019" spans="10:12" x14ac:dyDescent="0.2">
      <c r="J2019">
        <v>40006402</v>
      </c>
      <c r="K2019" t="s">
        <v>1762</v>
      </c>
      <c r="L2019">
        <v>15</v>
      </c>
    </row>
    <row r="2020" spans="10:12" x14ac:dyDescent="0.2">
      <c r="J2020">
        <v>40006403</v>
      </c>
      <c r="K2020" t="s">
        <v>1763</v>
      </c>
      <c r="L2020">
        <v>4</v>
      </c>
    </row>
    <row r="2021" spans="10:12" x14ac:dyDescent="0.2">
      <c r="J2021">
        <v>40006404</v>
      </c>
      <c r="K2021" t="s">
        <v>1764</v>
      </c>
      <c r="L2021">
        <v>26</v>
      </c>
    </row>
    <row r="2022" spans="10:12" x14ac:dyDescent="0.2">
      <c r="J2022">
        <v>40006405</v>
      </c>
      <c r="K2022" t="s">
        <v>1765</v>
      </c>
      <c r="L2022">
        <v>1</v>
      </c>
    </row>
    <row r="2023" spans="10:12" x14ac:dyDescent="0.2">
      <c r="J2023">
        <v>40006406</v>
      </c>
      <c r="K2023" t="s">
        <v>1766</v>
      </c>
      <c r="L2023">
        <v>21</v>
      </c>
    </row>
    <row r="2024" spans="10:12" x14ac:dyDescent="0.2">
      <c r="J2024">
        <v>40006407</v>
      </c>
      <c r="K2024" t="s">
        <v>1767</v>
      </c>
      <c r="L2024">
        <v>11</v>
      </c>
    </row>
    <row r="2025" spans="10:12" x14ac:dyDescent="0.2">
      <c r="J2025">
        <v>40006409</v>
      </c>
      <c r="K2025" t="s">
        <v>1769</v>
      </c>
      <c r="L2025">
        <v>10</v>
      </c>
    </row>
    <row r="2026" spans="10:12" x14ac:dyDescent="0.2">
      <c r="J2026">
        <v>40006411</v>
      </c>
      <c r="K2026" t="s">
        <v>1770</v>
      </c>
      <c r="L2026">
        <v>2</v>
      </c>
    </row>
    <row r="2027" spans="10:12" x14ac:dyDescent="0.2">
      <c r="J2027">
        <v>40006412</v>
      </c>
      <c r="K2027" t="s">
        <v>1771</v>
      </c>
      <c r="L2027">
        <v>5</v>
      </c>
    </row>
    <row r="2028" spans="10:12" x14ac:dyDescent="0.2">
      <c r="J2028">
        <v>40006413</v>
      </c>
      <c r="K2028" t="s">
        <v>1772</v>
      </c>
      <c r="L2028">
        <v>2</v>
      </c>
    </row>
    <row r="2029" spans="10:12" x14ac:dyDescent="0.2">
      <c r="J2029">
        <v>40006414</v>
      </c>
      <c r="K2029" t="s">
        <v>1773</v>
      </c>
      <c r="L2029">
        <v>2</v>
      </c>
    </row>
    <row r="2030" spans="10:12" x14ac:dyDescent="0.2">
      <c r="J2030">
        <v>40006415</v>
      </c>
      <c r="K2030" t="s">
        <v>1774</v>
      </c>
      <c r="L2030">
        <v>2</v>
      </c>
    </row>
    <row r="2031" spans="10:12" x14ac:dyDescent="0.2">
      <c r="J2031">
        <v>40006416</v>
      </c>
      <c r="K2031" t="s">
        <v>1775</v>
      </c>
      <c r="L2031">
        <v>1</v>
      </c>
    </row>
    <row r="2032" spans="10:12" x14ac:dyDescent="0.2">
      <c r="J2032">
        <v>40006417</v>
      </c>
      <c r="K2032" t="s">
        <v>1776</v>
      </c>
      <c r="L2032">
        <v>1</v>
      </c>
    </row>
    <row r="2033" spans="10:12" x14ac:dyDescent="0.2">
      <c r="J2033">
        <v>40006418</v>
      </c>
      <c r="K2033" t="s">
        <v>1777</v>
      </c>
      <c r="L2033">
        <v>2</v>
      </c>
    </row>
    <row r="2034" spans="10:12" x14ac:dyDescent="0.2">
      <c r="J2034">
        <v>40006419</v>
      </c>
      <c r="K2034" t="s">
        <v>1778</v>
      </c>
      <c r="L2034">
        <v>2</v>
      </c>
    </row>
    <row r="2035" spans="10:12" x14ac:dyDescent="0.2">
      <c r="J2035">
        <v>40006420</v>
      </c>
      <c r="K2035" t="s">
        <v>1779</v>
      </c>
      <c r="L2035">
        <v>2</v>
      </c>
    </row>
    <row r="2036" spans="10:12" x14ac:dyDescent="0.2">
      <c r="J2036">
        <v>40006421</v>
      </c>
      <c r="K2036" t="s">
        <v>1780</v>
      </c>
      <c r="L2036">
        <v>2</v>
      </c>
    </row>
    <row r="2037" spans="10:12" x14ac:dyDescent="0.2">
      <c r="J2037">
        <v>40006422</v>
      </c>
      <c r="K2037" t="s">
        <v>1781</v>
      </c>
      <c r="L2037">
        <v>11</v>
      </c>
    </row>
    <row r="2038" spans="10:12" x14ac:dyDescent="0.2">
      <c r="J2038">
        <v>40006423</v>
      </c>
      <c r="K2038" t="s">
        <v>1782</v>
      </c>
      <c r="L2038">
        <v>7</v>
      </c>
    </row>
    <row r="2039" spans="10:12" x14ac:dyDescent="0.2">
      <c r="J2039">
        <v>40006424</v>
      </c>
      <c r="K2039" t="s">
        <v>1783</v>
      </c>
      <c r="L2039">
        <v>1</v>
      </c>
    </row>
    <row r="2040" spans="10:12" x14ac:dyDescent="0.2">
      <c r="J2040">
        <v>40006425</v>
      </c>
      <c r="K2040" t="s">
        <v>1784</v>
      </c>
      <c r="L2040">
        <v>1</v>
      </c>
    </row>
    <row r="2041" spans="10:12" x14ac:dyDescent="0.2">
      <c r="J2041">
        <v>40006426</v>
      </c>
      <c r="K2041" t="s">
        <v>10437</v>
      </c>
      <c r="L2041">
        <v>4</v>
      </c>
    </row>
    <row r="2042" spans="10:12" x14ac:dyDescent="0.2">
      <c r="J2042">
        <v>40006427</v>
      </c>
      <c r="K2042" t="s">
        <v>1785</v>
      </c>
      <c r="L2042">
        <v>3</v>
      </c>
    </row>
    <row r="2043" spans="10:12" x14ac:dyDescent="0.2">
      <c r="J2043">
        <v>40006428</v>
      </c>
      <c r="K2043" t="s">
        <v>1786</v>
      </c>
      <c r="L2043">
        <v>1</v>
      </c>
    </row>
    <row r="2044" spans="10:12" x14ac:dyDescent="0.2">
      <c r="J2044">
        <v>40006429</v>
      </c>
      <c r="K2044" t="s">
        <v>1787</v>
      </c>
      <c r="L2044">
        <v>1</v>
      </c>
    </row>
    <row r="2045" spans="10:12" x14ac:dyDescent="0.2">
      <c r="J2045">
        <v>40006430</v>
      </c>
      <c r="K2045" t="s">
        <v>1788</v>
      </c>
      <c r="L2045">
        <v>3</v>
      </c>
    </row>
    <row r="2046" spans="10:12" x14ac:dyDescent="0.2">
      <c r="J2046">
        <v>40006431</v>
      </c>
      <c r="K2046" t="s">
        <v>1789</v>
      </c>
      <c r="L2046">
        <v>9</v>
      </c>
    </row>
    <row r="2047" spans="10:12" x14ac:dyDescent="0.2">
      <c r="J2047">
        <v>40006432</v>
      </c>
      <c r="K2047" t="s">
        <v>1790</v>
      </c>
      <c r="L2047">
        <v>4</v>
      </c>
    </row>
    <row r="2048" spans="10:12" x14ac:dyDescent="0.2">
      <c r="J2048">
        <v>40006433</v>
      </c>
      <c r="K2048" t="s">
        <v>1791</v>
      </c>
      <c r="L2048">
        <v>9</v>
      </c>
    </row>
    <row r="2049" spans="10:12" x14ac:dyDescent="0.2">
      <c r="J2049">
        <v>40006434</v>
      </c>
      <c r="K2049" t="s">
        <v>1792</v>
      </c>
      <c r="L2049">
        <v>4</v>
      </c>
    </row>
    <row r="2050" spans="10:12" x14ac:dyDescent="0.2">
      <c r="J2050">
        <v>40006435</v>
      </c>
      <c r="K2050" t="s">
        <v>1793</v>
      </c>
      <c r="L2050">
        <v>17</v>
      </c>
    </row>
    <row r="2051" spans="10:12" x14ac:dyDescent="0.2">
      <c r="J2051">
        <v>40006436</v>
      </c>
      <c r="K2051" t="s">
        <v>1794</v>
      </c>
      <c r="L2051">
        <v>34</v>
      </c>
    </row>
    <row r="2052" spans="10:12" x14ac:dyDescent="0.2">
      <c r="J2052">
        <v>40006437</v>
      </c>
      <c r="K2052" t="s">
        <v>1795</v>
      </c>
      <c r="L2052">
        <v>2</v>
      </c>
    </row>
    <row r="2053" spans="10:12" x14ac:dyDescent="0.2">
      <c r="J2053">
        <v>40006438</v>
      </c>
      <c r="K2053" t="s">
        <v>1796</v>
      </c>
      <c r="L2053">
        <v>5</v>
      </c>
    </row>
    <row r="2054" spans="10:12" x14ac:dyDescent="0.2">
      <c r="J2054">
        <v>40006439</v>
      </c>
      <c r="K2054" t="s">
        <v>1797</v>
      </c>
      <c r="L2054">
        <v>2</v>
      </c>
    </row>
    <row r="2055" spans="10:12" x14ac:dyDescent="0.2">
      <c r="J2055">
        <v>40006440</v>
      </c>
      <c r="K2055" t="s">
        <v>1798</v>
      </c>
      <c r="L2055">
        <v>18</v>
      </c>
    </row>
    <row r="2056" spans="10:12" x14ac:dyDescent="0.2">
      <c r="J2056">
        <v>40006441</v>
      </c>
      <c r="K2056" t="s">
        <v>1799</v>
      </c>
      <c r="L2056">
        <v>32</v>
      </c>
    </row>
    <row r="2057" spans="10:12" x14ac:dyDescent="0.2">
      <c r="J2057">
        <v>40006443</v>
      </c>
      <c r="K2057" t="s">
        <v>9739</v>
      </c>
      <c r="L2057">
        <v>3</v>
      </c>
    </row>
    <row r="2058" spans="10:12" x14ac:dyDescent="0.2">
      <c r="J2058">
        <v>40006444</v>
      </c>
      <c r="K2058" t="s">
        <v>1801</v>
      </c>
      <c r="L2058">
        <v>8</v>
      </c>
    </row>
    <row r="2059" spans="10:12" x14ac:dyDescent="0.2">
      <c r="J2059">
        <v>40006445</v>
      </c>
      <c r="K2059" t="s">
        <v>1802</v>
      </c>
      <c r="L2059">
        <v>12</v>
      </c>
    </row>
    <row r="2060" spans="10:12" x14ac:dyDescent="0.2">
      <c r="J2060">
        <v>40006446</v>
      </c>
      <c r="K2060" t="s">
        <v>1803</v>
      </c>
      <c r="L2060">
        <v>31</v>
      </c>
    </row>
    <row r="2061" spans="10:12" x14ac:dyDescent="0.2">
      <c r="J2061">
        <v>40006447</v>
      </c>
      <c r="K2061" t="s">
        <v>1804</v>
      </c>
      <c r="L2061">
        <v>16</v>
      </c>
    </row>
    <row r="2062" spans="10:12" x14ac:dyDescent="0.2">
      <c r="J2062">
        <v>40006448</v>
      </c>
      <c r="K2062" t="s">
        <v>1805</v>
      </c>
      <c r="L2062">
        <v>9</v>
      </c>
    </row>
    <row r="2063" spans="10:12" x14ac:dyDescent="0.2">
      <c r="J2063">
        <v>40006449</v>
      </c>
      <c r="K2063" t="s">
        <v>1806</v>
      </c>
      <c r="L2063">
        <v>3</v>
      </c>
    </row>
    <row r="2064" spans="10:12" x14ac:dyDescent="0.2">
      <c r="J2064">
        <v>40006450</v>
      </c>
      <c r="K2064" t="s">
        <v>1807</v>
      </c>
      <c r="L2064">
        <v>13</v>
      </c>
    </row>
    <row r="2065" spans="10:12" x14ac:dyDescent="0.2">
      <c r="J2065">
        <v>40006451</v>
      </c>
      <c r="K2065" t="s">
        <v>1808</v>
      </c>
      <c r="L2065">
        <v>2</v>
      </c>
    </row>
    <row r="2066" spans="10:12" x14ac:dyDescent="0.2">
      <c r="J2066">
        <v>40006452</v>
      </c>
      <c r="K2066" t="s">
        <v>1809</v>
      </c>
      <c r="L2066">
        <v>33</v>
      </c>
    </row>
    <row r="2067" spans="10:12" x14ac:dyDescent="0.2">
      <c r="J2067">
        <v>40006453</v>
      </c>
      <c r="K2067" t="s">
        <v>1810</v>
      </c>
      <c r="L2067">
        <v>16</v>
      </c>
    </row>
    <row r="2068" spans="10:12" x14ac:dyDescent="0.2">
      <c r="J2068">
        <v>40006455</v>
      </c>
      <c r="K2068" t="s">
        <v>3827</v>
      </c>
      <c r="L2068">
        <v>2</v>
      </c>
    </row>
    <row r="2069" spans="10:12" x14ac:dyDescent="0.2">
      <c r="J2069">
        <v>40006456</v>
      </c>
      <c r="K2069" t="s">
        <v>1811</v>
      </c>
      <c r="L2069">
        <v>2</v>
      </c>
    </row>
    <row r="2070" spans="10:12" x14ac:dyDescent="0.2">
      <c r="J2070">
        <v>40006457</v>
      </c>
      <c r="K2070" t="s">
        <v>1812</v>
      </c>
      <c r="L2070">
        <v>5</v>
      </c>
    </row>
    <row r="2071" spans="10:12" x14ac:dyDescent="0.2">
      <c r="J2071">
        <v>40006458</v>
      </c>
      <c r="K2071" t="s">
        <v>1813</v>
      </c>
      <c r="L2071">
        <v>9</v>
      </c>
    </row>
    <row r="2072" spans="10:12" x14ac:dyDescent="0.2">
      <c r="J2072">
        <v>40006459</v>
      </c>
      <c r="K2072" t="s">
        <v>1814</v>
      </c>
      <c r="L2072">
        <v>2</v>
      </c>
    </row>
    <row r="2073" spans="10:12" x14ac:dyDescent="0.2">
      <c r="J2073">
        <v>40006460</v>
      </c>
      <c r="K2073" t="s">
        <v>1815</v>
      </c>
      <c r="L2073">
        <v>1</v>
      </c>
    </row>
    <row r="2074" spans="10:12" x14ac:dyDescent="0.2">
      <c r="J2074">
        <v>40006462</v>
      </c>
      <c r="K2074" t="s">
        <v>1816</v>
      </c>
      <c r="L2074">
        <v>2</v>
      </c>
    </row>
    <row r="2075" spans="10:12" x14ac:dyDescent="0.2">
      <c r="J2075">
        <v>40006463</v>
      </c>
      <c r="K2075" t="s">
        <v>1817</v>
      </c>
      <c r="L2075">
        <v>8</v>
      </c>
    </row>
    <row r="2076" spans="10:12" x14ac:dyDescent="0.2">
      <c r="J2076">
        <v>40006464</v>
      </c>
      <c r="K2076" t="s">
        <v>1818</v>
      </c>
      <c r="L2076">
        <v>1</v>
      </c>
    </row>
    <row r="2077" spans="10:12" x14ac:dyDescent="0.2">
      <c r="J2077">
        <v>40006465</v>
      </c>
      <c r="K2077" t="s">
        <v>1819</v>
      </c>
      <c r="L2077">
        <v>5</v>
      </c>
    </row>
    <row r="2078" spans="10:12" x14ac:dyDescent="0.2">
      <c r="J2078">
        <v>40006466</v>
      </c>
      <c r="K2078" t="s">
        <v>1820</v>
      </c>
      <c r="L2078">
        <v>6</v>
      </c>
    </row>
    <row r="2079" spans="10:12" x14ac:dyDescent="0.2">
      <c r="J2079">
        <v>40006467</v>
      </c>
      <c r="K2079" t="s">
        <v>1821</v>
      </c>
      <c r="L2079">
        <v>11</v>
      </c>
    </row>
    <row r="2080" spans="10:12" x14ac:dyDescent="0.2">
      <c r="J2080">
        <v>40006468</v>
      </c>
      <c r="K2080" t="s">
        <v>1822</v>
      </c>
      <c r="L2080">
        <v>8</v>
      </c>
    </row>
    <row r="2081" spans="10:12" x14ac:dyDescent="0.2">
      <c r="J2081">
        <v>40006470</v>
      </c>
      <c r="K2081" t="s">
        <v>1823</v>
      </c>
      <c r="L2081">
        <v>11</v>
      </c>
    </row>
    <row r="2082" spans="10:12" x14ac:dyDescent="0.2">
      <c r="J2082">
        <v>40006471</v>
      </c>
      <c r="K2082" t="s">
        <v>1824</v>
      </c>
      <c r="L2082">
        <v>2</v>
      </c>
    </row>
    <row r="2083" spans="10:12" x14ac:dyDescent="0.2">
      <c r="J2083">
        <v>40006472</v>
      </c>
      <c r="K2083" t="s">
        <v>1825</v>
      </c>
      <c r="L2083">
        <v>5</v>
      </c>
    </row>
    <row r="2084" spans="10:12" x14ac:dyDescent="0.2">
      <c r="J2084">
        <v>40006473</v>
      </c>
      <c r="K2084" t="s">
        <v>1826</v>
      </c>
      <c r="L2084">
        <v>27</v>
      </c>
    </row>
    <row r="2085" spans="10:12" x14ac:dyDescent="0.2">
      <c r="J2085">
        <v>40006474</v>
      </c>
      <c r="K2085" t="s">
        <v>1827</v>
      </c>
      <c r="L2085">
        <v>10</v>
      </c>
    </row>
    <row r="2086" spans="10:12" x14ac:dyDescent="0.2">
      <c r="J2086">
        <v>40006475</v>
      </c>
      <c r="K2086" t="s">
        <v>1828</v>
      </c>
      <c r="L2086">
        <v>1</v>
      </c>
    </row>
    <row r="2087" spans="10:12" x14ac:dyDescent="0.2">
      <c r="J2087">
        <v>40006476</v>
      </c>
      <c r="K2087" t="s">
        <v>1829</v>
      </c>
      <c r="L2087">
        <v>5</v>
      </c>
    </row>
    <row r="2088" spans="10:12" x14ac:dyDescent="0.2">
      <c r="J2088">
        <v>40006477</v>
      </c>
      <c r="K2088" t="s">
        <v>1830</v>
      </c>
      <c r="L2088">
        <v>5</v>
      </c>
    </row>
    <row r="2089" spans="10:12" x14ac:dyDescent="0.2">
      <c r="J2089">
        <v>40006478</v>
      </c>
      <c r="K2089" t="s">
        <v>1831</v>
      </c>
      <c r="L2089">
        <v>5</v>
      </c>
    </row>
    <row r="2090" spans="10:12" x14ac:dyDescent="0.2">
      <c r="J2090">
        <v>40006479</v>
      </c>
      <c r="K2090" t="s">
        <v>1832</v>
      </c>
      <c r="L2090">
        <v>1</v>
      </c>
    </row>
    <row r="2091" spans="10:12" x14ac:dyDescent="0.2">
      <c r="J2091">
        <v>40006480</v>
      </c>
      <c r="K2091" t="s">
        <v>1833</v>
      </c>
      <c r="L2091">
        <v>1</v>
      </c>
    </row>
    <row r="2092" spans="10:12" x14ac:dyDescent="0.2">
      <c r="J2092">
        <v>40006481</v>
      </c>
      <c r="K2092" t="s">
        <v>1834</v>
      </c>
      <c r="L2092">
        <v>2</v>
      </c>
    </row>
    <row r="2093" spans="10:12" x14ac:dyDescent="0.2">
      <c r="J2093">
        <v>40006482</v>
      </c>
      <c r="K2093" t="s">
        <v>1835</v>
      </c>
      <c r="L2093">
        <v>5</v>
      </c>
    </row>
    <row r="2094" spans="10:12" x14ac:dyDescent="0.2">
      <c r="J2094">
        <v>40006483</v>
      </c>
      <c r="K2094" t="s">
        <v>1836</v>
      </c>
      <c r="L2094">
        <v>5</v>
      </c>
    </row>
    <row r="2095" spans="10:12" x14ac:dyDescent="0.2">
      <c r="J2095">
        <v>40006485</v>
      </c>
      <c r="K2095" t="s">
        <v>1837</v>
      </c>
      <c r="L2095">
        <v>3</v>
      </c>
    </row>
    <row r="2096" spans="10:12" x14ac:dyDescent="0.2">
      <c r="J2096">
        <v>40006486</v>
      </c>
      <c r="K2096" t="s">
        <v>1838</v>
      </c>
      <c r="L2096">
        <v>6</v>
      </c>
    </row>
    <row r="2097" spans="10:12" x14ac:dyDescent="0.2">
      <c r="J2097">
        <v>40006487</v>
      </c>
      <c r="K2097" t="s">
        <v>1839</v>
      </c>
      <c r="L2097">
        <v>2</v>
      </c>
    </row>
    <row r="2098" spans="10:12" x14ac:dyDescent="0.2">
      <c r="J2098">
        <v>40006488</v>
      </c>
      <c r="K2098" t="s">
        <v>1840</v>
      </c>
      <c r="L2098">
        <v>5</v>
      </c>
    </row>
    <row r="2099" spans="10:12" x14ac:dyDescent="0.2">
      <c r="J2099">
        <v>40006490</v>
      </c>
      <c r="K2099" t="s">
        <v>1841</v>
      </c>
      <c r="L2099">
        <v>6</v>
      </c>
    </row>
    <row r="2100" spans="10:12" x14ac:dyDescent="0.2">
      <c r="J2100">
        <v>40006491</v>
      </c>
      <c r="K2100" t="s">
        <v>1842</v>
      </c>
      <c r="L2100">
        <v>5</v>
      </c>
    </row>
    <row r="2101" spans="10:12" x14ac:dyDescent="0.2">
      <c r="J2101">
        <v>40006492</v>
      </c>
      <c r="K2101" t="s">
        <v>1843</v>
      </c>
      <c r="L2101">
        <v>4</v>
      </c>
    </row>
    <row r="2102" spans="10:12" x14ac:dyDescent="0.2">
      <c r="J2102">
        <v>40006493</v>
      </c>
      <c r="K2102" t="s">
        <v>1844</v>
      </c>
      <c r="L2102">
        <v>1</v>
      </c>
    </row>
    <row r="2103" spans="10:12" x14ac:dyDescent="0.2">
      <c r="J2103">
        <v>40006495</v>
      </c>
      <c r="K2103" t="s">
        <v>1846</v>
      </c>
      <c r="L2103">
        <v>2</v>
      </c>
    </row>
    <row r="2104" spans="10:12" x14ac:dyDescent="0.2">
      <c r="J2104">
        <v>40006496</v>
      </c>
      <c r="K2104" t="s">
        <v>1847</v>
      </c>
      <c r="L2104">
        <v>5</v>
      </c>
    </row>
    <row r="2105" spans="10:12" x14ac:dyDescent="0.2">
      <c r="J2105">
        <v>40006497</v>
      </c>
      <c r="K2105" t="s">
        <v>1848</v>
      </c>
      <c r="L2105">
        <v>16</v>
      </c>
    </row>
    <row r="2106" spans="10:12" x14ac:dyDescent="0.2">
      <c r="J2106">
        <v>40006498</v>
      </c>
      <c r="K2106" t="s">
        <v>1849</v>
      </c>
      <c r="L2106">
        <v>6</v>
      </c>
    </row>
    <row r="2107" spans="10:12" x14ac:dyDescent="0.2">
      <c r="J2107">
        <v>40006499</v>
      </c>
      <c r="K2107" t="s">
        <v>1850</v>
      </c>
      <c r="L2107">
        <v>40</v>
      </c>
    </row>
    <row r="2108" spans="10:12" x14ac:dyDescent="0.2">
      <c r="J2108">
        <v>40006500</v>
      </c>
      <c r="K2108" t="s">
        <v>1851</v>
      </c>
      <c r="L2108">
        <v>3</v>
      </c>
    </row>
    <row r="2109" spans="10:12" x14ac:dyDescent="0.2">
      <c r="J2109">
        <v>40006501</v>
      </c>
      <c r="K2109" t="s">
        <v>1852</v>
      </c>
      <c r="L2109">
        <v>4</v>
      </c>
    </row>
    <row r="2110" spans="10:12" x14ac:dyDescent="0.2">
      <c r="J2110">
        <v>40006502</v>
      </c>
      <c r="K2110" t="s">
        <v>1853</v>
      </c>
      <c r="L2110">
        <v>10</v>
      </c>
    </row>
    <row r="2111" spans="10:12" x14ac:dyDescent="0.2">
      <c r="J2111">
        <v>40006503</v>
      </c>
      <c r="K2111" t="s">
        <v>1854</v>
      </c>
      <c r="L2111">
        <v>15</v>
      </c>
    </row>
    <row r="2112" spans="10:12" x14ac:dyDescent="0.2">
      <c r="J2112">
        <v>40006504</v>
      </c>
      <c r="K2112" t="s">
        <v>5430</v>
      </c>
      <c r="L2112">
        <v>3</v>
      </c>
    </row>
    <row r="2113" spans="10:12" x14ac:dyDescent="0.2">
      <c r="J2113">
        <v>40006506</v>
      </c>
      <c r="K2113" t="s">
        <v>1855</v>
      </c>
      <c r="L2113">
        <v>1</v>
      </c>
    </row>
    <row r="2114" spans="10:12" x14ac:dyDescent="0.2">
      <c r="J2114">
        <v>40006507</v>
      </c>
      <c r="K2114" t="s">
        <v>1856</v>
      </c>
      <c r="L2114">
        <v>1</v>
      </c>
    </row>
    <row r="2115" spans="10:12" x14ac:dyDescent="0.2">
      <c r="J2115">
        <v>40006508</v>
      </c>
      <c r="K2115" t="s">
        <v>1857</v>
      </c>
      <c r="L2115">
        <v>2</v>
      </c>
    </row>
    <row r="2116" spans="10:12" x14ac:dyDescent="0.2">
      <c r="J2116">
        <v>40006509</v>
      </c>
      <c r="K2116" t="s">
        <v>1858</v>
      </c>
      <c r="L2116">
        <v>2</v>
      </c>
    </row>
    <row r="2117" spans="10:12" x14ac:dyDescent="0.2">
      <c r="J2117">
        <v>40006510</v>
      </c>
      <c r="K2117" t="s">
        <v>1859</v>
      </c>
      <c r="L2117">
        <v>2</v>
      </c>
    </row>
    <row r="2118" spans="10:12" x14ac:dyDescent="0.2">
      <c r="J2118">
        <v>40006511</v>
      </c>
      <c r="K2118" t="s">
        <v>1860</v>
      </c>
      <c r="L2118">
        <v>2</v>
      </c>
    </row>
    <row r="2119" spans="10:12" x14ac:dyDescent="0.2">
      <c r="J2119">
        <v>40006513</v>
      </c>
      <c r="K2119" t="s">
        <v>1861</v>
      </c>
      <c r="L2119">
        <v>1</v>
      </c>
    </row>
    <row r="2120" spans="10:12" x14ac:dyDescent="0.2">
      <c r="J2120">
        <v>40006514</v>
      </c>
      <c r="K2120" t="s">
        <v>1862</v>
      </c>
      <c r="L2120">
        <v>1</v>
      </c>
    </row>
    <row r="2121" spans="10:12" x14ac:dyDescent="0.2">
      <c r="J2121">
        <v>40006519</v>
      </c>
      <c r="K2121" t="s">
        <v>1863</v>
      </c>
      <c r="L2121">
        <v>2</v>
      </c>
    </row>
    <row r="2122" spans="10:12" x14ac:dyDescent="0.2">
      <c r="J2122">
        <v>40006520</v>
      </c>
      <c r="K2122" t="s">
        <v>1864</v>
      </c>
      <c r="L2122">
        <v>5</v>
      </c>
    </row>
    <row r="2123" spans="10:12" x14ac:dyDescent="0.2">
      <c r="J2123">
        <v>40006521</v>
      </c>
      <c r="K2123" t="s">
        <v>1865</v>
      </c>
      <c r="L2123">
        <v>3</v>
      </c>
    </row>
    <row r="2124" spans="10:12" x14ac:dyDescent="0.2">
      <c r="J2124">
        <v>40006522</v>
      </c>
      <c r="K2124" t="s">
        <v>1866</v>
      </c>
      <c r="L2124">
        <v>2</v>
      </c>
    </row>
    <row r="2125" spans="10:12" x14ac:dyDescent="0.2">
      <c r="J2125">
        <v>40006523</v>
      </c>
      <c r="K2125" t="s">
        <v>1867</v>
      </c>
      <c r="L2125">
        <v>2</v>
      </c>
    </row>
    <row r="2126" spans="10:12" x14ac:dyDescent="0.2">
      <c r="J2126">
        <v>40006526</v>
      </c>
      <c r="K2126" t="s">
        <v>1869</v>
      </c>
      <c r="L2126">
        <v>9</v>
      </c>
    </row>
    <row r="2127" spans="10:12" x14ac:dyDescent="0.2">
      <c r="J2127">
        <v>40006527</v>
      </c>
      <c r="K2127" t="s">
        <v>1870</v>
      </c>
      <c r="L2127">
        <v>5</v>
      </c>
    </row>
    <row r="2128" spans="10:12" x14ac:dyDescent="0.2">
      <c r="J2128">
        <v>40006528</v>
      </c>
      <c r="K2128" t="s">
        <v>1871</v>
      </c>
      <c r="L2128">
        <v>5</v>
      </c>
    </row>
    <row r="2129" spans="10:12" x14ac:dyDescent="0.2">
      <c r="J2129">
        <v>40006529</v>
      </c>
      <c r="K2129" t="s">
        <v>1872</v>
      </c>
      <c r="L2129">
        <v>1</v>
      </c>
    </row>
    <row r="2130" spans="10:12" x14ac:dyDescent="0.2">
      <c r="J2130">
        <v>40006530</v>
      </c>
      <c r="K2130" t="s">
        <v>1873</v>
      </c>
      <c r="L2130">
        <v>2</v>
      </c>
    </row>
    <row r="2131" spans="10:12" x14ac:dyDescent="0.2">
      <c r="J2131">
        <v>40006532</v>
      </c>
      <c r="K2131" t="s">
        <v>1874</v>
      </c>
      <c r="L2131">
        <v>6</v>
      </c>
    </row>
    <row r="2132" spans="10:12" x14ac:dyDescent="0.2">
      <c r="J2132">
        <v>40006533</v>
      </c>
      <c r="K2132" t="s">
        <v>1875</v>
      </c>
      <c r="L2132">
        <v>2</v>
      </c>
    </row>
    <row r="2133" spans="10:12" x14ac:dyDescent="0.2">
      <c r="J2133">
        <v>40006535</v>
      </c>
      <c r="K2133" t="s">
        <v>1876</v>
      </c>
      <c r="L2133">
        <v>5</v>
      </c>
    </row>
    <row r="2134" spans="10:12" x14ac:dyDescent="0.2">
      <c r="J2134">
        <v>40006537</v>
      </c>
      <c r="K2134" t="s">
        <v>1877</v>
      </c>
      <c r="L2134">
        <v>16</v>
      </c>
    </row>
    <row r="2135" spans="10:12" x14ac:dyDescent="0.2">
      <c r="J2135">
        <v>40006538</v>
      </c>
      <c r="K2135" t="s">
        <v>1878</v>
      </c>
      <c r="L2135">
        <v>1</v>
      </c>
    </row>
    <row r="2136" spans="10:12" x14ac:dyDescent="0.2">
      <c r="J2136">
        <v>40006539</v>
      </c>
      <c r="K2136" t="s">
        <v>1879</v>
      </c>
      <c r="L2136">
        <v>1</v>
      </c>
    </row>
    <row r="2137" spans="10:12" x14ac:dyDescent="0.2">
      <c r="J2137">
        <v>40006540</v>
      </c>
      <c r="K2137" t="s">
        <v>1880</v>
      </c>
      <c r="L2137">
        <v>2</v>
      </c>
    </row>
    <row r="2138" spans="10:12" x14ac:dyDescent="0.2">
      <c r="J2138">
        <v>40006541</v>
      </c>
      <c r="K2138" t="s">
        <v>1881</v>
      </c>
      <c r="L2138">
        <v>2</v>
      </c>
    </row>
    <row r="2139" spans="10:12" x14ac:dyDescent="0.2">
      <c r="J2139">
        <v>40006542</v>
      </c>
      <c r="K2139" t="s">
        <v>1882</v>
      </c>
      <c r="L2139">
        <v>1</v>
      </c>
    </row>
    <row r="2140" spans="10:12" x14ac:dyDescent="0.2">
      <c r="J2140">
        <v>40006543</v>
      </c>
      <c r="K2140" t="s">
        <v>1883</v>
      </c>
      <c r="L2140">
        <v>1</v>
      </c>
    </row>
    <row r="2141" spans="10:12" x14ac:dyDescent="0.2">
      <c r="J2141">
        <v>40006544</v>
      </c>
      <c r="K2141" t="s">
        <v>1884</v>
      </c>
      <c r="L2141">
        <v>1</v>
      </c>
    </row>
    <row r="2142" spans="10:12" x14ac:dyDescent="0.2">
      <c r="J2142">
        <v>40006545</v>
      </c>
      <c r="K2142" t="s">
        <v>1885</v>
      </c>
      <c r="L2142">
        <v>2</v>
      </c>
    </row>
    <row r="2143" spans="10:12" x14ac:dyDescent="0.2">
      <c r="J2143">
        <v>40006546</v>
      </c>
      <c r="K2143" t="s">
        <v>1886</v>
      </c>
      <c r="L2143">
        <v>5</v>
      </c>
    </row>
    <row r="2144" spans="10:12" x14ac:dyDescent="0.2">
      <c r="J2144">
        <v>40006547</v>
      </c>
      <c r="K2144" t="s">
        <v>1887</v>
      </c>
      <c r="L2144">
        <v>4</v>
      </c>
    </row>
    <row r="2145" spans="10:12" x14ac:dyDescent="0.2">
      <c r="J2145">
        <v>40006548</v>
      </c>
      <c r="K2145" t="s">
        <v>1888</v>
      </c>
      <c r="L2145">
        <v>2</v>
      </c>
    </row>
    <row r="2146" spans="10:12" x14ac:dyDescent="0.2">
      <c r="J2146">
        <v>40006549</v>
      </c>
      <c r="K2146" t="s">
        <v>1889</v>
      </c>
      <c r="L2146">
        <v>1</v>
      </c>
    </row>
    <row r="2147" spans="10:12" x14ac:dyDescent="0.2">
      <c r="J2147">
        <v>40006550</v>
      </c>
      <c r="K2147" t="s">
        <v>1890</v>
      </c>
      <c r="L2147">
        <v>7</v>
      </c>
    </row>
    <row r="2148" spans="10:12" x14ac:dyDescent="0.2">
      <c r="J2148">
        <v>40006551</v>
      </c>
      <c r="K2148" t="s">
        <v>1891</v>
      </c>
      <c r="L2148">
        <v>1</v>
      </c>
    </row>
    <row r="2149" spans="10:12" x14ac:dyDescent="0.2">
      <c r="J2149">
        <v>40006552</v>
      </c>
      <c r="K2149" t="s">
        <v>1892</v>
      </c>
      <c r="L2149">
        <v>7</v>
      </c>
    </row>
    <row r="2150" spans="10:12" x14ac:dyDescent="0.2">
      <c r="J2150">
        <v>40006553</v>
      </c>
      <c r="K2150" t="s">
        <v>1893</v>
      </c>
      <c r="L2150">
        <v>1</v>
      </c>
    </row>
    <row r="2151" spans="10:12" x14ac:dyDescent="0.2">
      <c r="J2151">
        <v>40006554</v>
      </c>
      <c r="K2151" t="s">
        <v>1894</v>
      </c>
      <c r="L2151">
        <v>1</v>
      </c>
    </row>
    <row r="2152" spans="10:12" x14ac:dyDescent="0.2">
      <c r="J2152">
        <v>40006555</v>
      </c>
      <c r="K2152" t="s">
        <v>1895</v>
      </c>
      <c r="L2152">
        <v>1</v>
      </c>
    </row>
    <row r="2153" spans="10:12" x14ac:dyDescent="0.2">
      <c r="J2153">
        <v>40006556</v>
      </c>
      <c r="K2153" t="s">
        <v>1896</v>
      </c>
      <c r="L2153">
        <v>2</v>
      </c>
    </row>
    <row r="2154" spans="10:12" x14ac:dyDescent="0.2">
      <c r="J2154">
        <v>40006557</v>
      </c>
      <c r="K2154" t="s">
        <v>1897</v>
      </c>
      <c r="L2154">
        <v>1</v>
      </c>
    </row>
    <row r="2155" spans="10:12" x14ac:dyDescent="0.2">
      <c r="J2155">
        <v>40006558</v>
      </c>
      <c r="K2155" t="s">
        <v>1898</v>
      </c>
      <c r="L2155">
        <v>7</v>
      </c>
    </row>
    <row r="2156" spans="10:12" x14ac:dyDescent="0.2">
      <c r="J2156">
        <v>40006559</v>
      </c>
      <c r="K2156" t="s">
        <v>1899</v>
      </c>
      <c r="L2156">
        <v>1</v>
      </c>
    </row>
    <row r="2157" spans="10:12" x14ac:dyDescent="0.2">
      <c r="J2157">
        <v>40006561</v>
      </c>
      <c r="K2157" t="s">
        <v>1900</v>
      </c>
      <c r="L2157">
        <v>1</v>
      </c>
    </row>
    <row r="2158" spans="10:12" x14ac:dyDescent="0.2">
      <c r="J2158">
        <v>40006562</v>
      </c>
      <c r="K2158" t="s">
        <v>1901</v>
      </c>
      <c r="L2158">
        <v>2</v>
      </c>
    </row>
    <row r="2159" spans="10:12" x14ac:dyDescent="0.2">
      <c r="J2159">
        <v>40006563</v>
      </c>
      <c r="K2159" t="s">
        <v>1902</v>
      </c>
      <c r="L2159">
        <v>1</v>
      </c>
    </row>
    <row r="2160" spans="10:12" x14ac:dyDescent="0.2">
      <c r="J2160">
        <v>40006564</v>
      </c>
      <c r="K2160" t="s">
        <v>1903</v>
      </c>
      <c r="L2160">
        <v>2</v>
      </c>
    </row>
    <row r="2161" spans="10:12" x14ac:dyDescent="0.2">
      <c r="J2161">
        <v>40006565</v>
      </c>
      <c r="K2161" t="s">
        <v>1904</v>
      </c>
      <c r="L2161">
        <v>1</v>
      </c>
    </row>
    <row r="2162" spans="10:12" x14ac:dyDescent="0.2">
      <c r="J2162">
        <v>40006566</v>
      </c>
      <c r="K2162" t="s">
        <v>1905</v>
      </c>
      <c r="L2162">
        <v>1</v>
      </c>
    </row>
    <row r="2163" spans="10:12" x14ac:dyDescent="0.2">
      <c r="J2163">
        <v>40006569</v>
      </c>
      <c r="K2163" t="s">
        <v>1906</v>
      </c>
      <c r="L2163">
        <v>1</v>
      </c>
    </row>
    <row r="2164" spans="10:12" x14ac:dyDescent="0.2">
      <c r="J2164">
        <v>40006570</v>
      </c>
      <c r="K2164" t="s">
        <v>1907</v>
      </c>
      <c r="L2164">
        <v>1</v>
      </c>
    </row>
    <row r="2165" spans="10:12" x14ac:dyDescent="0.2">
      <c r="J2165">
        <v>40006571</v>
      </c>
      <c r="K2165" t="s">
        <v>1908</v>
      </c>
      <c r="L2165">
        <v>1</v>
      </c>
    </row>
    <row r="2166" spans="10:12" x14ac:dyDescent="0.2">
      <c r="J2166">
        <v>40006572</v>
      </c>
      <c r="K2166" t="s">
        <v>1909</v>
      </c>
      <c r="L2166">
        <v>1</v>
      </c>
    </row>
    <row r="2167" spans="10:12" x14ac:dyDescent="0.2">
      <c r="J2167">
        <v>40006573</v>
      </c>
      <c r="K2167" t="s">
        <v>1910</v>
      </c>
      <c r="L2167">
        <v>1</v>
      </c>
    </row>
    <row r="2168" spans="10:12" x14ac:dyDescent="0.2">
      <c r="J2168">
        <v>40006574</v>
      </c>
      <c r="K2168" t="s">
        <v>1911</v>
      </c>
      <c r="L2168">
        <v>1</v>
      </c>
    </row>
    <row r="2169" spans="10:12" x14ac:dyDescent="0.2">
      <c r="J2169">
        <v>40006575</v>
      </c>
      <c r="K2169" t="s">
        <v>1912</v>
      </c>
      <c r="L2169">
        <v>3</v>
      </c>
    </row>
    <row r="2170" spans="10:12" x14ac:dyDescent="0.2">
      <c r="J2170">
        <v>40006576</v>
      </c>
      <c r="K2170" t="s">
        <v>1913</v>
      </c>
      <c r="L2170">
        <v>1</v>
      </c>
    </row>
    <row r="2171" spans="10:12" x14ac:dyDescent="0.2">
      <c r="J2171">
        <v>40006577</v>
      </c>
      <c r="K2171" t="s">
        <v>1914</v>
      </c>
      <c r="L2171">
        <v>1</v>
      </c>
    </row>
    <row r="2172" spans="10:12" x14ac:dyDescent="0.2">
      <c r="J2172">
        <v>40006578</v>
      </c>
      <c r="K2172" t="s">
        <v>1915</v>
      </c>
      <c r="L2172">
        <v>12</v>
      </c>
    </row>
    <row r="2173" spans="10:12" x14ac:dyDescent="0.2">
      <c r="J2173">
        <v>40006579</v>
      </c>
      <c r="K2173" t="s">
        <v>1916</v>
      </c>
      <c r="L2173">
        <v>1</v>
      </c>
    </row>
    <row r="2174" spans="10:12" x14ac:dyDescent="0.2">
      <c r="J2174">
        <v>40006580</v>
      </c>
      <c r="K2174" t="s">
        <v>1917</v>
      </c>
      <c r="L2174">
        <v>2</v>
      </c>
    </row>
    <row r="2175" spans="10:12" x14ac:dyDescent="0.2">
      <c r="J2175">
        <v>40006581</v>
      </c>
      <c r="K2175" t="s">
        <v>1918</v>
      </c>
      <c r="L2175">
        <v>1</v>
      </c>
    </row>
    <row r="2176" spans="10:12" x14ac:dyDescent="0.2">
      <c r="J2176">
        <v>40006582</v>
      </c>
      <c r="K2176" t="s">
        <v>1919</v>
      </c>
      <c r="L2176">
        <v>2</v>
      </c>
    </row>
    <row r="2177" spans="10:12" x14ac:dyDescent="0.2">
      <c r="J2177">
        <v>40006583</v>
      </c>
      <c r="K2177" t="s">
        <v>1920</v>
      </c>
      <c r="L2177">
        <v>6</v>
      </c>
    </row>
    <row r="2178" spans="10:12" x14ac:dyDescent="0.2">
      <c r="J2178">
        <v>40006584</v>
      </c>
      <c r="K2178" t="s">
        <v>1921</v>
      </c>
      <c r="L2178">
        <v>2</v>
      </c>
    </row>
    <row r="2179" spans="10:12" x14ac:dyDescent="0.2">
      <c r="J2179">
        <v>40006585</v>
      </c>
      <c r="K2179" t="s">
        <v>1922</v>
      </c>
      <c r="L2179">
        <v>12</v>
      </c>
    </row>
    <row r="2180" spans="10:12" x14ac:dyDescent="0.2">
      <c r="J2180">
        <v>40006586</v>
      </c>
      <c r="K2180" t="s">
        <v>1923</v>
      </c>
      <c r="L2180">
        <v>2</v>
      </c>
    </row>
    <row r="2181" spans="10:12" x14ac:dyDescent="0.2">
      <c r="J2181">
        <v>40006587</v>
      </c>
      <c r="K2181" t="s">
        <v>1924</v>
      </c>
      <c r="L2181">
        <v>2</v>
      </c>
    </row>
    <row r="2182" spans="10:12" x14ac:dyDescent="0.2">
      <c r="J2182">
        <v>40006588</v>
      </c>
      <c r="K2182" t="s">
        <v>1925</v>
      </c>
      <c r="L2182">
        <v>2</v>
      </c>
    </row>
    <row r="2183" spans="10:12" x14ac:dyDescent="0.2">
      <c r="J2183">
        <v>40006589</v>
      </c>
      <c r="K2183" t="s">
        <v>1926</v>
      </c>
      <c r="L2183">
        <v>31</v>
      </c>
    </row>
    <row r="2184" spans="10:12" x14ac:dyDescent="0.2">
      <c r="J2184">
        <v>40006590</v>
      </c>
      <c r="K2184" t="s">
        <v>1927</v>
      </c>
      <c r="L2184">
        <v>2</v>
      </c>
    </row>
    <row r="2185" spans="10:12" x14ac:dyDescent="0.2">
      <c r="J2185">
        <v>40006591</v>
      </c>
      <c r="K2185" t="s">
        <v>1928</v>
      </c>
      <c r="L2185">
        <v>1</v>
      </c>
    </row>
    <row r="2186" spans="10:12" x14ac:dyDescent="0.2">
      <c r="J2186">
        <v>40006592</v>
      </c>
      <c r="K2186" t="s">
        <v>1929</v>
      </c>
      <c r="L2186">
        <v>2</v>
      </c>
    </row>
    <row r="2187" spans="10:12" x14ac:dyDescent="0.2">
      <c r="J2187">
        <v>40006593</v>
      </c>
      <c r="K2187" t="s">
        <v>1930</v>
      </c>
      <c r="L2187">
        <v>2</v>
      </c>
    </row>
    <row r="2188" spans="10:12" x14ac:dyDescent="0.2">
      <c r="J2188">
        <v>40006594</v>
      </c>
      <c r="K2188" t="s">
        <v>1931</v>
      </c>
      <c r="L2188">
        <v>3</v>
      </c>
    </row>
    <row r="2189" spans="10:12" x14ac:dyDescent="0.2">
      <c r="J2189">
        <v>40006595</v>
      </c>
      <c r="K2189" t="s">
        <v>1932</v>
      </c>
      <c r="L2189">
        <v>2</v>
      </c>
    </row>
    <row r="2190" spans="10:12" x14ac:dyDescent="0.2">
      <c r="J2190">
        <v>40006596</v>
      </c>
      <c r="K2190" t="s">
        <v>1933</v>
      </c>
      <c r="L2190">
        <v>2</v>
      </c>
    </row>
    <row r="2191" spans="10:12" x14ac:dyDescent="0.2">
      <c r="J2191">
        <v>40006597</v>
      </c>
      <c r="K2191" t="s">
        <v>1934</v>
      </c>
      <c r="L2191">
        <v>1</v>
      </c>
    </row>
    <row r="2192" spans="10:12" x14ac:dyDescent="0.2">
      <c r="J2192">
        <v>40006598</v>
      </c>
      <c r="K2192" t="s">
        <v>1935</v>
      </c>
      <c r="L2192">
        <v>2</v>
      </c>
    </row>
    <row r="2193" spans="10:12" x14ac:dyDescent="0.2">
      <c r="J2193">
        <v>40006599</v>
      </c>
      <c r="K2193" t="s">
        <v>1936</v>
      </c>
      <c r="L2193">
        <v>2</v>
      </c>
    </row>
    <row r="2194" spans="10:12" x14ac:dyDescent="0.2">
      <c r="J2194">
        <v>40006600</v>
      </c>
      <c r="K2194" t="s">
        <v>1937</v>
      </c>
      <c r="L2194">
        <v>3</v>
      </c>
    </row>
    <row r="2195" spans="10:12" x14ac:dyDescent="0.2">
      <c r="J2195">
        <v>40006601</v>
      </c>
      <c r="K2195" t="s">
        <v>1938</v>
      </c>
      <c r="L2195">
        <v>2</v>
      </c>
    </row>
    <row r="2196" spans="10:12" x14ac:dyDescent="0.2">
      <c r="J2196">
        <v>40006602</v>
      </c>
      <c r="K2196" t="s">
        <v>1939</v>
      </c>
      <c r="L2196">
        <v>2</v>
      </c>
    </row>
    <row r="2197" spans="10:12" x14ac:dyDescent="0.2">
      <c r="J2197">
        <v>40006603</v>
      </c>
      <c r="K2197" t="s">
        <v>1940</v>
      </c>
      <c r="L2197">
        <v>1</v>
      </c>
    </row>
    <row r="2198" spans="10:12" x14ac:dyDescent="0.2">
      <c r="J2198">
        <v>40006604</v>
      </c>
      <c r="K2198" t="s">
        <v>1941</v>
      </c>
      <c r="L2198">
        <v>6</v>
      </c>
    </row>
    <row r="2199" spans="10:12" x14ac:dyDescent="0.2">
      <c r="J2199">
        <v>40006605</v>
      </c>
      <c r="K2199" t="s">
        <v>1942</v>
      </c>
      <c r="L2199">
        <v>14</v>
      </c>
    </row>
    <row r="2200" spans="10:12" x14ac:dyDescent="0.2">
      <c r="J2200">
        <v>40006606</v>
      </c>
      <c r="K2200" t="s">
        <v>3885</v>
      </c>
      <c r="L2200">
        <v>3</v>
      </c>
    </row>
    <row r="2201" spans="10:12" x14ac:dyDescent="0.2">
      <c r="J2201">
        <v>40006607</v>
      </c>
      <c r="K2201" t="s">
        <v>1943</v>
      </c>
      <c r="L2201">
        <v>1</v>
      </c>
    </row>
    <row r="2202" spans="10:12" x14ac:dyDescent="0.2">
      <c r="J2202">
        <v>40006608</v>
      </c>
      <c r="K2202" t="s">
        <v>1944</v>
      </c>
      <c r="L2202">
        <v>7</v>
      </c>
    </row>
    <row r="2203" spans="10:12" x14ac:dyDescent="0.2">
      <c r="J2203">
        <v>40006609</v>
      </c>
      <c r="K2203" t="s">
        <v>1945</v>
      </c>
      <c r="L2203">
        <v>10</v>
      </c>
    </row>
    <row r="2204" spans="10:12" x14ac:dyDescent="0.2">
      <c r="J2204">
        <v>40006610</v>
      </c>
      <c r="K2204" t="s">
        <v>1946</v>
      </c>
      <c r="L2204">
        <v>2</v>
      </c>
    </row>
    <row r="2205" spans="10:12" x14ac:dyDescent="0.2">
      <c r="J2205">
        <v>40006611</v>
      </c>
      <c r="K2205" t="s">
        <v>1947</v>
      </c>
      <c r="L2205">
        <v>7</v>
      </c>
    </row>
    <row r="2206" spans="10:12" x14ac:dyDescent="0.2">
      <c r="J2206">
        <v>40006612</v>
      </c>
      <c r="K2206" t="s">
        <v>1948</v>
      </c>
      <c r="L2206">
        <v>2</v>
      </c>
    </row>
    <row r="2207" spans="10:12" x14ac:dyDescent="0.2">
      <c r="J2207">
        <v>40006613</v>
      </c>
      <c r="K2207" t="s">
        <v>1949</v>
      </c>
      <c r="L2207">
        <v>2</v>
      </c>
    </row>
    <row r="2208" spans="10:12" x14ac:dyDescent="0.2">
      <c r="J2208">
        <v>40006614</v>
      </c>
      <c r="K2208" t="s">
        <v>1950</v>
      </c>
      <c r="L2208">
        <v>2</v>
      </c>
    </row>
    <row r="2209" spans="10:12" x14ac:dyDescent="0.2">
      <c r="J2209">
        <v>40006615</v>
      </c>
      <c r="K2209" t="s">
        <v>1951</v>
      </c>
      <c r="L2209">
        <v>2</v>
      </c>
    </row>
    <row r="2210" spans="10:12" x14ac:dyDescent="0.2">
      <c r="J2210">
        <v>40006616</v>
      </c>
      <c r="K2210" t="s">
        <v>1952</v>
      </c>
      <c r="L2210">
        <v>6</v>
      </c>
    </row>
    <row r="2211" spans="10:12" x14ac:dyDescent="0.2">
      <c r="J2211">
        <v>40006617</v>
      </c>
      <c r="K2211" t="s">
        <v>1953</v>
      </c>
      <c r="L2211">
        <v>1</v>
      </c>
    </row>
    <row r="2212" spans="10:12" x14ac:dyDescent="0.2">
      <c r="J2212">
        <v>40006618</v>
      </c>
      <c r="K2212" t="s">
        <v>1954</v>
      </c>
      <c r="L2212">
        <v>1</v>
      </c>
    </row>
    <row r="2213" spans="10:12" x14ac:dyDescent="0.2">
      <c r="J2213">
        <v>40006619</v>
      </c>
      <c r="K2213" t="s">
        <v>1955</v>
      </c>
      <c r="L2213">
        <v>2</v>
      </c>
    </row>
    <row r="2214" spans="10:12" x14ac:dyDescent="0.2">
      <c r="J2214">
        <v>40006620</v>
      </c>
      <c r="K2214" t="s">
        <v>1956</v>
      </c>
      <c r="L2214">
        <v>1</v>
      </c>
    </row>
    <row r="2215" spans="10:12" x14ac:dyDescent="0.2">
      <c r="J2215">
        <v>40006621</v>
      </c>
      <c r="K2215" t="s">
        <v>1957</v>
      </c>
      <c r="L2215">
        <v>1</v>
      </c>
    </row>
    <row r="2216" spans="10:12" x14ac:dyDescent="0.2">
      <c r="J2216">
        <v>40006622</v>
      </c>
      <c r="K2216" t="s">
        <v>1958</v>
      </c>
      <c r="L2216">
        <v>1</v>
      </c>
    </row>
    <row r="2217" spans="10:12" x14ac:dyDescent="0.2">
      <c r="J2217">
        <v>40006623</v>
      </c>
      <c r="K2217" t="s">
        <v>1959</v>
      </c>
      <c r="L2217">
        <v>1</v>
      </c>
    </row>
    <row r="2218" spans="10:12" x14ac:dyDescent="0.2">
      <c r="J2218">
        <v>40006624</v>
      </c>
      <c r="K2218" t="s">
        <v>1960</v>
      </c>
      <c r="L2218">
        <v>1</v>
      </c>
    </row>
    <row r="2219" spans="10:12" x14ac:dyDescent="0.2">
      <c r="J2219">
        <v>40006625</v>
      </c>
      <c r="K2219" t="s">
        <v>1961</v>
      </c>
      <c r="L2219">
        <v>5</v>
      </c>
    </row>
    <row r="2220" spans="10:12" x14ac:dyDescent="0.2">
      <c r="J2220">
        <v>40006627</v>
      </c>
      <c r="K2220" t="s">
        <v>1962</v>
      </c>
      <c r="L2220">
        <v>2</v>
      </c>
    </row>
    <row r="2221" spans="10:12" x14ac:dyDescent="0.2">
      <c r="J2221">
        <v>40006628</v>
      </c>
      <c r="K2221" t="s">
        <v>1963</v>
      </c>
      <c r="L2221">
        <v>4</v>
      </c>
    </row>
    <row r="2222" spans="10:12" x14ac:dyDescent="0.2">
      <c r="J2222">
        <v>40006629</v>
      </c>
      <c r="K2222" t="s">
        <v>1964</v>
      </c>
      <c r="L2222">
        <v>5</v>
      </c>
    </row>
    <row r="2223" spans="10:12" x14ac:dyDescent="0.2">
      <c r="J2223">
        <v>40006630</v>
      </c>
      <c r="K2223" t="s">
        <v>1965</v>
      </c>
      <c r="L2223">
        <v>2</v>
      </c>
    </row>
    <row r="2224" spans="10:12" x14ac:dyDescent="0.2">
      <c r="J2224">
        <v>40006631</v>
      </c>
      <c r="K2224" t="s">
        <v>1966</v>
      </c>
      <c r="L2224">
        <v>2</v>
      </c>
    </row>
    <row r="2225" spans="10:12" x14ac:dyDescent="0.2">
      <c r="J2225">
        <v>40006632</v>
      </c>
      <c r="K2225" t="s">
        <v>1967</v>
      </c>
      <c r="L2225">
        <v>2</v>
      </c>
    </row>
    <row r="2226" spans="10:12" x14ac:dyDescent="0.2">
      <c r="J2226">
        <v>40006633</v>
      </c>
      <c r="K2226" t="s">
        <v>1968</v>
      </c>
      <c r="L2226">
        <v>4</v>
      </c>
    </row>
    <row r="2227" spans="10:12" x14ac:dyDescent="0.2">
      <c r="J2227">
        <v>40006634</v>
      </c>
      <c r="K2227" t="s">
        <v>1969</v>
      </c>
      <c r="L2227">
        <v>5</v>
      </c>
    </row>
    <row r="2228" spans="10:12" x14ac:dyDescent="0.2">
      <c r="J2228">
        <v>40006635</v>
      </c>
      <c r="K2228" t="s">
        <v>1970</v>
      </c>
      <c r="L2228">
        <v>1</v>
      </c>
    </row>
    <row r="2229" spans="10:12" x14ac:dyDescent="0.2">
      <c r="J2229">
        <v>40006636</v>
      </c>
      <c r="K2229" t="s">
        <v>1971</v>
      </c>
      <c r="L2229">
        <v>1</v>
      </c>
    </row>
    <row r="2230" spans="10:12" x14ac:dyDescent="0.2">
      <c r="J2230">
        <v>40006637</v>
      </c>
      <c r="K2230" t="s">
        <v>1972</v>
      </c>
      <c r="L2230">
        <v>9</v>
      </c>
    </row>
    <row r="2231" spans="10:12" x14ac:dyDescent="0.2">
      <c r="J2231">
        <v>40006638</v>
      </c>
      <c r="K2231" t="s">
        <v>1973</v>
      </c>
      <c r="L2231">
        <v>1</v>
      </c>
    </row>
    <row r="2232" spans="10:12" x14ac:dyDescent="0.2">
      <c r="J2232">
        <v>40006639</v>
      </c>
      <c r="K2232" t="s">
        <v>1974</v>
      </c>
      <c r="L2232">
        <v>1</v>
      </c>
    </row>
    <row r="2233" spans="10:12" x14ac:dyDescent="0.2">
      <c r="J2233">
        <v>40006641</v>
      </c>
      <c r="K2233" t="s">
        <v>1975</v>
      </c>
      <c r="L2233">
        <v>1</v>
      </c>
    </row>
    <row r="2234" spans="10:12" x14ac:dyDescent="0.2">
      <c r="J2234">
        <v>40006642</v>
      </c>
      <c r="K2234" t="s">
        <v>1976</v>
      </c>
      <c r="L2234">
        <v>1</v>
      </c>
    </row>
    <row r="2235" spans="10:12" x14ac:dyDescent="0.2">
      <c r="J2235">
        <v>40006645</v>
      </c>
      <c r="K2235" t="s">
        <v>1977</v>
      </c>
      <c r="L2235">
        <v>2</v>
      </c>
    </row>
    <row r="2236" spans="10:12" x14ac:dyDescent="0.2">
      <c r="J2236">
        <v>40006646</v>
      </c>
      <c r="K2236" t="s">
        <v>1978</v>
      </c>
      <c r="L2236">
        <v>2</v>
      </c>
    </row>
    <row r="2237" spans="10:12" x14ac:dyDescent="0.2">
      <c r="J2237">
        <v>40006650</v>
      </c>
      <c r="K2237" t="s">
        <v>1979</v>
      </c>
      <c r="L2237">
        <v>1</v>
      </c>
    </row>
    <row r="2238" spans="10:12" x14ac:dyDescent="0.2">
      <c r="J2238">
        <v>40006655</v>
      </c>
      <c r="K2238" t="s">
        <v>1981</v>
      </c>
      <c r="L2238">
        <v>1</v>
      </c>
    </row>
    <row r="2239" spans="10:12" x14ac:dyDescent="0.2">
      <c r="J2239">
        <v>40006656</v>
      </c>
      <c r="K2239" t="s">
        <v>1982</v>
      </c>
      <c r="L2239">
        <v>12</v>
      </c>
    </row>
    <row r="2240" spans="10:12" x14ac:dyDescent="0.2">
      <c r="J2240">
        <v>40006657</v>
      </c>
      <c r="K2240" t="s">
        <v>1983</v>
      </c>
      <c r="L2240">
        <v>6</v>
      </c>
    </row>
    <row r="2241" spans="10:12" x14ac:dyDescent="0.2">
      <c r="J2241">
        <v>40006658</v>
      </c>
      <c r="K2241" t="s">
        <v>1984</v>
      </c>
      <c r="L2241">
        <v>1</v>
      </c>
    </row>
    <row r="2242" spans="10:12" x14ac:dyDescent="0.2">
      <c r="J2242">
        <v>40006659</v>
      </c>
      <c r="K2242" t="s">
        <v>1985</v>
      </c>
      <c r="L2242">
        <v>12</v>
      </c>
    </row>
    <row r="2243" spans="10:12" x14ac:dyDescent="0.2">
      <c r="J2243">
        <v>40006660</v>
      </c>
      <c r="K2243" t="s">
        <v>1986</v>
      </c>
      <c r="L2243">
        <v>1</v>
      </c>
    </row>
    <row r="2244" spans="10:12" x14ac:dyDescent="0.2">
      <c r="J2244">
        <v>40006662</v>
      </c>
      <c r="K2244" t="s">
        <v>1988</v>
      </c>
      <c r="L2244">
        <v>14</v>
      </c>
    </row>
    <row r="2245" spans="10:12" x14ac:dyDescent="0.2">
      <c r="J2245">
        <v>40006664</v>
      </c>
      <c r="K2245" t="s">
        <v>1989</v>
      </c>
      <c r="L2245">
        <v>6</v>
      </c>
    </row>
    <row r="2246" spans="10:12" x14ac:dyDescent="0.2">
      <c r="J2246">
        <v>40006666</v>
      </c>
      <c r="K2246" t="s">
        <v>1991</v>
      </c>
      <c r="L2246">
        <v>10</v>
      </c>
    </row>
    <row r="2247" spans="10:12" x14ac:dyDescent="0.2">
      <c r="J2247">
        <v>40006668</v>
      </c>
      <c r="K2247" t="s">
        <v>1992</v>
      </c>
      <c r="L2247">
        <v>1</v>
      </c>
    </row>
    <row r="2248" spans="10:12" x14ac:dyDescent="0.2">
      <c r="J2248">
        <v>40006669</v>
      </c>
      <c r="K2248" t="s">
        <v>1993</v>
      </c>
      <c r="L2248">
        <v>8</v>
      </c>
    </row>
    <row r="2249" spans="10:12" x14ac:dyDescent="0.2">
      <c r="J2249">
        <v>40006670</v>
      </c>
      <c r="K2249" t="s">
        <v>1994</v>
      </c>
      <c r="L2249">
        <v>17</v>
      </c>
    </row>
    <row r="2250" spans="10:12" x14ac:dyDescent="0.2">
      <c r="J2250">
        <v>40006671</v>
      </c>
      <c r="K2250" t="s">
        <v>1995</v>
      </c>
      <c r="L2250">
        <v>3</v>
      </c>
    </row>
    <row r="2251" spans="10:12" x14ac:dyDescent="0.2">
      <c r="J2251">
        <v>40006675</v>
      </c>
      <c r="K2251" t="s">
        <v>1996</v>
      </c>
      <c r="L2251">
        <v>18</v>
      </c>
    </row>
    <row r="2252" spans="10:12" x14ac:dyDescent="0.2">
      <c r="J2252">
        <v>40006676</v>
      </c>
      <c r="K2252" t="s">
        <v>1997</v>
      </c>
      <c r="L2252">
        <v>8</v>
      </c>
    </row>
    <row r="2253" spans="10:12" x14ac:dyDescent="0.2">
      <c r="J2253">
        <v>40006677</v>
      </c>
      <c r="K2253" t="s">
        <v>1998</v>
      </c>
      <c r="L2253">
        <v>14</v>
      </c>
    </row>
    <row r="2254" spans="10:12" x14ac:dyDescent="0.2">
      <c r="J2254">
        <v>40006678</v>
      </c>
      <c r="K2254" t="s">
        <v>1999</v>
      </c>
      <c r="L2254">
        <v>64</v>
      </c>
    </row>
    <row r="2255" spans="10:12" x14ac:dyDescent="0.2">
      <c r="J2255">
        <v>40006680</v>
      </c>
      <c r="K2255" t="s">
        <v>2000</v>
      </c>
      <c r="L2255">
        <v>6</v>
      </c>
    </row>
    <row r="2256" spans="10:12" x14ac:dyDescent="0.2">
      <c r="J2256">
        <v>40006681</v>
      </c>
      <c r="K2256" t="s">
        <v>2001</v>
      </c>
      <c r="L2256">
        <v>2</v>
      </c>
    </row>
    <row r="2257" spans="10:12" x14ac:dyDescent="0.2">
      <c r="J2257">
        <v>40006682</v>
      </c>
      <c r="K2257" t="s">
        <v>2002</v>
      </c>
      <c r="L2257">
        <v>1</v>
      </c>
    </row>
    <row r="2258" spans="10:12" x14ac:dyDescent="0.2">
      <c r="J2258">
        <v>40006683</v>
      </c>
      <c r="K2258" t="s">
        <v>9870</v>
      </c>
      <c r="L2258">
        <v>2</v>
      </c>
    </row>
    <row r="2259" spans="10:12" x14ac:dyDescent="0.2">
      <c r="J2259">
        <v>40006684</v>
      </c>
      <c r="K2259" t="s">
        <v>2003</v>
      </c>
      <c r="L2259">
        <v>10</v>
      </c>
    </row>
    <row r="2260" spans="10:12" x14ac:dyDescent="0.2">
      <c r="J2260">
        <v>40006685</v>
      </c>
      <c r="K2260" t="s">
        <v>2004</v>
      </c>
      <c r="L2260">
        <v>1</v>
      </c>
    </row>
    <row r="2261" spans="10:12" x14ac:dyDescent="0.2">
      <c r="J2261">
        <v>40006686</v>
      </c>
      <c r="K2261" t="s">
        <v>2005</v>
      </c>
      <c r="L2261">
        <v>9</v>
      </c>
    </row>
    <row r="2262" spans="10:12" x14ac:dyDescent="0.2">
      <c r="J2262">
        <v>40006688</v>
      </c>
      <c r="K2262" t="s">
        <v>2006</v>
      </c>
      <c r="L2262">
        <v>5</v>
      </c>
    </row>
    <row r="2263" spans="10:12" x14ac:dyDescent="0.2">
      <c r="J2263">
        <v>40006689</v>
      </c>
      <c r="K2263" t="s">
        <v>2007</v>
      </c>
      <c r="L2263">
        <v>12</v>
      </c>
    </row>
    <row r="2264" spans="10:12" x14ac:dyDescent="0.2">
      <c r="J2264">
        <v>40006690</v>
      </c>
      <c r="K2264" t="s">
        <v>2008</v>
      </c>
      <c r="L2264">
        <v>2</v>
      </c>
    </row>
    <row r="2265" spans="10:12" x14ac:dyDescent="0.2">
      <c r="J2265">
        <v>40006691</v>
      </c>
      <c r="K2265" t="s">
        <v>2009</v>
      </c>
      <c r="L2265">
        <v>4</v>
      </c>
    </row>
    <row r="2266" spans="10:12" x14ac:dyDescent="0.2">
      <c r="J2266">
        <v>40006692</v>
      </c>
      <c r="K2266" t="s">
        <v>2010</v>
      </c>
      <c r="L2266">
        <v>9</v>
      </c>
    </row>
    <row r="2267" spans="10:12" x14ac:dyDescent="0.2">
      <c r="J2267">
        <v>40006693</v>
      </c>
      <c r="K2267" t="s">
        <v>2011</v>
      </c>
      <c r="L2267">
        <v>1</v>
      </c>
    </row>
    <row r="2268" spans="10:12" x14ac:dyDescent="0.2">
      <c r="J2268">
        <v>40006694</v>
      </c>
      <c r="K2268" t="s">
        <v>2012</v>
      </c>
      <c r="L2268">
        <v>5</v>
      </c>
    </row>
    <row r="2269" spans="10:12" x14ac:dyDescent="0.2">
      <c r="J2269">
        <v>40006696</v>
      </c>
      <c r="K2269" t="s">
        <v>2013</v>
      </c>
      <c r="L2269">
        <v>1</v>
      </c>
    </row>
    <row r="2270" spans="10:12" x14ac:dyDescent="0.2">
      <c r="J2270">
        <v>40006699</v>
      </c>
      <c r="K2270" t="s">
        <v>2014</v>
      </c>
      <c r="L2270">
        <v>4</v>
      </c>
    </row>
    <row r="2271" spans="10:12" x14ac:dyDescent="0.2">
      <c r="J2271">
        <v>40006700</v>
      </c>
      <c r="K2271" t="s">
        <v>5431</v>
      </c>
      <c r="L2271">
        <v>4</v>
      </c>
    </row>
    <row r="2272" spans="10:12" x14ac:dyDescent="0.2">
      <c r="J2272">
        <v>40006701</v>
      </c>
      <c r="K2272" t="s">
        <v>2015</v>
      </c>
      <c r="L2272">
        <v>10</v>
      </c>
    </row>
    <row r="2273" spans="10:12" x14ac:dyDescent="0.2">
      <c r="J2273">
        <v>40006702</v>
      </c>
      <c r="K2273" t="s">
        <v>2016</v>
      </c>
      <c r="L2273">
        <v>5</v>
      </c>
    </row>
    <row r="2274" spans="10:12" x14ac:dyDescent="0.2">
      <c r="J2274">
        <v>40006703</v>
      </c>
      <c r="K2274" t="s">
        <v>2017</v>
      </c>
      <c r="L2274">
        <v>9</v>
      </c>
    </row>
    <row r="2275" spans="10:12" x14ac:dyDescent="0.2">
      <c r="J2275">
        <v>40006704</v>
      </c>
      <c r="K2275" t="s">
        <v>2018</v>
      </c>
      <c r="L2275">
        <v>6</v>
      </c>
    </row>
    <row r="2276" spans="10:12" x14ac:dyDescent="0.2">
      <c r="J2276">
        <v>40006705</v>
      </c>
      <c r="K2276" t="s">
        <v>5303</v>
      </c>
      <c r="L2276">
        <v>9</v>
      </c>
    </row>
    <row r="2277" spans="10:12" x14ac:dyDescent="0.2">
      <c r="J2277">
        <v>40006706</v>
      </c>
      <c r="K2277" t="s">
        <v>2019</v>
      </c>
      <c r="L2277">
        <v>7</v>
      </c>
    </row>
    <row r="2278" spans="10:12" x14ac:dyDescent="0.2">
      <c r="J2278">
        <v>40006707</v>
      </c>
      <c r="K2278" t="s">
        <v>9795</v>
      </c>
      <c r="L2278">
        <v>3</v>
      </c>
    </row>
    <row r="2279" spans="10:12" x14ac:dyDescent="0.2">
      <c r="J2279">
        <v>40006708</v>
      </c>
      <c r="K2279" t="s">
        <v>2020</v>
      </c>
      <c r="L2279">
        <v>12</v>
      </c>
    </row>
    <row r="2280" spans="10:12" x14ac:dyDescent="0.2">
      <c r="J2280">
        <v>40006709</v>
      </c>
      <c r="K2280" t="s">
        <v>2021</v>
      </c>
      <c r="L2280">
        <v>5</v>
      </c>
    </row>
    <row r="2281" spans="10:12" x14ac:dyDescent="0.2">
      <c r="J2281">
        <v>40006710</v>
      </c>
      <c r="K2281" t="s">
        <v>2022</v>
      </c>
      <c r="L2281">
        <v>9</v>
      </c>
    </row>
    <row r="2282" spans="10:12" x14ac:dyDescent="0.2">
      <c r="J2282">
        <v>40006713</v>
      </c>
      <c r="K2282" t="s">
        <v>2023</v>
      </c>
      <c r="L2282">
        <v>2</v>
      </c>
    </row>
    <row r="2283" spans="10:12" x14ac:dyDescent="0.2">
      <c r="J2283">
        <v>40006714</v>
      </c>
      <c r="K2283" t="s">
        <v>2024</v>
      </c>
      <c r="L2283">
        <v>4</v>
      </c>
    </row>
    <row r="2284" spans="10:12" x14ac:dyDescent="0.2">
      <c r="J2284">
        <v>40006716</v>
      </c>
      <c r="K2284" t="s">
        <v>2025</v>
      </c>
      <c r="L2284">
        <v>5</v>
      </c>
    </row>
    <row r="2285" spans="10:12" x14ac:dyDescent="0.2">
      <c r="J2285">
        <v>40006717</v>
      </c>
      <c r="K2285" t="s">
        <v>2026</v>
      </c>
      <c r="L2285">
        <v>22</v>
      </c>
    </row>
    <row r="2286" spans="10:12" x14ac:dyDescent="0.2">
      <c r="J2286">
        <v>40006718</v>
      </c>
      <c r="K2286" t="s">
        <v>2027</v>
      </c>
      <c r="L2286">
        <v>1</v>
      </c>
    </row>
    <row r="2287" spans="10:12" x14ac:dyDescent="0.2">
      <c r="J2287">
        <v>40006720</v>
      </c>
      <c r="K2287" t="s">
        <v>2028</v>
      </c>
      <c r="L2287">
        <v>10</v>
      </c>
    </row>
    <row r="2288" spans="10:12" x14ac:dyDescent="0.2">
      <c r="J2288">
        <v>40006721</v>
      </c>
      <c r="K2288" t="s">
        <v>2029</v>
      </c>
      <c r="L2288">
        <v>8</v>
      </c>
    </row>
    <row r="2289" spans="10:12" x14ac:dyDescent="0.2">
      <c r="J2289">
        <v>40006724</v>
      </c>
      <c r="K2289" t="s">
        <v>2031</v>
      </c>
      <c r="L2289">
        <v>2</v>
      </c>
    </row>
    <row r="2290" spans="10:12" x14ac:dyDescent="0.2">
      <c r="J2290">
        <v>40006725</v>
      </c>
      <c r="K2290" t="s">
        <v>2032</v>
      </c>
      <c r="L2290">
        <v>1</v>
      </c>
    </row>
    <row r="2291" spans="10:12" x14ac:dyDescent="0.2">
      <c r="J2291">
        <v>40006726</v>
      </c>
      <c r="K2291" t="s">
        <v>2033</v>
      </c>
      <c r="L2291">
        <v>2</v>
      </c>
    </row>
    <row r="2292" spans="10:12" x14ac:dyDescent="0.2">
      <c r="J2292">
        <v>40006728</v>
      </c>
      <c r="K2292" t="s">
        <v>2034</v>
      </c>
      <c r="L2292">
        <v>1</v>
      </c>
    </row>
    <row r="2293" spans="10:12" x14ac:dyDescent="0.2">
      <c r="J2293">
        <v>40006730</v>
      </c>
      <c r="K2293" t="s">
        <v>2035</v>
      </c>
      <c r="L2293">
        <v>1</v>
      </c>
    </row>
    <row r="2294" spans="10:12" x14ac:dyDescent="0.2">
      <c r="J2294">
        <v>40006731</v>
      </c>
      <c r="K2294" t="s">
        <v>2036</v>
      </c>
      <c r="L2294">
        <v>1</v>
      </c>
    </row>
    <row r="2295" spans="10:12" x14ac:dyDescent="0.2">
      <c r="J2295">
        <v>40006732</v>
      </c>
      <c r="K2295" t="s">
        <v>2037</v>
      </c>
      <c r="L2295">
        <v>9</v>
      </c>
    </row>
    <row r="2296" spans="10:12" x14ac:dyDescent="0.2">
      <c r="J2296">
        <v>40006733</v>
      </c>
      <c r="K2296" t="s">
        <v>2038</v>
      </c>
      <c r="L2296">
        <v>5</v>
      </c>
    </row>
    <row r="2297" spans="10:12" x14ac:dyDescent="0.2">
      <c r="J2297">
        <v>40006734</v>
      </c>
      <c r="K2297" t="s">
        <v>2039</v>
      </c>
      <c r="L2297">
        <v>2</v>
      </c>
    </row>
    <row r="2298" spans="10:12" x14ac:dyDescent="0.2">
      <c r="J2298">
        <v>40006735</v>
      </c>
      <c r="K2298" t="s">
        <v>2040</v>
      </c>
      <c r="L2298">
        <v>9</v>
      </c>
    </row>
    <row r="2299" spans="10:12" x14ac:dyDescent="0.2">
      <c r="J2299">
        <v>40006736</v>
      </c>
      <c r="K2299" t="s">
        <v>2041</v>
      </c>
      <c r="L2299">
        <v>11</v>
      </c>
    </row>
    <row r="2300" spans="10:12" x14ac:dyDescent="0.2">
      <c r="J2300">
        <v>40006737</v>
      </c>
      <c r="K2300" t="s">
        <v>2042</v>
      </c>
      <c r="L2300">
        <v>14</v>
      </c>
    </row>
    <row r="2301" spans="10:12" x14ac:dyDescent="0.2">
      <c r="J2301">
        <v>40006738</v>
      </c>
      <c r="K2301" t="s">
        <v>2043</v>
      </c>
      <c r="L2301">
        <v>10</v>
      </c>
    </row>
    <row r="2302" spans="10:12" x14ac:dyDescent="0.2">
      <c r="J2302">
        <v>40006739</v>
      </c>
      <c r="K2302" t="s">
        <v>2044</v>
      </c>
      <c r="L2302">
        <v>2</v>
      </c>
    </row>
    <row r="2303" spans="10:12" x14ac:dyDescent="0.2">
      <c r="J2303">
        <v>40006740</v>
      </c>
      <c r="K2303" t="s">
        <v>2045</v>
      </c>
      <c r="L2303">
        <v>1</v>
      </c>
    </row>
    <row r="2304" spans="10:12" x14ac:dyDescent="0.2">
      <c r="J2304">
        <v>40006741</v>
      </c>
      <c r="K2304" t="s">
        <v>2046</v>
      </c>
      <c r="L2304">
        <v>3</v>
      </c>
    </row>
    <row r="2305" spans="10:12" x14ac:dyDescent="0.2">
      <c r="J2305">
        <v>40006742</v>
      </c>
      <c r="K2305" t="s">
        <v>2047</v>
      </c>
      <c r="L2305">
        <v>15</v>
      </c>
    </row>
    <row r="2306" spans="10:12" x14ac:dyDescent="0.2">
      <c r="J2306">
        <v>40006743</v>
      </c>
      <c r="K2306" t="s">
        <v>2048</v>
      </c>
      <c r="L2306">
        <v>6</v>
      </c>
    </row>
    <row r="2307" spans="10:12" x14ac:dyDescent="0.2">
      <c r="J2307">
        <v>40006744</v>
      </c>
      <c r="K2307" t="s">
        <v>3683</v>
      </c>
      <c r="L2307">
        <v>18</v>
      </c>
    </row>
    <row r="2308" spans="10:12" x14ac:dyDescent="0.2">
      <c r="J2308">
        <v>40006745</v>
      </c>
      <c r="K2308" t="s">
        <v>3755</v>
      </c>
      <c r="L2308">
        <v>5</v>
      </c>
    </row>
    <row r="2309" spans="10:12" x14ac:dyDescent="0.2">
      <c r="J2309">
        <v>40006746</v>
      </c>
      <c r="K2309" t="s">
        <v>2049</v>
      </c>
      <c r="L2309">
        <v>22</v>
      </c>
    </row>
    <row r="2310" spans="10:12" x14ac:dyDescent="0.2">
      <c r="J2310">
        <v>40006747</v>
      </c>
      <c r="K2310" t="s">
        <v>2050</v>
      </c>
      <c r="L2310">
        <v>7</v>
      </c>
    </row>
    <row r="2311" spans="10:12" x14ac:dyDescent="0.2">
      <c r="J2311">
        <v>40006748</v>
      </c>
      <c r="K2311" t="s">
        <v>2051</v>
      </c>
      <c r="L2311">
        <v>1</v>
      </c>
    </row>
    <row r="2312" spans="10:12" x14ac:dyDescent="0.2">
      <c r="J2312">
        <v>40006749</v>
      </c>
      <c r="K2312" t="s">
        <v>2052</v>
      </c>
      <c r="L2312">
        <v>1</v>
      </c>
    </row>
    <row r="2313" spans="10:12" x14ac:dyDescent="0.2">
      <c r="J2313">
        <v>40006750</v>
      </c>
      <c r="K2313" t="s">
        <v>2053</v>
      </c>
      <c r="L2313">
        <v>3</v>
      </c>
    </row>
    <row r="2314" spans="10:12" x14ac:dyDescent="0.2">
      <c r="J2314">
        <v>40006751</v>
      </c>
      <c r="K2314" t="s">
        <v>2054</v>
      </c>
      <c r="L2314">
        <v>2</v>
      </c>
    </row>
    <row r="2315" spans="10:12" x14ac:dyDescent="0.2">
      <c r="J2315">
        <v>40006752</v>
      </c>
      <c r="K2315" t="s">
        <v>2055</v>
      </c>
      <c r="L2315">
        <v>5</v>
      </c>
    </row>
    <row r="2316" spans="10:12" x14ac:dyDescent="0.2">
      <c r="J2316">
        <v>40006753</v>
      </c>
      <c r="K2316" t="s">
        <v>2056</v>
      </c>
      <c r="L2316">
        <v>36</v>
      </c>
    </row>
    <row r="2317" spans="10:12" x14ac:dyDescent="0.2">
      <c r="J2317">
        <v>40006754</v>
      </c>
      <c r="K2317" t="s">
        <v>2057</v>
      </c>
      <c r="L2317">
        <v>7</v>
      </c>
    </row>
    <row r="2318" spans="10:12" x14ac:dyDescent="0.2">
      <c r="J2318">
        <v>40006755</v>
      </c>
      <c r="K2318" t="s">
        <v>2058</v>
      </c>
      <c r="L2318">
        <v>12</v>
      </c>
    </row>
    <row r="2319" spans="10:12" x14ac:dyDescent="0.2">
      <c r="J2319">
        <v>40006757</v>
      </c>
      <c r="K2319" t="s">
        <v>2060</v>
      </c>
      <c r="L2319">
        <v>5</v>
      </c>
    </row>
    <row r="2320" spans="10:12" x14ac:dyDescent="0.2">
      <c r="J2320">
        <v>40006758</v>
      </c>
      <c r="K2320" t="s">
        <v>2061</v>
      </c>
      <c r="L2320">
        <v>14</v>
      </c>
    </row>
    <row r="2321" spans="10:12" x14ac:dyDescent="0.2">
      <c r="J2321">
        <v>40006759</v>
      </c>
      <c r="K2321" t="s">
        <v>2062</v>
      </c>
      <c r="L2321">
        <v>2</v>
      </c>
    </row>
    <row r="2322" spans="10:12" x14ac:dyDescent="0.2">
      <c r="J2322">
        <v>40006760</v>
      </c>
      <c r="K2322" t="s">
        <v>2063</v>
      </c>
      <c r="L2322">
        <v>15</v>
      </c>
    </row>
    <row r="2323" spans="10:12" x14ac:dyDescent="0.2">
      <c r="J2323">
        <v>40006761</v>
      </c>
      <c r="K2323" t="s">
        <v>2064</v>
      </c>
      <c r="L2323">
        <v>3</v>
      </c>
    </row>
    <row r="2324" spans="10:12" x14ac:dyDescent="0.2">
      <c r="J2324">
        <v>40006762</v>
      </c>
      <c r="K2324" t="s">
        <v>2065</v>
      </c>
      <c r="L2324">
        <v>1</v>
      </c>
    </row>
    <row r="2325" spans="10:12" x14ac:dyDescent="0.2">
      <c r="J2325">
        <v>40006763</v>
      </c>
      <c r="K2325" t="s">
        <v>2066</v>
      </c>
      <c r="L2325">
        <v>6</v>
      </c>
    </row>
    <row r="2326" spans="10:12" x14ac:dyDescent="0.2">
      <c r="J2326">
        <v>40006764</v>
      </c>
      <c r="K2326" t="s">
        <v>2067</v>
      </c>
      <c r="L2326">
        <v>2</v>
      </c>
    </row>
    <row r="2327" spans="10:12" x14ac:dyDescent="0.2">
      <c r="J2327">
        <v>40006765</v>
      </c>
      <c r="K2327" t="s">
        <v>2068</v>
      </c>
      <c r="L2327">
        <v>5</v>
      </c>
    </row>
    <row r="2328" spans="10:12" x14ac:dyDescent="0.2">
      <c r="J2328">
        <v>40006766</v>
      </c>
      <c r="K2328" t="s">
        <v>2069</v>
      </c>
      <c r="L2328">
        <v>8</v>
      </c>
    </row>
    <row r="2329" spans="10:12" x14ac:dyDescent="0.2">
      <c r="J2329">
        <v>40006767</v>
      </c>
      <c r="K2329" t="s">
        <v>2070</v>
      </c>
      <c r="L2329">
        <v>5</v>
      </c>
    </row>
    <row r="2330" spans="10:12" x14ac:dyDescent="0.2">
      <c r="J2330">
        <v>40006768</v>
      </c>
      <c r="K2330" t="s">
        <v>2071</v>
      </c>
      <c r="L2330">
        <v>2</v>
      </c>
    </row>
    <row r="2331" spans="10:12" x14ac:dyDescent="0.2">
      <c r="J2331">
        <v>40006769</v>
      </c>
      <c r="K2331" t="s">
        <v>2072</v>
      </c>
      <c r="L2331">
        <v>18</v>
      </c>
    </row>
    <row r="2332" spans="10:12" x14ac:dyDescent="0.2">
      <c r="J2332">
        <v>40006771</v>
      </c>
      <c r="K2332" t="s">
        <v>2073</v>
      </c>
      <c r="L2332">
        <v>1</v>
      </c>
    </row>
    <row r="2333" spans="10:12" x14ac:dyDescent="0.2">
      <c r="J2333">
        <v>40006772</v>
      </c>
      <c r="K2333" t="s">
        <v>3756</v>
      </c>
      <c r="L2333">
        <v>23</v>
      </c>
    </row>
    <row r="2334" spans="10:12" x14ac:dyDescent="0.2">
      <c r="J2334">
        <v>40006773</v>
      </c>
      <c r="K2334" t="s">
        <v>2074</v>
      </c>
      <c r="L2334">
        <v>3</v>
      </c>
    </row>
    <row r="2335" spans="10:12" x14ac:dyDescent="0.2">
      <c r="J2335">
        <v>40006775</v>
      </c>
      <c r="K2335" t="s">
        <v>2075</v>
      </c>
      <c r="L2335">
        <v>153</v>
      </c>
    </row>
    <row r="2336" spans="10:12" x14ac:dyDescent="0.2">
      <c r="J2336">
        <v>40006776</v>
      </c>
      <c r="K2336" t="s">
        <v>2076</v>
      </c>
      <c r="L2336">
        <v>8</v>
      </c>
    </row>
    <row r="2337" spans="10:12" x14ac:dyDescent="0.2">
      <c r="J2337">
        <v>40006777</v>
      </c>
      <c r="K2337" t="s">
        <v>2077</v>
      </c>
      <c r="L2337">
        <v>8</v>
      </c>
    </row>
    <row r="2338" spans="10:12" x14ac:dyDescent="0.2">
      <c r="J2338">
        <v>40006779</v>
      </c>
      <c r="K2338" t="s">
        <v>2079</v>
      </c>
      <c r="L2338">
        <v>11</v>
      </c>
    </row>
    <row r="2339" spans="10:12" x14ac:dyDescent="0.2">
      <c r="J2339">
        <v>40006780</v>
      </c>
      <c r="K2339" t="s">
        <v>2080</v>
      </c>
      <c r="L2339">
        <v>2</v>
      </c>
    </row>
    <row r="2340" spans="10:12" x14ac:dyDescent="0.2">
      <c r="J2340">
        <v>40006781</v>
      </c>
      <c r="K2340" t="s">
        <v>2081</v>
      </c>
      <c r="L2340">
        <v>1</v>
      </c>
    </row>
    <row r="2341" spans="10:12" x14ac:dyDescent="0.2">
      <c r="J2341">
        <v>40006783</v>
      </c>
      <c r="K2341" t="s">
        <v>2083</v>
      </c>
      <c r="L2341">
        <v>4</v>
      </c>
    </row>
    <row r="2342" spans="10:12" x14ac:dyDescent="0.2">
      <c r="J2342">
        <v>40006784</v>
      </c>
      <c r="K2342" t="s">
        <v>2084</v>
      </c>
      <c r="L2342">
        <v>12</v>
      </c>
    </row>
    <row r="2343" spans="10:12" x14ac:dyDescent="0.2">
      <c r="J2343">
        <v>40006785</v>
      </c>
      <c r="K2343" t="s">
        <v>2085</v>
      </c>
      <c r="L2343">
        <v>20</v>
      </c>
    </row>
    <row r="2344" spans="10:12" x14ac:dyDescent="0.2">
      <c r="J2344">
        <v>40006787</v>
      </c>
      <c r="K2344" t="s">
        <v>2087</v>
      </c>
      <c r="L2344">
        <v>111</v>
      </c>
    </row>
    <row r="2345" spans="10:12" x14ac:dyDescent="0.2">
      <c r="J2345">
        <v>40006788</v>
      </c>
      <c r="K2345" t="s">
        <v>2088</v>
      </c>
      <c r="L2345">
        <v>9</v>
      </c>
    </row>
    <row r="2346" spans="10:12" x14ac:dyDescent="0.2">
      <c r="J2346">
        <v>40006789</v>
      </c>
      <c r="K2346" t="s">
        <v>2089</v>
      </c>
      <c r="L2346">
        <v>14</v>
      </c>
    </row>
    <row r="2347" spans="10:12" x14ac:dyDescent="0.2">
      <c r="J2347">
        <v>40006791</v>
      </c>
      <c r="K2347" t="s">
        <v>2090</v>
      </c>
      <c r="L2347">
        <v>1</v>
      </c>
    </row>
    <row r="2348" spans="10:12" x14ac:dyDescent="0.2">
      <c r="J2348">
        <v>40006793</v>
      </c>
      <c r="K2348" t="s">
        <v>2092</v>
      </c>
      <c r="L2348">
        <v>30</v>
      </c>
    </row>
    <row r="2349" spans="10:12" x14ac:dyDescent="0.2">
      <c r="J2349">
        <v>40006794</v>
      </c>
      <c r="K2349" t="s">
        <v>2093</v>
      </c>
      <c r="L2349">
        <v>2</v>
      </c>
    </row>
    <row r="2350" spans="10:12" x14ac:dyDescent="0.2">
      <c r="J2350">
        <v>40006795</v>
      </c>
      <c r="K2350" t="s">
        <v>2094</v>
      </c>
      <c r="L2350">
        <v>8</v>
      </c>
    </row>
    <row r="2351" spans="10:12" x14ac:dyDescent="0.2">
      <c r="J2351">
        <v>40006796</v>
      </c>
      <c r="K2351" t="s">
        <v>2095</v>
      </c>
      <c r="L2351">
        <v>1</v>
      </c>
    </row>
    <row r="2352" spans="10:12" x14ac:dyDescent="0.2">
      <c r="J2352">
        <v>40006797</v>
      </c>
      <c r="K2352" t="s">
        <v>2096</v>
      </c>
      <c r="L2352">
        <v>15</v>
      </c>
    </row>
    <row r="2353" spans="10:12" x14ac:dyDescent="0.2">
      <c r="J2353">
        <v>40006798</v>
      </c>
      <c r="K2353" t="s">
        <v>2097</v>
      </c>
      <c r="L2353">
        <v>2</v>
      </c>
    </row>
    <row r="2354" spans="10:12" x14ac:dyDescent="0.2">
      <c r="J2354">
        <v>40006799</v>
      </c>
      <c r="K2354" t="s">
        <v>2098</v>
      </c>
      <c r="L2354">
        <v>1</v>
      </c>
    </row>
    <row r="2355" spans="10:12" x14ac:dyDescent="0.2">
      <c r="J2355">
        <v>40006800</v>
      </c>
      <c r="K2355" t="s">
        <v>2099</v>
      </c>
      <c r="L2355">
        <v>1</v>
      </c>
    </row>
    <row r="2356" spans="10:12" x14ac:dyDescent="0.2">
      <c r="J2356">
        <v>40006801</v>
      </c>
      <c r="K2356" t="s">
        <v>2100</v>
      </c>
      <c r="L2356">
        <v>10</v>
      </c>
    </row>
    <row r="2357" spans="10:12" x14ac:dyDescent="0.2">
      <c r="J2357">
        <v>40006802</v>
      </c>
      <c r="K2357" t="s">
        <v>2101</v>
      </c>
      <c r="L2357">
        <v>4</v>
      </c>
    </row>
    <row r="2358" spans="10:12" x14ac:dyDescent="0.2">
      <c r="J2358">
        <v>40006803</v>
      </c>
      <c r="K2358" t="s">
        <v>2102</v>
      </c>
      <c r="L2358">
        <v>2</v>
      </c>
    </row>
    <row r="2359" spans="10:12" x14ac:dyDescent="0.2">
      <c r="J2359">
        <v>40006804</v>
      </c>
      <c r="K2359" t="s">
        <v>2103</v>
      </c>
      <c r="L2359">
        <v>5</v>
      </c>
    </row>
    <row r="2360" spans="10:12" x14ac:dyDescent="0.2">
      <c r="J2360">
        <v>40006805</v>
      </c>
      <c r="K2360" t="s">
        <v>2104</v>
      </c>
      <c r="L2360">
        <v>4</v>
      </c>
    </row>
    <row r="2361" spans="10:12" x14ac:dyDescent="0.2">
      <c r="J2361">
        <v>40006806</v>
      </c>
      <c r="K2361" t="s">
        <v>2105</v>
      </c>
      <c r="L2361">
        <v>4</v>
      </c>
    </row>
    <row r="2362" spans="10:12" x14ac:dyDescent="0.2">
      <c r="J2362">
        <v>40006807</v>
      </c>
      <c r="K2362" t="s">
        <v>2106</v>
      </c>
      <c r="L2362">
        <v>2</v>
      </c>
    </row>
    <row r="2363" spans="10:12" x14ac:dyDescent="0.2">
      <c r="J2363">
        <v>40006808</v>
      </c>
      <c r="K2363" t="s">
        <v>2107</v>
      </c>
      <c r="L2363">
        <v>1</v>
      </c>
    </row>
    <row r="2364" spans="10:12" x14ac:dyDescent="0.2">
      <c r="J2364">
        <v>40006809</v>
      </c>
      <c r="K2364" t="s">
        <v>2108</v>
      </c>
      <c r="L2364">
        <v>1</v>
      </c>
    </row>
    <row r="2365" spans="10:12" x14ac:dyDescent="0.2">
      <c r="J2365">
        <v>40006810</v>
      </c>
      <c r="K2365" t="s">
        <v>2109</v>
      </c>
      <c r="L2365">
        <v>41</v>
      </c>
    </row>
    <row r="2366" spans="10:12" x14ac:dyDescent="0.2">
      <c r="J2366">
        <v>40006811</v>
      </c>
      <c r="K2366" t="s">
        <v>2110</v>
      </c>
      <c r="L2366">
        <v>5</v>
      </c>
    </row>
    <row r="2367" spans="10:12" x14ac:dyDescent="0.2">
      <c r="J2367">
        <v>40006812</v>
      </c>
      <c r="K2367" t="s">
        <v>2111</v>
      </c>
      <c r="L2367">
        <v>6</v>
      </c>
    </row>
    <row r="2368" spans="10:12" x14ac:dyDescent="0.2">
      <c r="J2368">
        <v>40006813</v>
      </c>
      <c r="K2368" t="s">
        <v>2112</v>
      </c>
      <c r="L2368">
        <v>4</v>
      </c>
    </row>
    <row r="2369" spans="10:12" x14ac:dyDescent="0.2">
      <c r="J2369">
        <v>40006814</v>
      </c>
      <c r="K2369" t="s">
        <v>2113</v>
      </c>
      <c r="L2369">
        <v>4</v>
      </c>
    </row>
    <row r="2370" spans="10:12" x14ac:dyDescent="0.2">
      <c r="J2370">
        <v>40006815</v>
      </c>
      <c r="K2370" t="s">
        <v>2114</v>
      </c>
      <c r="L2370">
        <v>177</v>
      </c>
    </row>
    <row r="2371" spans="10:12" x14ac:dyDescent="0.2">
      <c r="J2371">
        <v>40006816</v>
      </c>
      <c r="K2371" t="s">
        <v>2115</v>
      </c>
      <c r="L2371">
        <v>10</v>
      </c>
    </row>
    <row r="2372" spans="10:12" x14ac:dyDescent="0.2">
      <c r="J2372">
        <v>40006817</v>
      </c>
      <c r="K2372" t="s">
        <v>2116</v>
      </c>
      <c r="L2372">
        <v>12</v>
      </c>
    </row>
    <row r="2373" spans="10:12" x14ac:dyDescent="0.2">
      <c r="J2373">
        <v>40006818</v>
      </c>
      <c r="K2373" t="s">
        <v>2117</v>
      </c>
      <c r="L2373">
        <v>10</v>
      </c>
    </row>
    <row r="2374" spans="10:12" x14ac:dyDescent="0.2">
      <c r="J2374">
        <v>40006819</v>
      </c>
      <c r="K2374" t="s">
        <v>2118</v>
      </c>
      <c r="L2374">
        <v>163</v>
      </c>
    </row>
    <row r="2375" spans="10:12" x14ac:dyDescent="0.2">
      <c r="J2375">
        <v>40006820</v>
      </c>
      <c r="K2375" t="s">
        <v>2119</v>
      </c>
      <c r="L2375">
        <v>19</v>
      </c>
    </row>
    <row r="2376" spans="10:12" x14ac:dyDescent="0.2">
      <c r="J2376">
        <v>40006821</v>
      </c>
      <c r="K2376" t="s">
        <v>2120</v>
      </c>
      <c r="L2376">
        <v>3</v>
      </c>
    </row>
    <row r="2377" spans="10:12" x14ac:dyDescent="0.2">
      <c r="J2377">
        <v>40006822</v>
      </c>
      <c r="K2377" t="s">
        <v>2121</v>
      </c>
      <c r="L2377">
        <v>4</v>
      </c>
    </row>
    <row r="2378" spans="10:12" x14ac:dyDescent="0.2">
      <c r="J2378">
        <v>40006823</v>
      </c>
      <c r="K2378" t="s">
        <v>2122</v>
      </c>
      <c r="L2378">
        <v>5</v>
      </c>
    </row>
    <row r="2379" spans="10:12" x14ac:dyDescent="0.2">
      <c r="J2379">
        <v>40006824</v>
      </c>
      <c r="K2379" t="s">
        <v>2123</v>
      </c>
      <c r="L2379">
        <v>20</v>
      </c>
    </row>
    <row r="2380" spans="10:12" x14ac:dyDescent="0.2">
      <c r="J2380">
        <v>40006825</v>
      </c>
      <c r="K2380" t="s">
        <v>2124</v>
      </c>
      <c r="L2380">
        <v>10</v>
      </c>
    </row>
    <row r="2381" spans="10:12" x14ac:dyDescent="0.2">
      <c r="J2381">
        <v>40006826</v>
      </c>
      <c r="K2381" t="s">
        <v>2125</v>
      </c>
      <c r="L2381">
        <v>5</v>
      </c>
    </row>
    <row r="2382" spans="10:12" x14ac:dyDescent="0.2">
      <c r="J2382">
        <v>40006827</v>
      </c>
      <c r="K2382" t="s">
        <v>2126</v>
      </c>
      <c r="L2382">
        <v>5</v>
      </c>
    </row>
    <row r="2383" spans="10:12" x14ac:dyDescent="0.2">
      <c r="J2383">
        <v>40006828</v>
      </c>
      <c r="K2383" t="s">
        <v>2127</v>
      </c>
      <c r="L2383">
        <v>10</v>
      </c>
    </row>
    <row r="2384" spans="10:12" x14ac:dyDescent="0.2">
      <c r="J2384">
        <v>40006829</v>
      </c>
      <c r="K2384" t="s">
        <v>2128</v>
      </c>
      <c r="L2384">
        <v>7</v>
      </c>
    </row>
    <row r="2385" spans="10:12" x14ac:dyDescent="0.2">
      <c r="J2385">
        <v>40006830</v>
      </c>
      <c r="K2385" t="s">
        <v>2129</v>
      </c>
      <c r="L2385">
        <v>14</v>
      </c>
    </row>
    <row r="2386" spans="10:12" x14ac:dyDescent="0.2">
      <c r="J2386">
        <v>40006831</v>
      </c>
      <c r="K2386" t="s">
        <v>2130</v>
      </c>
      <c r="L2386">
        <v>3</v>
      </c>
    </row>
    <row r="2387" spans="10:12" x14ac:dyDescent="0.2">
      <c r="J2387">
        <v>40006832</v>
      </c>
      <c r="K2387" t="s">
        <v>2131</v>
      </c>
      <c r="L2387">
        <v>4</v>
      </c>
    </row>
    <row r="2388" spans="10:12" x14ac:dyDescent="0.2">
      <c r="J2388">
        <v>40006833</v>
      </c>
      <c r="K2388" t="s">
        <v>2132</v>
      </c>
      <c r="L2388">
        <v>2</v>
      </c>
    </row>
    <row r="2389" spans="10:12" x14ac:dyDescent="0.2">
      <c r="J2389">
        <v>40006834</v>
      </c>
      <c r="K2389" t="s">
        <v>2133</v>
      </c>
      <c r="L2389">
        <v>6</v>
      </c>
    </row>
    <row r="2390" spans="10:12" x14ac:dyDescent="0.2">
      <c r="J2390">
        <v>40006835</v>
      </c>
      <c r="K2390" t="s">
        <v>3813</v>
      </c>
      <c r="L2390">
        <v>3</v>
      </c>
    </row>
    <row r="2391" spans="10:12" x14ac:dyDescent="0.2">
      <c r="J2391">
        <v>40006836</v>
      </c>
      <c r="K2391" t="s">
        <v>2134</v>
      </c>
      <c r="L2391">
        <v>7</v>
      </c>
    </row>
    <row r="2392" spans="10:12" x14ac:dyDescent="0.2">
      <c r="J2392">
        <v>40006837</v>
      </c>
      <c r="K2392" t="s">
        <v>2135</v>
      </c>
      <c r="L2392">
        <v>4</v>
      </c>
    </row>
    <row r="2393" spans="10:12" x14ac:dyDescent="0.2">
      <c r="J2393">
        <v>40006838</v>
      </c>
      <c r="K2393" t="s">
        <v>2136</v>
      </c>
      <c r="L2393">
        <v>3</v>
      </c>
    </row>
    <row r="2394" spans="10:12" x14ac:dyDescent="0.2">
      <c r="J2394">
        <v>40006839</v>
      </c>
      <c r="K2394" t="s">
        <v>2137</v>
      </c>
      <c r="L2394">
        <v>1</v>
      </c>
    </row>
    <row r="2395" spans="10:12" x14ac:dyDescent="0.2">
      <c r="J2395">
        <v>40006840</v>
      </c>
      <c r="K2395" t="s">
        <v>2138</v>
      </c>
      <c r="L2395">
        <v>5</v>
      </c>
    </row>
    <row r="2396" spans="10:12" x14ac:dyDescent="0.2">
      <c r="J2396">
        <v>40006841</v>
      </c>
      <c r="K2396" t="s">
        <v>2139</v>
      </c>
      <c r="L2396">
        <v>21</v>
      </c>
    </row>
    <row r="2397" spans="10:12" x14ac:dyDescent="0.2">
      <c r="J2397">
        <v>40006842</v>
      </c>
      <c r="K2397" t="s">
        <v>2140</v>
      </c>
      <c r="L2397">
        <v>1</v>
      </c>
    </row>
    <row r="2398" spans="10:12" x14ac:dyDescent="0.2">
      <c r="J2398">
        <v>40006843</v>
      </c>
      <c r="K2398" t="s">
        <v>2141</v>
      </c>
      <c r="L2398">
        <v>8</v>
      </c>
    </row>
    <row r="2399" spans="10:12" x14ac:dyDescent="0.2">
      <c r="J2399">
        <v>40006844</v>
      </c>
      <c r="K2399" t="s">
        <v>2142</v>
      </c>
      <c r="L2399">
        <v>11</v>
      </c>
    </row>
    <row r="2400" spans="10:12" x14ac:dyDescent="0.2">
      <c r="J2400">
        <v>40006845</v>
      </c>
      <c r="K2400" t="s">
        <v>2143</v>
      </c>
      <c r="L2400">
        <v>9</v>
      </c>
    </row>
    <row r="2401" spans="10:12" x14ac:dyDescent="0.2">
      <c r="J2401">
        <v>40006846</v>
      </c>
      <c r="K2401" t="s">
        <v>2144</v>
      </c>
      <c r="L2401">
        <v>9</v>
      </c>
    </row>
    <row r="2402" spans="10:12" x14ac:dyDescent="0.2">
      <c r="J2402">
        <v>40006847</v>
      </c>
      <c r="K2402" t="s">
        <v>2145</v>
      </c>
      <c r="L2402">
        <v>25</v>
      </c>
    </row>
    <row r="2403" spans="10:12" x14ac:dyDescent="0.2">
      <c r="J2403">
        <v>40006848</v>
      </c>
      <c r="K2403" t="s">
        <v>2146</v>
      </c>
      <c r="L2403">
        <v>2</v>
      </c>
    </row>
    <row r="2404" spans="10:12" x14ac:dyDescent="0.2">
      <c r="J2404">
        <v>40006849</v>
      </c>
      <c r="K2404" t="s">
        <v>2147</v>
      </c>
      <c r="L2404">
        <v>12</v>
      </c>
    </row>
    <row r="2405" spans="10:12" x14ac:dyDescent="0.2">
      <c r="J2405">
        <v>40006850</v>
      </c>
      <c r="K2405" t="s">
        <v>2148</v>
      </c>
      <c r="L2405">
        <v>3</v>
      </c>
    </row>
    <row r="2406" spans="10:12" x14ac:dyDescent="0.2">
      <c r="J2406">
        <v>40006851</v>
      </c>
      <c r="K2406" t="s">
        <v>2149</v>
      </c>
      <c r="L2406">
        <v>8</v>
      </c>
    </row>
    <row r="2407" spans="10:12" x14ac:dyDescent="0.2">
      <c r="J2407">
        <v>40006852</v>
      </c>
      <c r="K2407" t="s">
        <v>2150</v>
      </c>
      <c r="L2407">
        <v>2</v>
      </c>
    </row>
    <row r="2408" spans="10:12" x14ac:dyDescent="0.2">
      <c r="J2408">
        <v>40006853</v>
      </c>
      <c r="K2408" t="s">
        <v>2151</v>
      </c>
      <c r="L2408">
        <v>46</v>
      </c>
    </row>
    <row r="2409" spans="10:12" x14ac:dyDescent="0.2">
      <c r="J2409">
        <v>40006854</v>
      </c>
      <c r="K2409" t="s">
        <v>2152</v>
      </c>
      <c r="L2409">
        <v>2</v>
      </c>
    </row>
    <row r="2410" spans="10:12" x14ac:dyDescent="0.2">
      <c r="J2410">
        <v>40006855</v>
      </c>
      <c r="K2410" t="s">
        <v>2153</v>
      </c>
      <c r="L2410">
        <v>3</v>
      </c>
    </row>
    <row r="2411" spans="10:12" x14ac:dyDescent="0.2">
      <c r="J2411">
        <v>40006856</v>
      </c>
      <c r="K2411" t="s">
        <v>2154</v>
      </c>
      <c r="L2411">
        <v>8</v>
      </c>
    </row>
    <row r="2412" spans="10:12" x14ac:dyDescent="0.2">
      <c r="J2412">
        <v>40006857</v>
      </c>
      <c r="K2412" t="s">
        <v>2155</v>
      </c>
      <c r="L2412">
        <v>8</v>
      </c>
    </row>
    <row r="2413" spans="10:12" x14ac:dyDescent="0.2">
      <c r="J2413">
        <v>40006858</v>
      </c>
      <c r="K2413" t="s">
        <v>2156</v>
      </c>
      <c r="L2413">
        <v>2</v>
      </c>
    </row>
    <row r="2414" spans="10:12" x14ac:dyDescent="0.2">
      <c r="J2414">
        <v>40006859</v>
      </c>
      <c r="K2414" t="s">
        <v>2157</v>
      </c>
      <c r="L2414">
        <v>9</v>
      </c>
    </row>
    <row r="2415" spans="10:12" x14ac:dyDescent="0.2">
      <c r="J2415">
        <v>40006860</v>
      </c>
      <c r="K2415" t="s">
        <v>2158</v>
      </c>
      <c r="L2415">
        <v>16</v>
      </c>
    </row>
    <row r="2416" spans="10:12" x14ac:dyDescent="0.2">
      <c r="J2416">
        <v>40006861</v>
      </c>
      <c r="K2416" t="s">
        <v>2159</v>
      </c>
      <c r="L2416">
        <v>12</v>
      </c>
    </row>
    <row r="2417" spans="10:12" x14ac:dyDescent="0.2">
      <c r="J2417">
        <v>40006862</v>
      </c>
      <c r="K2417" t="s">
        <v>2160</v>
      </c>
      <c r="L2417">
        <v>4</v>
      </c>
    </row>
    <row r="2418" spans="10:12" x14ac:dyDescent="0.2">
      <c r="J2418">
        <v>40006863</v>
      </c>
      <c r="K2418" t="s">
        <v>2161</v>
      </c>
      <c r="L2418">
        <v>4</v>
      </c>
    </row>
    <row r="2419" spans="10:12" x14ac:dyDescent="0.2">
      <c r="J2419">
        <v>40006864</v>
      </c>
      <c r="K2419" t="s">
        <v>10645</v>
      </c>
      <c r="L2419">
        <v>7</v>
      </c>
    </row>
    <row r="2420" spans="10:12" x14ac:dyDescent="0.2">
      <c r="J2420">
        <v>40006866</v>
      </c>
      <c r="K2420" t="s">
        <v>2162</v>
      </c>
      <c r="L2420">
        <v>1</v>
      </c>
    </row>
    <row r="2421" spans="10:12" x14ac:dyDescent="0.2">
      <c r="J2421">
        <v>40006867</v>
      </c>
      <c r="K2421" t="s">
        <v>2163</v>
      </c>
      <c r="L2421">
        <v>16</v>
      </c>
    </row>
    <row r="2422" spans="10:12" x14ac:dyDescent="0.2">
      <c r="J2422">
        <v>40006869</v>
      </c>
      <c r="K2422" t="s">
        <v>2165</v>
      </c>
      <c r="L2422">
        <v>1</v>
      </c>
    </row>
    <row r="2423" spans="10:12" x14ac:dyDescent="0.2">
      <c r="J2423">
        <v>40006870</v>
      </c>
      <c r="K2423" t="s">
        <v>2166</v>
      </c>
      <c r="L2423">
        <v>13</v>
      </c>
    </row>
    <row r="2424" spans="10:12" x14ac:dyDescent="0.2">
      <c r="J2424">
        <v>40006871</v>
      </c>
      <c r="K2424" t="s">
        <v>2167</v>
      </c>
      <c r="L2424">
        <v>2</v>
      </c>
    </row>
    <row r="2425" spans="10:12" x14ac:dyDescent="0.2">
      <c r="J2425">
        <v>40006872</v>
      </c>
      <c r="K2425" t="s">
        <v>2168</v>
      </c>
      <c r="L2425">
        <v>5</v>
      </c>
    </row>
    <row r="2426" spans="10:12" x14ac:dyDescent="0.2">
      <c r="J2426">
        <v>40006874</v>
      </c>
      <c r="K2426" t="s">
        <v>2169</v>
      </c>
      <c r="L2426">
        <v>2</v>
      </c>
    </row>
    <row r="2427" spans="10:12" x14ac:dyDescent="0.2">
      <c r="J2427">
        <v>40006875</v>
      </c>
      <c r="K2427" t="s">
        <v>2170</v>
      </c>
      <c r="L2427">
        <v>5</v>
      </c>
    </row>
    <row r="2428" spans="10:12" x14ac:dyDescent="0.2">
      <c r="J2428">
        <v>40006876</v>
      </c>
      <c r="K2428" t="s">
        <v>2171</v>
      </c>
      <c r="L2428">
        <v>1</v>
      </c>
    </row>
    <row r="2429" spans="10:12" x14ac:dyDescent="0.2">
      <c r="J2429">
        <v>40006877</v>
      </c>
      <c r="K2429" t="s">
        <v>2172</v>
      </c>
      <c r="L2429">
        <v>3</v>
      </c>
    </row>
    <row r="2430" spans="10:12" x14ac:dyDescent="0.2">
      <c r="J2430">
        <v>40006878</v>
      </c>
      <c r="K2430" t="s">
        <v>2173</v>
      </c>
      <c r="L2430">
        <v>6</v>
      </c>
    </row>
    <row r="2431" spans="10:12" x14ac:dyDescent="0.2">
      <c r="J2431">
        <v>40006879</v>
      </c>
      <c r="K2431" t="s">
        <v>2174</v>
      </c>
      <c r="L2431">
        <v>5</v>
      </c>
    </row>
    <row r="2432" spans="10:12" x14ac:dyDescent="0.2">
      <c r="J2432">
        <v>40006880</v>
      </c>
      <c r="K2432" t="s">
        <v>2175</v>
      </c>
      <c r="L2432">
        <v>23</v>
      </c>
    </row>
    <row r="2433" spans="10:12" x14ac:dyDescent="0.2">
      <c r="J2433">
        <v>40006881</v>
      </c>
      <c r="K2433" t="s">
        <v>2176</v>
      </c>
      <c r="L2433">
        <v>18</v>
      </c>
    </row>
    <row r="2434" spans="10:12" x14ac:dyDescent="0.2">
      <c r="J2434">
        <v>40006882</v>
      </c>
      <c r="K2434" t="s">
        <v>2177</v>
      </c>
      <c r="L2434">
        <v>6</v>
      </c>
    </row>
    <row r="2435" spans="10:12" x14ac:dyDescent="0.2">
      <c r="J2435">
        <v>40006883</v>
      </c>
      <c r="K2435" t="s">
        <v>2178</v>
      </c>
      <c r="L2435">
        <v>10</v>
      </c>
    </row>
    <row r="2436" spans="10:12" x14ac:dyDescent="0.2">
      <c r="J2436">
        <v>40006884</v>
      </c>
      <c r="K2436" t="s">
        <v>2179</v>
      </c>
      <c r="L2436">
        <v>3</v>
      </c>
    </row>
    <row r="2437" spans="10:12" x14ac:dyDescent="0.2">
      <c r="J2437">
        <v>40006885</v>
      </c>
      <c r="K2437" t="s">
        <v>2180</v>
      </c>
      <c r="L2437">
        <v>96</v>
      </c>
    </row>
    <row r="2438" spans="10:12" x14ac:dyDescent="0.2">
      <c r="J2438">
        <v>40006887</v>
      </c>
      <c r="K2438" t="s">
        <v>2182</v>
      </c>
      <c r="L2438">
        <v>8</v>
      </c>
    </row>
    <row r="2439" spans="10:12" x14ac:dyDescent="0.2">
      <c r="J2439">
        <v>40006888</v>
      </c>
      <c r="K2439" t="s">
        <v>2183</v>
      </c>
      <c r="L2439">
        <v>6</v>
      </c>
    </row>
    <row r="2440" spans="10:12" x14ac:dyDescent="0.2">
      <c r="J2440">
        <v>40006889</v>
      </c>
      <c r="K2440" t="s">
        <v>2184</v>
      </c>
      <c r="L2440">
        <v>10</v>
      </c>
    </row>
    <row r="2441" spans="10:12" x14ac:dyDescent="0.2">
      <c r="J2441">
        <v>40006890</v>
      </c>
      <c r="K2441" t="s">
        <v>2185</v>
      </c>
      <c r="L2441">
        <v>13</v>
      </c>
    </row>
    <row r="2442" spans="10:12" x14ac:dyDescent="0.2">
      <c r="J2442">
        <v>40006891</v>
      </c>
      <c r="K2442" t="s">
        <v>2186</v>
      </c>
      <c r="L2442">
        <v>3</v>
      </c>
    </row>
    <row r="2443" spans="10:12" x14ac:dyDescent="0.2">
      <c r="J2443">
        <v>40006892</v>
      </c>
      <c r="K2443" t="s">
        <v>2187</v>
      </c>
      <c r="L2443">
        <v>4</v>
      </c>
    </row>
    <row r="2444" spans="10:12" x14ac:dyDescent="0.2">
      <c r="J2444">
        <v>40006893</v>
      </c>
      <c r="K2444" t="s">
        <v>2188</v>
      </c>
      <c r="L2444">
        <v>9</v>
      </c>
    </row>
    <row r="2445" spans="10:12" x14ac:dyDescent="0.2">
      <c r="J2445">
        <v>40006894</v>
      </c>
      <c r="K2445" t="s">
        <v>2189</v>
      </c>
      <c r="L2445">
        <v>10</v>
      </c>
    </row>
    <row r="2446" spans="10:12" x14ac:dyDescent="0.2">
      <c r="J2446">
        <v>40006895</v>
      </c>
      <c r="K2446" t="s">
        <v>2190</v>
      </c>
      <c r="L2446">
        <v>10</v>
      </c>
    </row>
    <row r="2447" spans="10:12" x14ac:dyDescent="0.2">
      <c r="J2447">
        <v>40006896</v>
      </c>
      <c r="K2447" t="s">
        <v>2191</v>
      </c>
      <c r="L2447">
        <v>20</v>
      </c>
    </row>
    <row r="2448" spans="10:12" x14ac:dyDescent="0.2">
      <c r="J2448">
        <v>40006897</v>
      </c>
      <c r="K2448" t="s">
        <v>2192</v>
      </c>
      <c r="L2448">
        <v>8</v>
      </c>
    </row>
    <row r="2449" spans="10:12" x14ac:dyDescent="0.2">
      <c r="J2449">
        <v>40006898</v>
      </c>
      <c r="K2449" t="s">
        <v>2193</v>
      </c>
      <c r="L2449">
        <v>9</v>
      </c>
    </row>
    <row r="2450" spans="10:12" x14ac:dyDescent="0.2">
      <c r="J2450">
        <v>40006899</v>
      </c>
      <c r="K2450" t="s">
        <v>2194</v>
      </c>
      <c r="L2450">
        <v>38</v>
      </c>
    </row>
    <row r="2451" spans="10:12" x14ac:dyDescent="0.2">
      <c r="J2451">
        <v>40006900</v>
      </c>
      <c r="K2451" t="s">
        <v>2195</v>
      </c>
      <c r="L2451">
        <v>9</v>
      </c>
    </row>
    <row r="2452" spans="10:12" x14ac:dyDescent="0.2">
      <c r="J2452">
        <v>40006901</v>
      </c>
      <c r="K2452" t="s">
        <v>2196</v>
      </c>
      <c r="L2452">
        <v>10</v>
      </c>
    </row>
    <row r="2453" spans="10:12" x14ac:dyDescent="0.2">
      <c r="J2453">
        <v>40006903</v>
      </c>
      <c r="K2453" t="s">
        <v>2198</v>
      </c>
      <c r="L2453">
        <v>2</v>
      </c>
    </row>
    <row r="2454" spans="10:12" x14ac:dyDescent="0.2">
      <c r="J2454">
        <v>40006904</v>
      </c>
      <c r="K2454" t="s">
        <v>2199</v>
      </c>
      <c r="L2454">
        <v>18</v>
      </c>
    </row>
    <row r="2455" spans="10:12" x14ac:dyDescent="0.2">
      <c r="J2455">
        <v>40006905</v>
      </c>
      <c r="K2455" t="s">
        <v>2200</v>
      </c>
      <c r="L2455">
        <v>11</v>
      </c>
    </row>
    <row r="2456" spans="10:12" x14ac:dyDescent="0.2">
      <c r="J2456">
        <v>40006906</v>
      </c>
      <c r="K2456" t="s">
        <v>2201</v>
      </c>
      <c r="L2456">
        <v>8</v>
      </c>
    </row>
    <row r="2457" spans="10:12" x14ac:dyDescent="0.2">
      <c r="J2457">
        <v>40006907</v>
      </c>
      <c r="K2457" t="s">
        <v>2202</v>
      </c>
      <c r="L2457">
        <v>7</v>
      </c>
    </row>
    <row r="2458" spans="10:12" x14ac:dyDescent="0.2">
      <c r="J2458">
        <v>40006908</v>
      </c>
      <c r="K2458" t="s">
        <v>2203</v>
      </c>
      <c r="L2458">
        <v>10</v>
      </c>
    </row>
    <row r="2459" spans="10:12" x14ac:dyDescent="0.2">
      <c r="J2459">
        <v>40006909</v>
      </c>
      <c r="K2459" t="s">
        <v>2204</v>
      </c>
      <c r="L2459">
        <v>10</v>
      </c>
    </row>
    <row r="2460" spans="10:12" x14ac:dyDescent="0.2">
      <c r="J2460">
        <v>40006910</v>
      </c>
      <c r="K2460" t="s">
        <v>2205</v>
      </c>
      <c r="L2460">
        <v>8</v>
      </c>
    </row>
    <row r="2461" spans="10:12" x14ac:dyDescent="0.2">
      <c r="J2461">
        <v>40006911</v>
      </c>
      <c r="K2461" t="s">
        <v>2206</v>
      </c>
      <c r="L2461">
        <v>10</v>
      </c>
    </row>
    <row r="2462" spans="10:12" x14ac:dyDescent="0.2">
      <c r="J2462">
        <v>40006912</v>
      </c>
      <c r="K2462" t="s">
        <v>2207</v>
      </c>
      <c r="L2462">
        <v>4</v>
      </c>
    </row>
    <row r="2463" spans="10:12" x14ac:dyDescent="0.2">
      <c r="J2463">
        <v>40006913</v>
      </c>
      <c r="K2463" t="s">
        <v>2208</v>
      </c>
      <c r="L2463">
        <v>10</v>
      </c>
    </row>
    <row r="2464" spans="10:12" x14ac:dyDescent="0.2">
      <c r="J2464">
        <v>40006914</v>
      </c>
      <c r="K2464" t="s">
        <v>2209</v>
      </c>
      <c r="L2464">
        <v>6</v>
      </c>
    </row>
    <row r="2465" spans="10:12" x14ac:dyDescent="0.2">
      <c r="J2465">
        <v>40006915</v>
      </c>
      <c r="K2465" t="s">
        <v>2210</v>
      </c>
      <c r="L2465">
        <v>3</v>
      </c>
    </row>
    <row r="2466" spans="10:12" x14ac:dyDescent="0.2">
      <c r="J2466">
        <v>40006916</v>
      </c>
      <c r="K2466" t="s">
        <v>2211</v>
      </c>
      <c r="L2466">
        <v>15</v>
      </c>
    </row>
    <row r="2467" spans="10:12" x14ac:dyDescent="0.2">
      <c r="J2467">
        <v>40006917</v>
      </c>
      <c r="K2467" t="s">
        <v>2212</v>
      </c>
      <c r="L2467">
        <v>6</v>
      </c>
    </row>
    <row r="2468" spans="10:12" x14ac:dyDescent="0.2">
      <c r="J2468">
        <v>40006918</v>
      </c>
      <c r="K2468" t="s">
        <v>2213</v>
      </c>
      <c r="L2468">
        <v>10</v>
      </c>
    </row>
    <row r="2469" spans="10:12" x14ac:dyDescent="0.2">
      <c r="J2469">
        <v>40006919</v>
      </c>
      <c r="K2469" t="s">
        <v>2214</v>
      </c>
      <c r="L2469">
        <v>1</v>
      </c>
    </row>
    <row r="2470" spans="10:12" x14ac:dyDescent="0.2">
      <c r="J2470">
        <v>40006921</v>
      </c>
      <c r="K2470" t="s">
        <v>2216</v>
      </c>
      <c r="L2470">
        <v>7</v>
      </c>
    </row>
    <row r="2471" spans="10:12" x14ac:dyDescent="0.2">
      <c r="J2471">
        <v>40006922</v>
      </c>
      <c r="K2471" t="s">
        <v>2217</v>
      </c>
      <c r="L2471">
        <v>7</v>
      </c>
    </row>
    <row r="2472" spans="10:12" x14ac:dyDescent="0.2">
      <c r="J2472">
        <v>40006923</v>
      </c>
      <c r="K2472" t="s">
        <v>2218</v>
      </c>
      <c r="L2472">
        <v>1</v>
      </c>
    </row>
    <row r="2473" spans="10:12" x14ac:dyDescent="0.2">
      <c r="J2473">
        <v>40006926</v>
      </c>
      <c r="K2473" t="s">
        <v>2219</v>
      </c>
      <c r="L2473">
        <v>35</v>
      </c>
    </row>
    <row r="2474" spans="10:12" x14ac:dyDescent="0.2">
      <c r="J2474">
        <v>40006928</v>
      </c>
      <c r="K2474" t="s">
        <v>2221</v>
      </c>
      <c r="L2474">
        <v>4</v>
      </c>
    </row>
    <row r="2475" spans="10:12" x14ac:dyDescent="0.2">
      <c r="J2475">
        <v>40006929</v>
      </c>
      <c r="K2475" t="s">
        <v>2222</v>
      </c>
      <c r="L2475">
        <v>4</v>
      </c>
    </row>
    <row r="2476" spans="10:12" x14ac:dyDescent="0.2">
      <c r="J2476">
        <v>40006930</v>
      </c>
      <c r="K2476" t="s">
        <v>2223</v>
      </c>
      <c r="L2476">
        <v>9</v>
      </c>
    </row>
    <row r="2477" spans="10:12" x14ac:dyDescent="0.2">
      <c r="J2477">
        <v>40006931</v>
      </c>
      <c r="K2477" t="s">
        <v>2224</v>
      </c>
      <c r="L2477">
        <v>10</v>
      </c>
    </row>
    <row r="2478" spans="10:12" x14ac:dyDescent="0.2">
      <c r="J2478">
        <v>40006932</v>
      </c>
      <c r="K2478" t="s">
        <v>2225</v>
      </c>
      <c r="L2478">
        <v>2</v>
      </c>
    </row>
    <row r="2479" spans="10:12" x14ac:dyDescent="0.2">
      <c r="J2479">
        <v>40006933</v>
      </c>
      <c r="K2479" t="s">
        <v>2226</v>
      </c>
      <c r="L2479">
        <v>1</v>
      </c>
    </row>
    <row r="2480" spans="10:12" x14ac:dyDescent="0.2">
      <c r="J2480">
        <v>40006934</v>
      </c>
      <c r="K2480" t="s">
        <v>2227</v>
      </c>
      <c r="L2480">
        <v>121</v>
      </c>
    </row>
    <row r="2481" spans="10:12" x14ac:dyDescent="0.2">
      <c r="J2481">
        <v>40006935</v>
      </c>
      <c r="K2481" t="s">
        <v>2228</v>
      </c>
      <c r="L2481">
        <v>2</v>
      </c>
    </row>
    <row r="2482" spans="10:12" x14ac:dyDescent="0.2">
      <c r="J2482">
        <v>40006936</v>
      </c>
      <c r="K2482" t="s">
        <v>10646</v>
      </c>
      <c r="L2482">
        <v>29</v>
      </c>
    </row>
    <row r="2483" spans="10:12" x14ac:dyDescent="0.2">
      <c r="J2483">
        <v>40006937</v>
      </c>
      <c r="K2483" t="s">
        <v>2229</v>
      </c>
      <c r="L2483">
        <v>7</v>
      </c>
    </row>
    <row r="2484" spans="10:12" x14ac:dyDescent="0.2">
      <c r="J2484">
        <v>40006939</v>
      </c>
      <c r="K2484" t="s">
        <v>2230</v>
      </c>
      <c r="L2484">
        <v>9</v>
      </c>
    </row>
    <row r="2485" spans="10:12" x14ac:dyDescent="0.2">
      <c r="J2485">
        <v>40006940</v>
      </c>
      <c r="K2485" t="s">
        <v>2231</v>
      </c>
      <c r="L2485">
        <v>137</v>
      </c>
    </row>
    <row r="2486" spans="10:12" x14ac:dyDescent="0.2">
      <c r="J2486">
        <v>40006941</v>
      </c>
      <c r="K2486" t="s">
        <v>2232</v>
      </c>
      <c r="L2486">
        <v>1</v>
      </c>
    </row>
    <row r="2487" spans="10:12" x14ac:dyDescent="0.2">
      <c r="J2487">
        <v>40006942</v>
      </c>
      <c r="K2487" t="s">
        <v>2233</v>
      </c>
      <c r="L2487">
        <v>2</v>
      </c>
    </row>
    <row r="2488" spans="10:12" x14ac:dyDescent="0.2">
      <c r="J2488">
        <v>40006943</v>
      </c>
      <c r="K2488" t="s">
        <v>2234</v>
      </c>
      <c r="L2488">
        <v>5</v>
      </c>
    </row>
    <row r="2489" spans="10:12" x14ac:dyDescent="0.2">
      <c r="J2489">
        <v>40006944</v>
      </c>
      <c r="K2489" t="s">
        <v>2235</v>
      </c>
      <c r="L2489">
        <v>9</v>
      </c>
    </row>
    <row r="2490" spans="10:12" x14ac:dyDescent="0.2">
      <c r="J2490">
        <v>40006945</v>
      </c>
      <c r="K2490" t="s">
        <v>2236</v>
      </c>
      <c r="L2490">
        <v>6</v>
      </c>
    </row>
    <row r="2491" spans="10:12" x14ac:dyDescent="0.2">
      <c r="J2491">
        <v>40006946</v>
      </c>
      <c r="K2491" t="s">
        <v>2237</v>
      </c>
      <c r="L2491">
        <v>3</v>
      </c>
    </row>
    <row r="2492" spans="10:12" x14ac:dyDescent="0.2">
      <c r="J2492">
        <v>40006947</v>
      </c>
      <c r="K2492" t="s">
        <v>2238</v>
      </c>
      <c r="L2492">
        <v>2</v>
      </c>
    </row>
    <row r="2493" spans="10:12" x14ac:dyDescent="0.2">
      <c r="J2493">
        <v>40006948</v>
      </c>
      <c r="K2493" t="s">
        <v>2239</v>
      </c>
      <c r="L2493">
        <v>-1</v>
      </c>
    </row>
    <row r="2494" spans="10:12" x14ac:dyDescent="0.2">
      <c r="J2494">
        <v>40006949</v>
      </c>
      <c r="K2494" t="s">
        <v>2240</v>
      </c>
      <c r="L2494">
        <v>9</v>
      </c>
    </row>
    <row r="2495" spans="10:12" x14ac:dyDescent="0.2">
      <c r="J2495">
        <v>40006950</v>
      </c>
      <c r="K2495" t="s">
        <v>2241</v>
      </c>
      <c r="L2495">
        <v>3</v>
      </c>
    </row>
    <row r="2496" spans="10:12" x14ac:dyDescent="0.2">
      <c r="J2496">
        <v>40006951</v>
      </c>
      <c r="K2496" t="s">
        <v>2242</v>
      </c>
      <c r="L2496">
        <v>193</v>
      </c>
    </row>
    <row r="2497" spans="10:12" x14ac:dyDescent="0.2">
      <c r="J2497">
        <v>40006952</v>
      </c>
      <c r="K2497" t="s">
        <v>2243</v>
      </c>
      <c r="L2497">
        <v>35</v>
      </c>
    </row>
    <row r="2498" spans="10:12" x14ac:dyDescent="0.2">
      <c r="J2498">
        <v>40006953</v>
      </c>
      <c r="K2498" t="s">
        <v>2244</v>
      </c>
      <c r="L2498">
        <v>8</v>
      </c>
    </row>
    <row r="2499" spans="10:12" x14ac:dyDescent="0.2">
      <c r="J2499">
        <v>40006954</v>
      </c>
      <c r="K2499" t="s">
        <v>2245</v>
      </c>
      <c r="L2499">
        <v>31</v>
      </c>
    </row>
    <row r="2500" spans="10:12" x14ac:dyDescent="0.2">
      <c r="J2500">
        <v>40006955</v>
      </c>
      <c r="K2500" t="s">
        <v>2246</v>
      </c>
      <c r="L2500">
        <v>2</v>
      </c>
    </row>
    <row r="2501" spans="10:12" x14ac:dyDescent="0.2">
      <c r="J2501">
        <v>40006956</v>
      </c>
      <c r="K2501" t="s">
        <v>2247</v>
      </c>
      <c r="L2501">
        <v>13</v>
      </c>
    </row>
    <row r="2502" spans="10:12" x14ac:dyDescent="0.2">
      <c r="J2502">
        <v>40006957</v>
      </c>
      <c r="K2502" t="s">
        <v>2248</v>
      </c>
      <c r="L2502">
        <v>4</v>
      </c>
    </row>
    <row r="2503" spans="10:12" x14ac:dyDescent="0.2">
      <c r="J2503">
        <v>40006958</v>
      </c>
      <c r="K2503" t="s">
        <v>2249</v>
      </c>
      <c r="L2503">
        <v>129</v>
      </c>
    </row>
    <row r="2504" spans="10:12" x14ac:dyDescent="0.2">
      <c r="J2504">
        <v>40006959</v>
      </c>
      <c r="K2504" t="s">
        <v>2250</v>
      </c>
      <c r="L2504">
        <v>13</v>
      </c>
    </row>
    <row r="2505" spans="10:12" x14ac:dyDescent="0.2">
      <c r="J2505">
        <v>40006960</v>
      </c>
      <c r="K2505" t="s">
        <v>2251</v>
      </c>
      <c r="L2505">
        <v>20</v>
      </c>
    </row>
    <row r="2506" spans="10:12" x14ac:dyDescent="0.2">
      <c r="J2506">
        <v>40006961</v>
      </c>
      <c r="K2506" t="s">
        <v>2252</v>
      </c>
      <c r="L2506">
        <v>1</v>
      </c>
    </row>
    <row r="2507" spans="10:12" x14ac:dyDescent="0.2">
      <c r="J2507">
        <v>40006962</v>
      </c>
      <c r="K2507" t="s">
        <v>2253</v>
      </c>
      <c r="L2507">
        <v>10</v>
      </c>
    </row>
    <row r="2508" spans="10:12" x14ac:dyDescent="0.2">
      <c r="J2508">
        <v>40006964</v>
      </c>
      <c r="K2508" t="s">
        <v>2255</v>
      </c>
      <c r="L2508">
        <v>3</v>
      </c>
    </row>
    <row r="2509" spans="10:12" x14ac:dyDescent="0.2">
      <c r="J2509">
        <v>40006965</v>
      </c>
      <c r="K2509" t="s">
        <v>2256</v>
      </c>
      <c r="L2509">
        <v>26</v>
      </c>
    </row>
    <row r="2510" spans="10:12" x14ac:dyDescent="0.2">
      <c r="J2510">
        <v>40006966</v>
      </c>
      <c r="K2510" t="s">
        <v>2257</v>
      </c>
      <c r="L2510">
        <v>18</v>
      </c>
    </row>
    <row r="2511" spans="10:12" x14ac:dyDescent="0.2">
      <c r="J2511">
        <v>40006968</v>
      </c>
      <c r="K2511" t="s">
        <v>10647</v>
      </c>
      <c r="L2511">
        <v>1</v>
      </c>
    </row>
    <row r="2512" spans="10:12" x14ac:dyDescent="0.2">
      <c r="J2512">
        <v>40006969</v>
      </c>
      <c r="K2512" t="s">
        <v>2259</v>
      </c>
      <c r="L2512">
        <v>2</v>
      </c>
    </row>
    <row r="2513" spans="10:12" x14ac:dyDescent="0.2">
      <c r="J2513">
        <v>40006970</v>
      </c>
      <c r="K2513" t="s">
        <v>2260</v>
      </c>
      <c r="L2513">
        <v>12</v>
      </c>
    </row>
    <row r="2514" spans="10:12" x14ac:dyDescent="0.2">
      <c r="J2514">
        <v>40006971</v>
      </c>
      <c r="K2514" t="s">
        <v>2261</v>
      </c>
      <c r="L2514">
        <v>4</v>
      </c>
    </row>
    <row r="2515" spans="10:12" x14ac:dyDescent="0.2">
      <c r="J2515">
        <v>40006972</v>
      </c>
      <c r="K2515" t="s">
        <v>9864</v>
      </c>
      <c r="L2515">
        <v>2</v>
      </c>
    </row>
    <row r="2516" spans="10:12" x14ac:dyDescent="0.2">
      <c r="J2516">
        <v>40006973</v>
      </c>
      <c r="K2516" t="s">
        <v>2262</v>
      </c>
      <c r="L2516">
        <v>7</v>
      </c>
    </row>
    <row r="2517" spans="10:12" x14ac:dyDescent="0.2">
      <c r="J2517">
        <v>40006974</v>
      </c>
      <c r="K2517" t="s">
        <v>2263</v>
      </c>
      <c r="L2517">
        <v>2</v>
      </c>
    </row>
    <row r="2518" spans="10:12" x14ac:dyDescent="0.2">
      <c r="J2518">
        <v>40006975</v>
      </c>
      <c r="K2518" t="s">
        <v>2264</v>
      </c>
      <c r="L2518">
        <v>6</v>
      </c>
    </row>
    <row r="2519" spans="10:12" x14ac:dyDescent="0.2">
      <c r="J2519">
        <v>40006976</v>
      </c>
      <c r="K2519" t="s">
        <v>2265</v>
      </c>
      <c r="L2519">
        <v>6</v>
      </c>
    </row>
    <row r="2520" spans="10:12" x14ac:dyDescent="0.2">
      <c r="J2520">
        <v>40006977</v>
      </c>
      <c r="K2520" t="s">
        <v>2266</v>
      </c>
      <c r="L2520">
        <v>1</v>
      </c>
    </row>
    <row r="2521" spans="10:12" x14ac:dyDescent="0.2">
      <c r="J2521">
        <v>40006978</v>
      </c>
      <c r="K2521" t="s">
        <v>2267</v>
      </c>
      <c r="L2521">
        <v>19</v>
      </c>
    </row>
    <row r="2522" spans="10:12" x14ac:dyDescent="0.2">
      <c r="J2522">
        <v>40006979</v>
      </c>
      <c r="K2522" t="s">
        <v>2268</v>
      </c>
      <c r="L2522">
        <v>48</v>
      </c>
    </row>
    <row r="2523" spans="10:12" x14ac:dyDescent="0.2">
      <c r="J2523">
        <v>40006980</v>
      </c>
      <c r="K2523" t="s">
        <v>2269</v>
      </c>
      <c r="L2523">
        <v>19</v>
      </c>
    </row>
    <row r="2524" spans="10:12" x14ac:dyDescent="0.2">
      <c r="J2524">
        <v>40006981</v>
      </c>
      <c r="K2524" t="s">
        <v>2270</v>
      </c>
      <c r="L2524">
        <v>23</v>
      </c>
    </row>
    <row r="2525" spans="10:12" x14ac:dyDescent="0.2">
      <c r="J2525">
        <v>40006982</v>
      </c>
      <c r="K2525" t="s">
        <v>2271</v>
      </c>
      <c r="L2525">
        <v>34</v>
      </c>
    </row>
    <row r="2526" spans="10:12" x14ac:dyDescent="0.2">
      <c r="J2526">
        <v>40006983</v>
      </c>
      <c r="K2526" t="s">
        <v>2272</v>
      </c>
      <c r="L2526">
        <v>71</v>
      </c>
    </row>
    <row r="2527" spans="10:12" x14ac:dyDescent="0.2">
      <c r="J2527">
        <v>40006984</v>
      </c>
      <c r="K2527" t="s">
        <v>3757</v>
      </c>
      <c r="L2527">
        <v>18</v>
      </c>
    </row>
    <row r="2528" spans="10:12" x14ac:dyDescent="0.2">
      <c r="J2528">
        <v>40006985</v>
      </c>
      <c r="K2528" t="s">
        <v>5395</v>
      </c>
      <c r="L2528">
        <v>4</v>
      </c>
    </row>
    <row r="2529" spans="10:12" x14ac:dyDescent="0.2">
      <c r="J2529">
        <v>40006986</v>
      </c>
      <c r="K2529" t="s">
        <v>2273</v>
      </c>
      <c r="L2529">
        <v>8</v>
      </c>
    </row>
    <row r="2530" spans="10:12" x14ac:dyDescent="0.2">
      <c r="J2530">
        <v>40006987</v>
      </c>
      <c r="K2530" t="s">
        <v>2274</v>
      </c>
      <c r="L2530">
        <v>14</v>
      </c>
    </row>
    <row r="2531" spans="10:12" x14ac:dyDescent="0.2">
      <c r="J2531">
        <v>40006988</v>
      </c>
      <c r="K2531" t="s">
        <v>2275</v>
      </c>
      <c r="L2531">
        <v>2</v>
      </c>
    </row>
    <row r="2532" spans="10:12" x14ac:dyDescent="0.2">
      <c r="J2532">
        <v>40006989</v>
      </c>
      <c r="K2532" t="s">
        <v>2276</v>
      </c>
      <c r="L2532">
        <v>31</v>
      </c>
    </row>
    <row r="2533" spans="10:12" x14ac:dyDescent="0.2">
      <c r="J2533">
        <v>40006990</v>
      </c>
      <c r="K2533" t="s">
        <v>2277</v>
      </c>
      <c r="L2533">
        <v>5</v>
      </c>
    </row>
    <row r="2534" spans="10:12" x14ac:dyDescent="0.2">
      <c r="J2534">
        <v>40006992</v>
      </c>
      <c r="K2534" t="s">
        <v>2278</v>
      </c>
      <c r="L2534">
        <v>6</v>
      </c>
    </row>
    <row r="2535" spans="10:12" x14ac:dyDescent="0.2">
      <c r="J2535">
        <v>40006993</v>
      </c>
      <c r="K2535" t="s">
        <v>2279</v>
      </c>
      <c r="L2535">
        <v>5</v>
      </c>
    </row>
    <row r="2536" spans="10:12" x14ac:dyDescent="0.2">
      <c r="J2536">
        <v>40006994</v>
      </c>
      <c r="K2536" t="s">
        <v>2280</v>
      </c>
      <c r="L2536">
        <v>5</v>
      </c>
    </row>
    <row r="2537" spans="10:12" x14ac:dyDescent="0.2">
      <c r="J2537">
        <v>40006995</v>
      </c>
      <c r="K2537" t="s">
        <v>2281</v>
      </c>
      <c r="L2537">
        <v>1</v>
      </c>
    </row>
    <row r="2538" spans="10:12" x14ac:dyDescent="0.2">
      <c r="J2538">
        <v>40006996</v>
      </c>
      <c r="K2538" t="s">
        <v>2282</v>
      </c>
      <c r="L2538">
        <v>5</v>
      </c>
    </row>
    <row r="2539" spans="10:12" x14ac:dyDescent="0.2">
      <c r="J2539">
        <v>40006997</v>
      </c>
      <c r="K2539" t="s">
        <v>2283</v>
      </c>
      <c r="L2539">
        <v>4</v>
      </c>
    </row>
    <row r="2540" spans="10:12" x14ac:dyDescent="0.2">
      <c r="J2540">
        <v>40006998</v>
      </c>
      <c r="K2540" t="s">
        <v>2284</v>
      </c>
      <c r="L2540">
        <v>66</v>
      </c>
    </row>
    <row r="2541" spans="10:12" x14ac:dyDescent="0.2">
      <c r="J2541">
        <v>40006999</v>
      </c>
      <c r="K2541" t="s">
        <v>2285</v>
      </c>
      <c r="L2541">
        <v>15</v>
      </c>
    </row>
    <row r="2542" spans="10:12" x14ac:dyDescent="0.2">
      <c r="J2542">
        <v>40007000</v>
      </c>
      <c r="K2542" t="s">
        <v>2286</v>
      </c>
      <c r="L2542">
        <v>91</v>
      </c>
    </row>
    <row r="2543" spans="10:12" x14ac:dyDescent="0.2">
      <c r="J2543">
        <v>40007001</v>
      </c>
      <c r="K2543" t="s">
        <v>2287</v>
      </c>
      <c r="L2543">
        <v>10</v>
      </c>
    </row>
    <row r="2544" spans="10:12" x14ac:dyDescent="0.2">
      <c r="J2544">
        <v>40007003</v>
      </c>
      <c r="K2544" t="s">
        <v>2289</v>
      </c>
      <c r="L2544">
        <v>1</v>
      </c>
    </row>
    <row r="2545" spans="10:12" x14ac:dyDescent="0.2">
      <c r="J2545">
        <v>40007005</v>
      </c>
      <c r="K2545" t="s">
        <v>3907</v>
      </c>
      <c r="L2545">
        <v>4</v>
      </c>
    </row>
    <row r="2546" spans="10:12" x14ac:dyDescent="0.2">
      <c r="J2546">
        <v>40007006</v>
      </c>
      <c r="K2546" t="s">
        <v>3824</v>
      </c>
      <c r="L2546">
        <v>1</v>
      </c>
    </row>
    <row r="2547" spans="10:12" x14ac:dyDescent="0.2">
      <c r="J2547">
        <v>40007007</v>
      </c>
      <c r="K2547" t="s">
        <v>10648</v>
      </c>
      <c r="L2547">
        <v>10</v>
      </c>
    </row>
    <row r="2548" spans="10:12" x14ac:dyDescent="0.2">
      <c r="J2548">
        <v>40007008</v>
      </c>
      <c r="K2548" t="s">
        <v>2290</v>
      </c>
      <c r="L2548">
        <v>146</v>
      </c>
    </row>
    <row r="2549" spans="10:12" x14ac:dyDescent="0.2">
      <c r="J2549">
        <v>40007009</v>
      </c>
      <c r="K2549" t="s">
        <v>2291</v>
      </c>
      <c r="L2549">
        <v>190</v>
      </c>
    </row>
    <row r="2550" spans="10:12" x14ac:dyDescent="0.2">
      <c r="J2550">
        <v>40007010</v>
      </c>
      <c r="K2550" t="s">
        <v>2292</v>
      </c>
      <c r="L2550">
        <v>182</v>
      </c>
    </row>
    <row r="2551" spans="10:12" x14ac:dyDescent="0.2">
      <c r="J2551">
        <v>40007011</v>
      </c>
      <c r="K2551" t="s">
        <v>2293</v>
      </c>
      <c r="L2551">
        <v>56</v>
      </c>
    </row>
    <row r="2552" spans="10:12" x14ac:dyDescent="0.2">
      <c r="J2552">
        <v>40007012</v>
      </c>
      <c r="K2552" t="s">
        <v>2294</v>
      </c>
      <c r="L2552">
        <v>10</v>
      </c>
    </row>
    <row r="2553" spans="10:12" x14ac:dyDescent="0.2">
      <c r="J2553">
        <v>40007013</v>
      </c>
      <c r="K2553" t="s">
        <v>2295</v>
      </c>
      <c r="L2553">
        <v>18</v>
      </c>
    </row>
    <row r="2554" spans="10:12" x14ac:dyDescent="0.2">
      <c r="J2554">
        <v>40007014</v>
      </c>
      <c r="K2554" t="s">
        <v>2296</v>
      </c>
      <c r="L2554">
        <v>14</v>
      </c>
    </row>
    <row r="2555" spans="10:12" x14ac:dyDescent="0.2">
      <c r="J2555">
        <v>40007015</v>
      </c>
      <c r="K2555" t="s">
        <v>2297</v>
      </c>
      <c r="L2555">
        <v>20</v>
      </c>
    </row>
    <row r="2556" spans="10:12" x14ac:dyDescent="0.2">
      <c r="J2556">
        <v>40007016</v>
      </c>
      <c r="K2556" t="s">
        <v>2298</v>
      </c>
      <c r="L2556">
        <v>34</v>
      </c>
    </row>
    <row r="2557" spans="10:12" x14ac:dyDescent="0.2">
      <c r="J2557">
        <v>40007017</v>
      </c>
      <c r="K2557" t="s">
        <v>2299</v>
      </c>
      <c r="L2557">
        <v>100</v>
      </c>
    </row>
    <row r="2558" spans="10:12" x14ac:dyDescent="0.2">
      <c r="J2558">
        <v>40007018</v>
      </c>
      <c r="K2558" t="s">
        <v>3905</v>
      </c>
      <c r="L2558">
        <v>7</v>
      </c>
    </row>
    <row r="2559" spans="10:12" x14ac:dyDescent="0.2">
      <c r="J2559">
        <v>40007019</v>
      </c>
      <c r="K2559" t="s">
        <v>2300</v>
      </c>
      <c r="L2559">
        <v>14</v>
      </c>
    </row>
    <row r="2560" spans="10:12" x14ac:dyDescent="0.2">
      <c r="J2560">
        <v>40007020</v>
      </c>
      <c r="K2560" t="s">
        <v>2301</v>
      </c>
      <c r="L2560">
        <v>4</v>
      </c>
    </row>
    <row r="2561" spans="10:12" x14ac:dyDescent="0.2">
      <c r="J2561">
        <v>40007021</v>
      </c>
      <c r="K2561" t="s">
        <v>2302</v>
      </c>
      <c r="L2561">
        <v>5</v>
      </c>
    </row>
    <row r="2562" spans="10:12" x14ac:dyDescent="0.2">
      <c r="J2562">
        <v>40007022</v>
      </c>
      <c r="K2562" t="s">
        <v>2303</v>
      </c>
      <c r="L2562">
        <v>4</v>
      </c>
    </row>
    <row r="2563" spans="10:12" x14ac:dyDescent="0.2">
      <c r="J2563">
        <v>40007023</v>
      </c>
      <c r="K2563" t="s">
        <v>2304</v>
      </c>
      <c r="L2563">
        <v>6</v>
      </c>
    </row>
    <row r="2564" spans="10:12" x14ac:dyDescent="0.2">
      <c r="J2564">
        <v>40007024</v>
      </c>
      <c r="K2564" t="s">
        <v>2305</v>
      </c>
      <c r="L2564">
        <v>16</v>
      </c>
    </row>
    <row r="2565" spans="10:12" x14ac:dyDescent="0.2">
      <c r="J2565">
        <v>40007027</v>
      </c>
      <c r="K2565" t="s">
        <v>2306</v>
      </c>
      <c r="L2565">
        <v>1</v>
      </c>
    </row>
    <row r="2566" spans="10:12" x14ac:dyDescent="0.2">
      <c r="J2566">
        <v>40007028</v>
      </c>
      <c r="K2566" t="s">
        <v>2307</v>
      </c>
      <c r="L2566">
        <v>3</v>
      </c>
    </row>
    <row r="2567" spans="10:12" x14ac:dyDescent="0.2">
      <c r="J2567">
        <v>40007029</v>
      </c>
      <c r="K2567" t="s">
        <v>2308</v>
      </c>
      <c r="L2567">
        <v>4</v>
      </c>
    </row>
    <row r="2568" spans="10:12" x14ac:dyDescent="0.2">
      <c r="J2568">
        <v>40007030</v>
      </c>
      <c r="K2568" t="s">
        <v>2309</v>
      </c>
      <c r="L2568">
        <v>4</v>
      </c>
    </row>
    <row r="2569" spans="10:12" x14ac:dyDescent="0.2">
      <c r="J2569">
        <v>40007031</v>
      </c>
      <c r="K2569" t="s">
        <v>2310</v>
      </c>
      <c r="L2569">
        <v>4</v>
      </c>
    </row>
    <row r="2570" spans="10:12" x14ac:dyDescent="0.2">
      <c r="J2570">
        <v>40007032</v>
      </c>
      <c r="K2570" t="s">
        <v>2311</v>
      </c>
      <c r="L2570">
        <v>5</v>
      </c>
    </row>
    <row r="2571" spans="10:12" x14ac:dyDescent="0.2">
      <c r="J2571">
        <v>40007033</v>
      </c>
      <c r="K2571" t="s">
        <v>2312</v>
      </c>
      <c r="L2571">
        <v>4</v>
      </c>
    </row>
    <row r="2572" spans="10:12" x14ac:dyDescent="0.2">
      <c r="J2572">
        <v>40007034</v>
      </c>
      <c r="K2572" t="s">
        <v>2313</v>
      </c>
      <c r="L2572">
        <v>5</v>
      </c>
    </row>
    <row r="2573" spans="10:12" x14ac:dyDescent="0.2">
      <c r="J2573">
        <v>40007035</v>
      </c>
      <c r="K2573" t="s">
        <v>2314</v>
      </c>
      <c r="L2573">
        <v>1</v>
      </c>
    </row>
    <row r="2574" spans="10:12" x14ac:dyDescent="0.2">
      <c r="J2574">
        <v>40007036</v>
      </c>
      <c r="K2574" t="s">
        <v>2315</v>
      </c>
      <c r="L2574">
        <v>9</v>
      </c>
    </row>
    <row r="2575" spans="10:12" x14ac:dyDescent="0.2">
      <c r="J2575">
        <v>40007037</v>
      </c>
      <c r="K2575" t="s">
        <v>2316</v>
      </c>
      <c r="L2575">
        <v>5</v>
      </c>
    </row>
    <row r="2576" spans="10:12" x14ac:dyDescent="0.2">
      <c r="J2576">
        <v>40007038</v>
      </c>
      <c r="K2576" t="s">
        <v>2317</v>
      </c>
      <c r="L2576">
        <v>4</v>
      </c>
    </row>
    <row r="2577" spans="10:12" x14ac:dyDescent="0.2">
      <c r="J2577">
        <v>40007039</v>
      </c>
      <c r="K2577" t="s">
        <v>2318</v>
      </c>
      <c r="L2577">
        <v>9</v>
      </c>
    </row>
    <row r="2578" spans="10:12" x14ac:dyDescent="0.2">
      <c r="J2578">
        <v>40007040</v>
      </c>
      <c r="K2578" t="s">
        <v>2319</v>
      </c>
      <c r="L2578">
        <v>1</v>
      </c>
    </row>
    <row r="2579" spans="10:12" x14ac:dyDescent="0.2">
      <c r="J2579">
        <v>40007041</v>
      </c>
      <c r="K2579" t="s">
        <v>2320</v>
      </c>
      <c r="L2579">
        <v>15</v>
      </c>
    </row>
    <row r="2580" spans="10:12" x14ac:dyDescent="0.2">
      <c r="J2580">
        <v>40007042</v>
      </c>
      <c r="K2580" t="s">
        <v>2321</v>
      </c>
      <c r="L2580">
        <v>6</v>
      </c>
    </row>
    <row r="2581" spans="10:12" x14ac:dyDescent="0.2">
      <c r="J2581">
        <v>40007043</v>
      </c>
      <c r="K2581" t="s">
        <v>2322</v>
      </c>
      <c r="L2581">
        <v>10</v>
      </c>
    </row>
    <row r="2582" spans="10:12" x14ac:dyDescent="0.2">
      <c r="J2582">
        <v>40007045</v>
      </c>
      <c r="K2582" t="s">
        <v>2324</v>
      </c>
      <c r="L2582">
        <v>4</v>
      </c>
    </row>
    <row r="2583" spans="10:12" x14ac:dyDescent="0.2">
      <c r="J2583">
        <v>40007046</v>
      </c>
      <c r="K2583" t="s">
        <v>2325</v>
      </c>
      <c r="L2583">
        <v>3</v>
      </c>
    </row>
    <row r="2584" spans="10:12" x14ac:dyDescent="0.2">
      <c r="J2584">
        <v>40007048</v>
      </c>
      <c r="K2584" t="s">
        <v>2326</v>
      </c>
      <c r="L2584">
        <v>17</v>
      </c>
    </row>
    <row r="2585" spans="10:12" x14ac:dyDescent="0.2">
      <c r="J2585">
        <v>40007050</v>
      </c>
      <c r="K2585" t="s">
        <v>2327</v>
      </c>
      <c r="L2585">
        <v>7</v>
      </c>
    </row>
    <row r="2586" spans="10:12" x14ac:dyDescent="0.2">
      <c r="J2586">
        <v>40007051</v>
      </c>
      <c r="K2586" t="s">
        <v>2328</v>
      </c>
      <c r="L2586">
        <v>4</v>
      </c>
    </row>
    <row r="2587" spans="10:12" x14ac:dyDescent="0.2">
      <c r="J2587">
        <v>40007052</v>
      </c>
      <c r="K2587" t="s">
        <v>2329</v>
      </c>
      <c r="L2587">
        <v>26</v>
      </c>
    </row>
    <row r="2588" spans="10:12" x14ac:dyDescent="0.2">
      <c r="J2588">
        <v>40007053</v>
      </c>
      <c r="K2588" t="s">
        <v>2330</v>
      </c>
      <c r="L2588">
        <v>4</v>
      </c>
    </row>
    <row r="2589" spans="10:12" x14ac:dyDescent="0.2">
      <c r="J2589">
        <v>40007054</v>
      </c>
      <c r="K2589" t="s">
        <v>2331</v>
      </c>
      <c r="L2589">
        <v>2</v>
      </c>
    </row>
    <row r="2590" spans="10:12" x14ac:dyDescent="0.2">
      <c r="J2590">
        <v>40007055</v>
      </c>
      <c r="K2590" t="s">
        <v>2332</v>
      </c>
      <c r="L2590">
        <v>2</v>
      </c>
    </row>
    <row r="2591" spans="10:12" x14ac:dyDescent="0.2">
      <c r="J2591">
        <v>40007056</v>
      </c>
      <c r="K2591" t="s">
        <v>2333</v>
      </c>
      <c r="L2591">
        <v>6</v>
      </c>
    </row>
    <row r="2592" spans="10:12" x14ac:dyDescent="0.2">
      <c r="J2592">
        <v>40007057</v>
      </c>
      <c r="K2592" t="s">
        <v>2334</v>
      </c>
      <c r="L2592">
        <v>8</v>
      </c>
    </row>
    <row r="2593" spans="10:12" x14ac:dyDescent="0.2">
      <c r="J2593">
        <v>40007058</v>
      </c>
      <c r="K2593" t="s">
        <v>2335</v>
      </c>
      <c r="L2593">
        <v>2</v>
      </c>
    </row>
    <row r="2594" spans="10:12" x14ac:dyDescent="0.2">
      <c r="J2594">
        <v>40007059</v>
      </c>
      <c r="K2594" t="s">
        <v>2336</v>
      </c>
      <c r="L2594">
        <v>24</v>
      </c>
    </row>
    <row r="2595" spans="10:12" x14ac:dyDescent="0.2">
      <c r="J2595">
        <v>40007063</v>
      </c>
      <c r="K2595" t="s">
        <v>2338</v>
      </c>
      <c r="L2595">
        <v>3</v>
      </c>
    </row>
    <row r="2596" spans="10:12" x14ac:dyDescent="0.2">
      <c r="J2596">
        <v>40007064</v>
      </c>
      <c r="K2596" t="s">
        <v>2339</v>
      </c>
      <c r="L2596">
        <v>7</v>
      </c>
    </row>
    <row r="2597" spans="10:12" x14ac:dyDescent="0.2">
      <c r="J2597">
        <v>40007065</v>
      </c>
      <c r="K2597" t="s">
        <v>2340</v>
      </c>
      <c r="L2597">
        <v>10</v>
      </c>
    </row>
    <row r="2598" spans="10:12" x14ac:dyDescent="0.2">
      <c r="J2598">
        <v>40007066</v>
      </c>
      <c r="K2598" t="s">
        <v>2341</v>
      </c>
      <c r="L2598">
        <v>2</v>
      </c>
    </row>
    <row r="2599" spans="10:12" x14ac:dyDescent="0.2">
      <c r="J2599">
        <v>40007067</v>
      </c>
      <c r="K2599" t="s">
        <v>2342</v>
      </c>
      <c r="L2599">
        <v>43</v>
      </c>
    </row>
    <row r="2600" spans="10:12" x14ac:dyDescent="0.2">
      <c r="J2600">
        <v>40007068</v>
      </c>
      <c r="K2600" t="s">
        <v>2343</v>
      </c>
      <c r="L2600">
        <v>40</v>
      </c>
    </row>
    <row r="2601" spans="10:12" x14ac:dyDescent="0.2">
      <c r="J2601">
        <v>40007069</v>
      </c>
      <c r="K2601" t="s">
        <v>2344</v>
      </c>
      <c r="L2601">
        <v>1</v>
      </c>
    </row>
    <row r="2602" spans="10:12" x14ac:dyDescent="0.2">
      <c r="J2602">
        <v>40007071</v>
      </c>
      <c r="K2602" t="s">
        <v>2345</v>
      </c>
      <c r="L2602">
        <v>11</v>
      </c>
    </row>
    <row r="2603" spans="10:12" x14ac:dyDescent="0.2">
      <c r="J2603">
        <v>40007072</v>
      </c>
      <c r="K2603" t="s">
        <v>2346</v>
      </c>
      <c r="L2603">
        <v>2</v>
      </c>
    </row>
    <row r="2604" spans="10:12" x14ac:dyDescent="0.2">
      <c r="J2604">
        <v>40007073</v>
      </c>
      <c r="K2604" t="s">
        <v>2347</v>
      </c>
      <c r="L2604">
        <v>18</v>
      </c>
    </row>
    <row r="2605" spans="10:12" x14ac:dyDescent="0.2">
      <c r="J2605">
        <v>40007074</v>
      </c>
      <c r="K2605" t="s">
        <v>2348</v>
      </c>
      <c r="L2605">
        <v>9</v>
      </c>
    </row>
    <row r="2606" spans="10:12" x14ac:dyDescent="0.2">
      <c r="J2606">
        <v>40007075</v>
      </c>
      <c r="K2606" t="s">
        <v>2349</v>
      </c>
      <c r="L2606">
        <v>8</v>
      </c>
    </row>
    <row r="2607" spans="10:12" x14ac:dyDescent="0.2">
      <c r="J2607">
        <v>40007076</v>
      </c>
      <c r="K2607" t="s">
        <v>2350</v>
      </c>
      <c r="L2607">
        <v>14</v>
      </c>
    </row>
    <row r="2608" spans="10:12" x14ac:dyDescent="0.2">
      <c r="J2608">
        <v>40007077</v>
      </c>
      <c r="K2608" t="s">
        <v>2351</v>
      </c>
      <c r="L2608">
        <v>9</v>
      </c>
    </row>
    <row r="2609" spans="10:12" x14ac:dyDescent="0.2">
      <c r="J2609">
        <v>40007078</v>
      </c>
      <c r="K2609" t="s">
        <v>2352</v>
      </c>
      <c r="L2609">
        <v>8</v>
      </c>
    </row>
    <row r="2610" spans="10:12" x14ac:dyDescent="0.2">
      <c r="J2610">
        <v>40007079</v>
      </c>
      <c r="K2610" t="s">
        <v>2353</v>
      </c>
      <c r="L2610">
        <v>2</v>
      </c>
    </row>
    <row r="2611" spans="10:12" x14ac:dyDescent="0.2">
      <c r="J2611">
        <v>40007080</v>
      </c>
      <c r="K2611" t="s">
        <v>2354</v>
      </c>
      <c r="L2611">
        <v>4</v>
      </c>
    </row>
    <row r="2612" spans="10:12" x14ac:dyDescent="0.2">
      <c r="J2612">
        <v>40007082</v>
      </c>
      <c r="K2612" t="s">
        <v>2355</v>
      </c>
      <c r="L2612">
        <v>4</v>
      </c>
    </row>
    <row r="2613" spans="10:12" x14ac:dyDescent="0.2">
      <c r="J2613">
        <v>40007083</v>
      </c>
      <c r="K2613" t="s">
        <v>2356</v>
      </c>
      <c r="L2613">
        <v>37</v>
      </c>
    </row>
    <row r="2614" spans="10:12" x14ac:dyDescent="0.2">
      <c r="J2614">
        <v>40007084</v>
      </c>
      <c r="K2614" t="s">
        <v>2357</v>
      </c>
      <c r="L2614">
        <v>8</v>
      </c>
    </row>
    <row r="2615" spans="10:12" x14ac:dyDescent="0.2">
      <c r="J2615">
        <v>40007085</v>
      </c>
      <c r="K2615" t="s">
        <v>2358</v>
      </c>
      <c r="L2615">
        <v>27</v>
      </c>
    </row>
    <row r="2616" spans="10:12" x14ac:dyDescent="0.2">
      <c r="J2616">
        <v>40007086</v>
      </c>
      <c r="K2616" t="s">
        <v>2359</v>
      </c>
      <c r="L2616">
        <v>21</v>
      </c>
    </row>
    <row r="2617" spans="10:12" x14ac:dyDescent="0.2">
      <c r="J2617">
        <v>40007087</v>
      </c>
      <c r="K2617" t="s">
        <v>2360</v>
      </c>
      <c r="L2617">
        <v>4</v>
      </c>
    </row>
    <row r="2618" spans="10:12" x14ac:dyDescent="0.2">
      <c r="J2618">
        <v>40007088</v>
      </c>
      <c r="K2618" t="s">
        <v>2361</v>
      </c>
      <c r="L2618">
        <v>5</v>
      </c>
    </row>
    <row r="2619" spans="10:12" x14ac:dyDescent="0.2">
      <c r="J2619">
        <v>40007089</v>
      </c>
      <c r="K2619" t="s">
        <v>2362</v>
      </c>
      <c r="L2619">
        <v>1</v>
      </c>
    </row>
    <row r="2620" spans="10:12" x14ac:dyDescent="0.2">
      <c r="J2620">
        <v>40007090</v>
      </c>
      <c r="K2620" t="s">
        <v>2363</v>
      </c>
      <c r="L2620">
        <v>23</v>
      </c>
    </row>
    <row r="2621" spans="10:12" x14ac:dyDescent="0.2">
      <c r="J2621">
        <v>40007091</v>
      </c>
      <c r="K2621" t="s">
        <v>2364</v>
      </c>
      <c r="L2621">
        <v>1</v>
      </c>
    </row>
    <row r="2622" spans="10:12" x14ac:dyDescent="0.2">
      <c r="J2622">
        <v>40007093</v>
      </c>
      <c r="K2622" t="s">
        <v>2365</v>
      </c>
      <c r="L2622">
        <v>21</v>
      </c>
    </row>
    <row r="2623" spans="10:12" x14ac:dyDescent="0.2">
      <c r="J2623">
        <v>40007094</v>
      </c>
      <c r="K2623" t="s">
        <v>2366</v>
      </c>
      <c r="L2623">
        <v>13</v>
      </c>
    </row>
    <row r="2624" spans="10:12" x14ac:dyDescent="0.2">
      <c r="J2624">
        <v>40007095</v>
      </c>
      <c r="K2624" t="s">
        <v>2367</v>
      </c>
      <c r="L2624">
        <v>5</v>
      </c>
    </row>
    <row r="2625" spans="10:12" x14ac:dyDescent="0.2">
      <c r="J2625">
        <v>40007096</v>
      </c>
      <c r="K2625" t="s">
        <v>2368</v>
      </c>
      <c r="L2625">
        <v>19</v>
      </c>
    </row>
    <row r="2626" spans="10:12" x14ac:dyDescent="0.2">
      <c r="J2626">
        <v>40007097</v>
      </c>
      <c r="K2626" t="s">
        <v>2369</v>
      </c>
      <c r="L2626">
        <v>7</v>
      </c>
    </row>
    <row r="2627" spans="10:12" x14ac:dyDescent="0.2">
      <c r="J2627">
        <v>40007098</v>
      </c>
      <c r="K2627" t="s">
        <v>2370</v>
      </c>
      <c r="L2627">
        <v>14</v>
      </c>
    </row>
    <row r="2628" spans="10:12" x14ac:dyDescent="0.2">
      <c r="J2628">
        <v>40007099</v>
      </c>
      <c r="K2628" t="s">
        <v>2371</v>
      </c>
      <c r="L2628">
        <v>1</v>
      </c>
    </row>
    <row r="2629" spans="10:12" x14ac:dyDescent="0.2">
      <c r="J2629">
        <v>40007100</v>
      </c>
      <c r="K2629" t="s">
        <v>2372</v>
      </c>
      <c r="L2629">
        <v>2</v>
      </c>
    </row>
    <row r="2630" spans="10:12" x14ac:dyDescent="0.2">
      <c r="J2630">
        <v>40007101</v>
      </c>
      <c r="K2630" t="s">
        <v>2373</v>
      </c>
      <c r="L2630">
        <v>2</v>
      </c>
    </row>
    <row r="2631" spans="10:12" x14ac:dyDescent="0.2">
      <c r="J2631">
        <v>40007102</v>
      </c>
      <c r="K2631" t="s">
        <v>2374</v>
      </c>
      <c r="L2631">
        <v>8</v>
      </c>
    </row>
    <row r="2632" spans="10:12" x14ac:dyDescent="0.2">
      <c r="J2632">
        <v>40007104</v>
      </c>
      <c r="K2632" t="s">
        <v>2375</v>
      </c>
      <c r="L2632">
        <v>1</v>
      </c>
    </row>
    <row r="2633" spans="10:12" x14ac:dyDescent="0.2">
      <c r="J2633">
        <v>40007105</v>
      </c>
      <c r="K2633" t="s">
        <v>2376</v>
      </c>
      <c r="L2633">
        <v>5</v>
      </c>
    </row>
    <row r="2634" spans="10:12" x14ac:dyDescent="0.2">
      <c r="J2634">
        <v>40007106</v>
      </c>
      <c r="K2634" t="s">
        <v>2377</v>
      </c>
      <c r="L2634">
        <v>5</v>
      </c>
    </row>
    <row r="2635" spans="10:12" x14ac:dyDescent="0.2">
      <c r="J2635">
        <v>40007107</v>
      </c>
      <c r="K2635" t="s">
        <v>3831</v>
      </c>
      <c r="L2635">
        <v>11</v>
      </c>
    </row>
    <row r="2636" spans="10:12" x14ac:dyDescent="0.2">
      <c r="J2636">
        <v>40007108</v>
      </c>
      <c r="K2636" t="s">
        <v>2378</v>
      </c>
      <c r="L2636">
        <v>4</v>
      </c>
    </row>
    <row r="2637" spans="10:12" x14ac:dyDescent="0.2">
      <c r="J2637">
        <v>40007109</v>
      </c>
      <c r="K2637" t="s">
        <v>2379</v>
      </c>
      <c r="L2637">
        <v>1</v>
      </c>
    </row>
    <row r="2638" spans="10:12" x14ac:dyDescent="0.2">
      <c r="J2638">
        <v>40007110</v>
      </c>
      <c r="K2638" t="s">
        <v>2380</v>
      </c>
      <c r="L2638">
        <v>4</v>
      </c>
    </row>
    <row r="2639" spans="10:12" x14ac:dyDescent="0.2">
      <c r="J2639">
        <v>40007111</v>
      </c>
      <c r="K2639" t="s">
        <v>2381</v>
      </c>
      <c r="L2639">
        <v>18</v>
      </c>
    </row>
    <row r="2640" spans="10:12" x14ac:dyDescent="0.2">
      <c r="J2640">
        <v>40007112</v>
      </c>
      <c r="K2640" t="s">
        <v>2382</v>
      </c>
      <c r="L2640">
        <v>8</v>
      </c>
    </row>
    <row r="2641" spans="10:12" x14ac:dyDescent="0.2">
      <c r="J2641">
        <v>40007113</v>
      </c>
      <c r="K2641" t="s">
        <v>2383</v>
      </c>
      <c r="L2641">
        <v>11</v>
      </c>
    </row>
    <row r="2642" spans="10:12" x14ac:dyDescent="0.2">
      <c r="J2642">
        <v>40007114</v>
      </c>
      <c r="K2642" t="s">
        <v>2384</v>
      </c>
      <c r="L2642">
        <v>16</v>
      </c>
    </row>
    <row r="2643" spans="10:12" x14ac:dyDescent="0.2">
      <c r="J2643">
        <v>40007115</v>
      </c>
      <c r="K2643" t="s">
        <v>2385</v>
      </c>
      <c r="L2643">
        <v>2</v>
      </c>
    </row>
    <row r="2644" spans="10:12" x14ac:dyDescent="0.2">
      <c r="J2644">
        <v>40007116</v>
      </c>
      <c r="K2644" t="s">
        <v>2386</v>
      </c>
      <c r="L2644">
        <v>2</v>
      </c>
    </row>
    <row r="2645" spans="10:12" x14ac:dyDescent="0.2">
      <c r="J2645">
        <v>40007117</v>
      </c>
      <c r="K2645" t="s">
        <v>2387</v>
      </c>
      <c r="L2645">
        <v>5</v>
      </c>
    </row>
    <row r="2646" spans="10:12" x14ac:dyDescent="0.2">
      <c r="J2646">
        <v>40007118</v>
      </c>
      <c r="K2646" t="s">
        <v>2388</v>
      </c>
      <c r="L2646">
        <v>11</v>
      </c>
    </row>
    <row r="2647" spans="10:12" x14ac:dyDescent="0.2">
      <c r="J2647">
        <v>40007120</v>
      </c>
      <c r="K2647" t="s">
        <v>2389</v>
      </c>
      <c r="L2647">
        <v>5</v>
      </c>
    </row>
    <row r="2648" spans="10:12" x14ac:dyDescent="0.2">
      <c r="J2648">
        <v>40007121</v>
      </c>
      <c r="K2648" t="s">
        <v>9830</v>
      </c>
      <c r="L2648">
        <v>2</v>
      </c>
    </row>
    <row r="2649" spans="10:12" x14ac:dyDescent="0.2">
      <c r="J2649">
        <v>40007122</v>
      </c>
      <c r="K2649" t="s">
        <v>2390</v>
      </c>
      <c r="L2649">
        <v>4</v>
      </c>
    </row>
    <row r="2650" spans="10:12" x14ac:dyDescent="0.2">
      <c r="J2650">
        <v>40007123</v>
      </c>
      <c r="K2650" t="s">
        <v>2391</v>
      </c>
      <c r="L2650">
        <v>4</v>
      </c>
    </row>
    <row r="2651" spans="10:12" x14ac:dyDescent="0.2">
      <c r="J2651">
        <v>40007124</v>
      </c>
      <c r="K2651" t="s">
        <v>2392</v>
      </c>
      <c r="L2651">
        <v>5</v>
      </c>
    </row>
    <row r="2652" spans="10:12" x14ac:dyDescent="0.2">
      <c r="J2652">
        <v>40007125</v>
      </c>
      <c r="K2652" t="s">
        <v>2393</v>
      </c>
      <c r="L2652">
        <v>5</v>
      </c>
    </row>
    <row r="2653" spans="10:12" x14ac:dyDescent="0.2">
      <c r="J2653">
        <v>40007126</v>
      </c>
      <c r="K2653" t="s">
        <v>2394</v>
      </c>
      <c r="L2653">
        <v>15</v>
      </c>
    </row>
    <row r="2654" spans="10:12" x14ac:dyDescent="0.2">
      <c r="J2654">
        <v>40007127</v>
      </c>
      <c r="K2654" t="s">
        <v>2395</v>
      </c>
      <c r="L2654">
        <v>7</v>
      </c>
    </row>
    <row r="2655" spans="10:12" x14ac:dyDescent="0.2">
      <c r="J2655">
        <v>40007128</v>
      </c>
      <c r="K2655" t="s">
        <v>2396</v>
      </c>
      <c r="L2655">
        <v>1</v>
      </c>
    </row>
    <row r="2656" spans="10:12" x14ac:dyDescent="0.2">
      <c r="J2656">
        <v>40007129</v>
      </c>
      <c r="K2656" t="s">
        <v>2397</v>
      </c>
      <c r="L2656">
        <v>1</v>
      </c>
    </row>
    <row r="2657" spans="10:12" x14ac:dyDescent="0.2">
      <c r="J2657">
        <v>40007130</v>
      </c>
      <c r="K2657" t="s">
        <v>2398</v>
      </c>
      <c r="L2657">
        <v>4</v>
      </c>
    </row>
    <row r="2658" spans="10:12" x14ac:dyDescent="0.2">
      <c r="J2658">
        <v>40007131</v>
      </c>
      <c r="K2658" t="s">
        <v>2399</v>
      </c>
      <c r="L2658">
        <v>6</v>
      </c>
    </row>
    <row r="2659" spans="10:12" x14ac:dyDescent="0.2">
      <c r="J2659">
        <v>40007132</v>
      </c>
      <c r="K2659" t="s">
        <v>2400</v>
      </c>
      <c r="L2659">
        <v>5</v>
      </c>
    </row>
    <row r="2660" spans="10:12" x14ac:dyDescent="0.2">
      <c r="J2660">
        <v>40007133</v>
      </c>
      <c r="K2660" t="s">
        <v>2401</v>
      </c>
      <c r="L2660">
        <v>2</v>
      </c>
    </row>
    <row r="2661" spans="10:12" x14ac:dyDescent="0.2">
      <c r="J2661">
        <v>40007134</v>
      </c>
      <c r="K2661" t="s">
        <v>2402</v>
      </c>
      <c r="L2661">
        <v>11</v>
      </c>
    </row>
    <row r="2662" spans="10:12" x14ac:dyDescent="0.2">
      <c r="J2662">
        <v>40007135</v>
      </c>
      <c r="K2662" t="s">
        <v>2403</v>
      </c>
      <c r="L2662">
        <v>40</v>
      </c>
    </row>
    <row r="2663" spans="10:12" x14ac:dyDescent="0.2">
      <c r="J2663">
        <v>40007136</v>
      </c>
      <c r="K2663" t="s">
        <v>2404</v>
      </c>
      <c r="L2663">
        <v>7</v>
      </c>
    </row>
    <row r="2664" spans="10:12" x14ac:dyDescent="0.2">
      <c r="J2664">
        <v>40007137</v>
      </c>
      <c r="K2664" t="s">
        <v>2405</v>
      </c>
      <c r="L2664">
        <v>35</v>
      </c>
    </row>
    <row r="2665" spans="10:12" x14ac:dyDescent="0.2">
      <c r="J2665">
        <v>40007138</v>
      </c>
      <c r="K2665" t="s">
        <v>2406</v>
      </c>
      <c r="L2665">
        <v>20</v>
      </c>
    </row>
    <row r="2666" spans="10:12" x14ac:dyDescent="0.2">
      <c r="J2666">
        <v>40007139</v>
      </c>
      <c r="K2666" t="s">
        <v>2407</v>
      </c>
      <c r="L2666">
        <v>1</v>
      </c>
    </row>
    <row r="2667" spans="10:12" x14ac:dyDescent="0.2">
      <c r="J2667">
        <v>40007140</v>
      </c>
      <c r="K2667" t="s">
        <v>2408</v>
      </c>
      <c r="L2667">
        <v>10</v>
      </c>
    </row>
    <row r="2668" spans="10:12" x14ac:dyDescent="0.2">
      <c r="J2668">
        <v>40007141</v>
      </c>
      <c r="K2668" t="s">
        <v>2409</v>
      </c>
      <c r="L2668">
        <v>3</v>
      </c>
    </row>
    <row r="2669" spans="10:12" x14ac:dyDescent="0.2">
      <c r="J2669">
        <v>40007142</v>
      </c>
      <c r="K2669" t="s">
        <v>2410</v>
      </c>
      <c r="L2669">
        <v>60</v>
      </c>
    </row>
    <row r="2670" spans="10:12" x14ac:dyDescent="0.2">
      <c r="J2670">
        <v>40007143</v>
      </c>
      <c r="K2670" t="s">
        <v>2411</v>
      </c>
      <c r="L2670">
        <v>9</v>
      </c>
    </row>
    <row r="2671" spans="10:12" x14ac:dyDescent="0.2">
      <c r="J2671">
        <v>40007144</v>
      </c>
      <c r="K2671" t="s">
        <v>2412</v>
      </c>
      <c r="L2671">
        <v>16</v>
      </c>
    </row>
    <row r="2672" spans="10:12" x14ac:dyDescent="0.2">
      <c r="J2672">
        <v>40007145</v>
      </c>
      <c r="K2672" t="s">
        <v>2413</v>
      </c>
      <c r="L2672">
        <v>8</v>
      </c>
    </row>
    <row r="2673" spans="10:12" x14ac:dyDescent="0.2">
      <c r="J2673">
        <v>40007146</v>
      </c>
      <c r="K2673" t="s">
        <v>2414</v>
      </c>
      <c r="L2673">
        <v>6</v>
      </c>
    </row>
    <row r="2674" spans="10:12" x14ac:dyDescent="0.2">
      <c r="J2674">
        <v>40007147</v>
      </c>
      <c r="K2674" t="s">
        <v>2415</v>
      </c>
      <c r="L2674">
        <v>12</v>
      </c>
    </row>
    <row r="2675" spans="10:12" x14ac:dyDescent="0.2">
      <c r="J2675">
        <v>40007149</v>
      </c>
      <c r="K2675" t="s">
        <v>2417</v>
      </c>
      <c r="L2675">
        <v>2</v>
      </c>
    </row>
    <row r="2676" spans="10:12" x14ac:dyDescent="0.2">
      <c r="J2676">
        <v>40007150</v>
      </c>
      <c r="K2676" t="s">
        <v>2418</v>
      </c>
      <c r="L2676">
        <v>6</v>
      </c>
    </row>
    <row r="2677" spans="10:12" x14ac:dyDescent="0.2">
      <c r="J2677">
        <v>40007151</v>
      </c>
      <c r="K2677" t="s">
        <v>2419</v>
      </c>
      <c r="L2677">
        <v>6</v>
      </c>
    </row>
    <row r="2678" spans="10:12" x14ac:dyDescent="0.2">
      <c r="J2678">
        <v>40007152</v>
      </c>
      <c r="K2678" t="s">
        <v>2420</v>
      </c>
      <c r="L2678">
        <v>5</v>
      </c>
    </row>
    <row r="2679" spans="10:12" x14ac:dyDescent="0.2">
      <c r="J2679">
        <v>40007153</v>
      </c>
      <c r="K2679" t="s">
        <v>2421</v>
      </c>
      <c r="L2679">
        <v>1</v>
      </c>
    </row>
    <row r="2680" spans="10:12" x14ac:dyDescent="0.2">
      <c r="J2680">
        <v>40007154</v>
      </c>
      <c r="K2680" t="s">
        <v>2422</v>
      </c>
      <c r="L2680">
        <v>3</v>
      </c>
    </row>
    <row r="2681" spans="10:12" x14ac:dyDescent="0.2">
      <c r="J2681">
        <v>40007155</v>
      </c>
      <c r="K2681" t="s">
        <v>2423</v>
      </c>
      <c r="L2681">
        <v>11</v>
      </c>
    </row>
    <row r="2682" spans="10:12" x14ac:dyDescent="0.2">
      <c r="J2682">
        <v>40007156</v>
      </c>
      <c r="K2682" t="s">
        <v>2424</v>
      </c>
      <c r="L2682">
        <v>10</v>
      </c>
    </row>
    <row r="2683" spans="10:12" x14ac:dyDescent="0.2">
      <c r="J2683">
        <v>40007157</v>
      </c>
      <c r="K2683" t="s">
        <v>2425</v>
      </c>
      <c r="L2683">
        <v>5</v>
      </c>
    </row>
    <row r="2684" spans="10:12" x14ac:dyDescent="0.2">
      <c r="J2684">
        <v>40007158</v>
      </c>
      <c r="K2684" t="s">
        <v>2426</v>
      </c>
      <c r="L2684">
        <v>8</v>
      </c>
    </row>
    <row r="2685" spans="10:12" x14ac:dyDescent="0.2">
      <c r="J2685">
        <v>40007159</v>
      </c>
      <c r="K2685" t="s">
        <v>2427</v>
      </c>
      <c r="L2685">
        <v>1</v>
      </c>
    </row>
    <row r="2686" spans="10:12" x14ac:dyDescent="0.2">
      <c r="J2686">
        <v>40007160</v>
      </c>
      <c r="K2686" t="s">
        <v>2428</v>
      </c>
      <c r="L2686">
        <v>31</v>
      </c>
    </row>
    <row r="2687" spans="10:12" x14ac:dyDescent="0.2">
      <c r="J2687">
        <v>40007162</v>
      </c>
      <c r="K2687" t="s">
        <v>2429</v>
      </c>
      <c r="L2687">
        <v>69</v>
      </c>
    </row>
    <row r="2688" spans="10:12" x14ac:dyDescent="0.2">
      <c r="J2688">
        <v>40007163</v>
      </c>
      <c r="K2688" t="s">
        <v>2430</v>
      </c>
      <c r="L2688">
        <v>5</v>
      </c>
    </row>
    <row r="2689" spans="10:12" x14ac:dyDescent="0.2">
      <c r="J2689">
        <v>40007164</v>
      </c>
      <c r="K2689" t="s">
        <v>2431</v>
      </c>
      <c r="L2689">
        <v>22</v>
      </c>
    </row>
    <row r="2690" spans="10:12" x14ac:dyDescent="0.2">
      <c r="J2690">
        <v>40007165</v>
      </c>
      <c r="K2690" t="s">
        <v>2432</v>
      </c>
      <c r="L2690">
        <v>3</v>
      </c>
    </row>
    <row r="2691" spans="10:12" x14ac:dyDescent="0.2">
      <c r="J2691">
        <v>40007166</v>
      </c>
      <c r="K2691" t="s">
        <v>2433</v>
      </c>
      <c r="L2691">
        <v>9</v>
      </c>
    </row>
    <row r="2692" spans="10:12" x14ac:dyDescent="0.2">
      <c r="J2692">
        <v>40007167</v>
      </c>
      <c r="K2692" t="s">
        <v>2434</v>
      </c>
      <c r="L2692">
        <v>5</v>
      </c>
    </row>
    <row r="2693" spans="10:12" x14ac:dyDescent="0.2">
      <c r="J2693">
        <v>40007168</v>
      </c>
      <c r="K2693" t="s">
        <v>2435</v>
      </c>
      <c r="L2693">
        <v>2</v>
      </c>
    </row>
    <row r="2694" spans="10:12" x14ac:dyDescent="0.2">
      <c r="J2694">
        <v>40007169</v>
      </c>
      <c r="K2694" t="s">
        <v>2436</v>
      </c>
      <c r="L2694">
        <v>17</v>
      </c>
    </row>
    <row r="2695" spans="10:12" x14ac:dyDescent="0.2">
      <c r="J2695">
        <v>40007170</v>
      </c>
      <c r="K2695" t="s">
        <v>2437</v>
      </c>
      <c r="L2695">
        <v>4</v>
      </c>
    </row>
    <row r="2696" spans="10:12" x14ac:dyDescent="0.2">
      <c r="J2696">
        <v>40007172</v>
      </c>
      <c r="K2696" t="s">
        <v>2439</v>
      </c>
      <c r="L2696">
        <v>50</v>
      </c>
    </row>
    <row r="2697" spans="10:12" x14ac:dyDescent="0.2">
      <c r="J2697">
        <v>40007173</v>
      </c>
      <c r="K2697" t="s">
        <v>2440</v>
      </c>
      <c r="L2697">
        <v>2</v>
      </c>
    </row>
    <row r="2698" spans="10:12" x14ac:dyDescent="0.2">
      <c r="J2698">
        <v>40007174</v>
      </c>
      <c r="K2698" t="s">
        <v>2441</v>
      </c>
      <c r="L2698">
        <v>10</v>
      </c>
    </row>
    <row r="2699" spans="10:12" x14ac:dyDescent="0.2">
      <c r="J2699">
        <v>40007175</v>
      </c>
      <c r="K2699" t="s">
        <v>2442</v>
      </c>
      <c r="L2699">
        <v>14</v>
      </c>
    </row>
    <row r="2700" spans="10:12" x14ac:dyDescent="0.2">
      <c r="J2700">
        <v>40007177</v>
      </c>
      <c r="K2700" t="s">
        <v>2444</v>
      </c>
      <c r="L2700">
        <v>4</v>
      </c>
    </row>
    <row r="2701" spans="10:12" x14ac:dyDescent="0.2">
      <c r="J2701">
        <v>40007178</v>
      </c>
      <c r="K2701" t="s">
        <v>2445</v>
      </c>
      <c r="L2701">
        <v>1</v>
      </c>
    </row>
    <row r="2702" spans="10:12" x14ac:dyDescent="0.2">
      <c r="J2702">
        <v>40007179</v>
      </c>
      <c r="K2702" t="s">
        <v>2446</v>
      </c>
      <c r="L2702">
        <v>4</v>
      </c>
    </row>
    <row r="2703" spans="10:12" x14ac:dyDescent="0.2">
      <c r="J2703">
        <v>40007180</v>
      </c>
      <c r="K2703" t="s">
        <v>2447</v>
      </c>
      <c r="L2703">
        <v>13</v>
      </c>
    </row>
    <row r="2704" spans="10:12" x14ac:dyDescent="0.2">
      <c r="J2704">
        <v>40007181</v>
      </c>
      <c r="K2704" t="s">
        <v>2448</v>
      </c>
      <c r="L2704">
        <v>10</v>
      </c>
    </row>
    <row r="2705" spans="10:12" x14ac:dyDescent="0.2">
      <c r="J2705">
        <v>40007182</v>
      </c>
      <c r="K2705" t="s">
        <v>5432</v>
      </c>
      <c r="L2705">
        <v>1</v>
      </c>
    </row>
    <row r="2706" spans="10:12" x14ac:dyDescent="0.2">
      <c r="J2706">
        <v>40007183</v>
      </c>
      <c r="K2706" t="s">
        <v>2449</v>
      </c>
      <c r="L2706">
        <v>1</v>
      </c>
    </row>
    <row r="2707" spans="10:12" x14ac:dyDescent="0.2">
      <c r="J2707">
        <v>40007184</v>
      </c>
      <c r="K2707" t="s">
        <v>2450</v>
      </c>
      <c r="L2707">
        <v>1</v>
      </c>
    </row>
    <row r="2708" spans="10:12" x14ac:dyDescent="0.2">
      <c r="J2708">
        <v>40007185</v>
      </c>
      <c r="K2708" t="s">
        <v>2451</v>
      </c>
      <c r="L2708">
        <v>1</v>
      </c>
    </row>
    <row r="2709" spans="10:12" x14ac:dyDescent="0.2">
      <c r="J2709">
        <v>40007186</v>
      </c>
      <c r="K2709" t="s">
        <v>2452</v>
      </c>
      <c r="L2709">
        <v>2</v>
      </c>
    </row>
    <row r="2710" spans="10:12" x14ac:dyDescent="0.2">
      <c r="J2710">
        <v>40007187</v>
      </c>
      <c r="K2710" t="s">
        <v>2453</v>
      </c>
      <c r="L2710">
        <v>3</v>
      </c>
    </row>
    <row r="2711" spans="10:12" x14ac:dyDescent="0.2">
      <c r="J2711">
        <v>40007188</v>
      </c>
      <c r="K2711" t="s">
        <v>2454</v>
      </c>
      <c r="L2711">
        <v>21</v>
      </c>
    </row>
    <row r="2712" spans="10:12" x14ac:dyDescent="0.2">
      <c r="J2712">
        <v>40007189</v>
      </c>
      <c r="K2712" t="s">
        <v>2455</v>
      </c>
      <c r="L2712">
        <v>9</v>
      </c>
    </row>
    <row r="2713" spans="10:12" x14ac:dyDescent="0.2">
      <c r="J2713">
        <v>40007190</v>
      </c>
      <c r="K2713" t="s">
        <v>2456</v>
      </c>
      <c r="L2713">
        <v>5</v>
      </c>
    </row>
    <row r="2714" spans="10:12" x14ac:dyDescent="0.2">
      <c r="J2714">
        <v>40007191</v>
      </c>
      <c r="K2714" t="s">
        <v>2457</v>
      </c>
      <c r="L2714">
        <v>6</v>
      </c>
    </row>
    <row r="2715" spans="10:12" x14ac:dyDescent="0.2">
      <c r="J2715">
        <v>40007192</v>
      </c>
      <c r="K2715" t="s">
        <v>2458</v>
      </c>
      <c r="L2715">
        <v>14</v>
      </c>
    </row>
    <row r="2716" spans="10:12" x14ac:dyDescent="0.2">
      <c r="J2716">
        <v>40007193</v>
      </c>
      <c r="K2716" t="s">
        <v>2459</v>
      </c>
      <c r="L2716">
        <v>13</v>
      </c>
    </row>
    <row r="2717" spans="10:12" x14ac:dyDescent="0.2">
      <c r="J2717">
        <v>40007194</v>
      </c>
      <c r="K2717" t="s">
        <v>2460</v>
      </c>
      <c r="L2717">
        <v>11</v>
      </c>
    </row>
    <row r="2718" spans="10:12" x14ac:dyDescent="0.2">
      <c r="J2718">
        <v>40007196</v>
      </c>
      <c r="K2718" t="s">
        <v>2461</v>
      </c>
      <c r="L2718">
        <v>1</v>
      </c>
    </row>
    <row r="2719" spans="10:12" x14ac:dyDescent="0.2">
      <c r="J2719">
        <v>40007197</v>
      </c>
      <c r="K2719" t="s">
        <v>2462</v>
      </c>
      <c r="L2719">
        <v>2</v>
      </c>
    </row>
    <row r="2720" spans="10:12" x14ac:dyDescent="0.2">
      <c r="J2720">
        <v>40007198</v>
      </c>
      <c r="K2720" t="s">
        <v>2463</v>
      </c>
      <c r="L2720">
        <v>3</v>
      </c>
    </row>
    <row r="2721" spans="10:12" x14ac:dyDescent="0.2">
      <c r="J2721">
        <v>40007199</v>
      </c>
      <c r="K2721" t="s">
        <v>3911</v>
      </c>
      <c r="L2721">
        <v>4</v>
      </c>
    </row>
    <row r="2722" spans="10:12" x14ac:dyDescent="0.2">
      <c r="J2722">
        <v>40007200</v>
      </c>
      <c r="K2722" t="s">
        <v>2464</v>
      </c>
      <c r="L2722">
        <v>1</v>
      </c>
    </row>
    <row r="2723" spans="10:12" x14ac:dyDescent="0.2">
      <c r="J2723">
        <v>40007201</v>
      </c>
      <c r="K2723" t="s">
        <v>2465</v>
      </c>
      <c r="L2723">
        <v>8</v>
      </c>
    </row>
    <row r="2724" spans="10:12" x14ac:dyDescent="0.2">
      <c r="J2724">
        <v>40007202</v>
      </c>
      <c r="K2724" t="s">
        <v>2466</v>
      </c>
      <c r="L2724">
        <v>3</v>
      </c>
    </row>
    <row r="2725" spans="10:12" x14ac:dyDescent="0.2">
      <c r="J2725">
        <v>40007203</v>
      </c>
      <c r="K2725" t="s">
        <v>2467</v>
      </c>
      <c r="L2725">
        <v>1</v>
      </c>
    </row>
    <row r="2726" spans="10:12" x14ac:dyDescent="0.2">
      <c r="J2726">
        <v>40007204</v>
      </c>
      <c r="K2726" t="s">
        <v>2468</v>
      </c>
      <c r="L2726">
        <v>6</v>
      </c>
    </row>
    <row r="2727" spans="10:12" x14ac:dyDescent="0.2">
      <c r="J2727">
        <v>40007205</v>
      </c>
      <c r="K2727" t="s">
        <v>2469</v>
      </c>
      <c r="L2727">
        <v>6</v>
      </c>
    </row>
    <row r="2728" spans="10:12" x14ac:dyDescent="0.2">
      <c r="J2728">
        <v>40007208</v>
      </c>
      <c r="K2728" t="s">
        <v>2470</v>
      </c>
      <c r="L2728">
        <v>20</v>
      </c>
    </row>
    <row r="2729" spans="10:12" x14ac:dyDescent="0.2">
      <c r="J2729">
        <v>40007210</v>
      </c>
      <c r="K2729" t="s">
        <v>10299</v>
      </c>
      <c r="L2729">
        <v>2</v>
      </c>
    </row>
    <row r="2730" spans="10:12" x14ac:dyDescent="0.2">
      <c r="J2730">
        <v>40007211</v>
      </c>
      <c r="K2730" t="s">
        <v>2471</v>
      </c>
      <c r="L2730">
        <v>9</v>
      </c>
    </row>
    <row r="2731" spans="10:12" x14ac:dyDescent="0.2">
      <c r="J2731">
        <v>40007214</v>
      </c>
      <c r="K2731" t="s">
        <v>2473</v>
      </c>
      <c r="L2731">
        <v>1</v>
      </c>
    </row>
    <row r="2732" spans="10:12" x14ac:dyDescent="0.2">
      <c r="J2732">
        <v>40007215</v>
      </c>
      <c r="K2732" t="s">
        <v>2474</v>
      </c>
      <c r="L2732">
        <v>2</v>
      </c>
    </row>
    <row r="2733" spans="10:12" x14ac:dyDescent="0.2">
      <c r="J2733">
        <v>40007216</v>
      </c>
      <c r="K2733" t="s">
        <v>2475</v>
      </c>
      <c r="L2733">
        <v>32</v>
      </c>
    </row>
    <row r="2734" spans="10:12" x14ac:dyDescent="0.2">
      <c r="J2734">
        <v>40007217</v>
      </c>
      <c r="K2734" t="s">
        <v>2476</v>
      </c>
      <c r="L2734">
        <v>2</v>
      </c>
    </row>
    <row r="2735" spans="10:12" x14ac:dyDescent="0.2">
      <c r="J2735">
        <v>40007218</v>
      </c>
      <c r="K2735" t="s">
        <v>2477</v>
      </c>
      <c r="L2735">
        <v>4</v>
      </c>
    </row>
    <row r="2736" spans="10:12" x14ac:dyDescent="0.2">
      <c r="J2736">
        <v>40007219</v>
      </c>
      <c r="K2736" t="s">
        <v>3918</v>
      </c>
      <c r="L2736">
        <v>15</v>
      </c>
    </row>
    <row r="2737" spans="10:12" x14ac:dyDescent="0.2">
      <c r="J2737">
        <v>40007220</v>
      </c>
      <c r="K2737" t="s">
        <v>2478</v>
      </c>
      <c r="L2737">
        <v>19</v>
      </c>
    </row>
    <row r="2738" spans="10:12" x14ac:dyDescent="0.2">
      <c r="J2738">
        <v>40007221</v>
      </c>
      <c r="K2738" t="s">
        <v>2479</v>
      </c>
      <c r="L2738">
        <v>5</v>
      </c>
    </row>
    <row r="2739" spans="10:12" x14ac:dyDescent="0.2">
      <c r="J2739">
        <v>40007222</v>
      </c>
      <c r="K2739" t="s">
        <v>2480</v>
      </c>
      <c r="L2739">
        <v>2</v>
      </c>
    </row>
    <row r="2740" spans="10:12" x14ac:dyDescent="0.2">
      <c r="J2740">
        <v>40007223</v>
      </c>
      <c r="K2740" t="s">
        <v>2481</v>
      </c>
      <c r="L2740">
        <v>11</v>
      </c>
    </row>
    <row r="2741" spans="10:12" x14ac:dyDescent="0.2">
      <c r="J2741">
        <v>40007225</v>
      </c>
      <c r="K2741" t="s">
        <v>2482</v>
      </c>
      <c r="L2741">
        <v>11</v>
      </c>
    </row>
    <row r="2742" spans="10:12" x14ac:dyDescent="0.2">
      <c r="J2742">
        <v>40007226</v>
      </c>
      <c r="K2742" t="s">
        <v>2483</v>
      </c>
      <c r="L2742">
        <v>2</v>
      </c>
    </row>
    <row r="2743" spans="10:12" x14ac:dyDescent="0.2">
      <c r="J2743">
        <v>40007227</v>
      </c>
      <c r="K2743" t="s">
        <v>2484</v>
      </c>
      <c r="L2743">
        <v>9</v>
      </c>
    </row>
    <row r="2744" spans="10:12" x14ac:dyDescent="0.2">
      <c r="J2744">
        <v>40007229</v>
      </c>
      <c r="K2744" t="s">
        <v>2485</v>
      </c>
      <c r="L2744">
        <v>9</v>
      </c>
    </row>
    <row r="2745" spans="10:12" x14ac:dyDescent="0.2">
      <c r="J2745">
        <v>40007230</v>
      </c>
      <c r="K2745" t="s">
        <v>2486</v>
      </c>
      <c r="L2745">
        <v>10</v>
      </c>
    </row>
    <row r="2746" spans="10:12" x14ac:dyDescent="0.2">
      <c r="J2746">
        <v>40007231</v>
      </c>
      <c r="K2746" t="s">
        <v>2487</v>
      </c>
      <c r="L2746">
        <v>5</v>
      </c>
    </row>
    <row r="2747" spans="10:12" x14ac:dyDescent="0.2">
      <c r="J2747">
        <v>40007232</v>
      </c>
      <c r="K2747" t="s">
        <v>2488</v>
      </c>
      <c r="L2747">
        <v>6</v>
      </c>
    </row>
    <row r="2748" spans="10:12" x14ac:dyDescent="0.2">
      <c r="J2748">
        <v>40007233</v>
      </c>
      <c r="K2748" t="s">
        <v>2489</v>
      </c>
      <c r="L2748">
        <v>6</v>
      </c>
    </row>
    <row r="2749" spans="10:12" x14ac:dyDescent="0.2">
      <c r="J2749">
        <v>40007234</v>
      </c>
      <c r="K2749" t="s">
        <v>2490</v>
      </c>
      <c r="L2749">
        <v>6</v>
      </c>
    </row>
    <row r="2750" spans="10:12" x14ac:dyDescent="0.2">
      <c r="J2750">
        <v>40007235</v>
      </c>
      <c r="K2750" t="s">
        <v>2491</v>
      </c>
      <c r="L2750">
        <v>1</v>
      </c>
    </row>
    <row r="2751" spans="10:12" x14ac:dyDescent="0.2">
      <c r="J2751">
        <v>40007236</v>
      </c>
      <c r="K2751" t="s">
        <v>2492</v>
      </c>
      <c r="L2751">
        <v>2</v>
      </c>
    </row>
    <row r="2752" spans="10:12" x14ac:dyDescent="0.2">
      <c r="J2752">
        <v>40007237</v>
      </c>
      <c r="K2752" t="s">
        <v>2493</v>
      </c>
      <c r="L2752">
        <v>1</v>
      </c>
    </row>
    <row r="2753" spans="10:12" x14ac:dyDescent="0.2">
      <c r="J2753">
        <v>40007238</v>
      </c>
      <c r="K2753" t="s">
        <v>2494</v>
      </c>
      <c r="L2753">
        <v>9</v>
      </c>
    </row>
    <row r="2754" spans="10:12" x14ac:dyDescent="0.2">
      <c r="J2754">
        <v>40007239</v>
      </c>
      <c r="K2754" t="s">
        <v>2495</v>
      </c>
      <c r="L2754">
        <v>25</v>
      </c>
    </row>
    <row r="2755" spans="10:12" x14ac:dyDescent="0.2">
      <c r="J2755">
        <v>40007240</v>
      </c>
      <c r="K2755" t="s">
        <v>2496</v>
      </c>
      <c r="L2755">
        <v>13</v>
      </c>
    </row>
    <row r="2756" spans="10:12" x14ac:dyDescent="0.2">
      <c r="J2756">
        <v>40007242</v>
      </c>
      <c r="K2756" t="s">
        <v>2497</v>
      </c>
      <c r="L2756">
        <v>2</v>
      </c>
    </row>
    <row r="2757" spans="10:12" x14ac:dyDescent="0.2">
      <c r="J2757">
        <v>40007243</v>
      </c>
      <c r="K2757" t="s">
        <v>2498</v>
      </c>
      <c r="L2757">
        <v>4</v>
      </c>
    </row>
    <row r="2758" spans="10:12" x14ac:dyDescent="0.2">
      <c r="J2758">
        <v>40007245</v>
      </c>
      <c r="K2758" t="s">
        <v>2499</v>
      </c>
      <c r="L2758">
        <v>3</v>
      </c>
    </row>
    <row r="2759" spans="10:12" x14ac:dyDescent="0.2">
      <c r="J2759">
        <v>40007246</v>
      </c>
      <c r="K2759" t="s">
        <v>2500</v>
      </c>
      <c r="L2759">
        <v>13</v>
      </c>
    </row>
    <row r="2760" spans="10:12" x14ac:dyDescent="0.2">
      <c r="J2760">
        <v>40007247</v>
      </c>
      <c r="K2760" t="s">
        <v>2501</v>
      </c>
      <c r="L2760">
        <v>11</v>
      </c>
    </row>
    <row r="2761" spans="10:12" x14ac:dyDescent="0.2">
      <c r="J2761">
        <v>40007248</v>
      </c>
      <c r="K2761" t="s">
        <v>2502</v>
      </c>
      <c r="L2761">
        <v>10</v>
      </c>
    </row>
    <row r="2762" spans="10:12" x14ac:dyDescent="0.2">
      <c r="J2762">
        <v>40007249</v>
      </c>
      <c r="K2762" t="s">
        <v>3652</v>
      </c>
      <c r="L2762">
        <v>11</v>
      </c>
    </row>
    <row r="2763" spans="10:12" x14ac:dyDescent="0.2">
      <c r="J2763">
        <v>40007252</v>
      </c>
      <c r="K2763" t="s">
        <v>2503</v>
      </c>
      <c r="L2763">
        <v>1</v>
      </c>
    </row>
    <row r="2764" spans="10:12" x14ac:dyDescent="0.2">
      <c r="J2764">
        <v>40007253</v>
      </c>
      <c r="K2764" t="s">
        <v>2504</v>
      </c>
      <c r="L2764">
        <v>4</v>
      </c>
    </row>
    <row r="2765" spans="10:12" x14ac:dyDescent="0.2">
      <c r="J2765">
        <v>40007254</v>
      </c>
      <c r="K2765" t="s">
        <v>2505</v>
      </c>
      <c r="L2765">
        <v>21</v>
      </c>
    </row>
    <row r="2766" spans="10:12" x14ac:dyDescent="0.2">
      <c r="J2766">
        <v>40007255</v>
      </c>
      <c r="K2766" t="s">
        <v>2506</v>
      </c>
      <c r="L2766">
        <v>3</v>
      </c>
    </row>
    <row r="2767" spans="10:12" x14ac:dyDescent="0.2">
      <c r="J2767">
        <v>40007256</v>
      </c>
      <c r="K2767" t="s">
        <v>2507</v>
      </c>
      <c r="L2767">
        <v>3</v>
      </c>
    </row>
    <row r="2768" spans="10:12" x14ac:dyDescent="0.2">
      <c r="J2768">
        <v>40007257</v>
      </c>
      <c r="K2768" t="s">
        <v>2508</v>
      </c>
      <c r="L2768">
        <v>3</v>
      </c>
    </row>
    <row r="2769" spans="10:12" x14ac:dyDescent="0.2">
      <c r="J2769">
        <v>40007258</v>
      </c>
      <c r="K2769" t="s">
        <v>2509</v>
      </c>
      <c r="L2769">
        <v>20</v>
      </c>
    </row>
    <row r="2770" spans="10:12" x14ac:dyDescent="0.2">
      <c r="J2770">
        <v>40007260</v>
      </c>
      <c r="K2770" t="s">
        <v>2511</v>
      </c>
      <c r="L2770">
        <v>15</v>
      </c>
    </row>
    <row r="2771" spans="10:12" x14ac:dyDescent="0.2">
      <c r="J2771">
        <v>40007261</v>
      </c>
      <c r="K2771" t="s">
        <v>2512</v>
      </c>
      <c r="L2771">
        <v>27</v>
      </c>
    </row>
    <row r="2772" spans="10:12" x14ac:dyDescent="0.2">
      <c r="J2772">
        <v>40007263</v>
      </c>
      <c r="K2772" t="s">
        <v>3924</v>
      </c>
      <c r="L2772">
        <v>16</v>
      </c>
    </row>
    <row r="2773" spans="10:12" x14ac:dyDescent="0.2">
      <c r="J2773">
        <v>40007264</v>
      </c>
      <c r="K2773" t="s">
        <v>2514</v>
      </c>
      <c r="L2773">
        <v>5</v>
      </c>
    </row>
    <row r="2774" spans="10:12" x14ac:dyDescent="0.2">
      <c r="J2774">
        <v>40007265</v>
      </c>
      <c r="K2774" t="s">
        <v>3847</v>
      </c>
      <c r="L2774">
        <v>1</v>
      </c>
    </row>
    <row r="2775" spans="10:12" x14ac:dyDescent="0.2">
      <c r="J2775">
        <v>40007266</v>
      </c>
      <c r="K2775" t="s">
        <v>2515</v>
      </c>
      <c r="L2775">
        <v>1</v>
      </c>
    </row>
    <row r="2776" spans="10:12" x14ac:dyDescent="0.2">
      <c r="J2776">
        <v>40007268</v>
      </c>
      <c r="K2776" t="s">
        <v>2516</v>
      </c>
      <c r="L2776">
        <v>3</v>
      </c>
    </row>
    <row r="2777" spans="10:12" x14ac:dyDescent="0.2">
      <c r="J2777">
        <v>40007269</v>
      </c>
      <c r="K2777" t="s">
        <v>2517</v>
      </c>
      <c r="L2777">
        <v>1</v>
      </c>
    </row>
    <row r="2778" spans="10:12" x14ac:dyDescent="0.2">
      <c r="J2778">
        <v>40007270</v>
      </c>
      <c r="K2778" t="s">
        <v>2518</v>
      </c>
      <c r="L2778">
        <v>5</v>
      </c>
    </row>
    <row r="2779" spans="10:12" x14ac:dyDescent="0.2">
      <c r="J2779">
        <v>40007271</v>
      </c>
      <c r="K2779" t="s">
        <v>2519</v>
      </c>
      <c r="L2779">
        <v>1</v>
      </c>
    </row>
    <row r="2780" spans="10:12" x14ac:dyDescent="0.2">
      <c r="J2780">
        <v>40007272</v>
      </c>
      <c r="K2780" t="s">
        <v>2520</v>
      </c>
      <c r="L2780">
        <v>1</v>
      </c>
    </row>
    <row r="2781" spans="10:12" x14ac:dyDescent="0.2">
      <c r="J2781">
        <v>40007273</v>
      </c>
      <c r="K2781" t="s">
        <v>2521</v>
      </c>
      <c r="L2781">
        <v>3</v>
      </c>
    </row>
    <row r="2782" spans="10:12" x14ac:dyDescent="0.2">
      <c r="J2782">
        <v>40007274</v>
      </c>
      <c r="K2782" t="s">
        <v>2522</v>
      </c>
      <c r="L2782">
        <v>1</v>
      </c>
    </row>
    <row r="2783" spans="10:12" x14ac:dyDescent="0.2">
      <c r="J2783">
        <v>40007275</v>
      </c>
      <c r="K2783" t="s">
        <v>2523</v>
      </c>
      <c r="L2783">
        <v>1</v>
      </c>
    </row>
    <row r="2784" spans="10:12" x14ac:dyDescent="0.2">
      <c r="J2784">
        <v>40007276</v>
      </c>
      <c r="K2784" t="s">
        <v>2524</v>
      </c>
      <c r="L2784">
        <v>3</v>
      </c>
    </row>
    <row r="2785" spans="10:12" x14ac:dyDescent="0.2">
      <c r="J2785">
        <v>40007277</v>
      </c>
      <c r="K2785" t="s">
        <v>2525</v>
      </c>
      <c r="L2785">
        <v>15</v>
      </c>
    </row>
    <row r="2786" spans="10:12" x14ac:dyDescent="0.2">
      <c r="J2786">
        <v>40007278</v>
      </c>
      <c r="K2786" t="s">
        <v>5396</v>
      </c>
      <c r="L2786">
        <v>4</v>
      </c>
    </row>
    <row r="2787" spans="10:12" x14ac:dyDescent="0.2">
      <c r="J2787">
        <v>40007279</v>
      </c>
      <c r="K2787" t="s">
        <v>2526</v>
      </c>
      <c r="L2787">
        <v>15</v>
      </c>
    </row>
    <row r="2788" spans="10:12" x14ac:dyDescent="0.2">
      <c r="J2788">
        <v>40007280</v>
      </c>
      <c r="K2788" t="s">
        <v>3694</v>
      </c>
      <c r="L2788">
        <v>11</v>
      </c>
    </row>
    <row r="2789" spans="10:12" x14ac:dyDescent="0.2">
      <c r="J2789">
        <v>40007281</v>
      </c>
      <c r="K2789" t="s">
        <v>3688</v>
      </c>
      <c r="L2789">
        <v>16</v>
      </c>
    </row>
    <row r="2790" spans="10:12" x14ac:dyDescent="0.2">
      <c r="J2790">
        <v>40007282</v>
      </c>
      <c r="K2790" t="s">
        <v>2527</v>
      </c>
      <c r="L2790">
        <v>6</v>
      </c>
    </row>
    <row r="2791" spans="10:12" x14ac:dyDescent="0.2">
      <c r="J2791">
        <v>40007283</v>
      </c>
      <c r="K2791" t="s">
        <v>2528</v>
      </c>
      <c r="L2791">
        <v>7</v>
      </c>
    </row>
    <row r="2792" spans="10:12" x14ac:dyDescent="0.2">
      <c r="J2792">
        <v>40007284</v>
      </c>
      <c r="K2792" t="s">
        <v>2529</v>
      </c>
      <c r="L2792">
        <v>14</v>
      </c>
    </row>
    <row r="2793" spans="10:12" x14ac:dyDescent="0.2">
      <c r="J2793">
        <v>40007285</v>
      </c>
      <c r="K2793" t="s">
        <v>2530</v>
      </c>
      <c r="L2793">
        <v>16</v>
      </c>
    </row>
    <row r="2794" spans="10:12" x14ac:dyDescent="0.2">
      <c r="J2794">
        <v>40007286</v>
      </c>
      <c r="K2794" t="s">
        <v>2531</v>
      </c>
      <c r="L2794">
        <v>12</v>
      </c>
    </row>
    <row r="2795" spans="10:12" x14ac:dyDescent="0.2">
      <c r="J2795">
        <v>40007287</v>
      </c>
      <c r="K2795" t="s">
        <v>2532</v>
      </c>
      <c r="L2795">
        <v>2</v>
      </c>
    </row>
    <row r="2796" spans="10:12" x14ac:dyDescent="0.2">
      <c r="J2796">
        <v>40007288</v>
      </c>
      <c r="K2796" t="s">
        <v>2533</v>
      </c>
      <c r="L2796">
        <v>2</v>
      </c>
    </row>
    <row r="2797" spans="10:12" x14ac:dyDescent="0.2">
      <c r="J2797">
        <v>40007289</v>
      </c>
      <c r="K2797" t="s">
        <v>2534</v>
      </c>
      <c r="L2797">
        <v>6</v>
      </c>
    </row>
    <row r="2798" spans="10:12" x14ac:dyDescent="0.2">
      <c r="J2798">
        <v>40007290</v>
      </c>
      <c r="K2798" t="s">
        <v>2535</v>
      </c>
      <c r="L2798">
        <v>7</v>
      </c>
    </row>
    <row r="2799" spans="10:12" x14ac:dyDescent="0.2">
      <c r="J2799">
        <v>40007291</v>
      </c>
      <c r="K2799" t="s">
        <v>2536</v>
      </c>
      <c r="L2799">
        <v>10</v>
      </c>
    </row>
    <row r="2800" spans="10:12" x14ac:dyDescent="0.2">
      <c r="J2800">
        <v>40007292</v>
      </c>
      <c r="K2800" t="s">
        <v>2537</v>
      </c>
      <c r="L2800">
        <v>4</v>
      </c>
    </row>
    <row r="2801" spans="10:12" x14ac:dyDescent="0.2">
      <c r="J2801">
        <v>40007293</v>
      </c>
      <c r="K2801" t="s">
        <v>2538</v>
      </c>
      <c r="L2801">
        <v>1</v>
      </c>
    </row>
    <row r="2802" spans="10:12" x14ac:dyDescent="0.2">
      <c r="J2802">
        <v>40007294</v>
      </c>
      <c r="K2802" t="s">
        <v>2539</v>
      </c>
      <c r="L2802">
        <v>3</v>
      </c>
    </row>
    <row r="2803" spans="10:12" x14ac:dyDescent="0.2">
      <c r="J2803">
        <v>40007295</v>
      </c>
      <c r="K2803" t="s">
        <v>2540</v>
      </c>
      <c r="L2803">
        <v>1</v>
      </c>
    </row>
    <row r="2804" spans="10:12" x14ac:dyDescent="0.2">
      <c r="J2804">
        <v>40007296</v>
      </c>
      <c r="K2804" t="s">
        <v>2541</v>
      </c>
      <c r="L2804">
        <v>1</v>
      </c>
    </row>
    <row r="2805" spans="10:12" x14ac:dyDescent="0.2">
      <c r="J2805">
        <v>40007297</v>
      </c>
      <c r="K2805" t="s">
        <v>2542</v>
      </c>
      <c r="L2805">
        <v>1</v>
      </c>
    </row>
    <row r="2806" spans="10:12" x14ac:dyDescent="0.2">
      <c r="J2806">
        <v>40007298</v>
      </c>
      <c r="K2806" t="s">
        <v>2543</v>
      </c>
      <c r="L2806">
        <v>21</v>
      </c>
    </row>
    <row r="2807" spans="10:12" x14ac:dyDescent="0.2">
      <c r="J2807">
        <v>40007300</v>
      </c>
      <c r="K2807" t="s">
        <v>10301</v>
      </c>
      <c r="L2807">
        <v>8</v>
      </c>
    </row>
    <row r="2808" spans="10:12" x14ac:dyDescent="0.2">
      <c r="J2808">
        <v>40007301</v>
      </c>
      <c r="K2808" t="s">
        <v>2544</v>
      </c>
      <c r="L2808">
        <v>7</v>
      </c>
    </row>
    <row r="2809" spans="10:12" x14ac:dyDescent="0.2">
      <c r="J2809">
        <v>40007302</v>
      </c>
      <c r="K2809" t="s">
        <v>3758</v>
      </c>
      <c r="L2809">
        <v>2</v>
      </c>
    </row>
    <row r="2810" spans="10:12" x14ac:dyDescent="0.2">
      <c r="J2810">
        <v>40007303</v>
      </c>
      <c r="K2810" t="s">
        <v>2545</v>
      </c>
      <c r="L2810">
        <v>12</v>
      </c>
    </row>
    <row r="2811" spans="10:12" x14ac:dyDescent="0.2">
      <c r="J2811">
        <v>40007304</v>
      </c>
      <c r="K2811" t="s">
        <v>2546</v>
      </c>
      <c r="L2811">
        <v>55</v>
      </c>
    </row>
    <row r="2812" spans="10:12" x14ac:dyDescent="0.2">
      <c r="J2812">
        <v>40007305</v>
      </c>
      <c r="K2812" t="s">
        <v>2547</v>
      </c>
      <c r="L2812">
        <v>10</v>
      </c>
    </row>
    <row r="2813" spans="10:12" x14ac:dyDescent="0.2">
      <c r="J2813">
        <v>40007306</v>
      </c>
      <c r="K2813" t="s">
        <v>2548</v>
      </c>
      <c r="L2813">
        <v>22</v>
      </c>
    </row>
    <row r="2814" spans="10:12" x14ac:dyDescent="0.2">
      <c r="J2814">
        <v>40007308</v>
      </c>
      <c r="K2814" t="s">
        <v>2550</v>
      </c>
      <c r="L2814">
        <v>117</v>
      </c>
    </row>
    <row r="2815" spans="10:12" x14ac:dyDescent="0.2">
      <c r="J2815">
        <v>40007309</v>
      </c>
      <c r="K2815" t="s">
        <v>2551</v>
      </c>
      <c r="L2815">
        <v>3</v>
      </c>
    </row>
    <row r="2816" spans="10:12" x14ac:dyDescent="0.2">
      <c r="J2816">
        <v>40007310</v>
      </c>
      <c r="K2816" t="s">
        <v>2552</v>
      </c>
      <c r="L2816">
        <v>2</v>
      </c>
    </row>
    <row r="2817" spans="10:12" x14ac:dyDescent="0.2">
      <c r="J2817">
        <v>40007311</v>
      </c>
      <c r="K2817" t="s">
        <v>2553</v>
      </c>
      <c r="L2817">
        <v>9</v>
      </c>
    </row>
    <row r="2818" spans="10:12" x14ac:dyDescent="0.2">
      <c r="J2818">
        <v>40007312</v>
      </c>
      <c r="K2818" t="s">
        <v>2554</v>
      </c>
      <c r="L2818">
        <v>28</v>
      </c>
    </row>
    <row r="2819" spans="10:12" x14ac:dyDescent="0.2">
      <c r="J2819">
        <v>40007313</v>
      </c>
      <c r="K2819" t="s">
        <v>2555</v>
      </c>
      <c r="L2819">
        <v>37</v>
      </c>
    </row>
    <row r="2820" spans="10:12" x14ac:dyDescent="0.2">
      <c r="J2820">
        <v>40007314</v>
      </c>
      <c r="K2820" t="s">
        <v>2556</v>
      </c>
      <c r="L2820">
        <v>8</v>
      </c>
    </row>
    <row r="2821" spans="10:12" x14ac:dyDescent="0.2">
      <c r="J2821">
        <v>40007315</v>
      </c>
      <c r="K2821" t="s">
        <v>2557</v>
      </c>
      <c r="L2821">
        <v>10</v>
      </c>
    </row>
    <row r="2822" spans="10:12" x14ac:dyDescent="0.2">
      <c r="J2822">
        <v>40007316</v>
      </c>
      <c r="K2822" t="s">
        <v>2558</v>
      </c>
      <c r="L2822">
        <v>16</v>
      </c>
    </row>
    <row r="2823" spans="10:12" x14ac:dyDescent="0.2">
      <c r="J2823">
        <v>40007317</v>
      </c>
      <c r="K2823" t="s">
        <v>2559</v>
      </c>
      <c r="L2823">
        <v>2</v>
      </c>
    </row>
    <row r="2824" spans="10:12" x14ac:dyDescent="0.2">
      <c r="J2824">
        <v>40007320</v>
      </c>
      <c r="K2824" t="s">
        <v>2560</v>
      </c>
      <c r="L2824">
        <v>6</v>
      </c>
    </row>
    <row r="2825" spans="10:12" x14ac:dyDescent="0.2">
      <c r="J2825">
        <v>40007321</v>
      </c>
      <c r="K2825" t="s">
        <v>2561</v>
      </c>
      <c r="L2825">
        <v>3</v>
      </c>
    </row>
    <row r="2826" spans="10:12" x14ac:dyDescent="0.2">
      <c r="J2826">
        <v>40007322</v>
      </c>
      <c r="K2826" t="s">
        <v>2562</v>
      </c>
      <c r="L2826">
        <v>6</v>
      </c>
    </row>
    <row r="2827" spans="10:12" x14ac:dyDescent="0.2">
      <c r="J2827">
        <v>40007323</v>
      </c>
      <c r="K2827" t="s">
        <v>2563</v>
      </c>
      <c r="L2827">
        <v>8</v>
      </c>
    </row>
    <row r="2828" spans="10:12" x14ac:dyDescent="0.2">
      <c r="J2828">
        <v>40007324</v>
      </c>
      <c r="K2828" t="s">
        <v>2564</v>
      </c>
      <c r="L2828">
        <v>1</v>
      </c>
    </row>
    <row r="2829" spans="10:12" x14ac:dyDescent="0.2">
      <c r="J2829">
        <v>40007325</v>
      </c>
      <c r="K2829" t="s">
        <v>2565</v>
      </c>
      <c r="L2829">
        <v>3</v>
      </c>
    </row>
    <row r="2830" spans="10:12" x14ac:dyDescent="0.2">
      <c r="J2830">
        <v>40007326</v>
      </c>
      <c r="K2830" t="s">
        <v>2566</v>
      </c>
      <c r="L2830">
        <v>2</v>
      </c>
    </row>
    <row r="2831" spans="10:12" x14ac:dyDescent="0.2">
      <c r="J2831">
        <v>40007327</v>
      </c>
      <c r="K2831" t="s">
        <v>2567</v>
      </c>
      <c r="L2831">
        <v>11</v>
      </c>
    </row>
    <row r="2832" spans="10:12" x14ac:dyDescent="0.2">
      <c r="J2832">
        <v>40007328</v>
      </c>
      <c r="K2832" t="s">
        <v>2568</v>
      </c>
      <c r="L2832">
        <v>5</v>
      </c>
    </row>
    <row r="2833" spans="10:12" x14ac:dyDescent="0.2">
      <c r="J2833">
        <v>40007329</v>
      </c>
      <c r="K2833" t="s">
        <v>2569</v>
      </c>
      <c r="L2833">
        <v>4</v>
      </c>
    </row>
    <row r="2834" spans="10:12" x14ac:dyDescent="0.2">
      <c r="J2834">
        <v>40007330</v>
      </c>
      <c r="K2834" t="s">
        <v>2570</v>
      </c>
      <c r="L2834">
        <v>30</v>
      </c>
    </row>
    <row r="2835" spans="10:12" x14ac:dyDescent="0.2">
      <c r="J2835">
        <v>40007331</v>
      </c>
      <c r="K2835" t="s">
        <v>2571</v>
      </c>
      <c r="L2835">
        <v>61</v>
      </c>
    </row>
    <row r="2836" spans="10:12" x14ac:dyDescent="0.2">
      <c r="J2836">
        <v>40007332</v>
      </c>
      <c r="K2836" t="s">
        <v>3759</v>
      </c>
      <c r="L2836">
        <v>2</v>
      </c>
    </row>
    <row r="2837" spans="10:12" x14ac:dyDescent="0.2">
      <c r="J2837">
        <v>40007333</v>
      </c>
      <c r="K2837" t="s">
        <v>2572</v>
      </c>
      <c r="L2837">
        <v>20</v>
      </c>
    </row>
    <row r="2838" spans="10:12" x14ac:dyDescent="0.2">
      <c r="J2838">
        <v>40007334</v>
      </c>
      <c r="K2838" t="s">
        <v>3689</v>
      </c>
      <c r="L2838">
        <v>96</v>
      </c>
    </row>
    <row r="2839" spans="10:12" x14ac:dyDescent="0.2">
      <c r="J2839">
        <v>40007335</v>
      </c>
      <c r="K2839" t="s">
        <v>2573</v>
      </c>
      <c r="L2839">
        <v>6</v>
      </c>
    </row>
    <row r="2840" spans="10:12" x14ac:dyDescent="0.2">
      <c r="J2840">
        <v>40007336</v>
      </c>
      <c r="K2840" t="s">
        <v>2574</v>
      </c>
      <c r="L2840">
        <v>9</v>
      </c>
    </row>
    <row r="2841" spans="10:12" x14ac:dyDescent="0.2">
      <c r="J2841">
        <v>40007337</v>
      </c>
      <c r="K2841" t="s">
        <v>3634</v>
      </c>
      <c r="L2841">
        <v>3</v>
      </c>
    </row>
    <row r="2842" spans="10:12" x14ac:dyDescent="0.2">
      <c r="J2842">
        <v>40007339</v>
      </c>
      <c r="K2842" t="s">
        <v>5479</v>
      </c>
      <c r="L2842">
        <v>6</v>
      </c>
    </row>
    <row r="2843" spans="10:12" x14ac:dyDescent="0.2">
      <c r="J2843">
        <v>40007340</v>
      </c>
      <c r="K2843" t="s">
        <v>2575</v>
      </c>
      <c r="L2843">
        <v>3</v>
      </c>
    </row>
    <row r="2844" spans="10:12" x14ac:dyDescent="0.2">
      <c r="J2844">
        <v>40007341</v>
      </c>
      <c r="K2844" t="s">
        <v>2576</v>
      </c>
      <c r="L2844">
        <v>2</v>
      </c>
    </row>
    <row r="2845" spans="10:12" x14ac:dyDescent="0.2">
      <c r="J2845">
        <v>40007342</v>
      </c>
      <c r="K2845" t="s">
        <v>2577</v>
      </c>
      <c r="L2845">
        <v>4</v>
      </c>
    </row>
    <row r="2846" spans="10:12" x14ac:dyDescent="0.2">
      <c r="J2846">
        <v>40007343</v>
      </c>
      <c r="K2846" t="s">
        <v>2578</v>
      </c>
      <c r="L2846">
        <v>14</v>
      </c>
    </row>
    <row r="2847" spans="10:12" x14ac:dyDescent="0.2">
      <c r="J2847">
        <v>40007344</v>
      </c>
      <c r="K2847" t="s">
        <v>2579</v>
      </c>
      <c r="L2847">
        <v>8</v>
      </c>
    </row>
    <row r="2848" spans="10:12" x14ac:dyDescent="0.2">
      <c r="J2848">
        <v>40007345</v>
      </c>
      <c r="K2848" t="s">
        <v>2580</v>
      </c>
      <c r="L2848">
        <v>1</v>
      </c>
    </row>
    <row r="2849" spans="10:12" x14ac:dyDescent="0.2">
      <c r="J2849">
        <v>40007347</v>
      </c>
      <c r="K2849" t="s">
        <v>3823</v>
      </c>
      <c r="L2849">
        <v>25</v>
      </c>
    </row>
    <row r="2850" spans="10:12" x14ac:dyDescent="0.2">
      <c r="J2850">
        <v>40007348</v>
      </c>
      <c r="K2850" t="s">
        <v>2581</v>
      </c>
      <c r="L2850">
        <v>16</v>
      </c>
    </row>
    <row r="2851" spans="10:12" x14ac:dyDescent="0.2">
      <c r="J2851">
        <v>40007349</v>
      </c>
      <c r="K2851" t="s">
        <v>2582</v>
      </c>
      <c r="L2851">
        <v>11</v>
      </c>
    </row>
    <row r="2852" spans="10:12" x14ac:dyDescent="0.2">
      <c r="J2852">
        <v>40007350</v>
      </c>
      <c r="K2852" t="s">
        <v>2583</v>
      </c>
      <c r="L2852">
        <v>4</v>
      </c>
    </row>
    <row r="2853" spans="10:12" x14ac:dyDescent="0.2">
      <c r="J2853">
        <v>40007351</v>
      </c>
      <c r="K2853" t="s">
        <v>2584</v>
      </c>
      <c r="L2853">
        <v>3</v>
      </c>
    </row>
    <row r="2854" spans="10:12" x14ac:dyDescent="0.2">
      <c r="J2854">
        <v>40007352</v>
      </c>
      <c r="K2854" t="s">
        <v>2585</v>
      </c>
      <c r="L2854">
        <v>1</v>
      </c>
    </row>
    <row r="2855" spans="10:12" x14ac:dyDescent="0.2">
      <c r="J2855">
        <v>40007353</v>
      </c>
      <c r="K2855" t="s">
        <v>2586</v>
      </c>
      <c r="L2855">
        <v>2</v>
      </c>
    </row>
    <row r="2856" spans="10:12" x14ac:dyDescent="0.2">
      <c r="J2856">
        <v>40007354</v>
      </c>
      <c r="K2856" t="s">
        <v>2587</v>
      </c>
      <c r="L2856">
        <v>15</v>
      </c>
    </row>
    <row r="2857" spans="10:12" x14ac:dyDescent="0.2">
      <c r="J2857">
        <v>40007355</v>
      </c>
      <c r="K2857" t="s">
        <v>2588</v>
      </c>
      <c r="L2857">
        <v>4</v>
      </c>
    </row>
    <row r="2858" spans="10:12" x14ac:dyDescent="0.2">
      <c r="J2858">
        <v>40007356</v>
      </c>
      <c r="K2858" t="s">
        <v>3695</v>
      </c>
      <c r="L2858">
        <v>7</v>
      </c>
    </row>
    <row r="2859" spans="10:12" x14ac:dyDescent="0.2">
      <c r="J2859">
        <v>40007357</v>
      </c>
      <c r="K2859" t="s">
        <v>2589</v>
      </c>
      <c r="L2859">
        <v>2</v>
      </c>
    </row>
    <row r="2860" spans="10:12" x14ac:dyDescent="0.2">
      <c r="J2860">
        <v>40007358</v>
      </c>
      <c r="K2860" t="s">
        <v>2590</v>
      </c>
      <c r="L2860">
        <v>27</v>
      </c>
    </row>
    <row r="2861" spans="10:12" x14ac:dyDescent="0.2">
      <c r="J2861">
        <v>40007359</v>
      </c>
      <c r="K2861" t="s">
        <v>2591</v>
      </c>
      <c r="L2861">
        <v>1</v>
      </c>
    </row>
    <row r="2862" spans="10:12" x14ac:dyDescent="0.2">
      <c r="J2862">
        <v>40007361</v>
      </c>
      <c r="K2862" t="s">
        <v>2593</v>
      </c>
      <c r="L2862">
        <v>1</v>
      </c>
    </row>
    <row r="2863" spans="10:12" x14ac:dyDescent="0.2">
      <c r="J2863">
        <v>40007363</v>
      </c>
      <c r="K2863" t="s">
        <v>2594</v>
      </c>
      <c r="L2863">
        <v>76</v>
      </c>
    </row>
    <row r="2864" spans="10:12" x14ac:dyDescent="0.2">
      <c r="J2864">
        <v>40007364</v>
      </c>
      <c r="K2864" t="s">
        <v>2595</v>
      </c>
      <c r="L2864">
        <v>4</v>
      </c>
    </row>
    <row r="2865" spans="10:12" x14ac:dyDescent="0.2">
      <c r="J2865">
        <v>40007365</v>
      </c>
      <c r="K2865" t="s">
        <v>2596</v>
      </c>
      <c r="L2865">
        <v>13</v>
      </c>
    </row>
    <row r="2866" spans="10:12" x14ac:dyDescent="0.2">
      <c r="J2866">
        <v>40007366</v>
      </c>
      <c r="K2866" t="s">
        <v>2597</v>
      </c>
      <c r="L2866">
        <v>9</v>
      </c>
    </row>
    <row r="2867" spans="10:12" x14ac:dyDescent="0.2">
      <c r="J2867">
        <v>40007367</v>
      </c>
      <c r="K2867" t="s">
        <v>3849</v>
      </c>
      <c r="L2867">
        <v>6</v>
      </c>
    </row>
    <row r="2868" spans="10:12" x14ac:dyDescent="0.2">
      <c r="J2868">
        <v>40007368</v>
      </c>
      <c r="K2868" t="s">
        <v>2598</v>
      </c>
      <c r="L2868">
        <v>3</v>
      </c>
    </row>
    <row r="2869" spans="10:12" x14ac:dyDescent="0.2">
      <c r="J2869">
        <v>40007369</v>
      </c>
      <c r="K2869" t="s">
        <v>3625</v>
      </c>
      <c r="L2869">
        <v>12</v>
      </c>
    </row>
    <row r="2870" spans="10:12" x14ac:dyDescent="0.2">
      <c r="J2870">
        <v>40007370</v>
      </c>
      <c r="K2870" t="s">
        <v>2599</v>
      </c>
      <c r="L2870">
        <v>4</v>
      </c>
    </row>
    <row r="2871" spans="10:12" x14ac:dyDescent="0.2">
      <c r="J2871">
        <v>40007371</v>
      </c>
      <c r="K2871" t="s">
        <v>2600</v>
      </c>
      <c r="L2871">
        <v>1</v>
      </c>
    </row>
    <row r="2872" spans="10:12" x14ac:dyDescent="0.2">
      <c r="J2872">
        <v>40007373</v>
      </c>
      <c r="K2872" t="s">
        <v>2601</v>
      </c>
      <c r="L2872">
        <v>19</v>
      </c>
    </row>
    <row r="2873" spans="10:12" x14ac:dyDescent="0.2">
      <c r="J2873">
        <v>40007374</v>
      </c>
      <c r="K2873" t="s">
        <v>2602</v>
      </c>
      <c r="L2873">
        <v>76</v>
      </c>
    </row>
    <row r="2874" spans="10:12" x14ac:dyDescent="0.2">
      <c r="J2874">
        <v>40007375</v>
      </c>
      <c r="K2874" t="s">
        <v>2603</v>
      </c>
      <c r="L2874">
        <v>11</v>
      </c>
    </row>
    <row r="2875" spans="10:12" x14ac:dyDescent="0.2">
      <c r="J2875">
        <v>40007376</v>
      </c>
      <c r="K2875" t="s">
        <v>2604</v>
      </c>
      <c r="L2875">
        <v>23</v>
      </c>
    </row>
    <row r="2876" spans="10:12" x14ac:dyDescent="0.2">
      <c r="J2876">
        <v>40007377</v>
      </c>
      <c r="K2876" t="s">
        <v>2605</v>
      </c>
      <c r="L2876">
        <v>12</v>
      </c>
    </row>
    <row r="2877" spans="10:12" x14ac:dyDescent="0.2">
      <c r="J2877">
        <v>40007378</v>
      </c>
      <c r="K2877" t="s">
        <v>2606</v>
      </c>
      <c r="L2877">
        <v>1</v>
      </c>
    </row>
    <row r="2878" spans="10:12" x14ac:dyDescent="0.2">
      <c r="J2878">
        <v>40007379</v>
      </c>
      <c r="K2878" t="s">
        <v>2607</v>
      </c>
      <c r="L2878">
        <v>2</v>
      </c>
    </row>
    <row r="2879" spans="10:12" x14ac:dyDescent="0.2">
      <c r="J2879">
        <v>40007380</v>
      </c>
      <c r="K2879" t="s">
        <v>2608</v>
      </c>
      <c r="L2879">
        <v>7</v>
      </c>
    </row>
    <row r="2880" spans="10:12" x14ac:dyDescent="0.2">
      <c r="J2880">
        <v>40007381</v>
      </c>
      <c r="K2880" t="s">
        <v>2609</v>
      </c>
      <c r="L2880">
        <v>9</v>
      </c>
    </row>
    <row r="2881" spans="10:12" x14ac:dyDescent="0.2">
      <c r="J2881">
        <v>40007383</v>
      </c>
      <c r="K2881" t="s">
        <v>2610</v>
      </c>
      <c r="L2881">
        <v>25</v>
      </c>
    </row>
    <row r="2882" spans="10:12" x14ac:dyDescent="0.2">
      <c r="J2882">
        <v>40007384</v>
      </c>
      <c r="K2882" t="s">
        <v>2611</v>
      </c>
      <c r="L2882">
        <v>124</v>
      </c>
    </row>
    <row r="2883" spans="10:12" x14ac:dyDescent="0.2">
      <c r="J2883">
        <v>40007385</v>
      </c>
      <c r="K2883" t="s">
        <v>2612</v>
      </c>
      <c r="L2883">
        <v>7</v>
      </c>
    </row>
    <row r="2884" spans="10:12" x14ac:dyDescent="0.2">
      <c r="J2884">
        <v>40007386</v>
      </c>
      <c r="K2884" t="s">
        <v>2613</v>
      </c>
      <c r="L2884">
        <v>4</v>
      </c>
    </row>
    <row r="2885" spans="10:12" x14ac:dyDescent="0.2">
      <c r="J2885">
        <v>40007387</v>
      </c>
      <c r="K2885" t="s">
        <v>2614</v>
      </c>
      <c r="L2885">
        <v>20</v>
      </c>
    </row>
    <row r="2886" spans="10:12" x14ac:dyDescent="0.2">
      <c r="J2886">
        <v>40007388</v>
      </c>
      <c r="K2886" t="s">
        <v>2615</v>
      </c>
      <c r="L2886">
        <v>4</v>
      </c>
    </row>
    <row r="2887" spans="10:12" x14ac:dyDescent="0.2">
      <c r="J2887">
        <v>40007389</v>
      </c>
      <c r="K2887" t="s">
        <v>2616</v>
      </c>
      <c r="L2887">
        <v>8</v>
      </c>
    </row>
    <row r="2888" spans="10:12" x14ac:dyDescent="0.2">
      <c r="J2888">
        <v>40007390</v>
      </c>
      <c r="K2888" t="s">
        <v>2617</v>
      </c>
      <c r="L2888">
        <v>6</v>
      </c>
    </row>
    <row r="2889" spans="10:12" x14ac:dyDescent="0.2">
      <c r="J2889">
        <v>40007391</v>
      </c>
      <c r="K2889" t="s">
        <v>2618</v>
      </c>
      <c r="L2889">
        <v>19</v>
      </c>
    </row>
    <row r="2890" spans="10:12" x14ac:dyDescent="0.2">
      <c r="J2890">
        <v>40007392</v>
      </c>
      <c r="K2890" t="s">
        <v>2619</v>
      </c>
      <c r="L2890">
        <v>9</v>
      </c>
    </row>
    <row r="2891" spans="10:12" x14ac:dyDescent="0.2">
      <c r="J2891">
        <v>40007393</v>
      </c>
      <c r="K2891" t="s">
        <v>2620</v>
      </c>
      <c r="L2891">
        <v>5</v>
      </c>
    </row>
    <row r="2892" spans="10:12" x14ac:dyDescent="0.2">
      <c r="J2892">
        <v>40007394</v>
      </c>
      <c r="K2892" t="s">
        <v>2621</v>
      </c>
      <c r="L2892">
        <v>18</v>
      </c>
    </row>
    <row r="2893" spans="10:12" x14ac:dyDescent="0.2">
      <c r="J2893">
        <v>40007396</v>
      </c>
      <c r="K2893" t="s">
        <v>2622</v>
      </c>
      <c r="L2893">
        <v>13</v>
      </c>
    </row>
    <row r="2894" spans="10:12" x14ac:dyDescent="0.2">
      <c r="J2894">
        <v>40007397</v>
      </c>
      <c r="K2894" t="s">
        <v>2623</v>
      </c>
      <c r="L2894">
        <v>1</v>
      </c>
    </row>
    <row r="2895" spans="10:12" x14ac:dyDescent="0.2">
      <c r="J2895">
        <v>40007398</v>
      </c>
      <c r="K2895" t="s">
        <v>2624</v>
      </c>
      <c r="L2895">
        <v>22</v>
      </c>
    </row>
    <row r="2896" spans="10:12" x14ac:dyDescent="0.2">
      <c r="J2896">
        <v>40007399</v>
      </c>
      <c r="K2896" t="s">
        <v>2625</v>
      </c>
      <c r="L2896">
        <v>5</v>
      </c>
    </row>
    <row r="2897" spans="10:12" x14ac:dyDescent="0.2">
      <c r="J2897">
        <v>40007400</v>
      </c>
      <c r="K2897" t="s">
        <v>2626</v>
      </c>
      <c r="L2897">
        <v>8</v>
      </c>
    </row>
    <row r="2898" spans="10:12" x14ac:dyDescent="0.2">
      <c r="J2898">
        <v>40007401</v>
      </c>
      <c r="K2898" t="s">
        <v>2627</v>
      </c>
      <c r="L2898">
        <v>14</v>
      </c>
    </row>
    <row r="2899" spans="10:12" x14ac:dyDescent="0.2">
      <c r="J2899">
        <v>40007403</v>
      </c>
      <c r="K2899" t="s">
        <v>2628</v>
      </c>
      <c r="L2899">
        <v>41</v>
      </c>
    </row>
    <row r="2900" spans="10:12" x14ac:dyDescent="0.2">
      <c r="J2900">
        <v>40007404</v>
      </c>
      <c r="K2900" t="s">
        <v>2629</v>
      </c>
      <c r="L2900">
        <v>10</v>
      </c>
    </row>
    <row r="2901" spans="10:12" x14ac:dyDescent="0.2">
      <c r="J2901">
        <v>40007405</v>
      </c>
      <c r="K2901" t="s">
        <v>2630</v>
      </c>
      <c r="L2901">
        <v>17</v>
      </c>
    </row>
    <row r="2902" spans="10:12" x14ac:dyDescent="0.2">
      <c r="J2902">
        <v>40007406</v>
      </c>
      <c r="K2902" t="s">
        <v>2631</v>
      </c>
      <c r="L2902">
        <v>23</v>
      </c>
    </row>
    <row r="2903" spans="10:12" x14ac:dyDescent="0.2">
      <c r="J2903">
        <v>40007407</v>
      </c>
      <c r="K2903" t="s">
        <v>2632</v>
      </c>
      <c r="L2903">
        <v>4</v>
      </c>
    </row>
    <row r="2904" spans="10:12" x14ac:dyDescent="0.2">
      <c r="J2904">
        <v>40007408</v>
      </c>
      <c r="K2904" t="s">
        <v>2633</v>
      </c>
      <c r="L2904">
        <v>5</v>
      </c>
    </row>
    <row r="2905" spans="10:12" x14ac:dyDescent="0.2">
      <c r="J2905">
        <v>40007409</v>
      </c>
      <c r="K2905" t="s">
        <v>2634</v>
      </c>
      <c r="L2905">
        <v>1</v>
      </c>
    </row>
    <row r="2906" spans="10:12" x14ac:dyDescent="0.2">
      <c r="J2906">
        <v>40007410</v>
      </c>
      <c r="K2906" t="s">
        <v>2635</v>
      </c>
      <c r="L2906">
        <v>4</v>
      </c>
    </row>
    <row r="2907" spans="10:12" x14ac:dyDescent="0.2">
      <c r="J2907">
        <v>40007411</v>
      </c>
      <c r="K2907" t="s">
        <v>2636</v>
      </c>
      <c r="L2907">
        <v>2</v>
      </c>
    </row>
    <row r="2908" spans="10:12" x14ac:dyDescent="0.2">
      <c r="J2908">
        <v>40007412</v>
      </c>
      <c r="K2908" t="s">
        <v>2637</v>
      </c>
      <c r="L2908">
        <v>6</v>
      </c>
    </row>
    <row r="2909" spans="10:12" x14ac:dyDescent="0.2">
      <c r="J2909">
        <v>40007413</v>
      </c>
      <c r="K2909" t="s">
        <v>2638</v>
      </c>
      <c r="L2909">
        <v>14</v>
      </c>
    </row>
    <row r="2910" spans="10:12" x14ac:dyDescent="0.2">
      <c r="J2910">
        <v>40007414</v>
      </c>
      <c r="K2910" t="s">
        <v>2639</v>
      </c>
      <c r="L2910">
        <v>20</v>
      </c>
    </row>
    <row r="2911" spans="10:12" x14ac:dyDescent="0.2">
      <c r="J2911">
        <v>40007416</v>
      </c>
      <c r="K2911" t="s">
        <v>3919</v>
      </c>
      <c r="L2911">
        <v>5</v>
      </c>
    </row>
    <row r="2912" spans="10:12" x14ac:dyDescent="0.2">
      <c r="J2912">
        <v>40007417</v>
      </c>
      <c r="K2912" t="s">
        <v>2640</v>
      </c>
      <c r="L2912">
        <v>4</v>
      </c>
    </row>
    <row r="2913" spans="10:12" x14ac:dyDescent="0.2">
      <c r="J2913">
        <v>40007418</v>
      </c>
      <c r="K2913" t="s">
        <v>2641</v>
      </c>
      <c r="L2913">
        <v>7</v>
      </c>
    </row>
    <row r="2914" spans="10:12" x14ac:dyDescent="0.2">
      <c r="J2914">
        <v>40007419</v>
      </c>
      <c r="K2914" t="s">
        <v>2642</v>
      </c>
      <c r="L2914">
        <v>6</v>
      </c>
    </row>
    <row r="2915" spans="10:12" x14ac:dyDescent="0.2">
      <c r="J2915">
        <v>40007421</v>
      </c>
      <c r="K2915" t="s">
        <v>2644</v>
      </c>
      <c r="L2915">
        <v>1</v>
      </c>
    </row>
    <row r="2916" spans="10:12" x14ac:dyDescent="0.2">
      <c r="J2916">
        <v>40007422</v>
      </c>
      <c r="K2916" t="s">
        <v>2645</v>
      </c>
      <c r="L2916">
        <v>5</v>
      </c>
    </row>
    <row r="2917" spans="10:12" x14ac:dyDescent="0.2">
      <c r="J2917">
        <v>40007423</v>
      </c>
      <c r="K2917" t="s">
        <v>2646</v>
      </c>
      <c r="L2917">
        <v>8</v>
      </c>
    </row>
    <row r="2918" spans="10:12" x14ac:dyDescent="0.2">
      <c r="J2918">
        <v>40007424</v>
      </c>
      <c r="K2918" t="s">
        <v>2647</v>
      </c>
      <c r="L2918">
        <v>6</v>
      </c>
    </row>
    <row r="2919" spans="10:12" x14ac:dyDescent="0.2">
      <c r="J2919">
        <v>40007427</v>
      </c>
      <c r="K2919" t="s">
        <v>2649</v>
      </c>
      <c r="L2919">
        <v>3</v>
      </c>
    </row>
    <row r="2920" spans="10:12" x14ac:dyDescent="0.2">
      <c r="J2920">
        <v>40007428</v>
      </c>
      <c r="K2920" t="s">
        <v>2650</v>
      </c>
      <c r="L2920">
        <v>15</v>
      </c>
    </row>
    <row r="2921" spans="10:12" x14ac:dyDescent="0.2">
      <c r="J2921">
        <v>40007429</v>
      </c>
      <c r="K2921" t="s">
        <v>2651</v>
      </c>
      <c r="L2921">
        <v>1</v>
      </c>
    </row>
    <row r="2922" spans="10:12" x14ac:dyDescent="0.2">
      <c r="J2922">
        <v>40007430</v>
      </c>
      <c r="K2922" t="s">
        <v>3682</v>
      </c>
      <c r="L2922">
        <v>5</v>
      </c>
    </row>
    <row r="2923" spans="10:12" x14ac:dyDescent="0.2">
      <c r="J2923">
        <v>40007432</v>
      </c>
      <c r="K2923" t="s">
        <v>2652</v>
      </c>
      <c r="L2923">
        <v>14</v>
      </c>
    </row>
    <row r="2924" spans="10:12" x14ac:dyDescent="0.2">
      <c r="J2924">
        <v>40007433</v>
      </c>
      <c r="K2924" t="s">
        <v>2653</v>
      </c>
      <c r="L2924">
        <v>9</v>
      </c>
    </row>
    <row r="2925" spans="10:12" x14ac:dyDescent="0.2">
      <c r="J2925">
        <v>40007435</v>
      </c>
      <c r="K2925" t="s">
        <v>2654</v>
      </c>
      <c r="L2925">
        <v>12</v>
      </c>
    </row>
    <row r="2926" spans="10:12" x14ac:dyDescent="0.2">
      <c r="J2926">
        <v>40007436</v>
      </c>
      <c r="K2926" t="s">
        <v>2655</v>
      </c>
      <c r="L2926">
        <v>6</v>
      </c>
    </row>
    <row r="2927" spans="10:12" x14ac:dyDescent="0.2">
      <c r="J2927">
        <v>40007437</v>
      </c>
      <c r="K2927" t="s">
        <v>2656</v>
      </c>
      <c r="L2927">
        <v>6</v>
      </c>
    </row>
    <row r="2928" spans="10:12" x14ac:dyDescent="0.2">
      <c r="J2928">
        <v>40007438</v>
      </c>
      <c r="K2928" t="s">
        <v>2657</v>
      </c>
      <c r="L2928">
        <v>3</v>
      </c>
    </row>
    <row r="2929" spans="10:12" x14ac:dyDescent="0.2">
      <c r="J2929">
        <v>40007439</v>
      </c>
      <c r="K2929" t="s">
        <v>2658</v>
      </c>
      <c r="L2929">
        <v>16</v>
      </c>
    </row>
    <row r="2930" spans="10:12" x14ac:dyDescent="0.2">
      <c r="J2930">
        <v>40007440</v>
      </c>
      <c r="K2930" t="s">
        <v>2659</v>
      </c>
      <c r="L2930">
        <v>6</v>
      </c>
    </row>
    <row r="2931" spans="10:12" x14ac:dyDescent="0.2">
      <c r="J2931">
        <v>40007441</v>
      </c>
      <c r="K2931" t="s">
        <v>2660</v>
      </c>
      <c r="L2931">
        <v>8</v>
      </c>
    </row>
    <row r="2932" spans="10:12" x14ac:dyDescent="0.2">
      <c r="J2932">
        <v>40007442</v>
      </c>
      <c r="K2932" t="s">
        <v>2661</v>
      </c>
      <c r="L2932">
        <v>4</v>
      </c>
    </row>
    <row r="2933" spans="10:12" x14ac:dyDescent="0.2">
      <c r="J2933">
        <v>40007443</v>
      </c>
      <c r="K2933" t="s">
        <v>3760</v>
      </c>
      <c r="L2933">
        <v>4</v>
      </c>
    </row>
    <row r="2934" spans="10:12" x14ac:dyDescent="0.2">
      <c r="J2934">
        <v>40007444</v>
      </c>
      <c r="K2934" t="s">
        <v>2662</v>
      </c>
      <c r="L2934">
        <v>7</v>
      </c>
    </row>
    <row r="2935" spans="10:12" x14ac:dyDescent="0.2">
      <c r="J2935">
        <v>40007445</v>
      </c>
      <c r="K2935" t="s">
        <v>2663</v>
      </c>
      <c r="L2935">
        <v>1</v>
      </c>
    </row>
    <row r="2936" spans="10:12" x14ac:dyDescent="0.2">
      <c r="J2936">
        <v>40007446</v>
      </c>
      <c r="K2936" t="s">
        <v>2664</v>
      </c>
      <c r="L2936">
        <v>1</v>
      </c>
    </row>
    <row r="2937" spans="10:12" x14ac:dyDescent="0.2">
      <c r="J2937">
        <v>40007447</v>
      </c>
      <c r="K2937" t="s">
        <v>2665</v>
      </c>
      <c r="L2937">
        <v>2</v>
      </c>
    </row>
    <row r="2938" spans="10:12" x14ac:dyDescent="0.2">
      <c r="J2938">
        <v>40007448</v>
      </c>
      <c r="K2938" t="s">
        <v>2666</v>
      </c>
      <c r="L2938">
        <v>1</v>
      </c>
    </row>
    <row r="2939" spans="10:12" x14ac:dyDescent="0.2">
      <c r="J2939">
        <v>40007449</v>
      </c>
      <c r="K2939" t="s">
        <v>2667</v>
      </c>
      <c r="L2939">
        <v>3</v>
      </c>
    </row>
    <row r="2940" spans="10:12" x14ac:dyDescent="0.2">
      <c r="J2940">
        <v>40007450</v>
      </c>
      <c r="K2940" t="s">
        <v>9610</v>
      </c>
      <c r="L2940">
        <v>1</v>
      </c>
    </row>
    <row r="2941" spans="10:12" x14ac:dyDescent="0.2">
      <c r="J2941">
        <v>40007451</v>
      </c>
      <c r="K2941" t="s">
        <v>2668</v>
      </c>
      <c r="L2941">
        <v>83</v>
      </c>
    </row>
    <row r="2942" spans="10:12" x14ac:dyDescent="0.2">
      <c r="J2942">
        <v>40007452</v>
      </c>
      <c r="K2942" t="s">
        <v>2669</v>
      </c>
      <c r="L2942">
        <v>1</v>
      </c>
    </row>
    <row r="2943" spans="10:12" x14ac:dyDescent="0.2">
      <c r="J2943">
        <v>40007453</v>
      </c>
      <c r="K2943" t="s">
        <v>2670</v>
      </c>
      <c r="L2943">
        <v>4</v>
      </c>
    </row>
    <row r="2944" spans="10:12" x14ac:dyDescent="0.2">
      <c r="J2944">
        <v>40007454</v>
      </c>
      <c r="K2944" t="s">
        <v>2671</v>
      </c>
      <c r="L2944">
        <v>20</v>
      </c>
    </row>
    <row r="2945" spans="10:12" x14ac:dyDescent="0.2">
      <c r="J2945">
        <v>40007455</v>
      </c>
      <c r="K2945" t="s">
        <v>2672</v>
      </c>
      <c r="L2945">
        <v>1</v>
      </c>
    </row>
    <row r="2946" spans="10:12" x14ac:dyDescent="0.2">
      <c r="J2946">
        <v>40007456</v>
      </c>
      <c r="K2946" t="s">
        <v>2673</v>
      </c>
      <c r="L2946">
        <v>1</v>
      </c>
    </row>
    <row r="2947" spans="10:12" x14ac:dyDescent="0.2">
      <c r="J2947">
        <v>40007458</v>
      </c>
      <c r="K2947" t="s">
        <v>2674</v>
      </c>
      <c r="L2947">
        <v>23</v>
      </c>
    </row>
    <row r="2948" spans="10:12" x14ac:dyDescent="0.2">
      <c r="J2948">
        <v>40007459</v>
      </c>
      <c r="K2948" t="s">
        <v>2675</v>
      </c>
      <c r="L2948">
        <v>33</v>
      </c>
    </row>
    <row r="2949" spans="10:12" x14ac:dyDescent="0.2">
      <c r="J2949">
        <v>40007460</v>
      </c>
      <c r="K2949" t="s">
        <v>2676</v>
      </c>
      <c r="L2949">
        <v>7</v>
      </c>
    </row>
    <row r="2950" spans="10:12" x14ac:dyDescent="0.2">
      <c r="J2950">
        <v>40007461</v>
      </c>
      <c r="K2950" t="s">
        <v>2677</v>
      </c>
      <c r="L2950">
        <v>3</v>
      </c>
    </row>
    <row r="2951" spans="10:12" x14ac:dyDescent="0.2">
      <c r="J2951">
        <v>40007462</v>
      </c>
      <c r="K2951" t="s">
        <v>2678</v>
      </c>
      <c r="L2951">
        <v>56</v>
      </c>
    </row>
    <row r="2952" spans="10:12" x14ac:dyDescent="0.2">
      <c r="J2952">
        <v>40007464</v>
      </c>
      <c r="K2952" t="s">
        <v>2680</v>
      </c>
      <c r="L2952">
        <v>3</v>
      </c>
    </row>
    <row r="2953" spans="10:12" x14ac:dyDescent="0.2">
      <c r="J2953">
        <v>40007465</v>
      </c>
      <c r="K2953" t="s">
        <v>5304</v>
      </c>
      <c r="L2953">
        <v>3</v>
      </c>
    </row>
    <row r="2954" spans="10:12" x14ac:dyDescent="0.2">
      <c r="J2954">
        <v>40007466</v>
      </c>
      <c r="K2954" t="s">
        <v>5433</v>
      </c>
      <c r="L2954">
        <v>1</v>
      </c>
    </row>
    <row r="2955" spans="10:12" x14ac:dyDescent="0.2">
      <c r="J2955">
        <v>40007467</v>
      </c>
      <c r="K2955" t="s">
        <v>2681</v>
      </c>
      <c r="L2955">
        <v>14</v>
      </c>
    </row>
    <row r="2956" spans="10:12" x14ac:dyDescent="0.2">
      <c r="J2956">
        <v>40007468</v>
      </c>
      <c r="K2956" t="s">
        <v>2682</v>
      </c>
      <c r="L2956">
        <v>10</v>
      </c>
    </row>
    <row r="2957" spans="10:12" x14ac:dyDescent="0.2">
      <c r="J2957">
        <v>40007471</v>
      </c>
      <c r="K2957" t="s">
        <v>2683</v>
      </c>
      <c r="L2957">
        <v>8</v>
      </c>
    </row>
    <row r="2958" spans="10:12" x14ac:dyDescent="0.2">
      <c r="J2958">
        <v>40007472</v>
      </c>
      <c r="K2958" t="s">
        <v>5397</v>
      </c>
      <c r="L2958">
        <v>11</v>
      </c>
    </row>
    <row r="2959" spans="10:12" x14ac:dyDescent="0.2">
      <c r="J2959">
        <v>40007473</v>
      </c>
      <c r="K2959" t="s">
        <v>2684</v>
      </c>
      <c r="L2959">
        <v>6</v>
      </c>
    </row>
    <row r="2960" spans="10:12" x14ac:dyDescent="0.2">
      <c r="J2960">
        <v>40007474</v>
      </c>
      <c r="K2960" t="s">
        <v>2685</v>
      </c>
      <c r="L2960">
        <v>5</v>
      </c>
    </row>
    <row r="2961" spans="10:12" x14ac:dyDescent="0.2">
      <c r="J2961">
        <v>40007475</v>
      </c>
      <c r="K2961" t="s">
        <v>2686</v>
      </c>
      <c r="L2961">
        <v>12</v>
      </c>
    </row>
    <row r="2962" spans="10:12" x14ac:dyDescent="0.2">
      <c r="J2962">
        <v>40007476</v>
      </c>
      <c r="K2962" t="s">
        <v>2687</v>
      </c>
      <c r="L2962">
        <v>10</v>
      </c>
    </row>
    <row r="2963" spans="10:12" x14ac:dyDescent="0.2">
      <c r="J2963">
        <v>40007477</v>
      </c>
      <c r="K2963" t="s">
        <v>2688</v>
      </c>
      <c r="L2963">
        <v>15</v>
      </c>
    </row>
    <row r="2964" spans="10:12" x14ac:dyDescent="0.2">
      <c r="J2964">
        <v>40007478</v>
      </c>
      <c r="K2964" t="s">
        <v>2689</v>
      </c>
      <c r="L2964">
        <v>34</v>
      </c>
    </row>
    <row r="2965" spans="10:12" x14ac:dyDescent="0.2">
      <c r="J2965">
        <v>40007479</v>
      </c>
      <c r="K2965" t="s">
        <v>2690</v>
      </c>
      <c r="L2965">
        <v>5</v>
      </c>
    </row>
    <row r="2966" spans="10:12" x14ac:dyDescent="0.2">
      <c r="J2966">
        <v>40007480</v>
      </c>
      <c r="K2966" t="s">
        <v>2691</v>
      </c>
      <c r="L2966">
        <v>8</v>
      </c>
    </row>
    <row r="2967" spans="10:12" x14ac:dyDescent="0.2">
      <c r="J2967">
        <v>40007481</v>
      </c>
      <c r="K2967" t="s">
        <v>2692</v>
      </c>
      <c r="L2967">
        <v>6</v>
      </c>
    </row>
    <row r="2968" spans="10:12" x14ac:dyDescent="0.2">
      <c r="J2968">
        <v>40007482</v>
      </c>
      <c r="K2968" t="s">
        <v>2693</v>
      </c>
      <c r="L2968">
        <v>5</v>
      </c>
    </row>
    <row r="2969" spans="10:12" x14ac:dyDescent="0.2">
      <c r="J2969">
        <v>40007483</v>
      </c>
      <c r="K2969" t="s">
        <v>2694</v>
      </c>
      <c r="L2969">
        <v>2</v>
      </c>
    </row>
    <row r="2970" spans="10:12" x14ac:dyDescent="0.2">
      <c r="J2970">
        <v>40007484</v>
      </c>
      <c r="K2970" t="s">
        <v>2695</v>
      </c>
      <c r="L2970">
        <v>4</v>
      </c>
    </row>
    <row r="2971" spans="10:12" x14ac:dyDescent="0.2">
      <c r="J2971">
        <v>40007485</v>
      </c>
      <c r="K2971" t="s">
        <v>2696</v>
      </c>
      <c r="L2971">
        <v>20</v>
      </c>
    </row>
    <row r="2972" spans="10:12" x14ac:dyDescent="0.2">
      <c r="J2972">
        <v>40007486</v>
      </c>
      <c r="K2972" t="s">
        <v>2697</v>
      </c>
      <c r="L2972">
        <v>19</v>
      </c>
    </row>
    <row r="2973" spans="10:12" x14ac:dyDescent="0.2">
      <c r="J2973">
        <v>40007487</v>
      </c>
      <c r="K2973" t="s">
        <v>2698</v>
      </c>
      <c r="L2973">
        <v>4</v>
      </c>
    </row>
    <row r="2974" spans="10:12" x14ac:dyDescent="0.2">
      <c r="J2974">
        <v>40007488</v>
      </c>
      <c r="K2974" t="s">
        <v>2699</v>
      </c>
      <c r="L2974">
        <v>10</v>
      </c>
    </row>
    <row r="2975" spans="10:12" x14ac:dyDescent="0.2">
      <c r="J2975">
        <v>40007489</v>
      </c>
      <c r="K2975" t="s">
        <v>5398</v>
      </c>
      <c r="L2975">
        <v>18</v>
      </c>
    </row>
    <row r="2976" spans="10:12" x14ac:dyDescent="0.2">
      <c r="J2976">
        <v>40007490</v>
      </c>
      <c r="K2976" t="s">
        <v>2700</v>
      </c>
      <c r="L2976">
        <v>2</v>
      </c>
    </row>
    <row r="2977" spans="10:12" x14ac:dyDescent="0.2">
      <c r="J2977">
        <v>40007491</v>
      </c>
      <c r="K2977" t="s">
        <v>2701</v>
      </c>
      <c r="L2977">
        <v>10</v>
      </c>
    </row>
    <row r="2978" spans="10:12" x14ac:dyDescent="0.2">
      <c r="J2978">
        <v>40007492</v>
      </c>
      <c r="K2978" t="s">
        <v>2702</v>
      </c>
      <c r="L2978">
        <v>6</v>
      </c>
    </row>
    <row r="2979" spans="10:12" x14ac:dyDescent="0.2">
      <c r="J2979">
        <v>40007493</v>
      </c>
      <c r="K2979" t="s">
        <v>2703</v>
      </c>
      <c r="L2979">
        <v>5</v>
      </c>
    </row>
    <row r="2980" spans="10:12" x14ac:dyDescent="0.2">
      <c r="J2980">
        <v>40007494</v>
      </c>
      <c r="K2980" t="s">
        <v>2704</v>
      </c>
      <c r="L2980">
        <v>1</v>
      </c>
    </row>
    <row r="2981" spans="10:12" x14ac:dyDescent="0.2">
      <c r="J2981">
        <v>40007495</v>
      </c>
      <c r="K2981" t="s">
        <v>2705</v>
      </c>
      <c r="L2981">
        <v>2</v>
      </c>
    </row>
    <row r="2982" spans="10:12" x14ac:dyDescent="0.2">
      <c r="J2982">
        <v>40007496</v>
      </c>
      <c r="K2982" t="s">
        <v>2706</v>
      </c>
      <c r="L2982">
        <v>4</v>
      </c>
    </row>
    <row r="2983" spans="10:12" x14ac:dyDescent="0.2">
      <c r="J2983">
        <v>40007498</v>
      </c>
      <c r="K2983" t="s">
        <v>2707</v>
      </c>
      <c r="L2983">
        <v>8</v>
      </c>
    </row>
    <row r="2984" spans="10:12" x14ac:dyDescent="0.2">
      <c r="J2984">
        <v>40007499</v>
      </c>
      <c r="K2984" t="s">
        <v>2708</v>
      </c>
      <c r="L2984">
        <v>10</v>
      </c>
    </row>
    <row r="2985" spans="10:12" x14ac:dyDescent="0.2">
      <c r="J2985">
        <v>40007500</v>
      </c>
      <c r="K2985" t="s">
        <v>2709</v>
      </c>
      <c r="L2985">
        <v>2</v>
      </c>
    </row>
    <row r="2986" spans="10:12" x14ac:dyDescent="0.2">
      <c r="J2986">
        <v>40007501</v>
      </c>
      <c r="K2986" t="s">
        <v>2710</v>
      </c>
      <c r="L2986">
        <v>12</v>
      </c>
    </row>
    <row r="2987" spans="10:12" x14ac:dyDescent="0.2">
      <c r="J2987">
        <v>40007502</v>
      </c>
      <c r="K2987" t="s">
        <v>2711</v>
      </c>
      <c r="L2987">
        <v>3</v>
      </c>
    </row>
    <row r="2988" spans="10:12" x14ac:dyDescent="0.2">
      <c r="J2988">
        <v>40007503</v>
      </c>
      <c r="K2988" t="s">
        <v>2712</v>
      </c>
      <c r="L2988">
        <v>1</v>
      </c>
    </row>
    <row r="2989" spans="10:12" x14ac:dyDescent="0.2">
      <c r="J2989">
        <v>40007504</v>
      </c>
      <c r="K2989" t="s">
        <v>2713</v>
      </c>
      <c r="L2989">
        <v>1</v>
      </c>
    </row>
    <row r="2990" spans="10:12" x14ac:dyDescent="0.2">
      <c r="J2990">
        <v>40007505</v>
      </c>
      <c r="K2990" t="s">
        <v>5399</v>
      </c>
      <c r="L2990">
        <v>2</v>
      </c>
    </row>
    <row r="2991" spans="10:12" x14ac:dyDescent="0.2">
      <c r="J2991">
        <v>40007506</v>
      </c>
      <c r="K2991" t="s">
        <v>2714</v>
      </c>
      <c r="L2991">
        <v>18</v>
      </c>
    </row>
    <row r="2992" spans="10:12" x14ac:dyDescent="0.2">
      <c r="J2992">
        <v>40007507</v>
      </c>
      <c r="K2992" t="s">
        <v>2715</v>
      </c>
      <c r="L2992">
        <v>6</v>
      </c>
    </row>
    <row r="2993" spans="10:12" x14ac:dyDescent="0.2">
      <c r="J2993">
        <v>40007508</v>
      </c>
      <c r="K2993" t="s">
        <v>2716</v>
      </c>
      <c r="L2993">
        <v>2</v>
      </c>
    </row>
    <row r="2994" spans="10:12" x14ac:dyDescent="0.2">
      <c r="J2994">
        <v>40007509</v>
      </c>
      <c r="K2994" t="s">
        <v>2717</v>
      </c>
      <c r="L2994">
        <v>2</v>
      </c>
    </row>
    <row r="2995" spans="10:12" x14ac:dyDescent="0.2">
      <c r="J2995">
        <v>40007512</v>
      </c>
      <c r="K2995" t="s">
        <v>2718</v>
      </c>
      <c r="L2995">
        <v>2</v>
      </c>
    </row>
    <row r="2996" spans="10:12" x14ac:dyDescent="0.2">
      <c r="J2996">
        <v>40007513</v>
      </c>
      <c r="K2996" t="s">
        <v>2719</v>
      </c>
      <c r="L2996">
        <v>20</v>
      </c>
    </row>
    <row r="2997" spans="10:12" x14ac:dyDescent="0.2">
      <c r="J2997">
        <v>40007514</v>
      </c>
      <c r="K2997" t="s">
        <v>2720</v>
      </c>
      <c r="L2997">
        <v>18</v>
      </c>
    </row>
    <row r="2998" spans="10:12" x14ac:dyDescent="0.2">
      <c r="J2998">
        <v>40007516</v>
      </c>
      <c r="K2998" t="s">
        <v>2722</v>
      </c>
      <c r="L2998">
        <v>6</v>
      </c>
    </row>
    <row r="2999" spans="10:12" x14ac:dyDescent="0.2">
      <c r="J2999">
        <v>40007517</v>
      </c>
      <c r="K2999" t="s">
        <v>2723</v>
      </c>
      <c r="L2999">
        <v>9</v>
      </c>
    </row>
    <row r="3000" spans="10:12" x14ac:dyDescent="0.2">
      <c r="J3000">
        <v>40007518</v>
      </c>
      <c r="K3000" t="s">
        <v>2724</v>
      </c>
      <c r="L3000">
        <v>1</v>
      </c>
    </row>
    <row r="3001" spans="10:12" x14ac:dyDescent="0.2">
      <c r="J3001">
        <v>40007519</v>
      </c>
      <c r="K3001" t="s">
        <v>2725</v>
      </c>
      <c r="L3001">
        <v>2</v>
      </c>
    </row>
    <row r="3002" spans="10:12" x14ac:dyDescent="0.2">
      <c r="J3002">
        <v>40007521</v>
      </c>
      <c r="K3002" t="s">
        <v>2726</v>
      </c>
      <c r="L3002">
        <v>4</v>
      </c>
    </row>
    <row r="3003" spans="10:12" x14ac:dyDescent="0.2">
      <c r="J3003">
        <v>40007522</v>
      </c>
      <c r="K3003" t="s">
        <v>2727</v>
      </c>
      <c r="L3003">
        <v>9</v>
      </c>
    </row>
    <row r="3004" spans="10:12" x14ac:dyDescent="0.2">
      <c r="J3004">
        <v>40007523</v>
      </c>
      <c r="K3004" t="s">
        <v>2728</v>
      </c>
      <c r="L3004">
        <v>45</v>
      </c>
    </row>
    <row r="3005" spans="10:12" x14ac:dyDescent="0.2">
      <c r="J3005">
        <v>40007525</v>
      </c>
      <c r="K3005" t="s">
        <v>2730</v>
      </c>
      <c r="L3005">
        <v>11</v>
      </c>
    </row>
    <row r="3006" spans="10:12" x14ac:dyDescent="0.2">
      <c r="J3006">
        <v>40007526</v>
      </c>
      <c r="K3006" t="s">
        <v>2731</v>
      </c>
      <c r="L3006">
        <v>31</v>
      </c>
    </row>
    <row r="3007" spans="10:12" x14ac:dyDescent="0.2">
      <c r="J3007">
        <v>40007528</v>
      </c>
      <c r="K3007" t="s">
        <v>2732</v>
      </c>
      <c r="L3007">
        <v>38</v>
      </c>
    </row>
    <row r="3008" spans="10:12" x14ac:dyDescent="0.2">
      <c r="J3008">
        <v>40007529</v>
      </c>
      <c r="K3008" t="s">
        <v>2733</v>
      </c>
      <c r="L3008">
        <v>14</v>
      </c>
    </row>
    <row r="3009" spans="10:12" x14ac:dyDescent="0.2">
      <c r="J3009">
        <v>40007530</v>
      </c>
      <c r="K3009" t="s">
        <v>2734</v>
      </c>
      <c r="L3009">
        <v>90</v>
      </c>
    </row>
    <row r="3010" spans="10:12" x14ac:dyDescent="0.2">
      <c r="J3010">
        <v>40007531</v>
      </c>
      <c r="K3010" t="s">
        <v>2735</v>
      </c>
      <c r="L3010">
        <v>14</v>
      </c>
    </row>
    <row r="3011" spans="10:12" x14ac:dyDescent="0.2">
      <c r="J3011">
        <v>40007533</v>
      </c>
      <c r="K3011" t="s">
        <v>3678</v>
      </c>
      <c r="L3011">
        <v>16</v>
      </c>
    </row>
    <row r="3012" spans="10:12" x14ac:dyDescent="0.2">
      <c r="J3012">
        <v>40007535</v>
      </c>
      <c r="K3012" t="s">
        <v>2736</v>
      </c>
      <c r="L3012">
        <v>2</v>
      </c>
    </row>
    <row r="3013" spans="10:12" x14ac:dyDescent="0.2">
      <c r="J3013">
        <v>40007536</v>
      </c>
      <c r="K3013" t="s">
        <v>2737</v>
      </c>
      <c r="L3013">
        <v>2</v>
      </c>
    </row>
    <row r="3014" spans="10:12" x14ac:dyDescent="0.2">
      <c r="J3014">
        <v>40007537</v>
      </c>
      <c r="K3014" t="s">
        <v>2738</v>
      </c>
      <c r="L3014">
        <v>3</v>
      </c>
    </row>
    <row r="3015" spans="10:12" x14ac:dyDescent="0.2">
      <c r="J3015">
        <v>40007538</v>
      </c>
      <c r="K3015" t="s">
        <v>2739</v>
      </c>
      <c r="L3015">
        <v>4</v>
      </c>
    </row>
    <row r="3016" spans="10:12" x14ac:dyDescent="0.2">
      <c r="J3016">
        <v>40007539</v>
      </c>
      <c r="K3016" t="s">
        <v>2740</v>
      </c>
      <c r="L3016">
        <v>2</v>
      </c>
    </row>
    <row r="3017" spans="10:12" x14ac:dyDescent="0.2">
      <c r="J3017">
        <v>40007540</v>
      </c>
      <c r="K3017" t="s">
        <v>2741</v>
      </c>
      <c r="L3017">
        <v>1</v>
      </c>
    </row>
    <row r="3018" spans="10:12" x14ac:dyDescent="0.2">
      <c r="J3018">
        <v>40007541</v>
      </c>
      <c r="K3018" t="s">
        <v>2742</v>
      </c>
      <c r="L3018">
        <v>16</v>
      </c>
    </row>
    <row r="3019" spans="10:12" x14ac:dyDescent="0.2">
      <c r="J3019">
        <v>40007542</v>
      </c>
      <c r="K3019" t="s">
        <v>2743</v>
      </c>
      <c r="L3019">
        <v>14</v>
      </c>
    </row>
    <row r="3020" spans="10:12" x14ac:dyDescent="0.2">
      <c r="J3020">
        <v>40007543</v>
      </c>
      <c r="K3020" t="s">
        <v>2744</v>
      </c>
      <c r="L3020">
        <v>11</v>
      </c>
    </row>
    <row r="3021" spans="10:12" x14ac:dyDescent="0.2">
      <c r="J3021">
        <v>40007544</v>
      </c>
      <c r="K3021" t="s">
        <v>2745</v>
      </c>
      <c r="L3021">
        <v>10</v>
      </c>
    </row>
    <row r="3022" spans="10:12" x14ac:dyDescent="0.2">
      <c r="J3022">
        <v>40007545</v>
      </c>
      <c r="K3022" t="s">
        <v>2746</v>
      </c>
      <c r="L3022">
        <v>5</v>
      </c>
    </row>
    <row r="3023" spans="10:12" x14ac:dyDescent="0.2">
      <c r="J3023">
        <v>40007546</v>
      </c>
      <c r="K3023" t="s">
        <v>2747</v>
      </c>
      <c r="L3023">
        <v>248</v>
      </c>
    </row>
    <row r="3024" spans="10:12" x14ac:dyDescent="0.2">
      <c r="J3024">
        <v>40007547</v>
      </c>
      <c r="K3024" t="s">
        <v>2748</v>
      </c>
      <c r="L3024">
        <v>26</v>
      </c>
    </row>
    <row r="3025" spans="10:12" x14ac:dyDescent="0.2">
      <c r="J3025">
        <v>40007548</v>
      </c>
      <c r="K3025" t="s">
        <v>2749</v>
      </c>
      <c r="L3025">
        <v>162</v>
      </c>
    </row>
    <row r="3026" spans="10:12" x14ac:dyDescent="0.2">
      <c r="J3026">
        <v>40007550</v>
      </c>
      <c r="K3026" t="s">
        <v>2750</v>
      </c>
      <c r="L3026">
        <v>555</v>
      </c>
    </row>
    <row r="3027" spans="10:12" x14ac:dyDescent="0.2">
      <c r="J3027">
        <v>40007551</v>
      </c>
      <c r="K3027" t="s">
        <v>2751</v>
      </c>
      <c r="L3027">
        <v>14</v>
      </c>
    </row>
    <row r="3028" spans="10:12" x14ac:dyDescent="0.2">
      <c r="J3028">
        <v>40007552</v>
      </c>
      <c r="K3028" t="s">
        <v>2752</v>
      </c>
      <c r="L3028">
        <v>19</v>
      </c>
    </row>
    <row r="3029" spans="10:12" x14ac:dyDescent="0.2">
      <c r="J3029">
        <v>40007553</v>
      </c>
      <c r="K3029" t="s">
        <v>2753</v>
      </c>
      <c r="L3029">
        <v>1</v>
      </c>
    </row>
    <row r="3030" spans="10:12" x14ac:dyDescent="0.2">
      <c r="J3030">
        <v>40007554</v>
      </c>
      <c r="K3030" t="s">
        <v>2754</v>
      </c>
      <c r="L3030">
        <v>8</v>
      </c>
    </row>
    <row r="3031" spans="10:12" x14ac:dyDescent="0.2">
      <c r="J3031">
        <v>40007555</v>
      </c>
      <c r="K3031" t="s">
        <v>2755</v>
      </c>
      <c r="L3031">
        <v>20</v>
      </c>
    </row>
    <row r="3032" spans="10:12" x14ac:dyDescent="0.2">
      <c r="J3032">
        <v>40007556</v>
      </c>
      <c r="K3032" t="s">
        <v>3838</v>
      </c>
      <c r="L3032">
        <v>3</v>
      </c>
    </row>
    <row r="3033" spans="10:12" x14ac:dyDescent="0.2">
      <c r="J3033">
        <v>40007557</v>
      </c>
      <c r="K3033" t="s">
        <v>2756</v>
      </c>
      <c r="L3033">
        <v>5</v>
      </c>
    </row>
    <row r="3034" spans="10:12" x14ac:dyDescent="0.2">
      <c r="J3034">
        <v>40007558</v>
      </c>
      <c r="K3034" t="s">
        <v>2757</v>
      </c>
      <c r="L3034">
        <v>8</v>
      </c>
    </row>
    <row r="3035" spans="10:12" x14ac:dyDescent="0.2">
      <c r="J3035">
        <v>40007559</v>
      </c>
      <c r="K3035" t="s">
        <v>2758</v>
      </c>
      <c r="L3035">
        <v>3</v>
      </c>
    </row>
    <row r="3036" spans="10:12" x14ac:dyDescent="0.2">
      <c r="J3036">
        <v>40007560</v>
      </c>
      <c r="K3036" t="s">
        <v>2759</v>
      </c>
      <c r="L3036">
        <v>5</v>
      </c>
    </row>
    <row r="3037" spans="10:12" x14ac:dyDescent="0.2">
      <c r="J3037">
        <v>40007561</v>
      </c>
      <c r="K3037" t="s">
        <v>2760</v>
      </c>
      <c r="L3037">
        <v>3</v>
      </c>
    </row>
    <row r="3038" spans="10:12" x14ac:dyDescent="0.2">
      <c r="J3038">
        <v>40007564</v>
      </c>
      <c r="K3038" t="s">
        <v>2762</v>
      </c>
      <c r="L3038">
        <v>4</v>
      </c>
    </row>
    <row r="3039" spans="10:12" x14ac:dyDescent="0.2">
      <c r="J3039">
        <v>40007565</v>
      </c>
      <c r="K3039" t="s">
        <v>3761</v>
      </c>
      <c r="L3039">
        <v>10</v>
      </c>
    </row>
    <row r="3040" spans="10:12" x14ac:dyDescent="0.2">
      <c r="J3040">
        <v>40007567</v>
      </c>
      <c r="K3040" t="s">
        <v>2763</v>
      </c>
      <c r="L3040">
        <v>17</v>
      </c>
    </row>
    <row r="3041" spans="10:12" x14ac:dyDescent="0.2">
      <c r="J3041">
        <v>40007568</v>
      </c>
      <c r="K3041" t="s">
        <v>2764</v>
      </c>
      <c r="L3041">
        <v>1</v>
      </c>
    </row>
    <row r="3042" spans="10:12" x14ac:dyDescent="0.2">
      <c r="J3042">
        <v>40007569</v>
      </c>
      <c r="K3042" t="s">
        <v>2765</v>
      </c>
      <c r="L3042">
        <v>9</v>
      </c>
    </row>
    <row r="3043" spans="10:12" x14ac:dyDescent="0.2">
      <c r="J3043">
        <v>40007570</v>
      </c>
      <c r="K3043" t="s">
        <v>2766</v>
      </c>
      <c r="L3043">
        <v>4</v>
      </c>
    </row>
    <row r="3044" spans="10:12" x14ac:dyDescent="0.2">
      <c r="J3044">
        <v>40007571</v>
      </c>
      <c r="K3044" t="s">
        <v>2767</v>
      </c>
      <c r="L3044">
        <v>4</v>
      </c>
    </row>
    <row r="3045" spans="10:12" x14ac:dyDescent="0.2">
      <c r="J3045">
        <v>40007574</v>
      </c>
      <c r="K3045" t="s">
        <v>2769</v>
      </c>
      <c r="L3045">
        <v>4</v>
      </c>
    </row>
    <row r="3046" spans="10:12" x14ac:dyDescent="0.2">
      <c r="J3046">
        <v>40007575</v>
      </c>
      <c r="K3046" t="s">
        <v>2770</v>
      </c>
      <c r="L3046">
        <v>1</v>
      </c>
    </row>
    <row r="3047" spans="10:12" x14ac:dyDescent="0.2">
      <c r="J3047">
        <v>40007576</v>
      </c>
      <c r="K3047" t="s">
        <v>2771</v>
      </c>
      <c r="L3047">
        <v>3</v>
      </c>
    </row>
    <row r="3048" spans="10:12" x14ac:dyDescent="0.2">
      <c r="J3048">
        <v>40007577</v>
      </c>
      <c r="K3048" t="s">
        <v>2772</v>
      </c>
      <c r="L3048">
        <v>3</v>
      </c>
    </row>
    <row r="3049" spans="10:12" x14ac:dyDescent="0.2">
      <c r="J3049">
        <v>40007578</v>
      </c>
      <c r="K3049" t="s">
        <v>2773</v>
      </c>
      <c r="L3049">
        <v>7</v>
      </c>
    </row>
    <row r="3050" spans="10:12" x14ac:dyDescent="0.2">
      <c r="J3050">
        <v>40007579</v>
      </c>
      <c r="K3050" t="s">
        <v>2774</v>
      </c>
      <c r="L3050">
        <v>5</v>
      </c>
    </row>
    <row r="3051" spans="10:12" x14ac:dyDescent="0.2">
      <c r="J3051">
        <v>40007580</v>
      </c>
      <c r="K3051" t="s">
        <v>2775</v>
      </c>
      <c r="L3051">
        <v>5</v>
      </c>
    </row>
    <row r="3052" spans="10:12" x14ac:dyDescent="0.2">
      <c r="J3052">
        <v>40007581</v>
      </c>
      <c r="K3052" t="s">
        <v>2776</v>
      </c>
      <c r="L3052">
        <v>7</v>
      </c>
    </row>
    <row r="3053" spans="10:12" x14ac:dyDescent="0.2">
      <c r="J3053">
        <v>40007582</v>
      </c>
      <c r="K3053" t="s">
        <v>2777</v>
      </c>
      <c r="L3053">
        <v>2</v>
      </c>
    </row>
    <row r="3054" spans="10:12" x14ac:dyDescent="0.2">
      <c r="J3054">
        <v>40007583</v>
      </c>
      <c r="K3054" t="s">
        <v>2778</v>
      </c>
      <c r="L3054">
        <v>2</v>
      </c>
    </row>
    <row r="3055" spans="10:12" x14ac:dyDescent="0.2">
      <c r="J3055">
        <v>40007584</v>
      </c>
      <c r="K3055" t="s">
        <v>2779</v>
      </c>
      <c r="L3055">
        <v>14</v>
      </c>
    </row>
    <row r="3056" spans="10:12" x14ac:dyDescent="0.2">
      <c r="J3056">
        <v>40007585</v>
      </c>
      <c r="K3056" t="s">
        <v>2780</v>
      </c>
      <c r="L3056">
        <v>9</v>
      </c>
    </row>
    <row r="3057" spans="10:12" x14ac:dyDescent="0.2">
      <c r="J3057">
        <v>40007586</v>
      </c>
      <c r="K3057" t="s">
        <v>2781</v>
      </c>
      <c r="L3057">
        <v>2</v>
      </c>
    </row>
    <row r="3058" spans="10:12" x14ac:dyDescent="0.2">
      <c r="J3058">
        <v>40007587</v>
      </c>
      <c r="K3058" t="s">
        <v>2782</v>
      </c>
      <c r="L3058">
        <v>1</v>
      </c>
    </row>
    <row r="3059" spans="10:12" x14ac:dyDescent="0.2">
      <c r="J3059">
        <v>40007588</v>
      </c>
      <c r="K3059" t="s">
        <v>2783</v>
      </c>
      <c r="L3059">
        <v>10</v>
      </c>
    </row>
    <row r="3060" spans="10:12" x14ac:dyDescent="0.2">
      <c r="J3060">
        <v>40007589</v>
      </c>
      <c r="K3060" t="s">
        <v>2784</v>
      </c>
      <c r="L3060">
        <v>4</v>
      </c>
    </row>
    <row r="3061" spans="10:12" x14ac:dyDescent="0.2">
      <c r="J3061">
        <v>40007590</v>
      </c>
      <c r="K3061" t="s">
        <v>2785</v>
      </c>
      <c r="L3061">
        <v>2</v>
      </c>
    </row>
    <row r="3062" spans="10:12" x14ac:dyDescent="0.2">
      <c r="J3062">
        <v>40007591</v>
      </c>
      <c r="K3062" t="s">
        <v>2786</v>
      </c>
      <c r="L3062">
        <v>3</v>
      </c>
    </row>
    <row r="3063" spans="10:12" x14ac:dyDescent="0.2">
      <c r="J3063">
        <v>40007592</v>
      </c>
      <c r="K3063" t="s">
        <v>2787</v>
      </c>
      <c r="L3063">
        <v>8</v>
      </c>
    </row>
    <row r="3064" spans="10:12" x14ac:dyDescent="0.2">
      <c r="J3064">
        <v>40007593</v>
      </c>
      <c r="K3064" t="s">
        <v>2788</v>
      </c>
      <c r="L3064">
        <v>18</v>
      </c>
    </row>
    <row r="3065" spans="10:12" x14ac:dyDescent="0.2">
      <c r="J3065">
        <v>40007594</v>
      </c>
      <c r="K3065" t="s">
        <v>2789</v>
      </c>
      <c r="L3065">
        <v>8</v>
      </c>
    </row>
    <row r="3066" spans="10:12" x14ac:dyDescent="0.2">
      <c r="J3066">
        <v>40007595</v>
      </c>
      <c r="K3066" t="s">
        <v>2790</v>
      </c>
      <c r="L3066">
        <v>8</v>
      </c>
    </row>
    <row r="3067" spans="10:12" x14ac:dyDescent="0.2">
      <c r="J3067">
        <v>40007597</v>
      </c>
      <c r="K3067" t="s">
        <v>2791</v>
      </c>
      <c r="L3067">
        <v>4</v>
      </c>
    </row>
    <row r="3068" spans="10:12" x14ac:dyDescent="0.2">
      <c r="J3068">
        <v>40007598</v>
      </c>
      <c r="K3068" t="s">
        <v>2792</v>
      </c>
      <c r="L3068">
        <v>3</v>
      </c>
    </row>
    <row r="3069" spans="10:12" x14ac:dyDescent="0.2">
      <c r="J3069">
        <v>40007599</v>
      </c>
      <c r="K3069" t="s">
        <v>2793</v>
      </c>
      <c r="L3069">
        <v>21</v>
      </c>
    </row>
    <row r="3070" spans="10:12" x14ac:dyDescent="0.2">
      <c r="J3070">
        <v>40007600</v>
      </c>
      <c r="K3070" t="s">
        <v>2794</v>
      </c>
      <c r="L3070">
        <v>7</v>
      </c>
    </row>
    <row r="3071" spans="10:12" x14ac:dyDescent="0.2">
      <c r="J3071">
        <v>40007602</v>
      </c>
      <c r="K3071" t="s">
        <v>2795</v>
      </c>
      <c r="L3071">
        <v>3</v>
      </c>
    </row>
    <row r="3072" spans="10:12" x14ac:dyDescent="0.2">
      <c r="J3072">
        <v>40007603</v>
      </c>
      <c r="K3072" t="s">
        <v>2796</v>
      </c>
      <c r="L3072">
        <v>1</v>
      </c>
    </row>
    <row r="3073" spans="10:12" x14ac:dyDescent="0.2">
      <c r="J3073">
        <v>40007605</v>
      </c>
      <c r="K3073" t="s">
        <v>9909</v>
      </c>
      <c r="L3073">
        <v>4</v>
      </c>
    </row>
    <row r="3074" spans="10:12" x14ac:dyDescent="0.2">
      <c r="J3074">
        <v>40007606</v>
      </c>
      <c r="K3074" t="s">
        <v>5400</v>
      </c>
      <c r="L3074">
        <v>3</v>
      </c>
    </row>
    <row r="3075" spans="10:12" x14ac:dyDescent="0.2">
      <c r="J3075">
        <v>40007607</v>
      </c>
      <c r="K3075" t="s">
        <v>2797</v>
      </c>
      <c r="L3075">
        <v>19</v>
      </c>
    </row>
    <row r="3076" spans="10:12" x14ac:dyDescent="0.2">
      <c r="J3076">
        <v>40007608</v>
      </c>
      <c r="K3076" t="s">
        <v>2798</v>
      </c>
      <c r="L3076">
        <v>4</v>
      </c>
    </row>
    <row r="3077" spans="10:12" x14ac:dyDescent="0.2">
      <c r="J3077">
        <v>40007610</v>
      </c>
      <c r="K3077" t="s">
        <v>2799</v>
      </c>
      <c r="L3077">
        <v>1</v>
      </c>
    </row>
    <row r="3078" spans="10:12" x14ac:dyDescent="0.2">
      <c r="J3078">
        <v>40007612</v>
      </c>
      <c r="K3078" t="s">
        <v>2800</v>
      </c>
      <c r="L3078">
        <v>9</v>
      </c>
    </row>
    <row r="3079" spans="10:12" x14ac:dyDescent="0.2">
      <c r="J3079">
        <v>40007613</v>
      </c>
      <c r="K3079" t="s">
        <v>2801</v>
      </c>
      <c r="L3079">
        <v>4</v>
      </c>
    </row>
    <row r="3080" spans="10:12" x14ac:dyDescent="0.2">
      <c r="J3080">
        <v>40007614</v>
      </c>
      <c r="K3080" t="s">
        <v>2802</v>
      </c>
      <c r="L3080">
        <v>4</v>
      </c>
    </row>
    <row r="3081" spans="10:12" x14ac:dyDescent="0.2">
      <c r="J3081">
        <v>40007615</v>
      </c>
      <c r="K3081" t="s">
        <v>2803</v>
      </c>
      <c r="L3081">
        <v>1</v>
      </c>
    </row>
    <row r="3082" spans="10:12" x14ac:dyDescent="0.2">
      <c r="J3082">
        <v>40007617</v>
      </c>
      <c r="K3082" t="s">
        <v>2804</v>
      </c>
      <c r="L3082">
        <v>143</v>
      </c>
    </row>
    <row r="3083" spans="10:12" x14ac:dyDescent="0.2">
      <c r="J3083">
        <v>40007618</v>
      </c>
      <c r="K3083" t="s">
        <v>2805</v>
      </c>
      <c r="L3083">
        <v>13</v>
      </c>
    </row>
    <row r="3084" spans="10:12" x14ac:dyDescent="0.2">
      <c r="J3084">
        <v>40007619</v>
      </c>
      <c r="K3084" t="s">
        <v>2806</v>
      </c>
      <c r="L3084">
        <v>244</v>
      </c>
    </row>
    <row r="3085" spans="10:12" x14ac:dyDescent="0.2">
      <c r="J3085">
        <v>40007621</v>
      </c>
      <c r="K3085" t="s">
        <v>2808</v>
      </c>
      <c r="L3085">
        <v>161</v>
      </c>
    </row>
    <row r="3086" spans="10:12" x14ac:dyDescent="0.2">
      <c r="J3086">
        <v>40007622</v>
      </c>
      <c r="K3086" t="s">
        <v>2809</v>
      </c>
      <c r="L3086">
        <v>4</v>
      </c>
    </row>
    <row r="3087" spans="10:12" x14ac:dyDescent="0.2">
      <c r="J3087">
        <v>40007623</v>
      </c>
      <c r="K3087" t="s">
        <v>2810</v>
      </c>
      <c r="L3087">
        <v>1</v>
      </c>
    </row>
    <row r="3088" spans="10:12" x14ac:dyDescent="0.2">
      <c r="J3088">
        <v>40007625</v>
      </c>
      <c r="K3088" t="s">
        <v>2812</v>
      </c>
      <c r="L3088">
        <v>9</v>
      </c>
    </row>
    <row r="3089" spans="10:12" x14ac:dyDescent="0.2">
      <c r="J3089">
        <v>40007626</v>
      </c>
      <c r="K3089" t="s">
        <v>2813</v>
      </c>
      <c r="L3089">
        <v>20</v>
      </c>
    </row>
    <row r="3090" spans="10:12" x14ac:dyDescent="0.2">
      <c r="J3090">
        <v>40007627</v>
      </c>
      <c r="K3090" t="s">
        <v>2814</v>
      </c>
      <c r="L3090">
        <v>1</v>
      </c>
    </row>
    <row r="3091" spans="10:12" x14ac:dyDescent="0.2">
      <c r="J3091">
        <v>40007628</v>
      </c>
      <c r="K3091" t="s">
        <v>2815</v>
      </c>
      <c r="L3091">
        <v>5</v>
      </c>
    </row>
    <row r="3092" spans="10:12" x14ac:dyDescent="0.2">
      <c r="J3092">
        <v>40007629</v>
      </c>
      <c r="K3092" t="s">
        <v>2816</v>
      </c>
      <c r="L3092">
        <v>1</v>
      </c>
    </row>
    <row r="3093" spans="10:12" x14ac:dyDescent="0.2">
      <c r="J3093">
        <v>40007630</v>
      </c>
      <c r="K3093" t="s">
        <v>2817</v>
      </c>
      <c r="L3093">
        <v>63</v>
      </c>
    </row>
    <row r="3094" spans="10:12" x14ac:dyDescent="0.2">
      <c r="J3094">
        <v>40007631</v>
      </c>
      <c r="K3094" t="s">
        <v>2818</v>
      </c>
      <c r="L3094">
        <v>8</v>
      </c>
    </row>
    <row r="3095" spans="10:12" x14ac:dyDescent="0.2">
      <c r="J3095">
        <v>40007632</v>
      </c>
      <c r="K3095" t="s">
        <v>2819</v>
      </c>
      <c r="L3095">
        <v>13</v>
      </c>
    </row>
    <row r="3096" spans="10:12" x14ac:dyDescent="0.2">
      <c r="J3096">
        <v>40007633</v>
      </c>
      <c r="K3096" t="s">
        <v>2820</v>
      </c>
      <c r="L3096">
        <v>26</v>
      </c>
    </row>
    <row r="3097" spans="10:12" x14ac:dyDescent="0.2">
      <c r="J3097">
        <v>40007634</v>
      </c>
      <c r="K3097" t="s">
        <v>2821</v>
      </c>
      <c r="L3097">
        <v>1</v>
      </c>
    </row>
    <row r="3098" spans="10:12" x14ac:dyDescent="0.2">
      <c r="J3098">
        <v>40007635</v>
      </c>
      <c r="K3098" t="s">
        <v>2822</v>
      </c>
      <c r="L3098">
        <v>13</v>
      </c>
    </row>
    <row r="3099" spans="10:12" x14ac:dyDescent="0.2">
      <c r="J3099">
        <v>40007636</v>
      </c>
      <c r="K3099" t="s">
        <v>2823</v>
      </c>
      <c r="L3099">
        <v>18</v>
      </c>
    </row>
    <row r="3100" spans="10:12" x14ac:dyDescent="0.2">
      <c r="J3100">
        <v>40007637</v>
      </c>
      <c r="K3100" t="s">
        <v>3814</v>
      </c>
      <c r="L3100">
        <v>8</v>
      </c>
    </row>
    <row r="3101" spans="10:12" x14ac:dyDescent="0.2">
      <c r="J3101">
        <v>40007639</v>
      </c>
      <c r="K3101" t="s">
        <v>2824</v>
      </c>
      <c r="L3101">
        <v>1</v>
      </c>
    </row>
    <row r="3102" spans="10:12" x14ac:dyDescent="0.2">
      <c r="J3102">
        <v>40007641</v>
      </c>
      <c r="K3102" t="s">
        <v>2825</v>
      </c>
      <c r="L3102">
        <v>2</v>
      </c>
    </row>
    <row r="3103" spans="10:12" x14ac:dyDescent="0.2">
      <c r="J3103">
        <v>40007642</v>
      </c>
      <c r="K3103" t="s">
        <v>2826</v>
      </c>
      <c r="L3103">
        <v>1</v>
      </c>
    </row>
    <row r="3104" spans="10:12" x14ac:dyDescent="0.2">
      <c r="J3104">
        <v>40007643</v>
      </c>
      <c r="K3104" t="s">
        <v>2827</v>
      </c>
      <c r="L3104">
        <v>27</v>
      </c>
    </row>
    <row r="3105" spans="10:12" x14ac:dyDescent="0.2">
      <c r="J3105">
        <v>40007645</v>
      </c>
      <c r="K3105" t="s">
        <v>2828</v>
      </c>
      <c r="L3105">
        <v>17</v>
      </c>
    </row>
    <row r="3106" spans="10:12" x14ac:dyDescent="0.2">
      <c r="J3106">
        <v>40007646</v>
      </c>
      <c r="K3106" t="s">
        <v>2829</v>
      </c>
      <c r="L3106">
        <v>1</v>
      </c>
    </row>
    <row r="3107" spans="10:12" x14ac:dyDescent="0.2">
      <c r="J3107">
        <v>40007647</v>
      </c>
      <c r="K3107" t="s">
        <v>2830</v>
      </c>
      <c r="L3107">
        <v>34</v>
      </c>
    </row>
    <row r="3108" spans="10:12" x14ac:dyDescent="0.2">
      <c r="J3108">
        <v>40007649</v>
      </c>
      <c r="K3108" t="s">
        <v>2831</v>
      </c>
      <c r="L3108">
        <v>15</v>
      </c>
    </row>
    <row r="3109" spans="10:12" x14ac:dyDescent="0.2">
      <c r="J3109">
        <v>40007650</v>
      </c>
      <c r="K3109" t="s">
        <v>2832</v>
      </c>
      <c r="L3109">
        <v>7</v>
      </c>
    </row>
    <row r="3110" spans="10:12" x14ac:dyDescent="0.2">
      <c r="J3110">
        <v>40007652</v>
      </c>
      <c r="K3110" t="s">
        <v>2833</v>
      </c>
      <c r="L3110">
        <v>54</v>
      </c>
    </row>
    <row r="3111" spans="10:12" x14ac:dyDescent="0.2">
      <c r="J3111">
        <v>40007653</v>
      </c>
      <c r="K3111" t="s">
        <v>2834</v>
      </c>
      <c r="L3111">
        <v>10</v>
      </c>
    </row>
    <row r="3112" spans="10:12" x14ac:dyDescent="0.2">
      <c r="J3112">
        <v>40007654</v>
      </c>
      <c r="K3112" t="s">
        <v>2835</v>
      </c>
      <c r="L3112">
        <v>3</v>
      </c>
    </row>
    <row r="3113" spans="10:12" x14ac:dyDescent="0.2">
      <c r="J3113">
        <v>40007655</v>
      </c>
      <c r="K3113" t="s">
        <v>2836</v>
      </c>
      <c r="L3113">
        <v>1</v>
      </c>
    </row>
    <row r="3114" spans="10:12" x14ac:dyDescent="0.2">
      <c r="J3114">
        <v>40007656</v>
      </c>
      <c r="K3114" t="s">
        <v>3693</v>
      </c>
      <c r="L3114">
        <v>4</v>
      </c>
    </row>
    <row r="3115" spans="10:12" x14ac:dyDescent="0.2">
      <c r="J3115">
        <v>40007657</v>
      </c>
      <c r="K3115" t="s">
        <v>2837</v>
      </c>
      <c r="L3115">
        <v>31</v>
      </c>
    </row>
    <row r="3116" spans="10:12" x14ac:dyDescent="0.2">
      <c r="J3116">
        <v>40007658</v>
      </c>
      <c r="K3116" t="s">
        <v>2838</v>
      </c>
      <c r="L3116">
        <v>60</v>
      </c>
    </row>
    <row r="3117" spans="10:12" x14ac:dyDescent="0.2">
      <c r="J3117">
        <v>40007659</v>
      </c>
      <c r="K3117" t="s">
        <v>5401</v>
      </c>
      <c r="L3117">
        <v>1</v>
      </c>
    </row>
    <row r="3118" spans="10:12" x14ac:dyDescent="0.2">
      <c r="J3118">
        <v>40007660</v>
      </c>
      <c r="K3118" t="s">
        <v>2839</v>
      </c>
      <c r="L3118">
        <v>6</v>
      </c>
    </row>
    <row r="3119" spans="10:12" x14ac:dyDescent="0.2">
      <c r="J3119">
        <v>40007661</v>
      </c>
      <c r="K3119" t="s">
        <v>2840</v>
      </c>
      <c r="L3119">
        <v>20</v>
      </c>
    </row>
    <row r="3120" spans="10:12" x14ac:dyDescent="0.2">
      <c r="J3120">
        <v>40007662</v>
      </c>
      <c r="K3120" t="s">
        <v>2841</v>
      </c>
      <c r="L3120">
        <v>3</v>
      </c>
    </row>
    <row r="3121" spans="10:12" x14ac:dyDescent="0.2">
      <c r="J3121">
        <v>40007663</v>
      </c>
      <c r="K3121" t="s">
        <v>9752</v>
      </c>
      <c r="L3121">
        <v>2</v>
      </c>
    </row>
    <row r="3122" spans="10:12" x14ac:dyDescent="0.2">
      <c r="J3122">
        <v>40007664</v>
      </c>
      <c r="K3122" t="s">
        <v>2842</v>
      </c>
      <c r="L3122">
        <v>10</v>
      </c>
    </row>
    <row r="3123" spans="10:12" x14ac:dyDescent="0.2">
      <c r="J3123">
        <v>40007665</v>
      </c>
      <c r="K3123" t="s">
        <v>2843</v>
      </c>
      <c r="L3123">
        <v>6</v>
      </c>
    </row>
    <row r="3124" spans="10:12" x14ac:dyDescent="0.2">
      <c r="J3124">
        <v>40007666</v>
      </c>
      <c r="K3124" t="s">
        <v>2844</v>
      </c>
      <c r="L3124">
        <v>1</v>
      </c>
    </row>
    <row r="3125" spans="10:12" x14ac:dyDescent="0.2">
      <c r="J3125">
        <v>40007667</v>
      </c>
      <c r="K3125" t="s">
        <v>2845</v>
      </c>
      <c r="L3125">
        <v>3</v>
      </c>
    </row>
    <row r="3126" spans="10:12" x14ac:dyDescent="0.2">
      <c r="J3126">
        <v>40007668</v>
      </c>
      <c r="K3126" t="s">
        <v>2846</v>
      </c>
      <c r="L3126">
        <v>5</v>
      </c>
    </row>
    <row r="3127" spans="10:12" x14ac:dyDescent="0.2">
      <c r="J3127">
        <v>40007669</v>
      </c>
      <c r="K3127" t="s">
        <v>2847</v>
      </c>
      <c r="L3127">
        <v>12</v>
      </c>
    </row>
    <row r="3128" spans="10:12" x14ac:dyDescent="0.2">
      <c r="J3128">
        <v>40007670</v>
      </c>
      <c r="K3128" t="s">
        <v>2848</v>
      </c>
      <c r="L3128">
        <v>4</v>
      </c>
    </row>
    <row r="3129" spans="10:12" x14ac:dyDescent="0.2">
      <c r="J3129">
        <v>40007671</v>
      </c>
      <c r="K3129" t="s">
        <v>2849</v>
      </c>
      <c r="L3129">
        <v>2</v>
      </c>
    </row>
    <row r="3130" spans="10:12" x14ac:dyDescent="0.2">
      <c r="J3130">
        <v>40007672</v>
      </c>
      <c r="K3130" t="s">
        <v>2850</v>
      </c>
      <c r="L3130">
        <v>2</v>
      </c>
    </row>
    <row r="3131" spans="10:12" x14ac:dyDescent="0.2">
      <c r="J3131">
        <v>40007673</v>
      </c>
      <c r="K3131" t="s">
        <v>2851</v>
      </c>
      <c r="L3131">
        <v>4</v>
      </c>
    </row>
    <row r="3132" spans="10:12" x14ac:dyDescent="0.2">
      <c r="J3132">
        <v>40007674</v>
      </c>
      <c r="K3132" t="s">
        <v>2852</v>
      </c>
      <c r="L3132">
        <v>2</v>
      </c>
    </row>
    <row r="3133" spans="10:12" x14ac:dyDescent="0.2">
      <c r="J3133">
        <v>40007675</v>
      </c>
      <c r="K3133" t="s">
        <v>2853</v>
      </c>
      <c r="L3133">
        <v>10</v>
      </c>
    </row>
    <row r="3134" spans="10:12" x14ac:dyDescent="0.2">
      <c r="J3134">
        <v>40007676</v>
      </c>
      <c r="K3134" t="s">
        <v>2854</v>
      </c>
      <c r="L3134">
        <v>2</v>
      </c>
    </row>
    <row r="3135" spans="10:12" x14ac:dyDescent="0.2">
      <c r="J3135">
        <v>40007677</v>
      </c>
      <c r="K3135" t="s">
        <v>2855</v>
      </c>
      <c r="L3135">
        <v>3</v>
      </c>
    </row>
    <row r="3136" spans="10:12" x14ac:dyDescent="0.2">
      <c r="J3136">
        <v>40007678</v>
      </c>
      <c r="K3136" t="s">
        <v>2856</v>
      </c>
      <c r="L3136">
        <v>20</v>
      </c>
    </row>
    <row r="3137" spans="10:12" x14ac:dyDescent="0.2">
      <c r="J3137">
        <v>40007679</v>
      </c>
      <c r="K3137" t="s">
        <v>2857</v>
      </c>
      <c r="L3137">
        <v>4</v>
      </c>
    </row>
    <row r="3138" spans="10:12" x14ac:dyDescent="0.2">
      <c r="J3138">
        <v>40007680</v>
      </c>
      <c r="K3138" t="s">
        <v>2858</v>
      </c>
      <c r="L3138">
        <v>14</v>
      </c>
    </row>
    <row r="3139" spans="10:12" x14ac:dyDescent="0.2">
      <c r="J3139">
        <v>40007681</v>
      </c>
      <c r="K3139" t="s">
        <v>2859</v>
      </c>
      <c r="L3139">
        <v>6</v>
      </c>
    </row>
    <row r="3140" spans="10:12" x14ac:dyDescent="0.2">
      <c r="J3140">
        <v>40007682</v>
      </c>
      <c r="K3140" t="s">
        <v>2860</v>
      </c>
      <c r="L3140">
        <v>6</v>
      </c>
    </row>
    <row r="3141" spans="10:12" x14ac:dyDescent="0.2">
      <c r="J3141">
        <v>40007683</v>
      </c>
      <c r="K3141" t="s">
        <v>2861</v>
      </c>
      <c r="L3141">
        <v>8</v>
      </c>
    </row>
    <row r="3142" spans="10:12" x14ac:dyDescent="0.2">
      <c r="J3142">
        <v>40007684</v>
      </c>
      <c r="K3142" t="s">
        <v>2862</v>
      </c>
      <c r="L3142">
        <v>5</v>
      </c>
    </row>
    <row r="3143" spans="10:12" x14ac:dyDescent="0.2">
      <c r="J3143">
        <v>40007685</v>
      </c>
      <c r="K3143" t="s">
        <v>2863</v>
      </c>
      <c r="L3143">
        <v>32</v>
      </c>
    </row>
    <row r="3144" spans="10:12" x14ac:dyDescent="0.2">
      <c r="J3144">
        <v>40007686</v>
      </c>
      <c r="K3144" t="s">
        <v>2864</v>
      </c>
      <c r="L3144">
        <v>1</v>
      </c>
    </row>
    <row r="3145" spans="10:12" x14ac:dyDescent="0.2">
      <c r="J3145">
        <v>40007687</v>
      </c>
      <c r="K3145" t="s">
        <v>2865</v>
      </c>
      <c r="L3145">
        <v>1</v>
      </c>
    </row>
    <row r="3146" spans="10:12" x14ac:dyDescent="0.2">
      <c r="J3146">
        <v>40007688</v>
      </c>
      <c r="K3146" t="s">
        <v>2866</v>
      </c>
      <c r="L3146">
        <v>7</v>
      </c>
    </row>
    <row r="3147" spans="10:12" x14ac:dyDescent="0.2">
      <c r="J3147">
        <v>40007689</v>
      </c>
      <c r="K3147" t="s">
        <v>2867</v>
      </c>
      <c r="L3147">
        <v>7</v>
      </c>
    </row>
    <row r="3148" spans="10:12" x14ac:dyDescent="0.2">
      <c r="J3148">
        <v>40007690</v>
      </c>
      <c r="K3148" t="s">
        <v>2868</v>
      </c>
      <c r="L3148">
        <v>18</v>
      </c>
    </row>
    <row r="3149" spans="10:12" x14ac:dyDescent="0.2">
      <c r="J3149">
        <v>40007691</v>
      </c>
      <c r="K3149" t="s">
        <v>2869</v>
      </c>
      <c r="L3149">
        <v>10</v>
      </c>
    </row>
    <row r="3150" spans="10:12" x14ac:dyDescent="0.2">
      <c r="J3150">
        <v>40007692</v>
      </c>
      <c r="K3150" t="s">
        <v>2870</v>
      </c>
      <c r="L3150">
        <v>6</v>
      </c>
    </row>
    <row r="3151" spans="10:12" x14ac:dyDescent="0.2">
      <c r="J3151">
        <v>40007693</v>
      </c>
      <c r="K3151" t="s">
        <v>2871</v>
      </c>
      <c r="L3151">
        <v>10</v>
      </c>
    </row>
    <row r="3152" spans="10:12" x14ac:dyDescent="0.2">
      <c r="J3152">
        <v>40007695</v>
      </c>
      <c r="K3152" t="s">
        <v>2872</v>
      </c>
      <c r="L3152">
        <v>2</v>
      </c>
    </row>
    <row r="3153" spans="10:12" x14ac:dyDescent="0.2">
      <c r="J3153">
        <v>40007696</v>
      </c>
      <c r="K3153" t="s">
        <v>2873</v>
      </c>
      <c r="L3153">
        <v>3</v>
      </c>
    </row>
    <row r="3154" spans="10:12" x14ac:dyDescent="0.2">
      <c r="J3154">
        <v>40007697</v>
      </c>
      <c r="K3154" t="s">
        <v>2874</v>
      </c>
      <c r="L3154">
        <v>2</v>
      </c>
    </row>
    <row r="3155" spans="10:12" x14ac:dyDescent="0.2">
      <c r="J3155">
        <v>40007698</v>
      </c>
      <c r="K3155" t="s">
        <v>2875</v>
      </c>
      <c r="L3155">
        <v>3</v>
      </c>
    </row>
    <row r="3156" spans="10:12" x14ac:dyDescent="0.2">
      <c r="J3156">
        <v>40007699</v>
      </c>
      <c r="K3156" t="s">
        <v>2876</v>
      </c>
      <c r="L3156">
        <v>5</v>
      </c>
    </row>
    <row r="3157" spans="10:12" x14ac:dyDescent="0.2">
      <c r="J3157">
        <v>40007700</v>
      </c>
      <c r="K3157" t="s">
        <v>2877</v>
      </c>
      <c r="L3157">
        <v>1</v>
      </c>
    </row>
    <row r="3158" spans="10:12" x14ac:dyDescent="0.2">
      <c r="J3158">
        <v>40007702</v>
      </c>
      <c r="K3158" t="s">
        <v>2878</v>
      </c>
      <c r="L3158">
        <v>5</v>
      </c>
    </row>
    <row r="3159" spans="10:12" x14ac:dyDescent="0.2">
      <c r="J3159">
        <v>40007703</v>
      </c>
      <c r="K3159" t="s">
        <v>2879</v>
      </c>
      <c r="L3159">
        <v>1</v>
      </c>
    </row>
    <row r="3160" spans="10:12" x14ac:dyDescent="0.2">
      <c r="J3160">
        <v>40007704</v>
      </c>
      <c r="K3160" t="s">
        <v>2880</v>
      </c>
      <c r="L3160">
        <v>2</v>
      </c>
    </row>
    <row r="3161" spans="10:12" x14ac:dyDescent="0.2">
      <c r="J3161">
        <v>40007705</v>
      </c>
      <c r="K3161" t="s">
        <v>2881</v>
      </c>
      <c r="L3161">
        <v>4</v>
      </c>
    </row>
    <row r="3162" spans="10:12" x14ac:dyDescent="0.2">
      <c r="J3162">
        <v>40007706</v>
      </c>
      <c r="K3162" t="s">
        <v>2882</v>
      </c>
      <c r="L3162">
        <v>12</v>
      </c>
    </row>
    <row r="3163" spans="10:12" x14ac:dyDescent="0.2">
      <c r="J3163">
        <v>40007707</v>
      </c>
      <c r="K3163" t="s">
        <v>2883</v>
      </c>
      <c r="L3163">
        <v>1</v>
      </c>
    </row>
    <row r="3164" spans="10:12" x14ac:dyDescent="0.2">
      <c r="J3164">
        <v>40007708</v>
      </c>
      <c r="K3164" t="s">
        <v>2884</v>
      </c>
      <c r="L3164">
        <v>2</v>
      </c>
    </row>
    <row r="3165" spans="10:12" x14ac:dyDescent="0.2">
      <c r="J3165">
        <v>40007709</v>
      </c>
      <c r="K3165" t="s">
        <v>2885</v>
      </c>
      <c r="L3165">
        <v>4</v>
      </c>
    </row>
    <row r="3166" spans="10:12" x14ac:dyDescent="0.2">
      <c r="J3166">
        <v>40007710</v>
      </c>
      <c r="K3166" t="s">
        <v>2886</v>
      </c>
      <c r="L3166">
        <v>1</v>
      </c>
    </row>
    <row r="3167" spans="10:12" x14ac:dyDescent="0.2">
      <c r="J3167">
        <v>40007712</v>
      </c>
      <c r="K3167" t="s">
        <v>2888</v>
      </c>
      <c r="L3167">
        <v>4</v>
      </c>
    </row>
    <row r="3168" spans="10:12" x14ac:dyDescent="0.2">
      <c r="J3168">
        <v>40007713</v>
      </c>
      <c r="K3168" t="s">
        <v>2889</v>
      </c>
      <c r="L3168">
        <v>1</v>
      </c>
    </row>
    <row r="3169" spans="10:12" x14ac:dyDescent="0.2">
      <c r="J3169">
        <v>40007714</v>
      </c>
      <c r="K3169" t="s">
        <v>2890</v>
      </c>
      <c r="L3169">
        <v>6</v>
      </c>
    </row>
    <row r="3170" spans="10:12" x14ac:dyDescent="0.2">
      <c r="J3170">
        <v>40007715</v>
      </c>
      <c r="K3170" t="s">
        <v>2891</v>
      </c>
      <c r="L3170">
        <v>10</v>
      </c>
    </row>
    <row r="3171" spans="10:12" x14ac:dyDescent="0.2">
      <c r="J3171">
        <v>40007717</v>
      </c>
      <c r="K3171" t="s">
        <v>2892</v>
      </c>
      <c r="L3171">
        <v>9</v>
      </c>
    </row>
    <row r="3172" spans="10:12" x14ac:dyDescent="0.2">
      <c r="J3172">
        <v>40007718</v>
      </c>
      <c r="K3172" t="s">
        <v>2893</v>
      </c>
      <c r="L3172">
        <v>16</v>
      </c>
    </row>
    <row r="3173" spans="10:12" x14ac:dyDescent="0.2">
      <c r="J3173">
        <v>40007719</v>
      </c>
      <c r="K3173" t="s">
        <v>2894</v>
      </c>
      <c r="L3173">
        <v>9</v>
      </c>
    </row>
    <row r="3174" spans="10:12" x14ac:dyDescent="0.2">
      <c r="J3174">
        <v>40007720</v>
      </c>
      <c r="K3174" t="s">
        <v>2895</v>
      </c>
      <c r="L3174">
        <v>4</v>
      </c>
    </row>
    <row r="3175" spans="10:12" x14ac:dyDescent="0.2">
      <c r="J3175">
        <v>40007721</v>
      </c>
      <c r="K3175" t="s">
        <v>2896</v>
      </c>
      <c r="L3175">
        <v>8</v>
      </c>
    </row>
    <row r="3176" spans="10:12" x14ac:dyDescent="0.2">
      <c r="J3176">
        <v>40007722</v>
      </c>
      <c r="K3176" t="s">
        <v>2897</v>
      </c>
      <c r="L3176">
        <v>5</v>
      </c>
    </row>
    <row r="3177" spans="10:12" x14ac:dyDescent="0.2">
      <c r="J3177">
        <v>40007723</v>
      </c>
      <c r="K3177" t="s">
        <v>2898</v>
      </c>
      <c r="L3177">
        <v>28</v>
      </c>
    </row>
    <row r="3178" spans="10:12" x14ac:dyDescent="0.2">
      <c r="J3178">
        <v>40007724</v>
      </c>
      <c r="K3178" t="s">
        <v>2899</v>
      </c>
      <c r="L3178">
        <v>17</v>
      </c>
    </row>
    <row r="3179" spans="10:12" x14ac:dyDescent="0.2">
      <c r="J3179">
        <v>40007725</v>
      </c>
      <c r="K3179" t="s">
        <v>2900</v>
      </c>
      <c r="L3179">
        <v>1</v>
      </c>
    </row>
    <row r="3180" spans="10:12" x14ac:dyDescent="0.2">
      <c r="J3180">
        <v>40007726</v>
      </c>
      <c r="K3180" t="s">
        <v>2901</v>
      </c>
      <c r="L3180">
        <v>1</v>
      </c>
    </row>
    <row r="3181" spans="10:12" x14ac:dyDescent="0.2">
      <c r="J3181">
        <v>40007727</v>
      </c>
      <c r="K3181" t="s">
        <v>2902</v>
      </c>
      <c r="L3181">
        <v>2</v>
      </c>
    </row>
    <row r="3182" spans="10:12" x14ac:dyDescent="0.2">
      <c r="J3182">
        <v>40007728</v>
      </c>
      <c r="K3182" t="s">
        <v>2903</v>
      </c>
      <c r="L3182">
        <v>1</v>
      </c>
    </row>
    <row r="3183" spans="10:12" x14ac:dyDescent="0.2">
      <c r="J3183">
        <v>40007729</v>
      </c>
      <c r="K3183" t="s">
        <v>2904</v>
      </c>
      <c r="L3183">
        <v>10</v>
      </c>
    </row>
    <row r="3184" spans="10:12" x14ac:dyDescent="0.2">
      <c r="J3184">
        <v>40007730</v>
      </c>
      <c r="K3184" t="s">
        <v>2905</v>
      </c>
      <c r="L3184">
        <v>1</v>
      </c>
    </row>
    <row r="3185" spans="10:12" x14ac:dyDescent="0.2">
      <c r="J3185">
        <v>40007731</v>
      </c>
      <c r="K3185" t="s">
        <v>2906</v>
      </c>
      <c r="L3185">
        <v>1</v>
      </c>
    </row>
    <row r="3186" spans="10:12" x14ac:dyDescent="0.2">
      <c r="J3186">
        <v>40007732</v>
      </c>
      <c r="K3186" t="s">
        <v>2907</v>
      </c>
      <c r="L3186">
        <v>29</v>
      </c>
    </row>
    <row r="3187" spans="10:12" x14ac:dyDescent="0.2">
      <c r="J3187">
        <v>40007733</v>
      </c>
      <c r="K3187" t="s">
        <v>2908</v>
      </c>
      <c r="L3187">
        <v>3</v>
      </c>
    </row>
    <row r="3188" spans="10:12" x14ac:dyDescent="0.2">
      <c r="J3188">
        <v>40007734</v>
      </c>
      <c r="K3188" t="s">
        <v>2909</v>
      </c>
      <c r="L3188">
        <v>4</v>
      </c>
    </row>
    <row r="3189" spans="10:12" x14ac:dyDescent="0.2">
      <c r="J3189">
        <v>40007735</v>
      </c>
      <c r="K3189" t="s">
        <v>2910</v>
      </c>
      <c r="L3189">
        <v>4</v>
      </c>
    </row>
    <row r="3190" spans="10:12" x14ac:dyDescent="0.2">
      <c r="J3190">
        <v>40007736</v>
      </c>
      <c r="K3190" t="s">
        <v>2911</v>
      </c>
      <c r="L3190">
        <v>7</v>
      </c>
    </row>
    <row r="3191" spans="10:12" x14ac:dyDescent="0.2">
      <c r="J3191">
        <v>40007737</v>
      </c>
      <c r="K3191" t="s">
        <v>2912</v>
      </c>
      <c r="L3191">
        <v>5</v>
      </c>
    </row>
    <row r="3192" spans="10:12" x14ac:dyDescent="0.2">
      <c r="J3192">
        <v>40007738</v>
      </c>
      <c r="K3192" t="s">
        <v>2913</v>
      </c>
      <c r="L3192">
        <v>7</v>
      </c>
    </row>
    <row r="3193" spans="10:12" x14ac:dyDescent="0.2">
      <c r="J3193">
        <v>40007740</v>
      </c>
      <c r="K3193" t="s">
        <v>2915</v>
      </c>
      <c r="L3193">
        <v>3</v>
      </c>
    </row>
    <row r="3194" spans="10:12" x14ac:dyDescent="0.2">
      <c r="J3194">
        <v>40007742</v>
      </c>
      <c r="K3194" t="s">
        <v>2917</v>
      </c>
      <c r="L3194">
        <v>105</v>
      </c>
    </row>
    <row r="3195" spans="10:12" x14ac:dyDescent="0.2">
      <c r="J3195">
        <v>40007743</v>
      </c>
      <c r="K3195" t="s">
        <v>2918</v>
      </c>
      <c r="L3195">
        <v>7</v>
      </c>
    </row>
    <row r="3196" spans="10:12" x14ac:dyDescent="0.2">
      <c r="J3196">
        <v>40007744</v>
      </c>
      <c r="K3196" t="s">
        <v>2919</v>
      </c>
      <c r="L3196">
        <v>41</v>
      </c>
    </row>
    <row r="3197" spans="10:12" x14ac:dyDescent="0.2">
      <c r="J3197">
        <v>40007745</v>
      </c>
      <c r="K3197" t="s">
        <v>2920</v>
      </c>
      <c r="L3197">
        <v>2</v>
      </c>
    </row>
    <row r="3198" spans="10:12" x14ac:dyDescent="0.2">
      <c r="J3198">
        <v>40007746</v>
      </c>
      <c r="K3198" t="s">
        <v>2921</v>
      </c>
      <c r="L3198">
        <v>25</v>
      </c>
    </row>
    <row r="3199" spans="10:12" x14ac:dyDescent="0.2">
      <c r="J3199">
        <v>40007747</v>
      </c>
      <c r="K3199" t="s">
        <v>2922</v>
      </c>
      <c r="L3199">
        <v>4</v>
      </c>
    </row>
    <row r="3200" spans="10:12" x14ac:dyDescent="0.2">
      <c r="J3200">
        <v>40007750</v>
      </c>
      <c r="K3200" t="s">
        <v>2924</v>
      </c>
      <c r="L3200">
        <v>3</v>
      </c>
    </row>
    <row r="3201" spans="10:12" x14ac:dyDescent="0.2">
      <c r="J3201">
        <v>40007751</v>
      </c>
      <c r="K3201" t="s">
        <v>2925</v>
      </c>
      <c r="L3201">
        <v>6</v>
      </c>
    </row>
    <row r="3202" spans="10:12" x14ac:dyDescent="0.2">
      <c r="J3202">
        <v>40007752</v>
      </c>
      <c r="K3202" t="s">
        <v>2926</v>
      </c>
      <c r="L3202">
        <v>28</v>
      </c>
    </row>
    <row r="3203" spans="10:12" x14ac:dyDescent="0.2">
      <c r="J3203">
        <v>40007753</v>
      </c>
      <c r="K3203" t="s">
        <v>2927</v>
      </c>
      <c r="L3203">
        <v>94</v>
      </c>
    </row>
    <row r="3204" spans="10:12" x14ac:dyDescent="0.2">
      <c r="J3204">
        <v>40007754</v>
      </c>
      <c r="K3204" t="s">
        <v>3832</v>
      </c>
      <c r="L3204">
        <v>2</v>
      </c>
    </row>
    <row r="3205" spans="10:12" x14ac:dyDescent="0.2">
      <c r="J3205">
        <v>40007756</v>
      </c>
      <c r="K3205" t="s">
        <v>2928</v>
      </c>
      <c r="L3205">
        <v>24</v>
      </c>
    </row>
    <row r="3206" spans="10:12" x14ac:dyDescent="0.2">
      <c r="J3206">
        <v>40007757</v>
      </c>
      <c r="K3206" t="s">
        <v>2929</v>
      </c>
      <c r="L3206">
        <v>11</v>
      </c>
    </row>
    <row r="3207" spans="10:12" x14ac:dyDescent="0.2">
      <c r="J3207">
        <v>40007758</v>
      </c>
      <c r="K3207" t="s">
        <v>2930</v>
      </c>
      <c r="L3207">
        <v>3</v>
      </c>
    </row>
    <row r="3208" spans="10:12" x14ac:dyDescent="0.2">
      <c r="J3208">
        <v>40007759</v>
      </c>
      <c r="K3208" t="s">
        <v>2931</v>
      </c>
      <c r="L3208">
        <v>3</v>
      </c>
    </row>
    <row r="3209" spans="10:12" x14ac:dyDescent="0.2">
      <c r="J3209">
        <v>40007760</v>
      </c>
      <c r="K3209" t="s">
        <v>2932</v>
      </c>
      <c r="L3209">
        <v>11</v>
      </c>
    </row>
    <row r="3210" spans="10:12" x14ac:dyDescent="0.2">
      <c r="J3210">
        <v>40007761</v>
      </c>
      <c r="K3210" t="s">
        <v>2933</v>
      </c>
      <c r="L3210">
        <v>2</v>
      </c>
    </row>
    <row r="3211" spans="10:12" x14ac:dyDescent="0.2">
      <c r="J3211">
        <v>40007762</v>
      </c>
      <c r="K3211" t="s">
        <v>2934</v>
      </c>
      <c r="L3211">
        <v>12</v>
      </c>
    </row>
    <row r="3212" spans="10:12" x14ac:dyDescent="0.2">
      <c r="J3212">
        <v>40007763</v>
      </c>
      <c r="K3212" t="s">
        <v>2935</v>
      </c>
      <c r="L3212">
        <v>11</v>
      </c>
    </row>
    <row r="3213" spans="10:12" x14ac:dyDescent="0.2">
      <c r="J3213">
        <v>40007764</v>
      </c>
      <c r="K3213" t="s">
        <v>2936</v>
      </c>
      <c r="L3213">
        <v>16</v>
      </c>
    </row>
    <row r="3214" spans="10:12" x14ac:dyDescent="0.2">
      <c r="J3214">
        <v>40007765</v>
      </c>
      <c r="K3214" t="s">
        <v>2937</v>
      </c>
      <c r="L3214">
        <v>5</v>
      </c>
    </row>
    <row r="3215" spans="10:12" x14ac:dyDescent="0.2">
      <c r="J3215">
        <v>40007766</v>
      </c>
      <c r="K3215" t="s">
        <v>2938</v>
      </c>
      <c r="L3215">
        <v>10</v>
      </c>
    </row>
    <row r="3216" spans="10:12" x14ac:dyDescent="0.2">
      <c r="J3216">
        <v>40007767</v>
      </c>
      <c r="K3216" t="s">
        <v>2939</v>
      </c>
      <c r="L3216">
        <v>8</v>
      </c>
    </row>
    <row r="3217" spans="10:12" x14ac:dyDescent="0.2">
      <c r="J3217">
        <v>40007768</v>
      </c>
      <c r="K3217" t="s">
        <v>2940</v>
      </c>
      <c r="L3217">
        <v>8</v>
      </c>
    </row>
    <row r="3218" spans="10:12" x14ac:dyDescent="0.2">
      <c r="J3218">
        <v>40007769</v>
      </c>
      <c r="K3218" t="s">
        <v>2941</v>
      </c>
      <c r="L3218">
        <v>5</v>
      </c>
    </row>
    <row r="3219" spans="10:12" x14ac:dyDescent="0.2">
      <c r="J3219">
        <v>40007770</v>
      </c>
      <c r="K3219" t="s">
        <v>3833</v>
      </c>
      <c r="L3219">
        <v>6</v>
      </c>
    </row>
    <row r="3220" spans="10:12" x14ac:dyDescent="0.2">
      <c r="J3220">
        <v>40007771</v>
      </c>
      <c r="K3220" t="s">
        <v>2942</v>
      </c>
      <c r="L3220">
        <v>30</v>
      </c>
    </row>
    <row r="3221" spans="10:12" x14ac:dyDescent="0.2">
      <c r="J3221">
        <v>40007772</v>
      </c>
      <c r="K3221" t="s">
        <v>2943</v>
      </c>
      <c r="L3221">
        <v>6</v>
      </c>
    </row>
    <row r="3222" spans="10:12" x14ac:dyDescent="0.2">
      <c r="J3222">
        <v>40007773</v>
      </c>
      <c r="K3222" t="s">
        <v>2944</v>
      </c>
      <c r="L3222">
        <v>1</v>
      </c>
    </row>
    <row r="3223" spans="10:12" x14ac:dyDescent="0.2">
      <c r="J3223">
        <v>40007774</v>
      </c>
      <c r="K3223" t="s">
        <v>2945</v>
      </c>
      <c r="L3223">
        <v>1</v>
      </c>
    </row>
    <row r="3224" spans="10:12" x14ac:dyDescent="0.2">
      <c r="J3224">
        <v>40007775</v>
      </c>
      <c r="K3224" t="s">
        <v>2946</v>
      </c>
      <c r="L3224">
        <v>1</v>
      </c>
    </row>
    <row r="3225" spans="10:12" x14ac:dyDescent="0.2">
      <c r="J3225">
        <v>40007776</v>
      </c>
      <c r="K3225" t="s">
        <v>2947</v>
      </c>
      <c r="L3225">
        <v>3</v>
      </c>
    </row>
    <row r="3226" spans="10:12" x14ac:dyDescent="0.2">
      <c r="J3226">
        <v>40007777</v>
      </c>
      <c r="K3226" t="s">
        <v>2948</v>
      </c>
      <c r="L3226">
        <v>1</v>
      </c>
    </row>
    <row r="3227" spans="10:12" x14ac:dyDescent="0.2">
      <c r="J3227">
        <v>40007778</v>
      </c>
      <c r="K3227" t="s">
        <v>2949</v>
      </c>
      <c r="L3227">
        <v>13</v>
      </c>
    </row>
    <row r="3228" spans="10:12" x14ac:dyDescent="0.2">
      <c r="J3228">
        <v>40007779</v>
      </c>
      <c r="K3228" t="s">
        <v>2950</v>
      </c>
      <c r="L3228">
        <v>9</v>
      </c>
    </row>
    <row r="3229" spans="10:12" x14ac:dyDescent="0.2">
      <c r="J3229">
        <v>40007780</v>
      </c>
      <c r="K3229" t="s">
        <v>2951</v>
      </c>
      <c r="L3229">
        <v>2</v>
      </c>
    </row>
    <row r="3230" spans="10:12" x14ac:dyDescent="0.2">
      <c r="J3230">
        <v>40007781</v>
      </c>
      <c r="K3230" t="s">
        <v>2952</v>
      </c>
      <c r="L3230">
        <v>3</v>
      </c>
    </row>
    <row r="3231" spans="10:12" x14ac:dyDescent="0.2">
      <c r="J3231">
        <v>40007782</v>
      </c>
      <c r="K3231" t="s">
        <v>2953</v>
      </c>
      <c r="L3231">
        <v>8</v>
      </c>
    </row>
    <row r="3232" spans="10:12" x14ac:dyDescent="0.2">
      <c r="J3232">
        <v>40007783</v>
      </c>
      <c r="K3232" t="s">
        <v>2954</v>
      </c>
      <c r="L3232">
        <v>14</v>
      </c>
    </row>
    <row r="3233" spans="10:12" x14ac:dyDescent="0.2">
      <c r="J3233">
        <v>40007784</v>
      </c>
      <c r="K3233" t="s">
        <v>2955</v>
      </c>
      <c r="L3233">
        <v>11</v>
      </c>
    </row>
    <row r="3234" spans="10:12" x14ac:dyDescent="0.2">
      <c r="J3234">
        <v>40007785</v>
      </c>
      <c r="K3234" t="s">
        <v>2956</v>
      </c>
      <c r="L3234">
        <v>6</v>
      </c>
    </row>
    <row r="3235" spans="10:12" x14ac:dyDescent="0.2">
      <c r="J3235">
        <v>40007786</v>
      </c>
      <c r="K3235" t="s">
        <v>2957</v>
      </c>
      <c r="L3235">
        <v>2</v>
      </c>
    </row>
    <row r="3236" spans="10:12" x14ac:dyDescent="0.2">
      <c r="J3236">
        <v>40007787</v>
      </c>
      <c r="K3236" t="s">
        <v>2958</v>
      </c>
      <c r="L3236">
        <v>2</v>
      </c>
    </row>
    <row r="3237" spans="10:12" x14ac:dyDescent="0.2">
      <c r="J3237">
        <v>40007788</v>
      </c>
      <c r="K3237" t="s">
        <v>2959</v>
      </c>
      <c r="L3237">
        <v>1</v>
      </c>
    </row>
    <row r="3238" spans="10:12" x14ac:dyDescent="0.2">
      <c r="J3238">
        <v>40007789</v>
      </c>
      <c r="K3238" t="s">
        <v>2960</v>
      </c>
      <c r="L3238">
        <v>6</v>
      </c>
    </row>
    <row r="3239" spans="10:12" x14ac:dyDescent="0.2">
      <c r="J3239">
        <v>40007790</v>
      </c>
      <c r="K3239" t="s">
        <v>2961</v>
      </c>
      <c r="L3239">
        <v>18</v>
      </c>
    </row>
    <row r="3240" spans="10:12" x14ac:dyDescent="0.2">
      <c r="J3240">
        <v>40007791</v>
      </c>
      <c r="K3240" t="s">
        <v>2962</v>
      </c>
      <c r="L3240">
        <v>9</v>
      </c>
    </row>
    <row r="3241" spans="10:12" x14ac:dyDescent="0.2">
      <c r="J3241">
        <v>40007792</v>
      </c>
      <c r="K3241" t="s">
        <v>2963</v>
      </c>
      <c r="L3241">
        <v>8</v>
      </c>
    </row>
    <row r="3242" spans="10:12" x14ac:dyDescent="0.2">
      <c r="J3242">
        <v>40007793</v>
      </c>
      <c r="K3242" t="s">
        <v>2964</v>
      </c>
      <c r="L3242">
        <v>2</v>
      </c>
    </row>
    <row r="3243" spans="10:12" x14ac:dyDescent="0.2">
      <c r="J3243">
        <v>40007794</v>
      </c>
      <c r="K3243" t="s">
        <v>2965</v>
      </c>
      <c r="L3243">
        <v>5</v>
      </c>
    </row>
    <row r="3244" spans="10:12" x14ac:dyDescent="0.2">
      <c r="J3244">
        <v>40007795</v>
      </c>
      <c r="K3244" t="s">
        <v>2966</v>
      </c>
      <c r="L3244">
        <v>63</v>
      </c>
    </row>
    <row r="3245" spans="10:12" x14ac:dyDescent="0.2">
      <c r="J3245">
        <v>40007796</v>
      </c>
      <c r="K3245" t="s">
        <v>2967</v>
      </c>
      <c r="L3245">
        <v>272</v>
      </c>
    </row>
    <row r="3246" spans="10:12" x14ac:dyDescent="0.2">
      <c r="J3246">
        <v>40007797</v>
      </c>
      <c r="K3246" t="s">
        <v>2968</v>
      </c>
      <c r="L3246">
        <v>186</v>
      </c>
    </row>
    <row r="3247" spans="10:12" x14ac:dyDescent="0.2">
      <c r="J3247">
        <v>40007799</v>
      </c>
      <c r="K3247" t="s">
        <v>2969</v>
      </c>
      <c r="L3247">
        <v>29</v>
      </c>
    </row>
    <row r="3248" spans="10:12" x14ac:dyDescent="0.2">
      <c r="J3248">
        <v>40007800</v>
      </c>
      <c r="K3248" t="s">
        <v>2970</v>
      </c>
      <c r="L3248">
        <v>459</v>
      </c>
    </row>
    <row r="3249" spans="10:12" x14ac:dyDescent="0.2">
      <c r="J3249">
        <v>40007801</v>
      </c>
      <c r="K3249" t="s">
        <v>2971</v>
      </c>
      <c r="L3249">
        <v>12</v>
      </c>
    </row>
    <row r="3250" spans="10:12" x14ac:dyDescent="0.2">
      <c r="J3250">
        <v>40007802</v>
      </c>
      <c r="K3250" t="s">
        <v>2972</v>
      </c>
      <c r="L3250">
        <v>7</v>
      </c>
    </row>
    <row r="3251" spans="10:12" x14ac:dyDescent="0.2">
      <c r="J3251">
        <v>40007803</v>
      </c>
      <c r="K3251" t="s">
        <v>2973</v>
      </c>
      <c r="L3251">
        <v>5</v>
      </c>
    </row>
    <row r="3252" spans="10:12" x14ac:dyDescent="0.2">
      <c r="J3252">
        <v>40007804</v>
      </c>
      <c r="K3252" t="s">
        <v>2974</v>
      </c>
      <c r="L3252">
        <v>118</v>
      </c>
    </row>
    <row r="3253" spans="10:12" x14ac:dyDescent="0.2">
      <c r="J3253">
        <v>40007805</v>
      </c>
      <c r="K3253" t="s">
        <v>3820</v>
      </c>
      <c r="L3253">
        <v>6</v>
      </c>
    </row>
    <row r="3254" spans="10:12" x14ac:dyDescent="0.2">
      <c r="J3254">
        <v>40007806</v>
      </c>
      <c r="K3254" t="s">
        <v>2975</v>
      </c>
      <c r="L3254">
        <v>48</v>
      </c>
    </row>
    <row r="3255" spans="10:12" x14ac:dyDescent="0.2">
      <c r="J3255">
        <v>40007807</v>
      </c>
      <c r="K3255" t="s">
        <v>2976</v>
      </c>
      <c r="L3255">
        <v>3</v>
      </c>
    </row>
    <row r="3256" spans="10:12" x14ac:dyDescent="0.2">
      <c r="J3256">
        <v>40007808</v>
      </c>
      <c r="K3256" t="s">
        <v>2977</v>
      </c>
      <c r="L3256">
        <v>33</v>
      </c>
    </row>
    <row r="3257" spans="10:12" x14ac:dyDescent="0.2">
      <c r="J3257">
        <v>40007810</v>
      </c>
      <c r="K3257" t="s">
        <v>2978</v>
      </c>
      <c r="L3257">
        <v>68</v>
      </c>
    </row>
    <row r="3258" spans="10:12" x14ac:dyDescent="0.2">
      <c r="J3258">
        <v>40007811</v>
      </c>
      <c r="K3258" t="s">
        <v>2979</v>
      </c>
      <c r="L3258">
        <v>20</v>
      </c>
    </row>
    <row r="3259" spans="10:12" x14ac:dyDescent="0.2">
      <c r="J3259">
        <v>40007812</v>
      </c>
      <c r="K3259" t="s">
        <v>2980</v>
      </c>
      <c r="L3259">
        <v>65</v>
      </c>
    </row>
    <row r="3260" spans="10:12" x14ac:dyDescent="0.2">
      <c r="J3260">
        <v>40007814</v>
      </c>
      <c r="K3260" t="s">
        <v>2981</v>
      </c>
      <c r="L3260">
        <v>7</v>
      </c>
    </row>
    <row r="3261" spans="10:12" x14ac:dyDescent="0.2">
      <c r="J3261">
        <v>40007815</v>
      </c>
      <c r="K3261" t="s">
        <v>10649</v>
      </c>
      <c r="L3261">
        <v>2</v>
      </c>
    </row>
    <row r="3262" spans="10:12" x14ac:dyDescent="0.2">
      <c r="J3262">
        <v>40007816</v>
      </c>
      <c r="K3262" t="s">
        <v>10650</v>
      </c>
      <c r="L3262">
        <v>183</v>
      </c>
    </row>
    <row r="3263" spans="10:12" x14ac:dyDescent="0.2">
      <c r="J3263">
        <v>40007817</v>
      </c>
      <c r="K3263" t="s">
        <v>2982</v>
      </c>
      <c r="L3263">
        <v>5</v>
      </c>
    </row>
    <row r="3264" spans="10:12" x14ac:dyDescent="0.2">
      <c r="J3264">
        <v>40007818</v>
      </c>
      <c r="K3264" t="s">
        <v>2983</v>
      </c>
      <c r="L3264">
        <v>50</v>
      </c>
    </row>
    <row r="3265" spans="10:12" x14ac:dyDescent="0.2">
      <c r="J3265">
        <v>40007819</v>
      </c>
      <c r="K3265" t="s">
        <v>2984</v>
      </c>
      <c r="L3265">
        <v>7</v>
      </c>
    </row>
    <row r="3266" spans="10:12" x14ac:dyDescent="0.2">
      <c r="J3266">
        <v>40007822</v>
      </c>
      <c r="K3266" t="s">
        <v>2986</v>
      </c>
      <c r="L3266">
        <v>92</v>
      </c>
    </row>
    <row r="3267" spans="10:12" x14ac:dyDescent="0.2">
      <c r="J3267">
        <v>40007825</v>
      </c>
      <c r="K3267" t="s">
        <v>2987</v>
      </c>
      <c r="L3267">
        <v>3</v>
      </c>
    </row>
    <row r="3268" spans="10:12" x14ac:dyDescent="0.2">
      <c r="J3268">
        <v>40007826</v>
      </c>
      <c r="K3268" t="s">
        <v>2988</v>
      </c>
      <c r="L3268">
        <v>78</v>
      </c>
    </row>
    <row r="3269" spans="10:12" x14ac:dyDescent="0.2">
      <c r="J3269">
        <v>40007827</v>
      </c>
      <c r="K3269" t="s">
        <v>10651</v>
      </c>
      <c r="L3269">
        <v>6</v>
      </c>
    </row>
    <row r="3270" spans="10:12" x14ac:dyDescent="0.2">
      <c r="J3270">
        <v>40007828</v>
      </c>
      <c r="K3270" t="s">
        <v>2989</v>
      </c>
      <c r="L3270">
        <v>23</v>
      </c>
    </row>
    <row r="3271" spans="10:12" x14ac:dyDescent="0.2">
      <c r="J3271">
        <v>40007829</v>
      </c>
      <c r="K3271" t="s">
        <v>2990</v>
      </c>
      <c r="L3271">
        <v>246</v>
      </c>
    </row>
    <row r="3272" spans="10:12" x14ac:dyDescent="0.2">
      <c r="J3272">
        <v>40007831</v>
      </c>
      <c r="K3272" t="s">
        <v>2991</v>
      </c>
      <c r="L3272">
        <v>1</v>
      </c>
    </row>
    <row r="3273" spans="10:12" x14ac:dyDescent="0.2">
      <c r="J3273">
        <v>40007832</v>
      </c>
      <c r="K3273" t="s">
        <v>2992</v>
      </c>
      <c r="L3273">
        <v>6</v>
      </c>
    </row>
    <row r="3274" spans="10:12" x14ac:dyDescent="0.2">
      <c r="J3274">
        <v>40007833</v>
      </c>
      <c r="K3274" t="s">
        <v>2993</v>
      </c>
      <c r="L3274">
        <v>16</v>
      </c>
    </row>
    <row r="3275" spans="10:12" x14ac:dyDescent="0.2">
      <c r="J3275">
        <v>40007834</v>
      </c>
      <c r="K3275" t="s">
        <v>2994</v>
      </c>
      <c r="L3275">
        <v>15</v>
      </c>
    </row>
    <row r="3276" spans="10:12" x14ac:dyDescent="0.2">
      <c r="J3276">
        <v>40007835</v>
      </c>
      <c r="K3276" t="s">
        <v>2995</v>
      </c>
      <c r="L3276">
        <v>3</v>
      </c>
    </row>
    <row r="3277" spans="10:12" x14ac:dyDescent="0.2">
      <c r="J3277">
        <v>40007836</v>
      </c>
      <c r="K3277" t="s">
        <v>2996</v>
      </c>
      <c r="L3277">
        <v>11</v>
      </c>
    </row>
    <row r="3278" spans="10:12" x14ac:dyDescent="0.2">
      <c r="J3278">
        <v>40007837</v>
      </c>
      <c r="K3278" t="s">
        <v>2997</v>
      </c>
      <c r="L3278">
        <v>10</v>
      </c>
    </row>
    <row r="3279" spans="10:12" x14ac:dyDescent="0.2">
      <c r="J3279">
        <v>40007838</v>
      </c>
      <c r="K3279" t="s">
        <v>2998</v>
      </c>
      <c r="L3279">
        <v>4</v>
      </c>
    </row>
    <row r="3280" spans="10:12" x14ac:dyDescent="0.2">
      <c r="J3280">
        <v>40007839</v>
      </c>
      <c r="K3280" t="s">
        <v>2999</v>
      </c>
      <c r="L3280">
        <v>8</v>
      </c>
    </row>
    <row r="3281" spans="10:12" x14ac:dyDescent="0.2">
      <c r="J3281">
        <v>40007841</v>
      </c>
      <c r="K3281" t="s">
        <v>3000</v>
      </c>
      <c r="L3281">
        <v>7</v>
      </c>
    </row>
    <row r="3282" spans="10:12" x14ac:dyDescent="0.2">
      <c r="J3282">
        <v>40007842</v>
      </c>
      <c r="K3282" t="s">
        <v>3001</v>
      </c>
      <c r="L3282">
        <v>3</v>
      </c>
    </row>
    <row r="3283" spans="10:12" x14ac:dyDescent="0.2">
      <c r="J3283">
        <v>40007843</v>
      </c>
      <c r="K3283" t="s">
        <v>3002</v>
      </c>
      <c r="L3283">
        <v>26</v>
      </c>
    </row>
    <row r="3284" spans="10:12" x14ac:dyDescent="0.2">
      <c r="J3284">
        <v>40007845</v>
      </c>
      <c r="K3284" t="s">
        <v>3003</v>
      </c>
      <c r="L3284">
        <v>4</v>
      </c>
    </row>
    <row r="3285" spans="10:12" x14ac:dyDescent="0.2">
      <c r="J3285">
        <v>40007846</v>
      </c>
      <c r="K3285" t="s">
        <v>3004</v>
      </c>
      <c r="L3285">
        <v>54</v>
      </c>
    </row>
    <row r="3286" spans="10:12" x14ac:dyDescent="0.2">
      <c r="J3286">
        <v>40007847</v>
      </c>
      <c r="K3286" t="s">
        <v>3005</v>
      </c>
      <c r="L3286">
        <v>21</v>
      </c>
    </row>
    <row r="3287" spans="10:12" x14ac:dyDescent="0.2">
      <c r="J3287">
        <v>40007848</v>
      </c>
      <c r="K3287" t="s">
        <v>3699</v>
      </c>
      <c r="L3287">
        <v>6</v>
      </c>
    </row>
    <row r="3288" spans="10:12" x14ac:dyDescent="0.2">
      <c r="J3288">
        <v>40007849</v>
      </c>
      <c r="K3288" t="s">
        <v>3006</v>
      </c>
      <c r="L3288">
        <v>8</v>
      </c>
    </row>
    <row r="3289" spans="10:12" x14ac:dyDescent="0.2">
      <c r="J3289">
        <v>40007850</v>
      </c>
      <c r="K3289" t="s">
        <v>3007</v>
      </c>
      <c r="L3289">
        <v>57</v>
      </c>
    </row>
    <row r="3290" spans="10:12" x14ac:dyDescent="0.2">
      <c r="J3290">
        <v>40007851</v>
      </c>
      <c r="K3290" t="s">
        <v>3008</v>
      </c>
      <c r="L3290">
        <v>20</v>
      </c>
    </row>
    <row r="3291" spans="10:12" x14ac:dyDescent="0.2">
      <c r="J3291">
        <v>40007852</v>
      </c>
      <c r="K3291" t="s">
        <v>3009</v>
      </c>
      <c r="L3291">
        <v>48</v>
      </c>
    </row>
    <row r="3292" spans="10:12" x14ac:dyDescent="0.2">
      <c r="J3292">
        <v>40007853</v>
      </c>
      <c r="K3292" t="s">
        <v>3010</v>
      </c>
      <c r="L3292">
        <v>1</v>
      </c>
    </row>
    <row r="3293" spans="10:12" x14ac:dyDescent="0.2">
      <c r="J3293">
        <v>40007854</v>
      </c>
      <c r="K3293" t="s">
        <v>3011</v>
      </c>
      <c r="L3293">
        <v>2</v>
      </c>
    </row>
    <row r="3294" spans="10:12" x14ac:dyDescent="0.2">
      <c r="J3294">
        <v>40007855</v>
      </c>
      <c r="K3294" t="s">
        <v>3012</v>
      </c>
      <c r="L3294">
        <v>97</v>
      </c>
    </row>
    <row r="3295" spans="10:12" x14ac:dyDescent="0.2">
      <c r="J3295">
        <v>40007856</v>
      </c>
      <c r="K3295" t="s">
        <v>3013</v>
      </c>
      <c r="L3295">
        <v>7</v>
      </c>
    </row>
    <row r="3296" spans="10:12" x14ac:dyDescent="0.2">
      <c r="J3296">
        <v>40007857</v>
      </c>
      <c r="K3296" t="s">
        <v>3014</v>
      </c>
      <c r="L3296">
        <v>6</v>
      </c>
    </row>
    <row r="3297" spans="10:12" x14ac:dyDescent="0.2">
      <c r="J3297">
        <v>40007858</v>
      </c>
      <c r="K3297" t="s">
        <v>3015</v>
      </c>
      <c r="L3297">
        <v>73</v>
      </c>
    </row>
    <row r="3298" spans="10:12" x14ac:dyDescent="0.2">
      <c r="J3298">
        <v>40007859</v>
      </c>
      <c r="K3298" t="s">
        <v>3016</v>
      </c>
      <c r="L3298">
        <v>3</v>
      </c>
    </row>
    <row r="3299" spans="10:12" x14ac:dyDescent="0.2">
      <c r="J3299">
        <v>40007860</v>
      </c>
      <c r="K3299" t="s">
        <v>3017</v>
      </c>
      <c r="L3299">
        <v>9</v>
      </c>
    </row>
    <row r="3300" spans="10:12" x14ac:dyDescent="0.2">
      <c r="J3300">
        <v>40007861</v>
      </c>
      <c r="K3300" t="s">
        <v>3018</v>
      </c>
      <c r="L3300">
        <v>6</v>
      </c>
    </row>
    <row r="3301" spans="10:12" x14ac:dyDescent="0.2">
      <c r="J3301">
        <v>40007862</v>
      </c>
      <c r="K3301" t="s">
        <v>3019</v>
      </c>
      <c r="L3301">
        <v>1</v>
      </c>
    </row>
    <row r="3302" spans="10:12" x14ac:dyDescent="0.2">
      <c r="J3302">
        <v>40007863</v>
      </c>
      <c r="K3302" t="s">
        <v>3020</v>
      </c>
      <c r="L3302">
        <v>8</v>
      </c>
    </row>
    <row r="3303" spans="10:12" x14ac:dyDescent="0.2">
      <c r="J3303">
        <v>40007864</v>
      </c>
      <c r="K3303" t="s">
        <v>3021</v>
      </c>
      <c r="L3303">
        <v>28</v>
      </c>
    </row>
    <row r="3304" spans="10:12" x14ac:dyDescent="0.2">
      <c r="J3304">
        <v>40007865</v>
      </c>
      <c r="K3304" t="s">
        <v>3022</v>
      </c>
      <c r="L3304">
        <v>29</v>
      </c>
    </row>
    <row r="3305" spans="10:12" x14ac:dyDescent="0.2">
      <c r="J3305">
        <v>40007866</v>
      </c>
      <c r="K3305" t="s">
        <v>3023</v>
      </c>
      <c r="L3305">
        <v>9</v>
      </c>
    </row>
    <row r="3306" spans="10:12" x14ac:dyDescent="0.2">
      <c r="J3306">
        <v>40007867</v>
      </c>
      <c r="K3306" t="s">
        <v>3024</v>
      </c>
      <c r="L3306">
        <v>3</v>
      </c>
    </row>
    <row r="3307" spans="10:12" x14ac:dyDescent="0.2">
      <c r="J3307">
        <v>40007869</v>
      </c>
      <c r="K3307" t="s">
        <v>3025</v>
      </c>
      <c r="L3307">
        <v>1</v>
      </c>
    </row>
    <row r="3308" spans="10:12" x14ac:dyDescent="0.2">
      <c r="J3308">
        <v>40007870</v>
      </c>
      <c r="K3308" t="s">
        <v>3026</v>
      </c>
      <c r="L3308">
        <v>3</v>
      </c>
    </row>
    <row r="3309" spans="10:12" x14ac:dyDescent="0.2">
      <c r="J3309">
        <v>40007871</v>
      </c>
      <c r="K3309" t="s">
        <v>3027</v>
      </c>
      <c r="L3309">
        <v>3</v>
      </c>
    </row>
    <row r="3310" spans="10:12" x14ac:dyDescent="0.2">
      <c r="J3310">
        <v>40007872</v>
      </c>
      <c r="K3310" t="s">
        <v>3028</v>
      </c>
      <c r="L3310">
        <v>3</v>
      </c>
    </row>
    <row r="3311" spans="10:12" x14ac:dyDescent="0.2">
      <c r="J3311">
        <v>40007873</v>
      </c>
      <c r="K3311" t="s">
        <v>3029</v>
      </c>
      <c r="L3311">
        <v>6</v>
      </c>
    </row>
    <row r="3312" spans="10:12" x14ac:dyDescent="0.2">
      <c r="J3312">
        <v>40007874</v>
      </c>
      <c r="K3312" t="s">
        <v>3030</v>
      </c>
      <c r="L3312">
        <v>2</v>
      </c>
    </row>
    <row r="3313" spans="10:12" x14ac:dyDescent="0.2">
      <c r="J3313">
        <v>40007875</v>
      </c>
      <c r="K3313" t="s">
        <v>3031</v>
      </c>
      <c r="L3313">
        <v>7</v>
      </c>
    </row>
    <row r="3314" spans="10:12" x14ac:dyDescent="0.2">
      <c r="J3314">
        <v>40007876</v>
      </c>
      <c r="K3314" t="s">
        <v>3032</v>
      </c>
      <c r="L3314">
        <v>4</v>
      </c>
    </row>
    <row r="3315" spans="10:12" x14ac:dyDescent="0.2">
      <c r="J3315">
        <v>40007877</v>
      </c>
      <c r="K3315" t="s">
        <v>3033</v>
      </c>
      <c r="L3315">
        <v>16</v>
      </c>
    </row>
    <row r="3316" spans="10:12" x14ac:dyDescent="0.2">
      <c r="J3316">
        <v>40007878</v>
      </c>
      <c r="K3316" t="s">
        <v>3034</v>
      </c>
      <c r="L3316">
        <v>5</v>
      </c>
    </row>
    <row r="3317" spans="10:12" x14ac:dyDescent="0.2">
      <c r="J3317">
        <v>40007880</v>
      </c>
      <c r="K3317" t="s">
        <v>3035</v>
      </c>
      <c r="L3317">
        <v>17</v>
      </c>
    </row>
    <row r="3318" spans="10:12" x14ac:dyDescent="0.2">
      <c r="J3318">
        <v>40007881</v>
      </c>
      <c r="K3318" t="s">
        <v>3036</v>
      </c>
      <c r="L3318">
        <v>6</v>
      </c>
    </row>
    <row r="3319" spans="10:12" x14ac:dyDescent="0.2">
      <c r="J3319">
        <v>40007882</v>
      </c>
      <c r="K3319" t="s">
        <v>3037</v>
      </c>
      <c r="L3319">
        <v>1</v>
      </c>
    </row>
    <row r="3320" spans="10:12" x14ac:dyDescent="0.2">
      <c r="J3320">
        <v>40007883</v>
      </c>
      <c r="K3320" t="s">
        <v>3038</v>
      </c>
      <c r="L3320">
        <v>11</v>
      </c>
    </row>
    <row r="3321" spans="10:12" x14ac:dyDescent="0.2">
      <c r="J3321">
        <v>40007884</v>
      </c>
      <c r="K3321" t="s">
        <v>3039</v>
      </c>
      <c r="L3321">
        <v>6</v>
      </c>
    </row>
    <row r="3322" spans="10:12" x14ac:dyDescent="0.2">
      <c r="J3322">
        <v>40007885</v>
      </c>
      <c r="K3322" t="s">
        <v>3040</v>
      </c>
      <c r="L3322">
        <v>11</v>
      </c>
    </row>
    <row r="3323" spans="10:12" x14ac:dyDescent="0.2">
      <c r="J3323">
        <v>40007886</v>
      </c>
      <c r="K3323" t="s">
        <v>3041</v>
      </c>
      <c r="L3323">
        <v>8</v>
      </c>
    </row>
    <row r="3324" spans="10:12" x14ac:dyDescent="0.2">
      <c r="J3324">
        <v>40007887</v>
      </c>
      <c r="K3324" t="s">
        <v>3042</v>
      </c>
      <c r="L3324">
        <v>3</v>
      </c>
    </row>
    <row r="3325" spans="10:12" x14ac:dyDescent="0.2">
      <c r="J3325">
        <v>40007888</v>
      </c>
      <c r="K3325" t="s">
        <v>3043</v>
      </c>
      <c r="L3325">
        <v>10</v>
      </c>
    </row>
    <row r="3326" spans="10:12" x14ac:dyDescent="0.2">
      <c r="J3326">
        <v>40007889</v>
      </c>
      <c r="K3326" t="s">
        <v>3044</v>
      </c>
      <c r="L3326">
        <v>3</v>
      </c>
    </row>
    <row r="3327" spans="10:12" x14ac:dyDescent="0.2">
      <c r="J3327">
        <v>40007890</v>
      </c>
      <c r="K3327" t="s">
        <v>3045</v>
      </c>
      <c r="L3327">
        <v>3</v>
      </c>
    </row>
    <row r="3328" spans="10:12" x14ac:dyDescent="0.2">
      <c r="J3328">
        <v>40007891</v>
      </c>
      <c r="K3328" t="s">
        <v>3046</v>
      </c>
      <c r="L3328">
        <v>2</v>
      </c>
    </row>
    <row r="3329" spans="10:12" x14ac:dyDescent="0.2">
      <c r="J3329">
        <v>40007893</v>
      </c>
      <c r="K3329" t="s">
        <v>3048</v>
      </c>
      <c r="L3329">
        <v>10</v>
      </c>
    </row>
    <row r="3330" spans="10:12" x14ac:dyDescent="0.2">
      <c r="J3330">
        <v>40007894</v>
      </c>
      <c r="K3330" t="s">
        <v>3049</v>
      </c>
      <c r="L3330">
        <v>1</v>
      </c>
    </row>
    <row r="3331" spans="10:12" x14ac:dyDescent="0.2">
      <c r="J3331">
        <v>40007895</v>
      </c>
      <c r="K3331" t="s">
        <v>3050</v>
      </c>
      <c r="L3331">
        <v>5</v>
      </c>
    </row>
    <row r="3332" spans="10:12" x14ac:dyDescent="0.2">
      <c r="J3332">
        <v>40007896</v>
      </c>
      <c r="K3332" t="s">
        <v>3051</v>
      </c>
      <c r="L3332">
        <v>40</v>
      </c>
    </row>
    <row r="3333" spans="10:12" x14ac:dyDescent="0.2">
      <c r="J3333">
        <v>40007897</v>
      </c>
      <c r="K3333" t="s">
        <v>3052</v>
      </c>
      <c r="L3333">
        <v>47</v>
      </c>
    </row>
    <row r="3334" spans="10:12" x14ac:dyDescent="0.2">
      <c r="J3334">
        <v>40007898</v>
      </c>
      <c r="K3334" t="s">
        <v>3053</v>
      </c>
      <c r="L3334">
        <v>18</v>
      </c>
    </row>
    <row r="3335" spans="10:12" x14ac:dyDescent="0.2">
      <c r="J3335">
        <v>40007899</v>
      </c>
      <c r="K3335" t="s">
        <v>3054</v>
      </c>
      <c r="L3335">
        <v>9</v>
      </c>
    </row>
    <row r="3336" spans="10:12" x14ac:dyDescent="0.2">
      <c r="J3336">
        <v>40007900</v>
      </c>
      <c r="K3336" t="s">
        <v>3055</v>
      </c>
      <c r="L3336">
        <v>4</v>
      </c>
    </row>
    <row r="3337" spans="10:12" x14ac:dyDescent="0.2">
      <c r="J3337">
        <v>40007901</v>
      </c>
      <c r="K3337" t="s">
        <v>3056</v>
      </c>
      <c r="L3337">
        <v>1</v>
      </c>
    </row>
    <row r="3338" spans="10:12" x14ac:dyDescent="0.2">
      <c r="J3338">
        <v>40007902</v>
      </c>
      <c r="K3338" t="s">
        <v>3057</v>
      </c>
      <c r="L3338">
        <v>8</v>
      </c>
    </row>
    <row r="3339" spans="10:12" x14ac:dyDescent="0.2">
      <c r="J3339">
        <v>40007903</v>
      </c>
      <c r="K3339" t="s">
        <v>3058</v>
      </c>
      <c r="L3339">
        <v>3</v>
      </c>
    </row>
    <row r="3340" spans="10:12" x14ac:dyDescent="0.2">
      <c r="J3340">
        <v>40007904</v>
      </c>
      <c r="K3340" t="s">
        <v>3059</v>
      </c>
      <c r="L3340">
        <v>8</v>
      </c>
    </row>
    <row r="3341" spans="10:12" x14ac:dyDescent="0.2">
      <c r="J3341">
        <v>40007905</v>
      </c>
      <c r="K3341" t="s">
        <v>3060</v>
      </c>
      <c r="L3341">
        <v>9</v>
      </c>
    </row>
    <row r="3342" spans="10:12" x14ac:dyDescent="0.2">
      <c r="J3342">
        <v>40007906</v>
      </c>
      <c r="K3342" t="s">
        <v>3061</v>
      </c>
      <c r="L3342">
        <v>3</v>
      </c>
    </row>
    <row r="3343" spans="10:12" x14ac:dyDescent="0.2">
      <c r="J3343">
        <v>40007907</v>
      </c>
      <c r="K3343" t="s">
        <v>3062</v>
      </c>
      <c r="L3343">
        <v>8</v>
      </c>
    </row>
    <row r="3344" spans="10:12" x14ac:dyDescent="0.2">
      <c r="J3344">
        <v>40007908</v>
      </c>
      <c r="K3344" t="s">
        <v>3063</v>
      </c>
      <c r="L3344">
        <v>2</v>
      </c>
    </row>
    <row r="3345" spans="10:12" x14ac:dyDescent="0.2">
      <c r="J3345">
        <v>40007909</v>
      </c>
      <c r="K3345" t="s">
        <v>3064</v>
      </c>
      <c r="L3345">
        <v>10</v>
      </c>
    </row>
    <row r="3346" spans="10:12" x14ac:dyDescent="0.2">
      <c r="J3346">
        <v>40007910</v>
      </c>
      <c r="K3346" t="s">
        <v>3065</v>
      </c>
      <c r="L3346">
        <v>9</v>
      </c>
    </row>
    <row r="3347" spans="10:12" x14ac:dyDescent="0.2">
      <c r="J3347">
        <v>40007911</v>
      </c>
      <c r="K3347" t="s">
        <v>3066</v>
      </c>
      <c r="L3347">
        <v>5</v>
      </c>
    </row>
    <row r="3348" spans="10:12" x14ac:dyDescent="0.2">
      <c r="J3348">
        <v>40007912</v>
      </c>
      <c r="K3348" t="s">
        <v>3067</v>
      </c>
      <c r="L3348">
        <v>9</v>
      </c>
    </row>
    <row r="3349" spans="10:12" x14ac:dyDescent="0.2">
      <c r="J3349">
        <v>40007913</v>
      </c>
      <c r="K3349" t="s">
        <v>3068</v>
      </c>
      <c r="L3349">
        <v>2</v>
      </c>
    </row>
    <row r="3350" spans="10:12" x14ac:dyDescent="0.2">
      <c r="J3350">
        <v>40007914</v>
      </c>
      <c r="K3350" t="s">
        <v>3069</v>
      </c>
      <c r="L3350">
        <v>5</v>
      </c>
    </row>
    <row r="3351" spans="10:12" x14ac:dyDescent="0.2">
      <c r="J3351">
        <v>40007915</v>
      </c>
      <c r="K3351" t="s">
        <v>3070</v>
      </c>
      <c r="L3351">
        <v>5</v>
      </c>
    </row>
    <row r="3352" spans="10:12" x14ac:dyDescent="0.2">
      <c r="J3352">
        <v>40007916</v>
      </c>
      <c r="K3352" t="s">
        <v>3071</v>
      </c>
      <c r="L3352">
        <v>5</v>
      </c>
    </row>
    <row r="3353" spans="10:12" x14ac:dyDescent="0.2">
      <c r="J3353">
        <v>40007917</v>
      </c>
      <c r="K3353" t="s">
        <v>3072</v>
      </c>
      <c r="L3353">
        <v>4</v>
      </c>
    </row>
    <row r="3354" spans="10:12" x14ac:dyDescent="0.2">
      <c r="J3354">
        <v>40007918</v>
      </c>
      <c r="K3354" t="s">
        <v>3073</v>
      </c>
      <c r="L3354">
        <v>3</v>
      </c>
    </row>
    <row r="3355" spans="10:12" x14ac:dyDescent="0.2">
      <c r="J3355">
        <v>40007919</v>
      </c>
      <c r="K3355" t="s">
        <v>3074</v>
      </c>
      <c r="L3355">
        <v>12</v>
      </c>
    </row>
    <row r="3356" spans="10:12" x14ac:dyDescent="0.2">
      <c r="J3356">
        <v>40007920</v>
      </c>
      <c r="K3356" t="s">
        <v>3075</v>
      </c>
      <c r="L3356">
        <v>5</v>
      </c>
    </row>
    <row r="3357" spans="10:12" x14ac:dyDescent="0.2">
      <c r="J3357">
        <v>40007921</v>
      </c>
      <c r="K3357" t="s">
        <v>3076</v>
      </c>
      <c r="L3357">
        <v>17</v>
      </c>
    </row>
    <row r="3358" spans="10:12" x14ac:dyDescent="0.2">
      <c r="J3358">
        <v>40007922</v>
      </c>
      <c r="K3358" t="s">
        <v>3698</v>
      </c>
      <c r="L3358">
        <v>15</v>
      </c>
    </row>
    <row r="3359" spans="10:12" x14ac:dyDescent="0.2">
      <c r="J3359">
        <v>40007923</v>
      </c>
      <c r="K3359" t="s">
        <v>3077</v>
      </c>
      <c r="L3359">
        <v>15</v>
      </c>
    </row>
    <row r="3360" spans="10:12" x14ac:dyDescent="0.2">
      <c r="J3360">
        <v>40007924</v>
      </c>
      <c r="K3360" t="s">
        <v>3078</v>
      </c>
      <c r="L3360">
        <v>9</v>
      </c>
    </row>
    <row r="3361" spans="10:12" x14ac:dyDescent="0.2">
      <c r="J3361">
        <v>40007925</v>
      </c>
      <c r="K3361" t="s">
        <v>3079</v>
      </c>
      <c r="L3361">
        <v>4</v>
      </c>
    </row>
    <row r="3362" spans="10:12" x14ac:dyDescent="0.2">
      <c r="J3362">
        <v>40007926</v>
      </c>
      <c r="K3362" t="s">
        <v>3080</v>
      </c>
      <c r="L3362">
        <v>22</v>
      </c>
    </row>
    <row r="3363" spans="10:12" x14ac:dyDescent="0.2">
      <c r="J3363">
        <v>40007927</v>
      </c>
      <c r="K3363" t="s">
        <v>3081</v>
      </c>
      <c r="L3363">
        <v>17</v>
      </c>
    </row>
    <row r="3364" spans="10:12" x14ac:dyDescent="0.2">
      <c r="J3364">
        <v>40007928</v>
      </c>
      <c r="K3364" t="s">
        <v>3082</v>
      </c>
      <c r="L3364">
        <v>5</v>
      </c>
    </row>
    <row r="3365" spans="10:12" x14ac:dyDescent="0.2">
      <c r="J3365">
        <v>40007929</v>
      </c>
      <c r="K3365" t="s">
        <v>3083</v>
      </c>
      <c r="L3365">
        <v>18</v>
      </c>
    </row>
    <row r="3366" spans="10:12" x14ac:dyDescent="0.2">
      <c r="J3366">
        <v>40007930</v>
      </c>
      <c r="K3366" t="s">
        <v>3737</v>
      </c>
      <c r="L3366">
        <v>7</v>
      </c>
    </row>
    <row r="3367" spans="10:12" x14ac:dyDescent="0.2">
      <c r="J3367">
        <v>40007932</v>
      </c>
      <c r="K3367" t="s">
        <v>3085</v>
      </c>
      <c r="L3367">
        <v>10</v>
      </c>
    </row>
    <row r="3368" spans="10:12" x14ac:dyDescent="0.2">
      <c r="J3368">
        <v>40007933</v>
      </c>
      <c r="K3368" t="s">
        <v>3086</v>
      </c>
      <c r="L3368">
        <v>5</v>
      </c>
    </row>
    <row r="3369" spans="10:12" x14ac:dyDescent="0.2">
      <c r="J3369">
        <v>40007935</v>
      </c>
      <c r="K3369" t="s">
        <v>3088</v>
      </c>
      <c r="L3369">
        <v>4</v>
      </c>
    </row>
    <row r="3370" spans="10:12" x14ac:dyDescent="0.2">
      <c r="J3370">
        <v>40007936</v>
      </c>
      <c r="K3370" t="s">
        <v>3089</v>
      </c>
      <c r="L3370">
        <v>6</v>
      </c>
    </row>
    <row r="3371" spans="10:12" x14ac:dyDescent="0.2">
      <c r="J3371">
        <v>40007937</v>
      </c>
      <c r="K3371" t="s">
        <v>3090</v>
      </c>
      <c r="L3371">
        <v>17</v>
      </c>
    </row>
    <row r="3372" spans="10:12" x14ac:dyDescent="0.2">
      <c r="J3372">
        <v>40007938</v>
      </c>
      <c r="K3372" t="s">
        <v>3091</v>
      </c>
      <c r="L3372">
        <v>95</v>
      </c>
    </row>
    <row r="3373" spans="10:12" x14ac:dyDescent="0.2">
      <c r="J3373">
        <v>40007939</v>
      </c>
      <c r="K3373" t="s">
        <v>3092</v>
      </c>
      <c r="L3373">
        <v>14</v>
      </c>
    </row>
    <row r="3374" spans="10:12" x14ac:dyDescent="0.2">
      <c r="J3374">
        <v>40007940</v>
      </c>
      <c r="K3374" t="s">
        <v>3093</v>
      </c>
      <c r="L3374">
        <v>13</v>
      </c>
    </row>
    <row r="3375" spans="10:12" x14ac:dyDescent="0.2">
      <c r="J3375">
        <v>40007941</v>
      </c>
      <c r="K3375" t="s">
        <v>3094</v>
      </c>
      <c r="L3375">
        <v>6</v>
      </c>
    </row>
    <row r="3376" spans="10:12" x14ac:dyDescent="0.2">
      <c r="J3376">
        <v>40007942</v>
      </c>
      <c r="K3376" t="s">
        <v>3095</v>
      </c>
      <c r="L3376">
        <v>9</v>
      </c>
    </row>
    <row r="3377" spans="10:12" x14ac:dyDescent="0.2">
      <c r="J3377">
        <v>40007943</v>
      </c>
      <c r="K3377" t="s">
        <v>3096</v>
      </c>
      <c r="L3377">
        <v>9</v>
      </c>
    </row>
    <row r="3378" spans="10:12" x14ac:dyDescent="0.2">
      <c r="J3378">
        <v>40007944</v>
      </c>
      <c r="K3378" t="s">
        <v>3097</v>
      </c>
      <c r="L3378">
        <v>1</v>
      </c>
    </row>
    <row r="3379" spans="10:12" x14ac:dyDescent="0.2">
      <c r="J3379">
        <v>40007945</v>
      </c>
      <c r="K3379" t="s">
        <v>3702</v>
      </c>
      <c r="L3379">
        <v>2</v>
      </c>
    </row>
    <row r="3380" spans="10:12" x14ac:dyDescent="0.2">
      <c r="J3380">
        <v>40007946</v>
      </c>
      <c r="K3380" t="s">
        <v>3098</v>
      </c>
      <c r="L3380">
        <v>9</v>
      </c>
    </row>
    <row r="3381" spans="10:12" x14ac:dyDescent="0.2">
      <c r="J3381">
        <v>40007947</v>
      </c>
      <c r="K3381" t="s">
        <v>3099</v>
      </c>
      <c r="L3381">
        <v>15</v>
      </c>
    </row>
    <row r="3382" spans="10:12" x14ac:dyDescent="0.2">
      <c r="J3382">
        <v>40007948</v>
      </c>
      <c r="K3382" t="s">
        <v>3685</v>
      </c>
      <c r="L3382">
        <v>3</v>
      </c>
    </row>
    <row r="3383" spans="10:12" x14ac:dyDescent="0.2">
      <c r="J3383">
        <v>40007949</v>
      </c>
      <c r="K3383" t="s">
        <v>3100</v>
      </c>
      <c r="L3383">
        <v>9</v>
      </c>
    </row>
    <row r="3384" spans="10:12" x14ac:dyDescent="0.2">
      <c r="J3384">
        <v>40007950</v>
      </c>
      <c r="K3384" t="s">
        <v>3762</v>
      </c>
      <c r="L3384">
        <v>20</v>
      </c>
    </row>
    <row r="3385" spans="10:12" x14ac:dyDescent="0.2">
      <c r="J3385">
        <v>40007951</v>
      </c>
      <c r="K3385" t="s">
        <v>3101</v>
      </c>
      <c r="L3385">
        <v>15</v>
      </c>
    </row>
    <row r="3386" spans="10:12" x14ac:dyDescent="0.2">
      <c r="J3386">
        <v>40007952</v>
      </c>
      <c r="K3386" t="s">
        <v>3102</v>
      </c>
      <c r="L3386">
        <v>1</v>
      </c>
    </row>
    <row r="3387" spans="10:12" x14ac:dyDescent="0.2">
      <c r="J3387">
        <v>40007953</v>
      </c>
      <c r="K3387" t="s">
        <v>3103</v>
      </c>
      <c r="L3387">
        <v>9</v>
      </c>
    </row>
    <row r="3388" spans="10:12" x14ac:dyDescent="0.2">
      <c r="J3388">
        <v>40007954</v>
      </c>
      <c r="K3388" t="s">
        <v>3104</v>
      </c>
      <c r="L3388">
        <v>2</v>
      </c>
    </row>
    <row r="3389" spans="10:12" x14ac:dyDescent="0.2">
      <c r="J3389">
        <v>40007955</v>
      </c>
      <c r="K3389" t="s">
        <v>3105</v>
      </c>
      <c r="L3389">
        <v>2</v>
      </c>
    </row>
    <row r="3390" spans="10:12" x14ac:dyDescent="0.2">
      <c r="J3390">
        <v>40007956</v>
      </c>
      <c r="K3390" t="s">
        <v>3106</v>
      </c>
      <c r="L3390">
        <v>4</v>
      </c>
    </row>
    <row r="3391" spans="10:12" x14ac:dyDescent="0.2">
      <c r="J3391">
        <v>40007957</v>
      </c>
      <c r="K3391" t="s">
        <v>3107</v>
      </c>
      <c r="L3391">
        <v>15</v>
      </c>
    </row>
    <row r="3392" spans="10:12" x14ac:dyDescent="0.2">
      <c r="J3392">
        <v>40007958</v>
      </c>
      <c r="K3392" t="s">
        <v>3108</v>
      </c>
      <c r="L3392">
        <v>3</v>
      </c>
    </row>
    <row r="3393" spans="10:12" x14ac:dyDescent="0.2">
      <c r="J3393">
        <v>40007959</v>
      </c>
      <c r="K3393" t="s">
        <v>3109</v>
      </c>
      <c r="L3393">
        <v>6</v>
      </c>
    </row>
    <row r="3394" spans="10:12" x14ac:dyDescent="0.2">
      <c r="J3394">
        <v>40007961</v>
      </c>
      <c r="K3394" t="s">
        <v>3110</v>
      </c>
      <c r="L3394">
        <v>5</v>
      </c>
    </row>
    <row r="3395" spans="10:12" x14ac:dyDescent="0.2">
      <c r="J3395">
        <v>40007962</v>
      </c>
      <c r="K3395" t="s">
        <v>3111</v>
      </c>
      <c r="L3395">
        <v>10</v>
      </c>
    </row>
    <row r="3396" spans="10:12" x14ac:dyDescent="0.2">
      <c r="J3396">
        <v>40007963</v>
      </c>
      <c r="K3396" t="s">
        <v>3112</v>
      </c>
      <c r="L3396">
        <v>2</v>
      </c>
    </row>
    <row r="3397" spans="10:12" x14ac:dyDescent="0.2">
      <c r="J3397">
        <v>40007964</v>
      </c>
      <c r="K3397" t="s">
        <v>3113</v>
      </c>
      <c r="L3397">
        <v>5</v>
      </c>
    </row>
    <row r="3398" spans="10:12" x14ac:dyDescent="0.2">
      <c r="J3398">
        <v>40007965</v>
      </c>
      <c r="K3398" t="s">
        <v>3114</v>
      </c>
      <c r="L3398">
        <v>2</v>
      </c>
    </row>
    <row r="3399" spans="10:12" x14ac:dyDescent="0.2">
      <c r="J3399">
        <v>40007966</v>
      </c>
      <c r="K3399" t="s">
        <v>3115</v>
      </c>
      <c r="L3399">
        <v>8</v>
      </c>
    </row>
    <row r="3400" spans="10:12" x14ac:dyDescent="0.2">
      <c r="J3400">
        <v>40007967</v>
      </c>
      <c r="K3400" t="s">
        <v>5305</v>
      </c>
      <c r="L3400">
        <v>6</v>
      </c>
    </row>
    <row r="3401" spans="10:12" x14ac:dyDescent="0.2">
      <c r="J3401">
        <v>40007968</v>
      </c>
      <c r="K3401" t="s">
        <v>3116</v>
      </c>
      <c r="L3401">
        <v>10</v>
      </c>
    </row>
    <row r="3402" spans="10:12" x14ac:dyDescent="0.2">
      <c r="J3402">
        <v>40007969</v>
      </c>
      <c r="K3402" t="s">
        <v>3117</v>
      </c>
      <c r="L3402">
        <v>14</v>
      </c>
    </row>
    <row r="3403" spans="10:12" x14ac:dyDescent="0.2">
      <c r="J3403">
        <v>40007970</v>
      </c>
      <c r="K3403" t="s">
        <v>3118</v>
      </c>
      <c r="L3403">
        <v>1</v>
      </c>
    </row>
    <row r="3404" spans="10:12" x14ac:dyDescent="0.2">
      <c r="J3404">
        <v>40007971</v>
      </c>
      <c r="K3404" t="s">
        <v>3119</v>
      </c>
      <c r="L3404">
        <v>10</v>
      </c>
    </row>
    <row r="3405" spans="10:12" x14ac:dyDescent="0.2">
      <c r="J3405">
        <v>40007972</v>
      </c>
      <c r="K3405" t="s">
        <v>3120</v>
      </c>
      <c r="L3405">
        <v>19</v>
      </c>
    </row>
    <row r="3406" spans="10:12" x14ac:dyDescent="0.2">
      <c r="J3406">
        <v>40007973</v>
      </c>
      <c r="K3406" t="s">
        <v>3121</v>
      </c>
      <c r="L3406">
        <v>3</v>
      </c>
    </row>
    <row r="3407" spans="10:12" x14ac:dyDescent="0.2">
      <c r="J3407">
        <v>40007974</v>
      </c>
      <c r="K3407" t="s">
        <v>9759</v>
      </c>
      <c r="L3407">
        <v>9</v>
      </c>
    </row>
    <row r="3408" spans="10:12" x14ac:dyDescent="0.2">
      <c r="J3408">
        <v>40007976</v>
      </c>
      <c r="K3408" t="s">
        <v>3122</v>
      </c>
      <c r="L3408">
        <v>4</v>
      </c>
    </row>
    <row r="3409" spans="10:12" x14ac:dyDescent="0.2">
      <c r="J3409">
        <v>40007977</v>
      </c>
      <c r="K3409" t="s">
        <v>3123</v>
      </c>
      <c r="L3409">
        <v>14</v>
      </c>
    </row>
    <row r="3410" spans="10:12" x14ac:dyDescent="0.2">
      <c r="J3410">
        <v>40007978</v>
      </c>
      <c r="K3410" t="s">
        <v>3124</v>
      </c>
      <c r="L3410">
        <v>6</v>
      </c>
    </row>
    <row r="3411" spans="10:12" x14ac:dyDescent="0.2">
      <c r="J3411">
        <v>40007979</v>
      </c>
      <c r="K3411" t="s">
        <v>3915</v>
      </c>
      <c r="L3411">
        <v>1</v>
      </c>
    </row>
    <row r="3412" spans="10:12" x14ac:dyDescent="0.2">
      <c r="J3412">
        <v>40007980</v>
      </c>
      <c r="K3412" t="s">
        <v>3125</v>
      </c>
      <c r="L3412">
        <v>2</v>
      </c>
    </row>
    <row r="3413" spans="10:12" x14ac:dyDescent="0.2">
      <c r="J3413">
        <v>40007981</v>
      </c>
      <c r="K3413" t="s">
        <v>3126</v>
      </c>
      <c r="L3413">
        <v>23</v>
      </c>
    </row>
    <row r="3414" spans="10:12" x14ac:dyDescent="0.2">
      <c r="J3414">
        <v>40007983</v>
      </c>
      <c r="K3414" t="s">
        <v>3127</v>
      </c>
      <c r="L3414">
        <v>37</v>
      </c>
    </row>
    <row r="3415" spans="10:12" x14ac:dyDescent="0.2">
      <c r="J3415">
        <v>40007984</v>
      </c>
      <c r="K3415" t="s">
        <v>3128</v>
      </c>
      <c r="L3415">
        <v>4</v>
      </c>
    </row>
    <row r="3416" spans="10:12" x14ac:dyDescent="0.2">
      <c r="J3416">
        <v>40007985</v>
      </c>
      <c r="K3416" t="s">
        <v>3129</v>
      </c>
      <c r="L3416">
        <v>20</v>
      </c>
    </row>
    <row r="3417" spans="10:12" x14ac:dyDescent="0.2">
      <c r="J3417">
        <v>40007986</v>
      </c>
      <c r="K3417" t="s">
        <v>3701</v>
      </c>
      <c r="L3417">
        <v>6</v>
      </c>
    </row>
    <row r="3418" spans="10:12" x14ac:dyDescent="0.2">
      <c r="J3418">
        <v>40007987</v>
      </c>
      <c r="K3418" t="s">
        <v>10491</v>
      </c>
      <c r="L3418">
        <v>1</v>
      </c>
    </row>
    <row r="3419" spans="10:12" x14ac:dyDescent="0.2">
      <c r="J3419">
        <v>40007988</v>
      </c>
      <c r="K3419" t="s">
        <v>3130</v>
      </c>
      <c r="L3419">
        <v>4</v>
      </c>
    </row>
    <row r="3420" spans="10:12" x14ac:dyDescent="0.2">
      <c r="J3420">
        <v>40007989</v>
      </c>
      <c r="K3420" t="s">
        <v>3131</v>
      </c>
      <c r="L3420">
        <v>15</v>
      </c>
    </row>
    <row r="3421" spans="10:12" x14ac:dyDescent="0.2">
      <c r="J3421">
        <v>40007990</v>
      </c>
      <c r="K3421" t="s">
        <v>9805</v>
      </c>
      <c r="L3421">
        <v>12</v>
      </c>
    </row>
    <row r="3422" spans="10:12" x14ac:dyDescent="0.2">
      <c r="J3422">
        <v>40007991</v>
      </c>
      <c r="K3422" t="s">
        <v>3132</v>
      </c>
      <c r="L3422">
        <v>2</v>
      </c>
    </row>
    <row r="3423" spans="10:12" x14ac:dyDescent="0.2">
      <c r="J3423">
        <v>40007992</v>
      </c>
      <c r="K3423" t="s">
        <v>3133</v>
      </c>
      <c r="L3423">
        <v>3</v>
      </c>
    </row>
    <row r="3424" spans="10:12" x14ac:dyDescent="0.2">
      <c r="J3424">
        <v>40007994</v>
      </c>
      <c r="K3424" t="s">
        <v>3134</v>
      </c>
      <c r="L3424">
        <v>1</v>
      </c>
    </row>
    <row r="3425" spans="10:12" x14ac:dyDescent="0.2">
      <c r="J3425">
        <v>40007996</v>
      </c>
      <c r="K3425" t="s">
        <v>3136</v>
      </c>
      <c r="L3425">
        <v>13</v>
      </c>
    </row>
    <row r="3426" spans="10:12" x14ac:dyDescent="0.2">
      <c r="J3426">
        <v>40007997</v>
      </c>
      <c r="K3426" t="s">
        <v>3137</v>
      </c>
      <c r="L3426">
        <v>6</v>
      </c>
    </row>
    <row r="3427" spans="10:12" x14ac:dyDescent="0.2">
      <c r="J3427">
        <v>40007999</v>
      </c>
      <c r="K3427" t="s">
        <v>3139</v>
      </c>
      <c r="L3427">
        <v>13</v>
      </c>
    </row>
    <row r="3428" spans="10:12" x14ac:dyDescent="0.2">
      <c r="J3428">
        <v>40008001</v>
      </c>
      <c r="K3428" t="s">
        <v>3141</v>
      </c>
      <c r="L3428">
        <v>1</v>
      </c>
    </row>
    <row r="3429" spans="10:12" x14ac:dyDescent="0.2">
      <c r="J3429">
        <v>40008002</v>
      </c>
      <c r="K3429" t="s">
        <v>3142</v>
      </c>
      <c r="L3429">
        <v>1</v>
      </c>
    </row>
    <row r="3430" spans="10:12" x14ac:dyDescent="0.2">
      <c r="J3430">
        <v>40008003</v>
      </c>
      <c r="K3430" t="s">
        <v>3143</v>
      </c>
      <c r="L3430">
        <v>6</v>
      </c>
    </row>
    <row r="3431" spans="10:12" x14ac:dyDescent="0.2">
      <c r="J3431">
        <v>40008004</v>
      </c>
      <c r="K3431" t="s">
        <v>3144</v>
      </c>
      <c r="L3431">
        <v>10</v>
      </c>
    </row>
    <row r="3432" spans="10:12" x14ac:dyDescent="0.2">
      <c r="J3432">
        <v>40008005</v>
      </c>
      <c r="K3432" t="s">
        <v>3145</v>
      </c>
      <c r="L3432">
        <v>1</v>
      </c>
    </row>
    <row r="3433" spans="10:12" x14ac:dyDescent="0.2">
      <c r="J3433">
        <v>40008006</v>
      </c>
      <c r="K3433" t="s">
        <v>3146</v>
      </c>
      <c r="L3433">
        <v>30</v>
      </c>
    </row>
    <row r="3434" spans="10:12" x14ac:dyDescent="0.2">
      <c r="J3434">
        <v>40008007</v>
      </c>
      <c r="K3434" t="s">
        <v>3147</v>
      </c>
      <c r="L3434">
        <v>8</v>
      </c>
    </row>
    <row r="3435" spans="10:12" x14ac:dyDescent="0.2">
      <c r="J3435">
        <v>40008008</v>
      </c>
      <c r="K3435" t="s">
        <v>3148</v>
      </c>
      <c r="L3435">
        <v>1</v>
      </c>
    </row>
    <row r="3436" spans="10:12" x14ac:dyDescent="0.2">
      <c r="J3436">
        <v>40008009</v>
      </c>
      <c r="K3436" t="s">
        <v>3149</v>
      </c>
      <c r="L3436">
        <v>1</v>
      </c>
    </row>
    <row r="3437" spans="10:12" x14ac:dyDescent="0.2">
      <c r="J3437">
        <v>40008010</v>
      </c>
      <c r="K3437" t="s">
        <v>3150</v>
      </c>
      <c r="L3437">
        <v>11</v>
      </c>
    </row>
    <row r="3438" spans="10:12" x14ac:dyDescent="0.2">
      <c r="J3438">
        <v>40008011</v>
      </c>
      <c r="K3438" t="s">
        <v>3151</v>
      </c>
      <c r="L3438">
        <v>90</v>
      </c>
    </row>
    <row r="3439" spans="10:12" x14ac:dyDescent="0.2">
      <c r="J3439">
        <v>40008012</v>
      </c>
      <c r="K3439" t="s">
        <v>3152</v>
      </c>
      <c r="L3439">
        <v>49</v>
      </c>
    </row>
    <row r="3440" spans="10:12" x14ac:dyDescent="0.2">
      <c r="J3440">
        <v>40008013</v>
      </c>
      <c r="K3440" t="s">
        <v>3153</v>
      </c>
      <c r="L3440">
        <v>109</v>
      </c>
    </row>
    <row r="3441" spans="10:12" x14ac:dyDescent="0.2">
      <c r="J3441">
        <v>40008014</v>
      </c>
      <c r="K3441" t="s">
        <v>3154</v>
      </c>
      <c r="L3441">
        <v>325</v>
      </c>
    </row>
    <row r="3442" spans="10:12" x14ac:dyDescent="0.2">
      <c r="J3442">
        <v>40008015</v>
      </c>
      <c r="K3442" t="s">
        <v>3155</v>
      </c>
      <c r="L3442">
        <v>14</v>
      </c>
    </row>
    <row r="3443" spans="10:12" x14ac:dyDescent="0.2">
      <c r="J3443">
        <v>40008016</v>
      </c>
      <c r="K3443" t="s">
        <v>3156</v>
      </c>
      <c r="L3443">
        <v>1</v>
      </c>
    </row>
    <row r="3444" spans="10:12" x14ac:dyDescent="0.2">
      <c r="J3444">
        <v>40008017</v>
      </c>
      <c r="K3444" t="s">
        <v>3157</v>
      </c>
      <c r="L3444">
        <v>5</v>
      </c>
    </row>
    <row r="3445" spans="10:12" x14ac:dyDescent="0.2">
      <c r="J3445">
        <v>40008018</v>
      </c>
      <c r="K3445" t="s">
        <v>3158</v>
      </c>
      <c r="L3445">
        <v>4</v>
      </c>
    </row>
    <row r="3446" spans="10:12" x14ac:dyDescent="0.2">
      <c r="J3446">
        <v>40008019</v>
      </c>
      <c r="K3446" t="s">
        <v>3159</v>
      </c>
      <c r="L3446">
        <v>16</v>
      </c>
    </row>
    <row r="3447" spans="10:12" x14ac:dyDescent="0.2">
      <c r="J3447">
        <v>40008020</v>
      </c>
      <c r="K3447" t="s">
        <v>3160</v>
      </c>
      <c r="L3447">
        <v>4</v>
      </c>
    </row>
    <row r="3448" spans="10:12" x14ac:dyDescent="0.2">
      <c r="J3448">
        <v>40008021</v>
      </c>
      <c r="K3448" t="s">
        <v>3161</v>
      </c>
      <c r="L3448">
        <v>30</v>
      </c>
    </row>
    <row r="3449" spans="10:12" x14ac:dyDescent="0.2">
      <c r="J3449">
        <v>40008022</v>
      </c>
      <c r="K3449" t="s">
        <v>3162</v>
      </c>
      <c r="L3449">
        <v>4</v>
      </c>
    </row>
    <row r="3450" spans="10:12" x14ac:dyDescent="0.2">
      <c r="J3450">
        <v>40008023</v>
      </c>
      <c r="K3450" t="s">
        <v>3163</v>
      </c>
      <c r="L3450">
        <v>16</v>
      </c>
    </row>
    <row r="3451" spans="10:12" x14ac:dyDescent="0.2">
      <c r="J3451">
        <v>40008024</v>
      </c>
      <c r="K3451" t="s">
        <v>3164</v>
      </c>
      <c r="L3451">
        <v>73</v>
      </c>
    </row>
    <row r="3452" spans="10:12" x14ac:dyDescent="0.2">
      <c r="J3452">
        <v>40008025</v>
      </c>
      <c r="K3452" t="s">
        <v>3165</v>
      </c>
      <c r="L3452">
        <v>8</v>
      </c>
    </row>
    <row r="3453" spans="10:12" x14ac:dyDescent="0.2">
      <c r="J3453">
        <v>40008026</v>
      </c>
      <c r="K3453" t="s">
        <v>3166</v>
      </c>
      <c r="L3453">
        <v>4</v>
      </c>
    </row>
    <row r="3454" spans="10:12" x14ac:dyDescent="0.2">
      <c r="J3454">
        <v>40008027</v>
      </c>
      <c r="K3454" t="s">
        <v>3167</v>
      </c>
      <c r="L3454">
        <v>4</v>
      </c>
    </row>
    <row r="3455" spans="10:12" x14ac:dyDescent="0.2">
      <c r="J3455">
        <v>40008028</v>
      </c>
      <c r="K3455" t="s">
        <v>3168</v>
      </c>
      <c r="L3455">
        <v>6</v>
      </c>
    </row>
    <row r="3456" spans="10:12" x14ac:dyDescent="0.2">
      <c r="J3456">
        <v>40008029</v>
      </c>
      <c r="K3456" t="s">
        <v>3169</v>
      </c>
      <c r="L3456">
        <v>9</v>
      </c>
    </row>
    <row r="3457" spans="10:12" x14ac:dyDescent="0.2">
      <c r="J3457">
        <v>40008030</v>
      </c>
      <c r="K3457" t="s">
        <v>3170</v>
      </c>
      <c r="L3457">
        <v>9</v>
      </c>
    </row>
    <row r="3458" spans="10:12" x14ac:dyDescent="0.2">
      <c r="J3458">
        <v>40008031</v>
      </c>
      <c r="K3458" t="s">
        <v>3171</v>
      </c>
      <c r="L3458">
        <v>12</v>
      </c>
    </row>
    <row r="3459" spans="10:12" x14ac:dyDescent="0.2">
      <c r="J3459">
        <v>40008033</v>
      </c>
      <c r="K3459" t="s">
        <v>3172</v>
      </c>
      <c r="L3459">
        <v>3</v>
      </c>
    </row>
    <row r="3460" spans="10:12" x14ac:dyDescent="0.2">
      <c r="J3460">
        <v>40008034</v>
      </c>
      <c r="K3460" t="s">
        <v>3173</v>
      </c>
      <c r="L3460">
        <v>18</v>
      </c>
    </row>
    <row r="3461" spans="10:12" x14ac:dyDescent="0.2">
      <c r="J3461">
        <v>40008035</v>
      </c>
      <c r="K3461" t="s">
        <v>3174</v>
      </c>
      <c r="L3461">
        <v>1</v>
      </c>
    </row>
    <row r="3462" spans="10:12" x14ac:dyDescent="0.2">
      <c r="J3462">
        <v>40008036</v>
      </c>
      <c r="K3462" t="s">
        <v>3175</v>
      </c>
      <c r="L3462">
        <v>8</v>
      </c>
    </row>
    <row r="3463" spans="10:12" x14ac:dyDescent="0.2">
      <c r="J3463">
        <v>40008037</v>
      </c>
      <c r="K3463" t="s">
        <v>3176</v>
      </c>
      <c r="L3463">
        <v>5</v>
      </c>
    </row>
    <row r="3464" spans="10:12" x14ac:dyDescent="0.2">
      <c r="J3464">
        <v>40008038</v>
      </c>
      <c r="K3464" t="s">
        <v>3177</v>
      </c>
      <c r="L3464">
        <v>17</v>
      </c>
    </row>
    <row r="3465" spans="10:12" x14ac:dyDescent="0.2">
      <c r="J3465">
        <v>40008039</v>
      </c>
      <c r="K3465" t="s">
        <v>3178</v>
      </c>
      <c r="L3465">
        <v>17</v>
      </c>
    </row>
    <row r="3466" spans="10:12" x14ac:dyDescent="0.2">
      <c r="J3466">
        <v>40008040</v>
      </c>
      <c r="K3466" t="s">
        <v>3818</v>
      </c>
      <c r="L3466">
        <v>26</v>
      </c>
    </row>
    <row r="3467" spans="10:12" x14ac:dyDescent="0.2">
      <c r="J3467">
        <v>40008041</v>
      </c>
      <c r="K3467" t="s">
        <v>9741</v>
      </c>
      <c r="L3467">
        <v>7</v>
      </c>
    </row>
    <row r="3468" spans="10:12" x14ac:dyDescent="0.2">
      <c r="J3468">
        <v>40008042</v>
      </c>
      <c r="K3468" t="s">
        <v>3179</v>
      </c>
      <c r="L3468">
        <v>15</v>
      </c>
    </row>
    <row r="3469" spans="10:12" x14ac:dyDescent="0.2">
      <c r="J3469">
        <v>40008043</v>
      </c>
      <c r="K3469" t="s">
        <v>3687</v>
      </c>
      <c r="L3469">
        <v>7</v>
      </c>
    </row>
    <row r="3470" spans="10:12" x14ac:dyDescent="0.2">
      <c r="J3470">
        <v>40008045</v>
      </c>
      <c r="K3470" t="s">
        <v>3180</v>
      </c>
      <c r="L3470">
        <v>3</v>
      </c>
    </row>
    <row r="3471" spans="10:12" x14ac:dyDescent="0.2">
      <c r="J3471">
        <v>40008046</v>
      </c>
      <c r="K3471" t="s">
        <v>3181</v>
      </c>
      <c r="L3471">
        <v>7</v>
      </c>
    </row>
    <row r="3472" spans="10:12" x14ac:dyDescent="0.2">
      <c r="J3472">
        <v>40008047</v>
      </c>
      <c r="K3472" t="s">
        <v>3182</v>
      </c>
      <c r="L3472">
        <v>4</v>
      </c>
    </row>
    <row r="3473" spans="10:12" x14ac:dyDescent="0.2">
      <c r="J3473">
        <v>40008048</v>
      </c>
      <c r="K3473" t="s">
        <v>3183</v>
      </c>
      <c r="L3473">
        <v>11</v>
      </c>
    </row>
    <row r="3474" spans="10:12" x14ac:dyDescent="0.2">
      <c r="J3474">
        <v>40008050</v>
      </c>
      <c r="K3474" t="s">
        <v>3185</v>
      </c>
      <c r="L3474">
        <v>8</v>
      </c>
    </row>
    <row r="3475" spans="10:12" x14ac:dyDescent="0.2">
      <c r="J3475">
        <v>40008051</v>
      </c>
      <c r="K3475" t="s">
        <v>3186</v>
      </c>
      <c r="L3475">
        <v>14</v>
      </c>
    </row>
    <row r="3476" spans="10:12" x14ac:dyDescent="0.2">
      <c r="J3476">
        <v>40008052</v>
      </c>
      <c r="K3476" t="s">
        <v>3187</v>
      </c>
      <c r="L3476">
        <v>4</v>
      </c>
    </row>
    <row r="3477" spans="10:12" x14ac:dyDescent="0.2">
      <c r="J3477">
        <v>40008055</v>
      </c>
      <c r="K3477" t="s">
        <v>3188</v>
      </c>
      <c r="L3477">
        <v>3</v>
      </c>
    </row>
    <row r="3478" spans="10:12" x14ac:dyDescent="0.2">
      <c r="J3478">
        <v>40008056</v>
      </c>
      <c r="K3478" t="s">
        <v>3189</v>
      </c>
      <c r="L3478">
        <v>6</v>
      </c>
    </row>
    <row r="3479" spans="10:12" x14ac:dyDescent="0.2">
      <c r="J3479">
        <v>40008057</v>
      </c>
      <c r="K3479" t="s">
        <v>3190</v>
      </c>
      <c r="L3479">
        <v>9</v>
      </c>
    </row>
    <row r="3480" spans="10:12" x14ac:dyDescent="0.2">
      <c r="J3480">
        <v>40008059</v>
      </c>
      <c r="K3480" t="s">
        <v>3191</v>
      </c>
      <c r="L3480">
        <v>6</v>
      </c>
    </row>
    <row r="3481" spans="10:12" x14ac:dyDescent="0.2">
      <c r="J3481">
        <v>40008060</v>
      </c>
      <c r="K3481" t="s">
        <v>3192</v>
      </c>
      <c r="L3481">
        <v>1</v>
      </c>
    </row>
    <row r="3482" spans="10:12" x14ac:dyDescent="0.2">
      <c r="J3482">
        <v>40008061</v>
      </c>
      <c r="K3482" t="s">
        <v>3193</v>
      </c>
      <c r="L3482">
        <v>12</v>
      </c>
    </row>
    <row r="3483" spans="10:12" x14ac:dyDescent="0.2">
      <c r="J3483">
        <v>40008062</v>
      </c>
      <c r="K3483" t="s">
        <v>3194</v>
      </c>
      <c r="L3483">
        <v>8</v>
      </c>
    </row>
    <row r="3484" spans="10:12" x14ac:dyDescent="0.2">
      <c r="J3484">
        <v>40008063</v>
      </c>
      <c r="K3484" t="s">
        <v>3195</v>
      </c>
      <c r="L3484">
        <v>2</v>
      </c>
    </row>
    <row r="3485" spans="10:12" x14ac:dyDescent="0.2">
      <c r="J3485">
        <v>40008064</v>
      </c>
      <c r="K3485" t="s">
        <v>3196</v>
      </c>
      <c r="L3485">
        <v>3</v>
      </c>
    </row>
    <row r="3486" spans="10:12" x14ac:dyDescent="0.2">
      <c r="J3486">
        <v>40008065</v>
      </c>
      <c r="K3486" t="s">
        <v>3197</v>
      </c>
      <c r="L3486">
        <v>8</v>
      </c>
    </row>
    <row r="3487" spans="10:12" x14ac:dyDescent="0.2">
      <c r="J3487">
        <v>40008066</v>
      </c>
      <c r="K3487" t="s">
        <v>3198</v>
      </c>
      <c r="L3487">
        <v>2</v>
      </c>
    </row>
    <row r="3488" spans="10:12" x14ac:dyDescent="0.2">
      <c r="J3488">
        <v>40008067</v>
      </c>
      <c r="K3488" t="s">
        <v>3199</v>
      </c>
      <c r="L3488">
        <v>2</v>
      </c>
    </row>
    <row r="3489" spans="10:12" x14ac:dyDescent="0.2">
      <c r="J3489">
        <v>40008068</v>
      </c>
      <c r="K3489" t="s">
        <v>3200</v>
      </c>
      <c r="L3489">
        <v>7</v>
      </c>
    </row>
    <row r="3490" spans="10:12" x14ac:dyDescent="0.2">
      <c r="J3490">
        <v>40008069</v>
      </c>
      <c r="K3490" t="s">
        <v>3851</v>
      </c>
      <c r="L3490">
        <v>2</v>
      </c>
    </row>
    <row r="3491" spans="10:12" x14ac:dyDescent="0.2">
      <c r="J3491">
        <v>40008071</v>
      </c>
      <c r="K3491" t="s">
        <v>3202</v>
      </c>
      <c r="L3491">
        <v>21</v>
      </c>
    </row>
    <row r="3492" spans="10:12" x14ac:dyDescent="0.2">
      <c r="J3492">
        <v>40008072</v>
      </c>
      <c r="K3492" t="s">
        <v>3203</v>
      </c>
      <c r="L3492">
        <v>4</v>
      </c>
    </row>
    <row r="3493" spans="10:12" x14ac:dyDescent="0.2">
      <c r="J3493">
        <v>40008073</v>
      </c>
      <c r="K3493" t="s">
        <v>3204</v>
      </c>
      <c r="L3493">
        <v>11</v>
      </c>
    </row>
    <row r="3494" spans="10:12" x14ac:dyDescent="0.2">
      <c r="J3494">
        <v>40008075</v>
      </c>
      <c r="K3494" t="s">
        <v>3205</v>
      </c>
      <c r="L3494">
        <v>83</v>
      </c>
    </row>
    <row r="3495" spans="10:12" x14ac:dyDescent="0.2">
      <c r="J3495">
        <v>40008076</v>
      </c>
      <c r="K3495" t="s">
        <v>3206</v>
      </c>
      <c r="L3495">
        <v>11</v>
      </c>
    </row>
    <row r="3496" spans="10:12" x14ac:dyDescent="0.2">
      <c r="J3496">
        <v>40008077</v>
      </c>
      <c r="K3496" t="s">
        <v>3207</v>
      </c>
      <c r="L3496">
        <v>89</v>
      </c>
    </row>
    <row r="3497" spans="10:12" x14ac:dyDescent="0.2">
      <c r="J3497">
        <v>40008078</v>
      </c>
      <c r="K3497" t="s">
        <v>3208</v>
      </c>
      <c r="L3497">
        <v>1</v>
      </c>
    </row>
    <row r="3498" spans="10:12" x14ac:dyDescent="0.2">
      <c r="J3498">
        <v>40008079</v>
      </c>
      <c r="K3498" t="s">
        <v>3209</v>
      </c>
      <c r="L3498">
        <v>1</v>
      </c>
    </row>
    <row r="3499" spans="10:12" x14ac:dyDescent="0.2">
      <c r="J3499">
        <v>40008080</v>
      </c>
      <c r="K3499" t="s">
        <v>3210</v>
      </c>
      <c r="L3499">
        <v>13</v>
      </c>
    </row>
    <row r="3500" spans="10:12" x14ac:dyDescent="0.2">
      <c r="J3500">
        <v>40008081</v>
      </c>
      <c r="K3500" t="s">
        <v>3211</v>
      </c>
      <c r="L3500">
        <v>2</v>
      </c>
    </row>
    <row r="3501" spans="10:12" x14ac:dyDescent="0.2">
      <c r="J3501">
        <v>40008082</v>
      </c>
      <c r="K3501" t="s">
        <v>3212</v>
      </c>
      <c r="L3501">
        <v>3</v>
      </c>
    </row>
    <row r="3502" spans="10:12" x14ac:dyDescent="0.2">
      <c r="J3502">
        <v>40008084</v>
      </c>
      <c r="K3502" t="s">
        <v>3213</v>
      </c>
      <c r="L3502">
        <v>1</v>
      </c>
    </row>
    <row r="3503" spans="10:12" x14ac:dyDescent="0.2">
      <c r="J3503">
        <v>40008085</v>
      </c>
      <c r="K3503" t="s">
        <v>3214</v>
      </c>
      <c r="L3503">
        <v>1</v>
      </c>
    </row>
    <row r="3504" spans="10:12" x14ac:dyDescent="0.2">
      <c r="J3504">
        <v>40008086</v>
      </c>
      <c r="K3504" t="s">
        <v>3215</v>
      </c>
      <c r="L3504">
        <v>45</v>
      </c>
    </row>
    <row r="3505" spans="10:12" x14ac:dyDescent="0.2">
      <c r="J3505">
        <v>40008087</v>
      </c>
      <c r="K3505" t="s">
        <v>3216</v>
      </c>
      <c r="L3505">
        <v>1</v>
      </c>
    </row>
    <row r="3506" spans="10:12" x14ac:dyDescent="0.2">
      <c r="J3506">
        <v>40008088</v>
      </c>
      <c r="K3506" t="s">
        <v>3217</v>
      </c>
      <c r="L3506">
        <v>2</v>
      </c>
    </row>
    <row r="3507" spans="10:12" x14ac:dyDescent="0.2">
      <c r="J3507">
        <v>40008089</v>
      </c>
      <c r="K3507" t="s">
        <v>3909</v>
      </c>
      <c r="L3507">
        <v>4</v>
      </c>
    </row>
    <row r="3508" spans="10:12" x14ac:dyDescent="0.2">
      <c r="J3508">
        <v>40008090</v>
      </c>
      <c r="K3508" t="s">
        <v>3218</v>
      </c>
      <c r="L3508">
        <v>60</v>
      </c>
    </row>
    <row r="3509" spans="10:12" x14ac:dyDescent="0.2">
      <c r="J3509">
        <v>40008091</v>
      </c>
      <c r="K3509" t="s">
        <v>3219</v>
      </c>
      <c r="L3509">
        <v>44</v>
      </c>
    </row>
    <row r="3510" spans="10:12" x14ac:dyDescent="0.2">
      <c r="J3510">
        <v>40008092</v>
      </c>
      <c r="K3510" t="s">
        <v>3220</v>
      </c>
      <c r="L3510">
        <v>1</v>
      </c>
    </row>
    <row r="3511" spans="10:12" x14ac:dyDescent="0.2">
      <c r="J3511">
        <v>40008093</v>
      </c>
      <c r="K3511" t="s">
        <v>3221</v>
      </c>
      <c r="L3511">
        <v>3</v>
      </c>
    </row>
    <row r="3512" spans="10:12" x14ac:dyDescent="0.2">
      <c r="J3512">
        <v>40008094</v>
      </c>
      <c r="K3512" t="s">
        <v>3222</v>
      </c>
      <c r="L3512">
        <v>21</v>
      </c>
    </row>
    <row r="3513" spans="10:12" x14ac:dyDescent="0.2">
      <c r="J3513">
        <v>40008096</v>
      </c>
      <c r="K3513" t="s">
        <v>3223</v>
      </c>
      <c r="L3513">
        <v>43</v>
      </c>
    </row>
    <row r="3514" spans="10:12" x14ac:dyDescent="0.2">
      <c r="J3514">
        <v>40008097</v>
      </c>
      <c r="K3514" t="s">
        <v>3224</v>
      </c>
      <c r="L3514">
        <v>16</v>
      </c>
    </row>
    <row r="3515" spans="10:12" x14ac:dyDescent="0.2">
      <c r="J3515">
        <v>40008098</v>
      </c>
      <c r="K3515" t="s">
        <v>3225</v>
      </c>
      <c r="L3515">
        <v>6</v>
      </c>
    </row>
    <row r="3516" spans="10:12" x14ac:dyDescent="0.2">
      <c r="J3516">
        <v>40008099</v>
      </c>
      <c r="K3516" t="s">
        <v>3226</v>
      </c>
      <c r="L3516">
        <v>9</v>
      </c>
    </row>
    <row r="3517" spans="10:12" x14ac:dyDescent="0.2">
      <c r="J3517">
        <v>40008100</v>
      </c>
      <c r="K3517" t="s">
        <v>3227</v>
      </c>
      <c r="L3517">
        <v>5</v>
      </c>
    </row>
    <row r="3518" spans="10:12" x14ac:dyDescent="0.2">
      <c r="J3518">
        <v>40008101</v>
      </c>
      <c r="K3518" t="s">
        <v>3228</v>
      </c>
      <c r="L3518">
        <v>1</v>
      </c>
    </row>
    <row r="3519" spans="10:12" x14ac:dyDescent="0.2">
      <c r="J3519">
        <v>40008102</v>
      </c>
      <c r="K3519" t="s">
        <v>3229</v>
      </c>
      <c r="L3519">
        <v>6</v>
      </c>
    </row>
    <row r="3520" spans="10:12" x14ac:dyDescent="0.2">
      <c r="J3520">
        <v>40008103</v>
      </c>
      <c r="K3520" t="s">
        <v>3230</v>
      </c>
      <c r="L3520">
        <v>2</v>
      </c>
    </row>
    <row r="3521" spans="10:12" x14ac:dyDescent="0.2">
      <c r="J3521">
        <v>40008104</v>
      </c>
      <c r="K3521" t="s">
        <v>3231</v>
      </c>
      <c r="L3521">
        <v>7</v>
      </c>
    </row>
    <row r="3522" spans="10:12" x14ac:dyDescent="0.2">
      <c r="J3522">
        <v>40008105</v>
      </c>
      <c r="K3522" t="s">
        <v>3232</v>
      </c>
      <c r="L3522">
        <v>1</v>
      </c>
    </row>
    <row r="3523" spans="10:12" x14ac:dyDescent="0.2">
      <c r="J3523">
        <v>40008106</v>
      </c>
      <c r="K3523" t="s">
        <v>3233</v>
      </c>
      <c r="L3523">
        <v>8</v>
      </c>
    </row>
    <row r="3524" spans="10:12" x14ac:dyDescent="0.2">
      <c r="J3524">
        <v>40008108</v>
      </c>
      <c r="K3524" t="s">
        <v>3234</v>
      </c>
      <c r="L3524">
        <v>3</v>
      </c>
    </row>
    <row r="3525" spans="10:12" x14ac:dyDescent="0.2">
      <c r="J3525">
        <v>40008109</v>
      </c>
      <c r="K3525" t="s">
        <v>3235</v>
      </c>
      <c r="L3525">
        <v>4</v>
      </c>
    </row>
    <row r="3526" spans="10:12" x14ac:dyDescent="0.2">
      <c r="J3526">
        <v>40008110</v>
      </c>
      <c r="K3526" t="s">
        <v>9560</v>
      </c>
      <c r="L3526">
        <v>2</v>
      </c>
    </row>
    <row r="3527" spans="10:12" x14ac:dyDescent="0.2">
      <c r="J3527">
        <v>40008111</v>
      </c>
      <c r="K3527" t="s">
        <v>3236</v>
      </c>
      <c r="L3527">
        <v>6</v>
      </c>
    </row>
    <row r="3528" spans="10:12" x14ac:dyDescent="0.2">
      <c r="J3528">
        <v>40008112</v>
      </c>
      <c r="K3528" t="s">
        <v>3237</v>
      </c>
      <c r="L3528">
        <v>1</v>
      </c>
    </row>
    <row r="3529" spans="10:12" x14ac:dyDescent="0.2">
      <c r="J3529">
        <v>40008113</v>
      </c>
      <c r="K3529" t="s">
        <v>3238</v>
      </c>
      <c r="L3529">
        <v>10</v>
      </c>
    </row>
    <row r="3530" spans="10:12" x14ac:dyDescent="0.2">
      <c r="J3530">
        <v>40008114</v>
      </c>
      <c r="K3530" t="s">
        <v>3239</v>
      </c>
      <c r="L3530">
        <v>1</v>
      </c>
    </row>
    <row r="3531" spans="10:12" x14ac:dyDescent="0.2">
      <c r="J3531">
        <v>40008115</v>
      </c>
      <c r="K3531" t="s">
        <v>3240</v>
      </c>
      <c r="L3531">
        <v>10</v>
      </c>
    </row>
    <row r="3532" spans="10:12" x14ac:dyDescent="0.2">
      <c r="J3532">
        <v>40008117</v>
      </c>
      <c r="K3532" t="s">
        <v>3241</v>
      </c>
      <c r="L3532">
        <v>16</v>
      </c>
    </row>
    <row r="3533" spans="10:12" x14ac:dyDescent="0.2">
      <c r="J3533">
        <v>40008118</v>
      </c>
      <c r="K3533" t="s">
        <v>3242</v>
      </c>
      <c r="L3533">
        <v>13</v>
      </c>
    </row>
    <row r="3534" spans="10:12" x14ac:dyDescent="0.2">
      <c r="J3534">
        <v>40008119</v>
      </c>
      <c r="K3534" t="s">
        <v>3243</v>
      </c>
      <c r="L3534">
        <v>1</v>
      </c>
    </row>
    <row r="3535" spans="10:12" x14ac:dyDescent="0.2">
      <c r="J3535">
        <v>40008120</v>
      </c>
      <c r="K3535" t="s">
        <v>3244</v>
      </c>
      <c r="L3535">
        <v>32</v>
      </c>
    </row>
    <row r="3536" spans="10:12" x14ac:dyDescent="0.2">
      <c r="J3536">
        <v>40008121</v>
      </c>
      <c r="K3536" t="s">
        <v>3245</v>
      </c>
      <c r="L3536">
        <v>1</v>
      </c>
    </row>
    <row r="3537" spans="10:12" x14ac:dyDescent="0.2">
      <c r="J3537">
        <v>40008122</v>
      </c>
      <c r="K3537" t="s">
        <v>3246</v>
      </c>
      <c r="L3537">
        <v>10</v>
      </c>
    </row>
    <row r="3538" spans="10:12" x14ac:dyDescent="0.2">
      <c r="J3538">
        <v>40008123</v>
      </c>
      <c r="K3538" t="s">
        <v>3247</v>
      </c>
      <c r="L3538">
        <v>4</v>
      </c>
    </row>
    <row r="3539" spans="10:12" x14ac:dyDescent="0.2">
      <c r="J3539">
        <v>40008125</v>
      </c>
      <c r="K3539" t="s">
        <v>3249</v>
      </c>
      <c r="L3539">
        <v>2</v>
      </c>
    </row>
    <row r="3540" spans="10:12" x14ac:dyDescent="0.2">
      <c r="J3540">
        <v>40008127</v>
      </c>
      <c r="K3540" t="s">
        <v>3250</v>
      </c>
      <c r="L3540">
        <v>19</v>
      </c>
    </row>
    <row r="3541" spans="10:12" x14ac:dyDescent="0.2">
      <c r="J3541">
        <v>40008128</v>
      </c>
      <c r="K3541" t="s">
        <v>3251</v>
      </c>
      <c r="L3541">
        <v>8</v>
      </c>
    </row>
    <row r="3542" spans="10:12" x14ac:dyDescent="0.2">
      <c r="J3542">
        <v>40008129</v>
      </c>
      <c r="K3542" t="s">
        <v>3252</v>
      </c>
      <c r="L3542">
        <v>7</v>
      </c>
    </row>
    <row r="3543" spans="10:12" x14ac:dyDescent="0.2">
      <c r="J3543">
        <v>40008130</v>
      </c>
      <c r="K3543" t="s">
        <v>3253</v>
      </c>
      <c r="L3543">
        <v>5</v>
      </c>
    </row>
    <row r="3544" spans="10:12" x14ac:dyDescent="0.2">
      <c r="J3544">
        <v>40008131</v>
      </c>
      <c r="K3544" t="s">
        <v>3254</v>
      </c>
      <c r="L3544">
        <v>1</v>
      </c>
    </row>
    <row r="3545" spans="10:12" x14ac:dyDescent="0.2">
      <c r="J3545">
        <v>40008132</v>
      </c>
      <c r="K3545" t="s">
        <v>3255</v>
      </c>
      <c r="L3545">
        <v>3</v>
      </c>
    </row>
    <row r="3546" spans="10:12" x14ac:dyDescent="0.2">
      <c r="J3546">
        <v>40008133</v>
      </c>
      <c r="K3546" t="s">
        <v>3256</v>
      </c>
      <c r="L3546">
        <v>1</v>
      </c>
    </row>
    <row r="3547" spans="10:12" x14ac:dyDescent="0.2">
      <c r="J3547">
        <v>40008134</v>
      </c>
      <c r="K3547" t="s">
        <v>3257</v>
      </c>
      <c r="L3547">
        <v>5</v>
      </c>
    </row>
    <row r="3548" spans="10:12" x14ac:dyDescent="0.2">
      <c r="J3548">
        <v>40008136</v>
      </c>
      <c r="K3548" t="s">
        <v>3259</v>
      </c>
      <c r="L3548">
        <v>1</v>
      </c>
    </row>
    <row r="3549" spans="10:12" x14ac:dyDescent="0.2">
      <c r="J3549">
        <v>40008137</v>
      </c>
      <c r="K3549" t="s">
        <v>3260</v>
      </c>
      <c r="L3549">
        <v>16</v>
      </c>
    </row>
    <row r="3550" spans="10:12" x14ac:dyDescent="0.2">
      <c r="J3550">
        <v>40008138</v>
      </c>
      <c r="K3550" t="s">
        <v>3261</v>
      </c>
      <c r="L3550">
        <v>41</v>
      </c>
    </row>
    <row r="3551" spans="10:12" x14ac:dyDescent="0.2">
      <c r="J3551">
        <v>40008139</v>
      </c>
      <c r="K3551" t="s">
        <v>3262</v>
      </c>
      <c r="L3551">
        <v>21</v>
      </c>
    </row>
    <row r="3552" spans="10:12" x14ac:dyDescent="0.2">
      <c r="J3552">
        <v>40008140</v>
      </c>
      <c r="K3552" t="s">
        <v>3263</v>
      </c>
      <c r="L3552">
        <v>6</v>
      </c>
    </row>
    <row r="3553" spans="10:12" x14ac:dyDescent="0.2">
      <c r="J3553">
        <v>40008141</v>
      </c>
      <c r="K3553" t="s">
        <v>3264</v>
      </c>
      <c r="L3553">
        <v>9</v>
      </c>
    </row>
    <row r="3554" spans="10:12" x14ac:dyDescent="0.2">
      <c r="J3554">
        <v>40008142</v>
      </c>
      <c r="K3554" t="s">
        <v>3265</v>
      </c>
      <c r="L3554">
        <v>5</v>
      </c>
    </row>
    <row r="3555" spans="10:12" x14ac:dyDescent="0.2">
      <c r="J3555">
        <v>40008143</v>
      </c>
      <c r="K3555" t="s">
        <v>3266</v>
      </c>
      <c r="L3555">
        <v>5</v>
      </c>
    </row>
    <row r="3556" spans="10:12" x14ac:dyDescent="0.2">
      <c r="J3556">
        <v>40008144</v>
      </c>
      <c r="K3556" t="s">
        <v>3267</v>
      </c>
      <c r="L3556">
        <v>3</v>
      </c>
    </row>
    <row r="3557" spans="10:12" x14ac:dyDescent="0.2">
      <c r="J3557">
        <v>40008145</v>
      </c>
      <c r="K3557" t="s">
        <v>3268</v>
      </c>
      <c r="L3557">
        <v>77</v>
      </c>
    </row>
    <row r="3558" spans="10:12" x14ac:dyDescent="0.2">
      <c r="J3558">
        <v>40008146</v>
      </c>
      <c r="K3558" t="s">
        <v>3269</v>
      </c>
      <c r="L3558">
        <v>4</v>
      </c>
    </row>
    <row r="3559" spans="10:12" x14ac:dyDescent="0.2">
      <c r="J3559">
        <v>40008147</v>
      </c>
      <c r="K3559" t="s">
        <v>3270</v>
      </c>
      <c r="L3559">
        <v>8</v>
      </c>
    </row>
    <row r="3560" spans="10:12" x14ac:dyDescent="0.2">
      <c r="J3560">
        <v>40008149</v>
      </c>
      <c r="K3560" t="s">
        <v>3272</v>
      </c>
      <c r="L3560">
        <v>1</v>
      </c>
    </row>
    <row r="3561" spans="10:12" x14ac:dyDescent="0.2">
      <c r="J3561">
        <v>40008150</v>
      </c>
      <c r="K3561" t="s">
        <v>3273</v>
      </c>
      <c r="L3561">
        <v>1</v>
      </c>
    </row>
    <row r="3562" spans="10:12" x14ac:dyDescent="0.2">
      <c r="J3562">
        <v>40008151</v>
      </c>
      <c r="K3562" t="s">
        <v>3274</v>
      </c>
      <c r="L3562">
        <v>3</v>
      </c>
    </row>
    <row r="3563" spans="10:12" x14ac:dyDescent="0.2">
      <c r="J3563">
        <v>40008152</v>
      </c>
      <c r="K3563" t="s">
        <v>3275</v>
      </c>
      <c r="L3563">
        <v>4</v>
      </c>
    </row>
    <row r="3564" spans="10:12" x14ac:dyDescent="0.2">
      <c r="J3564">
        <v>40008153</v>
      </c>
      <c r="K3564" t="s">
        <v>3276</v>
      </c>
      <c r="L3564">
        <v>23</v>
      </c>
    </row>
    <row r="3565" spans="10:12" x14ac:dyDescent="0.2">
      <c r="J3565">
        <v>40008154</v>
      </c>
      <c r="K3565" t="s">
        <v>3277</v>
      </c>
      <c r="L3565">
        <v>16</v>
      </c>
    </row>
    <row r="3566" spans="10:12" x14ac:dyDescent="0.2">
      <c r="J3566">
        <v>40008155</v>
      </c>
      <c r="K3566" t="s">
        <v>3278</v>
      </c>
      <c r="L3566">
        <v>3</v>
      </c>
    </row>
    <row r="3567" spans="10:12" x14ac:dyDescent="0.2">
      <c r="J3567">
        <v>40008156</v>
      </c>
      <c r="K3567" t="s">
        <v>3279</v>
      </c>
      <c r="L3567">
        <v>4</v>
      </c>
    </row>
    <row r="3568" spans="10:12" x14ac:dyDescent="0.2">
      <c r="J3568">
        <v>40008158</v>
      </c>
      <c r="K3568" t="s">
        <v>3281</v>
      </c>
      <c r="L3568">
        <v>1</v>
      </c>
    </row>
    <row r="3569" spans="10:12" x14ac:dyDescent="0.2">
      <c r="J3569">
        <v>40008159</v>
      </c>
      <c r="K3569" t="s">
        <v>3282</v>
      </c>
      <c r="L3569">
        <v>29</v>
      </c>
    </row>
    <row r="3570" spans="10:12" x14ac:dyDescent="0.2">
      <c r="J3570">
        <v>40008160</v>
      </c>
      <c r="K3570" t="s">
        <v>3283</v>
      </c>
      <c r="L3570">
        <v>26</v>
      </c>
    </row>
    <row r="3571" spans="10:12" x14ac:dyDescent="0.2">
      <c r="J3571">
        <v>40008161</v>
      </c>
      <c r="K3571" t="s">
        <v>3284</v>
      </c>
      <c r="L3571">
        <v>23</v>
      </c>
    </row>
    <row r="3572" spans="10:12" x14ac:dyDescent="0.2">
      <c r="J3572">
        <v>40008163</v>
      </c>
      <c r="K3572" t="s">
        <v>3286</v>
      </c>
      <c r="L3572">
        <v>11</v>
      </c>
    </row>
    <row r="3573" spans="10:12" x14ac:dyDescent="0.2">
      <c r="J3573">
        <v>40008164</v>
      </c>
      <c r="K3573" t="s">
        <v>3287</v>
      </c>
      <c r="L3573">
        <v>9</v>
      </c>
    </row>
    <row r="3574" spans="10:12" x14ac:dyDescent="0.2">
      <c r="J3574">
        <v>40008165</v>
      </c>
      <c r="K3574" t="s">
        <v>3288</v>
      </c>
      <c r="L3574">
        <v>12</v>
      </c>
    </row>
    <row r="3575" spans="10:12" x14ac:dyDescent="0.2">
      <c r="J3575">
        <v>40008166</v>
      </c>
      <c r="K3575" t="s">
        <v>3289</v>
      </c>
      <c r="L3575">
        <v>9</v>
      </c>
    </row>
    <row r="3576" spans="10:12" x14ac:dyDescent="0.2">
      <c r="J3576">
        <v>40008167</v>
      </c>
      <c r="K3576" t="s">
        <v>3290</v>
      </c>
      <c r="L3576">
        <v>18</v>
      </c>
    </row>
    <row r="3577" spans="10:12" x14ac:dyDescent="0.2">
      <c r="J3577">
        <v>40008168</v>
      </c>
      <c r="K3577" t="s">
        <v>3291</v>
      </c>
      <c r="L3577">
        <v>6</v>
      </c>
    </row>
    <row r="3578" spans="10:12" x14ac:dyDescent="0.2">
      <c r="J3578">
        <v>40008169</v>
      </c>
      <c r="K3578" t="s">
        <v>3292</v>
      </c>
      <c r="L3578">
        <v>1</v>
      </c>
    </row>
    <row r="3579" spans="10:12" x14ac:dyDescent="0.2">
      <c r="J3579">
        <v>40008170</v>
      </c>
      <c r="K3579" t="s">
        <v>3293</v>
      </c>
      <c r="L3579">
        <v>7</v>
      </c>
    </row>
    <row r="3580" spans="10:12" x14ac:dyDescent="0.2">
      <c r="J3580">
        <v>40008171</v>
      </c>
      <c r="K3580" t="s">
        <v>3294</v>
      </c>
      <c r="L3580">
        <v>11</v>
      </c>
    </row>
    <row r="3581" spans="10:12" x14ac:dyDescent="0.2">
      <c r="J3581">
        <v>40008172</v>
      </c>
      <c r="K3581" t="s">
        <v>3295</v>
      </c>
      <c r="L3581">
        <v>18</v>
      </c>
    </row>
    <row r="3582" spans="10:12" x14ac:dyDescent="0.2">
      <c r="J3582">
        <v>40008173</v>
      </c>
      <c r="K3582" t="s">
        <v>3296</v>
      </c>
      <c r="L3582">
        <v>5</v>
      </c>
    </row>
    <row r="3583" spans="10:12" x14ac:dyDescent="0.2">
      <c r="J3583">
        <v>40008174</v>
      </c>
      <c r="K3583" t="s">
        <v>3297</v>
      </c>
      <c r="L3583">
        <v>7</v>
      </c>
    </row>
    <row r="3584" spans="10:12" x14ac:dyDescent="0.2">
      <c r="J3584">
        <v>40008175</v>
      </c>
      <c r="K3584" t="s">
        <v>3298</v>
      </c>
      <c r="L3584">
        <v>1</v>
      </c>
    </row>
    <row r="3585" spans="10:12" x14ac:dyDescent="0.2">
      <c r="J3585">
        <v>40008176</v>
      </c>
      <c r="K3585" t="s">
        <v>3299</v>
      </c>
      <c r="L3585">
        <v>8</v>
      </c>
    </row>
    <row r="3586" spans="10:12" x14ac:dyDescent="0.2">
      <c r="J3586">
        <v>40008177</v>
      </c>
      <c r="K3586" t="s">
        <v>3300</v>
      </c>
      <c r="L3586">
        <v>2</v>
      </c>
    </row>
    <row r="3587" spans="10:12" x14ac:dyDescent="0.2">
      <c r="J3587">
        <v>40008178</v>
      </c>
      <c r="K3587" t="s">
        <v>3301</v>
      </c>
      <c r="L3587">
        <v>1</v>
      </c>
    </row>
    <row r="3588" spans="10:12" x14ac:dyDescent="0.2">
      <c r="J3588">
        <v>40008179</v>
      </c>
      <c r="K3588" t="s">
        <v>3302</v>
      </c>
      <c r="L3588">
        <v>1</v>
      </c>
    </row>
    <row r="3589" spans="10:12" x14ac:dyDescent="0.2">
      <c r="J3589">
        <v>40008180</v>
      </c>
      <c r="K3589" t="s">
        <v>3303</v>
      </c>
      <c r="L3589">
        <v>10</v>
      </c>
    </row>
    <row r="3590" spans="10:12" x14ac:dyDescent="0.2">
      <c r="J3590">
        <v>40008181</v>
      </c>
      <c r="K3590" t="s">
        <v>3697</v>
      </c>
      <c r="L3590">
        <v>19</v>
      </c>
    </row>
    <row r="3591" spans="10:12" x14ac:dyDescent="0.2">
      <c r="J3591">
        <v>40008182</v>
      </c>
      <c r="K3591" t="s">
        <v>3304</v>
      </c>
      <c r="L3591">
        <v>8</v>
      </c>
    </row>
    <row r="3592" spans="10:12" x14ac:dyDescent="0.2">
      <c r="J3592">
        <v>40008183</v>
      </c>
      <c r="K3592" t="s">
        <v>3305</v>
      </c>
      <c r="L3592">
        <v>1</v>
      </c>
    </row>
    <row r="3593" spans="10:12" x14ac:dyDescent="0.2">
      <c r="J3593">
        <v>40008184</v>
      </c>
      <c r="K3593" t="s">
        <v>3306</v>
      </c>
      <c r="L3593">
        <v>6</v>
      </c>
    </row>
    <row r="3594" spans="10:12" x14ac:dyDescent="0.2">
      <c r="J3594">
        <v>40008185</v>
      </c>
      <c r="K3594" t="s">
        <v>3307</v>
      </c>
      <c r="L3594">
        <v>8</v>
      </c>
    </row>
    <row r="3595" spans="10:12" x14ac:dyDescent="0.2">
      <c r="J3595">
        <v>40008186</v>
      </c>
      <c r="K3595" t="s">
        <v>3308</v>
      </c>
      <c r="L3595">
        <v>1</v>
      </c>
    </row>
    <row r="3596" spans="10:12" x14ac:dyDescent="0.2">
      <c r="J3596">
        <v>40008187</v>
      </c>
      <c r="K3596" t="s">
        <v>3309</v>
      </c>
      <c r="L3596">
        <v>4</v>
      </c>
    </row>
    <row r="3597" spans="10:12" x14ac:dyDescent="0.2">
      <c r="J3597">
        <v>40008188</v>
      </c>
      <c r="K3597" t="s">
        <v>3310</v>
      </c>
      <c r="L3597">
        <v>50</v>
      </c>
    </row>
    <row r="3598" spans="10:12" x14ac:dyDescent="0.2">
      <c r="J3598">
        <v>40008190</v>
      </c>
      <c r="K3598" t="s">
        <v>3311</v>
      </c>
      <c r="L3598">
        <v>10</v>
      </c>
    </row>
    <row r="3599" spans="10:12" x14ac:dyDescent="0.2">
      <c r="J3599">
        <v>40008191</v>
      </c>
      <c r="K3599" t="s">
        <v>3312</v>
      </c>
      <c r="L3599">
        <v>9</v>
      </c>
    </row>
    <row r="3600" spans="10:12" x14ac:dyDescent="0.2">
      <c r="J3600">
        <v>40008192</v>
      </c>
      <c r="K3600" t="s">
        <v>3313</v>
      </c>
      <c r="L3600">
        <v>15</v>
      </c>
    </row>
    <row r="3601" spans="10:12" x14ac:dyDescent="0.2">
      <c r="J3601">
        <v>40008193</v>
      </c>
      <c r="K3601" t="s">
        <v>3314</v>
      </c>
      <c r="L3601">
        <v>6</v>
      </c>
    </row>
    <row r="3602" spans="10:12" x14ac:dyDescent="0.2">
      <c r="J3602">
        <v>40008194</v>
      </c>
      <c r="K3602" t="s">
        <v>3315</v>
      </c>
      <c r="L3602">
        <v>17</v>
      </c>
    </row>
    <row r="3603" spans="10:12" x14ac:dyDescent="0.2">
      <c r="J3603">
        <v>40008195</v>
      </c>
      <c r="K3603" t="s">
        <v>3316</v>
      </c>
      <c r="L3603">
        <v>3</v>
      </c>
    </row>
    <row r="3604" spans="10:12" x14ac:dyDescent="0.2">
      <c r="J3604">
        <v>40008197</v>
      </c>
      <c r="K3604" t="s">
        <v>3317</v>
      </c>
      <c r="L3604">
        <v>6</v>
      </c>
    </row>
    <row r="3605" spans="10:12" x14ac:dyDescent="0.2">
      <c r="J3605">
        <v>40008198</v>
      </c>
      <c r="K3605" t="s">
        <v>3318</v>
      </c>
      <c r="L3605">
        <v>3</v>
      </c>
    </row>
    <row r="3606" spans="10:12" x14ac:dyDescent="0.2">
      <c r="J3606">
        <v>40008199</v>
      </c>
      <c r="K3606" t="s">
        <v>3319</v>
      </c>
      <c r="L3606">
        <v>6</v>
      </c>
    </row>
    <row r="3607" spans="10:12" x14ac:dyDescent="0.2">
      <c r="J3607">
        <v>40008200</v>
      </c>
      <c r="K3607" t="s">
        <v>3320</v>
      </c>
      <c r="L3607">
        <v>6</v>
      </c>
    </row>
    <row r="3608" spans="10:12" x14ac:dyDescent="0.2">
      <c r="J3608">
        <v>40008201</v>
      </c>
      <c r="K3608" t="s">
        <v>3321</v>
      </c>
      <c r="L3608">
        <v>1</v>
      </c>
    </row>
    <row r="3609" spans="10:12" x14ac:dyDescent="0.2">
      <c r="J3609">
        <v>40008202</v>
      </c>
      <c r="K3609" t="s">
        <v>3322</v>
      </c>
      <c r="L3609">
        <v>4</v>
      </c>
    </row>
    <row r="3610" spans="10:12" x14ac:dyDescent="0.2">
      <c r="J3610">
        <v>40008203</v>
      </c>
      <c r="K3610" t="s">
        <v>3323</v>
      </c>
      <c r="L3610">
        <v>2</v>
      </c>
    </row>
    <row r="3611" spans="10:12" x14ac:dyDescent="0.2">
      <c r="J3611">
        <v>40008204</v>
      </c>
      <c r="K3611" t="s">
        <v>3324</v>
      </c>
      <c r="L3611">
        <v>6</v>
      </c>
    </row>
    <row r="3612" spans="10:12" x14ac:dyDescent="0.2">
      <c r="J3612">
        <v>40008205</v>
      </c>
      <c r="K3612" t="s">
        <v>3325</v>
      </c>
      <c r="L3612">
        <v>6</v>
      </c>
    </row>
    <row r="3613" spans="10:12" x14ac:dyDescent="0.2">
      <c r="J3613">
        <v>40008206</v>
      </c>
      <c r="K3613" t="s">
        <v>3326</v>
      </c>
      <c r="L3613">
        <v>12</v>
      </c>
    </row>
    <row r="3614" spans="10:12" x14ac:dyDescent="0.2">
      <c r="J3614">
        <v>40008207</v>
      </c>
      <c r="K3614" t="s">
        <v>3327</v>
      </c>
      <c r="L3614">
        <v>3</v>
      </c>
    </row>
    <row r="3615" spans="10:12" x14ac:dyDescent="0.2">
      <c r="J3615">
        <v>40008208</v>
      </c>
      <c r="K3615" t="s">
        <v>3328</v>
      </c>
      <c r="L3615">
        <v>12</v>
      </c>
    </row>
    <row r="3616" spans="10:12" x14ac:dyDescent="0.2">
      <c r="J3616">
        <v>40008209</v>
      </c>
      <c r="K3616" t="s">
        <v>3329</v>
      </c>
      <c r="L3616">
        <v>4</v>
      </c>
    </row>
    <row r="3617" spans="10:12" x14ac:dyDescent="0.2">
      <c r="J3617">
        <v>40008210</v>
      </c>
      <c r="K3617" t="s">
        <v>3330</v>
      </c>
      <c r="L3617">
        <v>1</v>
      </c>
    </row>
    <row r="3618" spans="10:12" x14ac:dyDescent="0.2">
      <c r="J3618">
        <v>40008211</v>
      </c>
      <c r="K3618" t="s">
        <v>3331</v>
      </c>
      <c r="L3618">
        <v>4</v>
      </c>
    </row>
    <row r="3619" spans="10:12" x14ac:dyDescent="0.2">
      <c r="J3619">
        <v>40008212</v>
      </c>
      <c r="K3619" t="s">
        <v>3332</v>
      </c>
      <c r="L3619">
        <v>15</v>
      </c>
    </row>
    <row r="3620" spans="10:12" x14ac:dyDescent="0.2">
      <c r="J3620">
        <v>40008213</v>
      </c>
      <c r="K3620" t="s">
        <v>3333</v>
      </c>
      <c r="L3620">
        <v>12</v>
      </c>
    </row>
    <row r="3621" spans="10:12" x14ac:dyDescent="0.2">
      <c r="J3621">
        <v>40008215</v>
      </c>
      <c r="K3621" t="s">
        <v>3334</v>
      </c>
      <c r="L3621">
        <v>17</v>
      </c>
    </row>
    <row r="3622" spans="10:12" x14ac:dyDescent="0.2">
      <c r="J3622">
        <v>40008216</v>
      </c>
      <c r="K3622" t="s">
        <v>3335</v>
      </c>
      <c r="L3622">
        <v>1</v>
      </c>
    </row>
    <row r="3623" spans="10:12" x14ac:dyDescent="0.2">
      <c r="J3623">
        <v>40008217</v>
      </c>
      <c r="K3623" t="s">
        <v>3336</v>
      </c>
      <c r="L3623">
        <v>11</v>
      </c>
    </row>
    <row r="3624" spans="10:12" x14ac:dyDescent="0.2">
      <c r="J3624">
        <v>40008219</v>
      </c>
      <c r="K3624" t="s">
        <v>3338</v>
      </c>
      <c r="L3624">
        <v>5</v>
      </c>
    </row>
    <row r="3625" spans="10:12" x14ac:dyDescent="0.2">
      <c r="J3625">
        <v>40008220</v>
      </c>
      <c r="K3625" t="s">
        <v>3339</v>
      </c>
      <c r="L3625">
        <v>9</v>
      </c>
    </row>
    <row r="3626" spans="10:12" x14ac:dyDescent="0.2">
      <c r="J3626">
        <v>40008221</v>
      </c>
      <c r="K3626" t="s">
        <v>3340</v>
      </c>
      <c r="L3626">
        <v>5</v>
      </c>
    </row>
    <row r="3627" spans="10:12" x14ac:dyDescent="0.2">
      <c r="J3627">
        <v>40008222</v>
      </c>
      <c r="K3627" t="s">
        <v>3341</v>
      </c>
      <c r="L3627">
        <v>5</v>
      </c>
    </row>
    <row r="3628" spans="10:12" x14ac:dyDescent="0.2">
      <c r="J3628">
        <v>40008223</v>
      </c>
      <c r="K3628" t="s">
        <v>3342</v>
      </c>
      <c r="L3628">
        <v>6</v>
      </c>
    </row>
    <row r="3629" spans="10:12" x14ac:dyDescent="0.2">
      <c r="J3629">
        <v>40008224</v>
      </c>
      <c r="K3629" t="s">
        <v>3343</v>
      </c>
      <c r="L3629">
        <v>12</v>
      </c>
    </row>
    <row r="3630" spans="10:12" x14ac:dyDescent="0.2">
      <c r="J3630">
        <v>40008225</v>
      </c>
      <c r="K3630" t="s">
        <v>3344</v>
      </c>
      <c r="L3630">
        <v>14</v>
      </c>
    </row>
    <row r="3631" spans="10:12" x14ac:dyDescent="0.2">
      <c r="J3631">
        <v>40008226</v>
      </c>
      <c r="K3631" t="s">
        <v>3345</v>
      </c>
      <c r="L3631">
        <v>50</v>
      </c>
    </row>
    <row r="3632" spans="10:12" x14ac:dyDescent="0.2">
      <c r="J3632">
        <v>40008227</v>
      </c>
      <c r="K3632" t="s">
        <v>3346</v>
      </c>
      <c r="L3632">
        <v>10</v>
      </c>
    </row>
    <row r="3633" spans="10:12" x14ac:dyDescent="0.2">
      <c r="J3633">
        <v>40008228</v>
      </c>
      <c r="K3633" t="s">
        <v>3347</v>
      </c>
      <c r="L3633">
        <v>6</v>
      </c>
    </row>
    <row r="3634" spans="10:12" x14ac:dyDescent="0.2">
      <c r="J3634">
        <v>40008229</v>
      </c>
      <c r="K3634" t="s">
        <v>3348</v>
      </c>
      <c r="L3634">
        <v>5</v>
      </c>
    </row>
    <row r="3635" spans="10:12" x14ac:dyDescent="0.2">
      <c r="J3635">
        <v>40008230</v>
      </c>
      <c r="K3635" t="s">
        <v>3349</v>
      </c>
      <c r="L3635">
        <v>6</v>
      </c>
    </row>
    <row r="3636" spans="10:12" x14ac:dyDescent="0.2">
      <c r="J3636">
        <v>40008231</v>
      </c>
      <c r="K3636" t="s">
        <v>3350</v>
      </c>
      <c r="L3636">
        <v>5</v>
      </c>
    </row>
    <row r="3637" spans="10:12" x14ac:dyDescent="0.2">
      <c r="J3637">
        <v>40008232</v>
      </c>
      <c r="K3637" t="s">
        <v>3351</v>
      </c>
      <c r="L3637">
        <v>38</v>
      </c>
    </row>
    <row r="3638" spans="10:12" x14ac:dyDescent="0.2">
      <c r="J3638">
        <v>40008233</v>
      </c>
      <c r="K3638" t="s">
        <v>3352</v>
      </c>
      <c r="L3638">
        <v>5</v>
      </c>
    </row>
    <row r="3639" spans="10:12" x14ac:dyDescent="0.2">
      <c r="J3639">
        <v>40008234</v>
      </c>
      <c r="K3639" t="s">
        <v>10652</v>
      </c>
      <c r="L3639">
        <v>11</v>
      </c>
    </row>
    <row r="3640" spans="10:12" x14ac:dyDescent="0.2">
      <c r="J3640">
        <v>40008235</v>
      </c>
      <c r="K3640" t="s">
        <v>3353</v>
      </c>
      <c r="L3640">
        <v>3</v>
      </c>
    </row>
    <row r="3641" spans="10:12" x14ac:dyDescent="0.2">
      <c r="J3641">
        <v>40008236</v>
      </c>
      <c r="K3641" t="s">
        <v>3819</v>
      </c>
      <c r="L3641">
        <v>6</v>
      </c>
    </row>
    <row r="3642" spans="10:12" x14ac:dyDescent="0.2">
      <c r="J3642">
        <v>40008237</v>
      </c>
      <c r="K3642" t="s">
        <v>3354</v>
      </c>
      <c r="L3642">
        <v>3</v>
      </c>
    </row>
    <row r="3643" spans="10:12" x14ac:dyDescent="0.2">
      <c r="J3643">
        <v>40008238</v>
      </c>
      <c r="K3643" t="s">
        <v>3355</v>
      </c>
      <c r="L3643">
        <v>29</v>
      </c>
    </row>
    <row r="3644" spans="10:12" x14ac:dyDescent="0.2">
      <c r="J3644">
        <v>40008239</v>
      </c>
      <c r="K3644" t="s">
        <v>3356</v>
      </c>
      <c r="L3644">
        <v>4</v>
      </c>
    </row>
    <row r="3645" spans="10:12" x14ac:dyDescent="0.2">
      <c r="J3645">
        <v>40008240</v>
      </c>
      <c r="K3645" t="s">
        <v>3357</v>
      </c>
      <c r="L3645">
        <v>1</v>
      </c>
    </row>
    <row r="3646" spans="10:12" x14ac:dyDescent="0.2">
      <c r="J3646">
        <v>40008241</v>
      </c>
      <c r="K3646" t="s">
        <v>3358</v>
      </c>
      <c r="L3646">
        <v>13</v>
      </c>
    </row>
    <row r="3647" spans="10:12" x14ac:dyDescent="0.2">
      <c r="J3647">
        <v>40008242</v>
      </c>
      <c r="K3647" t="s">
        <v>3359</v>
      </c>
      <c r="L3647">
        <v>8</v>
      </c>
    </row>
    <row r="3648" spans="10:12" x14ac:dyDescent="0.2">
      <c r="J3648">
        <v>40008243</v>
      </c>
      <c r="K3648" t="s">
        <v>3360</v>
      </c>
      <c r="L3648">
        <v>8</v>
      </c>
    </row>
    <row r="3649" spans="10:12" x14ac:dyDescent="0.2">
      <c r="J3649">
        <v>40008244</v>
      </c>
      <c r="K3649" t="s">
        <v>3361</v>
      </c>
      <c r="L3649">
        <v>23</v>
      </c>
    </row>
    <row r="3650" spans="10:12" x14ac:dyDescent="0.2">
      <c r="J3650">
        <v>40008245</v>
      </c>
      <c r="K3650" t="s">
        <v>3362</v>
      </c>
      <c r="L3650">
        <v>27</v>
      </c>
    </row>
    <row r="3651" spans="10:12" x14ac:dyDescent="0.2">
      <c r="J3651">
        <v>40008246</v>
      </c>
      <c r="K3651" t="s">
        <v>3363</v>
      </c>
      <c r="L3651">
        <v>51</v>
      </c>
    </row>
    <row r="3652" spans="10:12" x14ac:dyDescent="0.2">
      <c r="J3652">
        <v>40008247</v>
      </c>
      <c r="K3652" t="s">
        <v>3364</v>
      </c>
      <c r="L3652">
        <v>95</v>
      </c>
    </row>
    <row r="3653" spans="10:12" x14ac:dyDescent="0.2">
      <c r="J3653">
        <v>40008248</v>
      </c>
      <c r="K3653" t="s">
        <v>3365</v>
      </c>
      <c r="L3653">
        <v>45</v>
      </c>
    </row>
    <row r="3654" spans="10:12" x14ac:dyDescent="0.2">
      <c r="J3654">
        <v>40008249</v>
      </c>
      <c r="K3654" t="s">
        <v>3366</v>
      </c>
      <c r="L3654">
        <v>7</v>
      </c>
    </row>
    <row r="3655" spans="10:12" x14ac:dyDescent="0.2">
      <c r="J3655">
        <v>40008250</v>
      </c>
      <c r="K3655" t="s">
        <v>3367</v>
      </c>
      <c r="L3655">
        <v>7</v>
      </c>
    </row>
    <row r="3656" spans="10:12" x14ac:dyDescent="0.2">
      <c r="J3656">
        <v>40008251</v>
      </c>
      <c r="K3656" t="s">
        <v>3368</v>
      </c>
      <c r="L3656">
        <v>10</v>
      </c>
    </row>
    <row r="3657" spans="10:12" x14ac:dyDescent="0.2">
      <c r="J3657">
        <v>40008252</v>
      </c>
      <c r="K3657" t="s">
        <v>3369</v>
      </c>
      <c r="L3657">
        <v>2</v>
      </c>
    </row>
    <row r="3658" spans="10:12" x14ac:dyDescent="0.2">
      <c r="J3658">
        <v>40008253</v>
      </c>
      <c r="K3658" t="s">
        <v>3370</v>
      </c>
      <c r="L3658">
        <v>38</v>
      </c>
    </row>
    <row r="3659" spans="10:12" x14ac:dyDescent="0.2">
      <c r="J3659">
        <v>40008255</v>
      </c>
      <c r="K3659" t="s">
        <v>3763</v>
      </c>
      <c r="L3659">
        <v>4</v>
      </c>
    </row>
    <row r="3660" spans="10:12" x14ac:dyDescent="0.2">
      <c r="J3660">
        <v>40008256</v>
      </c>
      <c r="K3660" t="s">
        <v>3371</v>
      </c>
      <c r="L3660">
        <v>30</v>
      </c>
    </row>
    <row r="3661" spans="10:12" x14ac:dyDescent="0.2">
      <c r="J3661">
        <v>40008257</v>
      </c>
      <c r="K3661" t="s">
        <v>3372</v>
      </c>
      <c r="L3661">
        <v>2</v>
      </c>
    </row>
    <row r="3662" spans="10:12" x14ac:dyDescent="0.2">
      <c r="J3662">
        <v>40008258</v>
      </c>
      <c r="K3662" t="s">
        <v>3373</v>
      </c>
      <c r="L3662">
        <v>25</v>
      </c>
    </row>
    <row r="3663" spans="10:12" x14ac:dyDescent="0.2">
      <c r="J3663">
        <v>40008260</v>
      </c>
      <c r="K3663" t="s">
        <v>3374</v>
      </c>
      <c r="L3663">
        <v>5</v>
      </c>
    </row>
    <row r="3664" spans="10:12" x14ac:dyDescent="0.2">
      <c r="J3664">
        <v>40008261</v>
      </c>
      <c r="K3664" t="s">
        <v>3375</v>
      </c>
      <c r="L3664">
        <v>2</v>
      </c>
    </row>
    <row r="3665" spans="10:12" x14ac:dyDescent="0.2">
      <c r="J3665">
        <v>40008263</v>
      </c>
      <c r="K3665" t="s">
        <v>3376</v>
      </c>
      <c r="L3665">
        <v>25</v>
      </c>
    </row>
    <row r="3666" spans="10:12" x14ac:dyDescent="0.2">
      <c r="J3666">
        <v>40008264</v>
      </c>
      <c r="K3666" t="s">
        <v>3377</v>
      </c>
      <c r="L3666">
        <v>9</v>
      </c>
    </row>
    <row r="3667" spans="10:12" x14ac:dyDescent="0.2">
      <c r="J3667">
        <v>40008265</v>
      </c>
      <c r="K3667" t="s">
        <v>3378</v>
      </c>
      <c r="L3667">
        <v>18</v>
      </c>
    </row>
    <row r="3668" spans="10:12" x14ac:dyDescent="0.2">
      <c r="J3668">
        <v>40008266</v>
      </c>
      <c r="K3668" t="s">
        <v>9561</v>
      </c>
      <c r="L3668">
        <v>4</v>
      </c>
    </row>
    <row r="3669" spans="10:12" x14ac:dyDescent="0.2">
      <c r="J3669">
        <v>40008267</v>
      </c>
      <c r="K3669" t="s">
        <v>3379</v>
      </c>
      <c r="L3669">
        <v>12</v>
      </c>
    </row>
    <row r="3670" spans="10:12" x14ac:dyDescent="0.2">
      <c r="J3670">
        <v>40008268</v>
      </c>
      <c r="K3670" t="s">
        <v>3380</v>
      </c>
      <c r="L3670">
        <v>10</v>
      </c>
    </row>
    <row r="3671" spans="10:12" x14ac:dyDescent="0.2">
      <c r="J3671">
        <v>40008269</v>
      </c>
      <c r="K3671" t="s">
        <v>3381</v>
      </c>
      <c r="L3671">
        <v>31</v>
      </c>
    </row>
    <row r="3672" spans="10:12" x14ac:dyDescent="0.2">
      <c r="J3672">
        <v>40008270</v>
      </c>
      <c r="K3672" t="s">
        <v>3382</v>
      </c>
      <c r="L3672">
        <v>5</v>
      </c>
    </row>
    <row r="3673" spans="10:12" x14ac:dyDescent="0.2">
      <c r="J3673">
        <v>40008271</v>
      </c>
      <c r="K3673" t="s">
        <v>3383</v>
      </c>
      <c r="L3673">
        <v>50</v>
      </c>
    </row>
    <row r="3674" spans="10:12" x14ac:dyDescent="0.2">
      <c r="J3674">
        <v>40008272</v>
      </c>
      <c r="K3674" t="s">
        <v>3384</v>
      </c>
      <c r="L3674">
        <v>3</v>
      </c>
    </row>
    <row r="3675" spans="10:12" x14ac:dyDescent="0.2">
      <c r="J3675">
        <v>40008273</v>
      </c>
      <c r="K3675" t="s">
        <v>3385</v>
      </c>
      <c r="L3675">
        <v>2</v>
      </c>
    </row>
    <row r="3676" spans="10:12" x14ac:dyDescent="0.2">
      <c r="J3676">
        <v>40008275</v>
      </c>
      <c r="K3676" t="s">
        <v>3387</v>
      </c>
      <c r="L3676">
        <v>5</v>
      </c>
    </row>
    <row r="3677" spans="10:12" x14ac:dyDescent="0.2">
      <c r="J3677">
        <v>40008276</v>
      </c>
      <c r="K3677" t="s">
        <v>3388</v>
      </c>
      <c r="L3677">
        <v>1</v>
      </c>
    </row>
    <row r="3678" spans="10:12" x14ac:dyDescent="0.2">
      <c r="J3678">
        <v>40008277</v>
      </c>
      <c r="K3678" t="s">
        <v>3389</v>
      </c>
      <c r="L3678">
        <v>6</v>
      </c>
    </row>
    <row r="3679" spans="10:12" x14ac:dyDescent="0.2">
      <c r="J3679">
        <v>40008278</v>
      </c>
      <c r="K3679" t="s">
        <v>3390</v>
      </c>
      <c r="L3679">
        <v>1</v>
      </c>
    </row>
    <row r="3680" spans="10:12" x14ac:dyDescent="0.2">
      <c r="J3680">
        <v>40008279</v>
      </c>
      <c r="K3680" t="s">
        <v>3391</v>
      </c>
      <c r="L3680">
        <v>7</v>
      </c>
    </row>
    <row r="3681" spans="10:12" x14ac:dyDescent="0.2">
      <c r="J3681">
        <v>40008280</v>
      </c>
      <c r="K3681" t="s">
        <v>3392</v>
      </c>
      <c r="L3681">
        <v>21</v>
      </c>
    </row>
    <row r="3682" spans="10:12" x14ac:dyDescent="0.2">
      <c r="J3682">
        <v>40008281</v>
      </c>
      <c r="K3682" t="s">
        <v>3393</v>
      </c>
      <c r="L3682">
        <v>8</v>
      </c>
    </row>
    <row r="3683" spans="10:12" x14ac:dyDescent="0.2">
      <c r="J3683">
        <v>40008282</v>
      </c>
      <c r="K3683" t="s">
        <v>3394</v>
      </c>
      <c r="L3683">
        <v>9</v>
      </c>
    </row>
    <row r="3684" spans="10:12" x14ac:dyDescent="0.2">
      <c r="J3684">
        <v>40008283</v>
      </c>
      <c r="K3684" t="s">
        <v>3395</v>
      </c>
      <c r="L3684">
        <v>22</v>
      </c>
    </row>
    <row r="3685" spans="10:12" x14ac:dyDescent="0.2">
      <c r="J3685">
        <v>40008285</v>
      </c>
      <c r="K3685" t="s">
        <v>3396</v>
      </c>
      <c r="L3685">
        <v>9</v>
      </c>
    </row>
    <row r="3686" spans="10:12" x14ac:dyDescent="0.2">
      <c r="J3686">
        <v>40008286</v>
      </c>
      <c r="K3686" t="s">
        <v>3397</v>
      </c>
      <c r="L3686">
        <v>6</v>
      </c>
    </row>
    <row r="3687" spans="10:12" x14ac:dyDescent="0.2">
      <c r="J3687">
        <v>40008287</v>
      </c>
      <c r="K3687" t="s">
        <v>3398</v>
      </c>
      <c r="L3687">
        <v>10</v>
      </c>
    </row>
    <row r="3688" spans="10:12" x14ac:dyDescent="0.2">
      <c r="J3688">
        <v>40008288</v>
      </c>
      <c r="K3688" t="s">
        <v>3399</v>
      </c>
      <c r="L3688">
        <v>5</v>
      </c>
    </row>
    <row r="3689" spans="10:12" x14ac:dyDescent="0.2">
      <c r="J3689">
        <v>40008289</v>
      </c>
      <c r="K3689" t="s">
        <v>3400</v>
      </c>
      <c r="L3689">
        <v>3</v>
      </c>
    </row>
    <row r="3690" spans="10:12" x14ac:dyDescent="0.2">
      <c r="J3690">
        <v>40008290</v>
      </c>
      <c r="K3690" t="s">
        <v>3401</v>
      </c>
      <c r="L3690">
        <v>18</v>
      </c>
    </row>
    <row r="3691" spans="10:12" x14ac:dyDescent="0.2">
      <c r="J3691">
        <v>40008291</v>
      </c>
      <c r="K3691" t="s">
        <v>3402</v>
      </c>
      <c r="L3691">
        <v>88</v>
      </c>
    </row>
    <row r="3692" spans="10:12" x14ac:dyDescent="0.2">
      <c r="J3692">
        <v>40008292</v>
      </c>
      <c r="K3692" t="s">
        <v>3403</v>
      </c>
      <c r="L3692">
        <v>44</v>
      </c>
    </row>
    <row r="3693" spans="10:12" x14ac:dyDescent="0.2">
      <c r="J3693">
        <v>40008293</v>
      </c>
      <c r="K3693" t="s">
        <v>3404</v>
      </c>
      <c r="L3693">
        <v>6</v>
      </c>
    </row>
    <row r="3694" spans="10:12" x14ac:dyDescent="0.2">
      <c r="J3694">
        <v>40008295</v>
      </c>
      <c r="K3694" t="s">
        <v>3406</v>
      </c>
      <c r="L3694">
        <v>11</v>
      </c>
    </row>
    <row r="3695" spans="10:12" x14ac:dyDescent="0.2">
      <c r="J3695">
        <v>40008297</v>
      </c>
      <c r="K3695" t="s">
        <v>3407</v>
      </c>
      <c r="L3695">
        <v>1</v>
      </c>
    </row>
    <row r="3696" spans="10:12" x14ac:dyDescent="0.2">
      <c r="J3696">
        <v>40008298</v>
      </c>
      <c r="K3696" t="s">
        <v>3408</v>
      </c>
      <c r="L3696">
        <v>5</v>
      </c>
    </row>
    <row r="3697" spans="10:12" x14ac:dyDescent="0.2">
      <c r="J3697">
        <v>40008299</v>
      </c>
      <c r="K3697" t="s">
        <v>3409</v>
      </c>
      <c r="L3697">
        <v>1</v>
      </c>
    </row>
    <row r="3698" spans="10:12" x14ac:dyDescent="0.2">
      <c r="J3698">
        <v>40008302</v>
      </c>
      <c r="K3698" t="s">
        <v>3410</v>
      </c>
      <c r="L3698">
        <v>10</v>
      </c>
    </row>
    <row r="3699" spans="10:12" x14ac:dyDescent="0.2">
      <c r="J3699">
        <v>40008303</v>
      </c>
      <c r="K3699" t="s">
        <v>3411</v>
      </c>
      <c r="L3699">
        <v>5</v>
      </c>
    </row>
    <row r="3700" spans="10:12" x14ac:dyDescent="0.2">
      <c r="J3700">
        <v>40008304</v>
      </c>
      <c r="K3700" t="s">
        <v>3412</v>
      </c>
      <c r="L3700">
        <v>2</v>
      </c>
    </row>
    <row r="3701" spans="10:12" x14ac:dyDescent="0.2">
      <c r="J3701">
        <v>40008305</v>
      </c>
      <c r="K3701" t="s">
        <v>3413</v>
      </c>
      <c r="L3701">
        <v>2</v>
      </c>
    </row>
    <row r="3702" spans="10:12" x14ac:dyDescent="0.2">
      <c r="J3702">
        <v>40008306</v>
      </c>
      <c r="K3702" t="s">
        <v>3414</v>
      </c>
      <c r="L3702">
        <v>15</v>
      </c>
    </row>
    <row r="3703" spans="10:12" x14ac:dyDescent="0.2">
      <c r="J3703">
        <v>40008307</v>
      </c>
      <c r="K3703" t="s">
        <v>3415</v>
      </c>
      <c r="L3703">
        <v>2</v>
      </c>
    </row>
    <row r="3704" spans="10:12" x14ac:dyDescent="0.2">
      <c r="J3704">
        <v>40008308</v>
      </c>
      <c r="K3704" t="s">
        <v>3700</v>
      </c>
      <c r="L3704">
        <v>8</v>
      </c>
    </row>
    <row r="3705" spans="10:12" x14ac:dyDescent="0.2">
      <c r="J3705">
        <v>40008309</v>
      </c>
      <c r="K3705" t="s">
        <v>3416</v>
      </c>
      <c r="L3705">
        <v>6</v>
      </c>
    </row>
    <row r="3706" spans="10:12" x14ac:dyDescent="0.2">
      <c r="J3706">
        <v>40008310</v>
      </c>
      <c r="K3706" t="s">
        <v>3417</v>
      </c>
      <c r="L3706">
        <v>10</v>
      </c>
    </row>
    <row r="3707" spans="10:12" x14ac:dyDescent="0.2">
      <c r="J3707">
        <v>40008311</v>
      </c>
      <c r="K3707" t="s">
        <v>3418</v>
      </c>
      <c r="L3707">
        <v>6</v>
      </c>
    </row>
    <row r="3708" spans="10:12" x14ac:dyDescent="0.2">
      <c r="J3708">
        <v>40008312</v>
      </c>
      <c r="K3708" t="s">
        <v>3419</v>
      </c>
      <c r="L3708">
        <v>44</v>
      </c>
    </row>
    <row r="3709" spans="10:12" x14ac:dyDescent="0.2">
      <c r="J3709">
        <v>40008314</v>
      </c>
      <c r="K3709" t="s">
        <v>3421</v>
      </c>
      <c r="L3709">
        <v>3</v>
      </c>
    </row>
    <row r="3710" spans="10:12" x14ac:dyDescent="0.2">
      <c r="J3710">
        <v>40008315</v>
      </c>
      <c r="K3710" t="s">
        <v>3422</v>
      </c>
      <c r="L3710">
        <v>9</v>
      </c>
    </row>
    <row r="3711" spans="10:12" x14ac:dyDescent="0.2">
      <c r="J3711">
        <v>40008317</v>
      </c>
      <c r="K3711" t="s">
        <v>10653</v>
      </c>
      <c r="L3711">
        <v>1</v>
      </c>
    </row>
    <row r="3712" spans="10:12" x14ac:dyDescent="0.2">
      <c r="J3712">
        <v>40008318</v>
      </c>
      <c r="K3712" t="s">
        <v>3423</v>
      </c>
      <c r="L3712">
        <v>14</v>
      </c>
    </row>
    <row r="3713" spans="10:12" x14ac:dyDescent="0.2">
      <c r="J3713">
        <v>40008320</v>
      </c>
      <c r="K3713" t="s">
        <v>3424</v>
      </c>
      <c r="L3713">
        <v>10</v>
      </c>
    </row>
    <row r="3714" spans="10:12" x14ac:dyDescent="0.2">
      <c r="J3714">
        <v>40008321</v>
      </c>
      <c r="K3714" t="s">
        <v>3425</v>
      </c>
      <c r="L3714">
        <v>38</v>
      </c>
    </row>
    <row r="3715" spans="10:12" x14ac:dyDescent="0.2">
      <c r="J3715">
        <v>40010226</v>
      </c>
      <c r="K3715" t="s">
        <v>3426</v>
      </c>
      <c r="L3715">
        <v>2</v>
      </c>
    </row>
    <row r="3716" spans="10:12" x14ac:dyDescent="0.2">
      <c r="J3716">
        <v>40010227</v>
      </c>
      <c r="K3716" t="s">
        <v>9931</v>
      </c>
      <c r="L3716">
        <v>1</v>
      </c>
    </row>
    <row r="3717" spans="10:12" x14ac:dyDescent="0.2">
      <c r="J3717">
        <v>40010228</v>
      </c>
      <c r="K3717" t="s">
        <v>3427</v>
      </c>
      <c r="L3717">
        <v>2</v>
      </c>
    </row>
    <row r="3718" spans="10:12" x14ac:dyDescent="0.2">
      <c r="J3718">
        <v>40010229</v>
      </c>
      <c r="K3718" t="s">
        <v>3428</v>
      </c>
      <c r="L3718">
        <v>3</v>
      </c>
    </row>
    <row r="3719" spans="10:12" x14ac:dyDescent="0.2">
      <c r="J3719">
        <v>40010231</v>
      </c>
      <c r="K3719" t="s">
        <v>3429</v>
      </c>
      <c r="L3719">
        <v>1</v>
      </c>
    </row>
    <row r="3720" spans="10:12" x14ac:dyDescent="0.2">
      <c r="J3720">
        <v>40010232</v>
      </c>
      <c r="K3720" t="s">
        <v>3430</v>
      </c>
      <c r="L3720">
        <v>1</v>
      </c>
    </row>
    <row r="3721" spans="10:12" x14ac:dyDescent="0.2">
      <c r="J3721">
        <v>40010233</v>
      </c>
      <c r="K3721" t="s">
        <v>3431</v>
      </c>
      <c r="L3721">
        <v>7</v>
      </c>
    </row>
    <row r="3722" spans="10:12" x14ac:dyDescent="0.2">
      <c r="J3722">
        <v>40010234</v>
      </c>
      <c r="K3722" t="s">
        <v>3432</v>
      </c>
      <c r="L3722">
        <v>11</v>
      </c>
    </row>
    <row r="3723" spans="10:12" x14ac:dyDescent="0.2">
      <c r="J3723">
        <v>40010235</v>
      </c>
      <c r="K3723" t="s">
        <v>3433</v>
      </c>
      <c r="L3723">
        <v>4</v>
      </c>
    </row>
    <row r="3724" spans="10:12" x14ac:dyDescent="0.2">
      <c r="J3724">
        <v>40010237</v>
      </c>
      <c r="K3724" t="s">
        <v>3435</v>
      </c>
      <c r="L3724">
        <v>8</v>
      </c>
    </row>
    <row r="3725" spans="10:12" x14ac:dyDescent="0.2">
      <c r="J3725">
        <v>40010238</v>
      </c>
      <c r="K3725" t="s">
        <v>3436</v>
      </c>
      <c r="L3725">
        <v>4</v>
      </c>
    </row>
    <row r="3726" spans="10:12" x14ac:dyDescent="0.2">
      <c r="J3726">
        <v>40010239</v>
      </c>
      <c r="K3726" t="s">
        <v>3437</v>
      </c>
      <c r="L3726">
        <v>2</v>
      </c>
    </row>
    <row r="3727" spans="10:12" x14ac:dyDescent="0.2">
      <c r="J3727">
        <v>40010240</v>
      </c>
      <c r="K3727" t="s">
        <v>3438</v>
      </c>
      <c r="L3727">
        <v>2</v>
      </c>
    </row>
    <row r="3728" spans="10:12" x14ac:dyDescent="0.2">
      <c r="J3728">
        <v>40010241</v>
      </c>
      <c r="K3728" t="s">
        <v>3439</v>
      </c>
      <c r="L3728">
        <v>7</v>
      </c>
    </row>
    <row r="3729" spans="10:12" x14ac:dyDescent="0.2">
      <c r="J3729">
        <v>40010242</v>
      </c>
      <c r="K3729" t="s">
        <v>3440</v>
      </c>
      <c r="L3729">
        <v>2</v>
      </c>
    </row>
    <row r="3730" spans="10:12" x14ac:dyDescent="0.2">
      <c r="J3730">
        <v>40010243</v>
      </c>
      <c r="K3730" t="s">
        <v>3441</v>
      </c>
      <c r="L3730">
        <v>18</v>
      </c>
    </row>
    <row r="3731" spans="10:12" x14ac:dyDescent="0.2">
      <c r="J3731">
        <v>40010245</v>
      </c>
      <c r="K3731" t="s">
        <v>3443</v>
      </c>
      <c r="L3731">
        <v>2</v>
      </c>
    </row>
    <row r="3732" spans="10:12" x14ac:dyDescent="0.2">
      <c r="J3732">
        <v>40010251</v>
      </c>
      <c r="K3732" t="s">
        <v>3445</v>
      </c>
      <c r="L3732">
        <v>5</v>
      </c>
    </row>
    <row r="3733" spans="10:12" x14ac:dyDescent="0.2">
      <c r="J3733">
        <v>40010252</v>
      </c>
      <c r="K3733" t="s">
        <v>3446</v>
      </c>
      <c r="L3733">
        <v>2</v>
      </c>
    </row>
    <row r="3734" spans="10:12" x14ac:dyDescent="0.2">
      <c r="J3734">
        <v>40010253</v>
      </c>
      <c r="K3734" t="s">
        <v>3447</v>
      </c>
      <c r="L3734">
        <v>4</v>
      </c>
    </row>
    <row r="3735" spans="10:12" x14ac:dyDescent="0.2">
      <c r="J3735">
        <v>40010254</v>
      </c>
      <c r="K3735" t="s">
        <v>3448</v>
      </c>
      <c r="L3735">
        <v>4</v>
      </c>
    </row>
    <row r="3736" spans="10:12" x14ac:dyDescent="0.2">
      <c r="J3736">
        <v>40010255</v>
      </c>
      <c r="K3736" t="s">
        <v>3449</v>
      </c>
      <c r="L3736">
        <v>8</v>
      </c>
    </row>
    <row r="3737" spans="10:12" x14ac:dyDescent="0.2">
      <c r="J3737">
        <v>40010256</v>
      </c>
      <c r="K3737" t="s">
        <v>3450</v>
      </c>
      <c r="L3737">
        <v>6</v>
      </c>
    </row>
    <row r="3738" spans="10:12" x14ac:dyDescent="0.2">
      <c r="J3738">
        <v>40010257</v>
      </c>
      <c r="K3738" t="s">
        <v>3451</v>
      </c>
      <c r="L3738">
        <v>3</v>
      </c>
    </row>
    <row r="3739" spans="10:12" x14ac:dyDescent="0.2">
      <c r="J3739">
        <v>40010258</v>
      </c>
      <c r="K3739" t="s">
        <v>3452</v>
      </c>
      <c r="L3739">
        <v>15</v>
      </c>
    </row>
    <row r="3740" spans="10:12" x14ac:dyDescent="0.2">
      <c r="J3740">
        <v>40010259</v>
      </c>
      <c r="K3740" t="s">
        <v>3453</v>
      </c>
      <c r="L3740">
        <v>8</v>
      </c>
    </row>
    <row r="3741" spans="10:12" x14ac:dyDescent="0.2">
      <c r="J3741">
        <v>40010260</v>
      </c>
      <c r="K3741" t="s">
        <v>3454</v>
      </c>
      <c r="L3741">
        <v>9</v>
      </c>
    </row>
    <row r="3742" spans="10:12" x14ac:dyDescent="0.2">
      <c r="J3742">
        <v>40010262</v>
      </c>
      <c r="K3742" t="s">
        <v>3455</v>
      </c>
      <c r="L3742">
        <v>5</v>
      </c>
    </row>
    <row r="3743" spans="10:12" x14ac:dyDescent="0.2">
      <c r="J3743">
        <v>40010263</v>
      </c>
      <c r="K3743" t="s">
        <v>3456</v>
      </c>
      <c r="L3743">
        <v>2</v>
      </c>
    </row>
    <row r="3744" spans="10:12" x14ac:dyDescent="0.2">
      <c r="J3744">
        <v>40010264</v>
      </c>
      <c r="K3744" t="s">
        <v>3457</v>
      </c>
      <c r="L3744">
        <v>4</v>
      </c>
    </row>
    <row r="3745" spans="10:12" x14ac:dyDescent="0.2">
      <c r="J3745">
        <v>40010265</v>
      </c>
      <c r="K3745" t="s">
        <v>3458</v>
      </c>
      <c r="L3745">
        <v>3</v>
      </c>
    </row>
    <row r="3746" spans="10:12" x14ac:dyDescent="0.2">
      <c r="J3746">
        <v>40010266</v>
      </c>
      <c r="K3746" t="s">
        <v>3459</v>
      </c>
      <c r="L3746">
        <v>1</v>
      </c>
    </row>
    <row r="3747" spans="10:12" x14ac:dyDescent="0.2">
      <c r="J3747">
        <v>40010267</v>
      </c>
      <c r="K3747" t="s">
        <v>9927</v>
      </c>
      <c r="L3747">
        <v>1</v>
      </c>
    </row>
    <row r="3748" spans="10:12" x14ac:dyDescent="0.2">
      <c r="J3748">
        <v>40010268</v>
      </c>
      <c r="K3748" t="s">
        <v>10537</v>
      </c>
      <c r="L3748">
        <v>1</v>
      </c>
    </row>
    <row r="3749" spans="10:12" x14ac:dyDescent="0.2">
      <c r="J3749">
        <v>40010269</v>
      </c>
      <c r="K3749" t="s">
        <v>3460</v>
      </c>
      <c r="L3749">
        <v>6</v>
      </c>
    </row>
    <row r="3750" spans="10:12" x14ac:dyDescent="0.2">
      <c r="J3750">
        <v>40010270</v>
      </c>
      <c r="K3750" t="s">
        <v>3461</v>
      </c>
      <c r="L3750">
        <v>5</v>
      </c>
    </row>
    <row r="3751" spans="10:12" x14ac:dyDescent="0.2">
      <c r="J3751">
        <v>40010271</v>
      </c>
      <c r="K3751" t="s">
        <v>3462</v>
      </c>
      <c r="L3751">
        <v>9</v>
      </c>
    </row>
    <row r="3752" spans="10:12" x14ac:dyDescent="0.2">
      <c r="J3752">
        <v>40010272</v>
      </c>
      <c r="K3752" t="s">
        <v>3463</v>
      </c>
      <c r="L3752">
        <v>5</v>
      </c>
    </row>
    <row r="3753" spans="10:12" x14ac:dyDescent="0.2">
      <c r="J3753">
        <v>40010273</v>
      </c>
      <c r="K3753" t="s">
        <v>3464</v>
      </c>
      <c r="L3753">
        <v>2</v>
      </c>
    </row>
    <row r="3754" spans="10:12" x14ac:dyDescent="0.2">
      <c r="J3754">
        <v>40010274</v>
      </c>
      <c r="K3754" t="s">
        <v>3465</v>
      </c>
      <c r="L3754">
        <v>18</v>
      </c>
    </row>
    <row r="3755" spans="10:12" x14ac:dyDescent="0.2">
      <c r="J3755">
        <v>40010275</v>
      </c>
      <c r="K3755" t="s">
        <v>3466</v>
      </c>
      <c r="L3755">
        <v>2</v>
      </c>
    </row>
    <row r="3756" spans="10:12" x14ac:dyDescent="0.2">
      <c r="J3756">
        <v>40010276</v>
      </c>
      <c r="K3756" t="s">
        <v>3467</v>
      </c>
      <c r="L3756">
        <v>1</v>
      </c>
    </row>
    <row r="3757" spans="10:12" x14ac:dyDescent="0.2">
      <c r="J3757">
        <v>40010277</v>
      </c>
      <c r="K3757" t="s">
        <v>3468</v>
      </c>
      <c r="L3757">
        <v>3</v>
      </c>
    </row>
    <row r="3758" spans="10:12" x14ac:dyDescent="0.2">
      <c r="J3758">
        <v>40010278</v>
      </c>
      <c r="K3758" t="s">
        <v>3469</v>
      </c>
      <c r="L3758">
        <v>3</v>
      </c>
    </row>
    <row r="3759" spans="10:12" x14ac:dyDescent="0.2">
      <c r="J3759">
        <v>40010279</v>
      </c>
      <c r="K3759" t="s">
        <v>3470</v>
      </c>
      <c r="L3759">
        <v>8</v>
      </c>
    </row>
    <row r="3760" spans="10:12" x14ac:dyDescent="0.2">
      <c r="J3760">
        <v>40010280</v>
      </c>
      <c r="K3760" t="s">
        <v>3471</v>
      </c>
      <c r="L3760">
        <v>2</v>
      </c>
    </row>
    <row r="3761" spans="10:12" x14ac:dyDescent="0.2">
      <c r="J3761">
        <v>40010281</v>
      </c>
      <c r="K3761" t="s">
        <v>3472</v>
      </c>
      <c r="L3761">
        <v>2</v>
      </c>
    </row>
    <row r="3762" spans="10:12" x14ac:dyDescent="0.2">
      <c r="J3762">
        <v>40010282</v>
      </c>
      <c r="K3762" t="s">
        <v>3473</v>
      </c>
      <c r="L3762">
        <v>2</v>
      </c>
    </row>
    <row r="3763" spans="10:12" x14ac:dyDescent="0.2">
      <c r="J3763">
        <v>40010283</v>
      </c>
      <c r="K3763" t="s">
        <v>3474</v>
      </c>
      <c r="L3763">
        <v>5</v>
      </c>
    </row>
    <row r="3764" spans="10:12" x14ac:dyDescent="0.2">
      <c r="J3764">
        <v>40010284</v>
      </c>
      <c r="K3764" t="s">
        <v>3475</v>
      </c>
      <c r="L3764">
        <v>5</v>
      </c>
    </row>
    <row r="3765" spans="10:12" x14ac:dyDescent="0.2">
      <c r="J3765">
        <v>40010285</v>
      </c>
      <c r="K3765" t="s">
        <v>3476</v>
      </c>
      <c r="L3765">
        <v>1</v>
      </c>
    </row>
    <row r="3766" spans="10:12" x14ac:dyDescent="0.2">
      <c r="J3766">
        <v>40010286</v>
      </c>
      <c r="K3766" t="s">
        <v>3477</v>
      </c>
      <c r="L3766">
        <v>5</v>
      </c>
    </row>
    <row r="3767" spans="10:12" x14ac:dyDescent="0.2">
      <c r="J3767">
        <v>40010287</v>
      </c>
      <c r="K3767" t="s">
        <v>3478</v>
      </c>
      <c r="L3767">
        <v>2</v>
      </c>
    </row>
    <row r="3768" spans="10:12" x14ac:dyDescent="0.2">
      <c r="J3768">
        <v>40010288</v>
      </c>
      <c r="K3768" t="s">
        <v>3479</v>
      </c>
      <c r="L3768">
        <v>-1</v>
      </c>
    </row>
    <row r="3769" spans="10:12" x14ac:dyDescent="0.2">
      <c r="J3769">
        <v>40010290</v>
      </c>
      <c r="K3769" t="s">
        <v>3480</v>
      </c>
      <c r="L3769">
        <v>2</v>
      </c>
    </row>
    <row r="3770" spans="10:12" x14ac:dyDescent="0.2">
      <c r="J3770">
        <v>40010291</v>
      </c>
      <c r="K3770" t="s">
        <v>3481</v>
      </c>
      <c r="L3770">
        <v>3</v>
      </c>
    </row>
    <row r="3771" spans="10:12" x14ac:dyDescent="0.2">
      <c r="J3771">
        <v>40010293</v>
      </c>
      <c r="K3771" t="s">
        <v>3483</v>
      </c>
      <c r="L3771">
        <v>27</v>
      </c>
    </row>
    <row r="3772" spans="10:12" x14ac:dyDescent="0.2">
      <c r="J3772">
        <v>40010294</v>
      </c>
      <c r="K3772" t="s">
        <v>3484</v>
      </c>
      <c r="L3772">
        <v>1</v>
      </c>
    </row>
    <row r="3773" spans="10:12" x14ac:dyDescent="0.2">
      <c r="J3773">
        <v>40010295</v>
      </c>
      <c r="K3773" t="s">
        <v>3485</v>
      </c>
      <c r="L3773">
        <v>2</v>
      </c>
    </row>
    <row r="3774" spans="10:12" x14ac:dyDescent="0.2">
      <c r="J3774">
        <v>40010296</v>
      </c>
      <c r="K3774" t="s">
        <v>3486</v>
      </c>
      <c r="L3774">
        <v>1</v>
      </c>
    </row>
    <row r="3775" spans="10:12" x14ac:dyDescent="0.2">
      <c r="J3775">
        <v>40010297</v>
      </c>
      <c r="K3775" t="s">
        <v>3487</v>
      </c>
      <c r="L3775">
        <v>2</v>
      </c>
    </row>
    <row r="3776" spans="10:12" x14ac:dyDescent="0.2">
      <c r="J3776">
        <v>40010298</v>
      </c>
      <c r="K3776" t="s">
        <v>3488</v>
      </c>
      <c r="L3776">
        <v>9</v>
      </c>
    </row>
    <row r="3777" spans="10:12" x14ac:dyDescent="0.2">
      <c r="J3777">
        <v>40010300</v>
      </c>
      <c r="K3777" t="s">
        <v>3489</v>
      </c>
      <c r="L3777">
        <v>9</v>
      </c>
    </row>
    <row r="3778" spans="10:12" x14ac:dyDescent="0.2">
      <c r="J3778">
        <v>40010301</v>
      </c>
      <c r="K3778" t="s">
        <v>3490</v>
      </c>
      <c r="L3778">
        <v>2</v>
      </c>
    </row>
    <row r="3779" spans="10:12" x14ac:dyDescent="0.2">
      <c r="J3779">
        <v>40010302</v>
      </c>
      <c r="K3779" t="s">
        <v>3491</v>
      </c>
      <c r="L3779">
        <v>4</v>
      </c>
    </row>
    <row r="3780" spans="10:12" x14ac:dyDescent="0.2">
      <c r="J3780">
        <v>40010303</v>
      </c>
      <c r="K3780" t="s">
        <v>3492</v>
      </c>
      <c r="L3780">
        <v>5</v>
      </c>
    </row>
    <row r="3781" spans="10:12" x14ac:dyDescent="0.2">
      <c r="J3781">
        <v>40010304</v>
      </c>
      <c r="K3781" t="s">
        <v>3493</v>
      </c>
      <c r="L3781">
        <v>4</v>
      </c>
    </row>
    <row r="3782" spans="10:12" x14ac:dyDescent="0.2">
      <c r="J3782">
        <v>40010305</v>
      </c>
      <c r="K3782" t="s">
        <v>3494</v>
      </c>
      <c r="L3782">
        <v>5</v>
      </c>
    </row>
    <row r="3783" spans="10:12" x14ac:dyDescent="0.2">
      <c r="J3783">
        <v>40010306</v>
      </c>
      <c r="K3783" t="s">
        <v>9563</v>
      </c>
      <c r="L3783">
        <v>2</v>
      </c>
    </row>
    <row r="3784" spans="10:12" x14ac:dyDescent="0.2">
      <c r="J3784">
        <v>40010307</v>
      </c>
      <c r="K3784" t="s">
        <v>3816</v>
      </c>
      <c r="L3784">
        <v>2</v>
      </c>
    </row>
    <row r="3785" spans="10:12" x14ac:dyDescent="0.2">
      <c r="J3785">
        <v>40010309</v>
      </c>
      <c r="K3785" t="s">
        <v>3495</v>
      </c>
      <c r="L3785">
        <v>9</v>
      </c>
    </row>
    <row r="3786" spans="10:12" x14ac:dyDescent="0.2">
      <c r="J3786">
        <v>40010310</v>
      </c>
      <c r="K3786" t="s">
        <v>3496</v>
      </c>
      <c r="L3786">
        <v>5</v>
      </c>
    </row>
    <row r="3787" spans="10:12" x14ac:dyDescent="0.2">
      <c r="J3787">
        <v>40010311</v>
      </c>
      <c r="K3787" t="s">
        <v>3497</v>
      </c>
      <c r="L3787">
        <v>2</v>
      </c>
    </row>
    <row r="3788" spans="10:12" x14ac:dyDescent="0.2">
      <c r="J3788">
        <v>40010312</v>
      </c>
      <c r="K3788" t="s">
        <v>3498</v>
      </c>
      <c r="L3788">
        <v>14</v>
      </c>
    </row>
    <row r="3789" spans="10:12" x14ac:dyDescent="0.2">
      <c r="J3789">
        <v>40010313</v>
      </c>
      <c r="K3789" t="s">
        <v>3499</v>
      </c>
      <c r="L3789">
        <v>11</v>
      </c>
    </row>
    <row r="3790" spans="10:12" x14ac:dyDescent="0.2">
      <c r="J3790">
        <v>40010314</v>
      </c>
      <c r="K3790" t="s">
        <v>3500</v>
      </c>
      <c r="L3790">
        <v>2</v>
      </c>
    </row>
    <row r="3791" spans="10:12" x14ac:dyDescent="0.2">
      <c r="J3791">
        <v>40010315</v>
      </c>
      <c r="K3791" t="s">
        <v>3501</v>
      </c>
      <c r="L3791">
        <v>2</v>
      </c>
    </row>
    <row r="3792" spans="10:12" x14ac:dyDescent="0.2">
      <c r="J3792">
        <v>40010316</v>
      </c>
      <c r="K3792" t="s">
        <v>9748</v>
      </c>
      <c r="L3792">
        <v>2</v>
      </c>
    </row>
    <row r="3793" spans="10:12" x14ac:dyDescent="0.2">
      <c r="J3793">
        <v>40010317</v>
      </c>
      <c r="K3793" t="s">
        <v>3502</v>
      </c>
      <c r="L3793">
        <v>10</v>
      </c>
    </row>
    <row r="3794" spans="10:12" x14ac:dyDescent="0.2">
      <c r="J3794">
        <v>40010318</v>
      </c>
      <c r="K3794" t="s">
        <v>3706</v>
      </c>
      <c r="L3794">
        <v>1</v>
      </c>
    </row>
    <row r="3795" spans="10:12" x14ac:dyDescent="0.2">
      <c r="J3795">
        <v>40010319</v>
      </c>
      <c r="K3795" t="s">
        <v>3503</v>
      </c>
      <c r="L3795">
        <v>2</v>
      </c>
    </row>
    <row r="3796" spans="10:12" x14ac:dyDescent="0.2">
      <c r="J3796">
        <v>40010320</v>
      </c>
      <c r="K3796" t="s">
        <v>3852</v>
      </c>
      <c r="L3796">
        <v>1</v>
      </c>
    </row>
    <row r="3797" spans="10:12" x14ac:dyDescent="0.2">
      <c r="J3797">
        <v>40010321</v>
      </c>
      <c r="K3797" t="s">
        <v>3853</v>
      </c>
      <c r="L3797">
        <v>2</v>
      </c>
    </row>
    <row r="3798" spans="10:12" x14ac:dyDescent="0.2">
      <c r="J3798">
        <v>40010323</v>
      </c>
      <c r="K3798" t="s">
        <v>5404</v>
      </c>
      <c r="L3798">
        <v>8</v>
      </c>
    </row>
    <row r="3799" spans="10:12" x14ac:dyDescent="0.2">
      <c r="J3799">
        <v>40010333</v>
      </c>
      <c r="K3799" t="s">
        <v>3506</v>
      </c>
      <c r="L3799">
        <v>5</v>
      </c>
    </row>
    <row r="3800" spans="10:12" x14ac:dyDescent="0.2">
      <c r="J3800">
        <v>40010334</v>
      </c>
      <c r="K3800" t="s">
        <v>3507</v>
      </c>
      <c r="L3800">
        <v>7</v>
      </c>
    </row>
    <row r="3801" spans="10:12" x14ac:dyDescent="0.2">
      <c r="J3801">
        <v>40010339</v>
      </c>
      <c r="K3801" t="s">
        <v>3508</v>
      </c>
      <c r="L3801">
        <v>3</v>
      </c>
    </row>
    <row r="3802" spans="10:12" x14ac:dyDescent="0.2">
      <c r="J3802">
        <v>40010346</v>
      </c>
      <c r="K3802" t="s">
        <v>3764</v>
      </c>
      <c r="L3802">
        <v>4</v>
      </c>
    </row>
    <row r="3803" spans="10:12" x14ac:dyDescent="0.2">
      <c r="J3803">
        <v>40010348</v>
      </c>
      <c r="K3803" t="s">
        <v>3509</v>
      </c>
      <c r="L3803">
        <v>3</v>
      </c>
    </row>
    <row r="3804" spans="10:12" x14ac:dyDescent="0.2">
      <c r="J3804">
        <v>40010349</v>
      </c>
      <c r="K3804" t="s">
        <v>10594</v>
      </c>
      <c r="L3804">
        <v>5</v>
      </c>
    </row>
    <row r="3805" spans="10:12" x14ac:dyDescent="0.2">
      <c r="J3805">
        <v>40010351</v>
      </c>
      <c r="K3805" t="s">
        <v>9645</v>
      </c>
      <c r="L3805">
        <v>2</v>
      </c>
    </row>
    <row r="3806" spans="10:12" x14ac:dyDescent="0.2">
      <c r="J3806">
        <v>40010359</v>
      </c>
      <c r="K3806" t="s">
        <v>3510</v>
      </c>
      <c r="L3806">
        <v>4</v>
      </c>
    </row>
    <row r="3807" spans="10:12" x14ac:dyDescent="0.2">
      <c r="J3807">
        <v>40010363</v>
      </c>
      <c r="K3807" t="s">
        <v>3511</v>
      </c>
      <c r="L3807">
        <v>3</v>
      </c>
    </row>
    <row r="3808" spans="10:12" x14ac:dyDescent="0.2">
      <c r="J3808">
        <v>40010364</v>
      </c>
      <c r="K3808" t="s">
        <v>3512</v>
      </c>
      <c r="L3808">
        <v>1</v>
      </c>
    </row>
    <row r="3809" spans="10:12" x14ac:dyDescent="0.2">
      <c r="J3809">
        <v>40010365</v>
      </c>
      <c r="K3809" t="s">
        <v>3513</v>
      </c>
      <c r="L3809">
        <v>5</v>
      </c>
    </row>
    <row r="3810" spans="10:12" x14ac:dyDescent="0.2">
      <c r="J3810">
        <v>40010366</v>
      </c>
      <c r="K3810" t="s">
        <v>3514</v>
      </c>
      <c r="L3810">
        <v>12</v>
      </c>
    </row>
    <row r="3811" spans="10:12" x14ac:dyDescent="0.2">
      <c r="J3811">
        <v>40010370</v>
      </c>
      <c r="K3811" t="s">
        <v>3516</v>
      </c>
      <c r="L3811">
        <v>5</v>
      </c>
    </row>
    <row r="3812" spans="10:12" x14ac:dyDescent="0.2">
      <c r="J3812">
        <v>40010374</v>
      </c>
      <c r="K3812" t="s">
        <v>3517</v>
      </c>
      <c r="L3812">
        <v>2</v>
      </c>
    </row>
    <row r="3813" spans="10:12" x14ac:dyDescent="0.2">
      <c r="J3813">
        <v>40010375</v>
      </c>
      <c r="K3813" t="s">
        <v>3518</v>
      </c>
      <c r="L3813">
        <v>33</v>
      </c>
    </row>
    <row r="3814" spans="10:12" x14ac:dyDescent="0.2">
      <c r="J3814">
        <v>40010376</v>
      </c>
      <c r="K3814" t="s">
        <v>3519</v>
      </c>
      <c r="L3814">
        <v>8</v>
      </c>
    </row>
    <row r="3815" spans="10:12" x14ac:dyDescent="0.2">
      <c r="J3815">
        <v>40010377</v>
      </c>
      <c r="K3815" t="s">
        <v>3520</v>
      </c>
      <c r="L3815">
        <v>10</v>
      </c>
    </row>
    <row r="3816" spans="10:12" x14ac:dyDescent="0.2">
      <c r="J3816">
        <v>40010378</v>
      </c>
      <c r="K3816" t="s">
        <v>3521</v>
      </c>
      <c r="L3816">
        <v>6</v>
      </c>
    </row>
    <row r="3817" spans="10:12" x14ac:dyDescent="0.2">
      <c r="J3817">
        <v>40010379</v>
      </c>
      <c r="K3817" t="s">
        <v>3522</v>
      </c>
      <c r="L3817">
        <v>2</v>
      </c>
    </row>
    <row r="3818" spans="10:12" x14ac:dyDescent="0.2">
      <c r="J3818">
        <v>40010380</v>
      </c>
      <c r="K3818" t="s">
        <v>3523</v>
      </c>
      <c r="L3818">
        <v>1</v>
      </c>
    </row>
    <row r="3819" spans="10:12" x14ac:dyDescent="0.2">
      <c r="J3819">
        <v>40010381</v>
      </c>
      <c r="K3819" t="s">
        <v>3524</v>
      </c>
      <c r="L3819">
        <v>8</v>
      </c>
    </row>
    <row r="3820" spans="10:12" x14ac:dyDescent="0.2">
      <c r="J3820">
        <v>40010382</v>
      </c>
      <c r="K3820" t="s">
        <v>3525</v>
      </c>
      <c r="L3820">
        <v>21</v>
      </c>
    </row>
    <row r="3821" spans="10:12" x14ac:dyDescent="0.2">
      <c r="J3821">
        <v>40010383</v>
      </c>
      <c r="K3821" t="s">
        <v>3526</v>
      </c>
      <c r="L3821">
        <v>2</v>
      </c>
    </row>
    <row r="3822" spans="10:12" x14ac:dyDescent="0.2">
      <c r="J3822">
        <v>40010385</v>
      </c>
      <c r="K3822" t="s">
        <v>3527</v>
      </c>
      <c r="L3822">
        <v>16</v>
      </c>
    </row>
    <row r="3823" spans="10:12" x14ac:dyDescent="0.2">
      <c r="J3823">
        <v>40010388</v>
      </c>
      <c r="K3823" t="s">
        <v>3529</v>
      </c>
      <c r="L3823">
        <v>6</v>
      </c>
    </row>
    <row r="3824" spans="10:12" x14ac:dyDescent="0.2">
      <c r="J3824">
        <v>40010389</v>
      </c>
      <c r="K3824" t="s">
        <v>3530</v>
      </c>
      <c r="L3824">
        <v>5</v>
      </c>
    </row>
    <row r="3825" spans="10:12" x14ac:dyDescent="0.2">
      <c r="J3825">
        <v>40010390</v>
      </c>
      <c r="K3825" t="s">
        <v>3531</v>
      </c>
      <c r="L3825">
        <v>2</v>
      </c>
    </row>
    <row r="3826" spans="10:12" x14ac:dyDescent="0.2">
      <c r="J3826">
        <v>40010393</v>
      </c>
      <c r="K3826" t="s">
        <v>3533</v>
      </c>
      <c r="L3826">
        <v>8</v>
      </c>
    </row>
    <row r="3827" spans="10:12" x14ac:dyDescent="0.2">
      <c r="J3827">
        <v>40010394</v>
      </c>
      <c r="K3827" t="s">
        <v>3534</v>
      </c>
      <c r="L3827">
        <v>7</v>
      </c>
    </row>
    <row r="3828" spans="10:12" x14ac:dyDescent="0.2">
      <c r="J3828">
        <v>40010396</v>
      </c>
      <c r="K3828" t="s">
        <v>3535</v>
      </c>
      <c r="L3828">
        <v>7</v>
      </c>
    </row>
    <row r="3829" spans="10:12" x14ac:dyDescent="0.2">
      <c r="J3829">
        <v>40010397</v>
      </c>
      <c r="K3829" t="s">
        <v>3536</v>
      </c>
      <c r="L3829">
        <v>23</v>
      </c>
    </row>
    <row r="3830" spans="10:12" x14ac:dyDescent="0.2">
      <c r="J3830">
        <v>40010399</v>
      </c>
      <c r="K3830" t="s">
        <v>3538</v>
      </c>
      <c r="L3830">
        <v>5</v>
      </c>
    </row>
    <row r="3831" spans="10:12" x14ac:dyDescent="0.2">
      <c r="J3831">
        <v>40010400</v>
      </c>
      <c r="K3831" t="s">
        <v>10610</v>
      </c>
      <c r="L3831">
        <v>4</v>
      </c>
    </row>
    <row r="3832" spans="10:12" x14ac:dyDescent="0.2">
      <c r="J3832">
        <v>40010401</v>
      </c>
      <c r="K3832" t="s">
        <v>3539</v>
      </c>
      <c r="L3832">
        <v>1</v>
      </c>
    </row>
    <row r="3833" spans="10:12" x14ac:dyDescent="0.2">
      <c r="J3833">
        <v>40010403</v>
      </c>
      <c r="K3833" t="s">
        <v>3540</v>
      </c>
      <c r="L3833">
        <v>4</v>
      </c>
    </row>
    <row r="3834" spans="10:12" x14ac:dyDescent="0.2">
      <c r="J3834">
        <v>40010407</v>
      </c>
      <c r="K3834" t="s">
        <v>3543</v>
      </c>
      <c r="L3834">
        <v>3</v>
      </c>
    </row>
    <row r="3835" spans="10:12" x14ac:dyDescent="0.2">
      <c r="J3835">
        <v>40010409</v>
      </c>
      <c r="K3835" t="s">
        <v>3544</v>
      </c>
      <c r="L3835">
        <v>3</v>
      </c>
    </row>
    <row r="3836" spans="10:12" x14ac:dyDescent="0.2">
      <c r="J3836">
        <v>40010411</v>
      </c>
      <c r="K3836" t="s">
        <v>3825</v>
      </c>
      <c r="L3836">
        <v>1</v>
      </c>
    </row>
    <row r="3837" spans="10:12" x14ac:dyDescent="0.2">
      <c r="J3837">
        <v>40010517</v>
      </c>
      <c r="K3837" t="s">
        <v>3545</v>
      </c>
      <c r="L3837">
        <v>1</v>
      </c>
    </row>
    <row r="3838" spans="10:12" x14ac:dyDescent="0.2">
      <c r="J3838">
        <v>40010518</v>
      </c>
      <c r="K3838" t="s">
        <v>3546</v>
      </c>
      <c r="L3838">
        <v>1</v>
      </c>
    </row>
    <row r="3839" spans="10:12" x14ac:dyDescent="0.2">
      <c r="J3839">
        <v>40010519</v>
      </c>
      <c r="K3839" t="s">
        <v>3547</v>
      </c>
      <c r="L3839">
        <v>1</v>
      </c>
    </row>
    <row r="3840" spans="10:12" x14ac:dyDescent="0.2">
      <c r="J3840">
        <v>40010520</v>
      </c>
      <c r="K3840" t="s">
        <v>3548</v>
      </c>
      <c r="L3840">
        <v>5</v>
      </c>
    </row>
    <row r="3841" spans="10:12" x14ac:dyDescent="0.2">
      <c r="J3841">
        <v>40010532</v>
      </c>
      <c r="K3841" t="s">
        <v>3549</v>
      </c>
      <c r="L3841">
        <v>166</v>
      </c>
    </row>
    <row r="3842" spans="10:12" x14ac:dyDescent="0.2">
      <c r="J3842">
        <v>40010552</v>
      </c>
      <c r="K3842" t="s">
        <v>10654</v>
      </c>
      <c r="L3842">
        <v>3</v>
      </c>
    </row>
    <row r="3843" spans="10:12" x14ac:dyDescent="0.2">
      <c r="J3843">
        <v>40010555</v>
      </c>
      <c r="K3843" t="s">
        <v>3855</v>
      </c>
      <c r="L3843">
        <v>1</v>
      </c>
    </row>
    <row r="3844" spans="10:12" x14ac:dyDescent="0.2">
      <c r="J3844">
        <v>40010556</v>
      </c>
      <c r="K3844" t="s">
        <v>3856</v>
      </c>
      <c r="L3844">
        <v>1</v>
      </c>
    </row>
    <row r="3845" spans="10:12" x14ac:dyDescent="0.2">
      <c r="J3845">
        <v>40010557</v>
      </c>
      <c r="K3845" t="s">
        <v>3857</v>
      </c>
      <c r="L3845">
        <v>1</v>
      </c>
    </row>
    <row r="3846" spans="10:12" x14ac:dyDescent="0.2">
      <c r="J3846">
        <v>40010558</v>
      </c>
      <c r="K3846" t="s">
        <v>3550</v>
      </c>
      <c r="L3846">
        <v>2</v>
      </c>
    </row>
    <row r="3847" spans="10:12" x14ac:dyDescent="0.2">
      <c r="J3847">
        <v>40010559</v>
      </c>
      <c r="K3847" t="s">
        <v>3858</v>
      </c>
      <c r="L3847">
        <v>1</v>
      </c>
    </row>
    <row r="3848" spans="10:12" x14ac:dyDescent="0.2">
      <c r="J3848">
        <v>40010560</v>
      </c>
      <c r="K3848" t="s">
        <v>3859</v>
      </c>
      <c r="L3848">
        <v>2</v>
      </c>
    </row>
    <row r="3849" spans="10:12" x14ac:dyDescent="0.2">
      <c r="J3849">
        <v>40010562</v>
      </c>
      <c r="K3849" t="s">
        <v>3860</v>
      </c>
      <c r="L3849">
        <v>2</v>
      </c>
    </row>
    <row r="3850" spans="10:12" x14ac:dyDescent="0.2">
      <c r="J3850">
        <v>40010563</v>
      </c>
      <c r="K3850" t="s">
        <v>3861</v>
      </c>
      <c r="L3850">
        <v>4</v>
      </c>
    </row>
    <row r="3851" spans="10:12" x14ac:dyDescent="0.2">
      <c r="J3851">
        <v>40010565</v>
      </c>
      <c r="K3851" t="s">
        <v>3551</v>
      </c>
      <c r="L3851">
        <v>1</v>
      </c>
    </row>
    <row r="3852" spans="10:12" x14ac:dyDescent="0.2">
      <c r="J3852">
        <v>40010566</v>
      </c>
      <c r="K3852" t="s">
        <v>5480</v>
      </c>
      <c r="L3852">
        <v>5</v>
      </c>
    </row>
    <row r="3853" spans="10:12" x14ac:dyDescent="0.2">
      <c r="J3853">
        <v>40010568</v>
      </c>
      <c r="K3853" t="s">
        <v>3552</v>
      </c>
      <c r="L3853">
        <v>4</v>
      </c>
    </row>
    <row r="3854" spans="10:12" x14ac:dyDescent="0.2">
      <c r="J3854">
        <v>40010569</v>
      </c>
      <c r="K3854" t="s">
        <v>3862</v>
      </c>
      <c r="L3854">
        <v>1</v>
      </c>
    </row>
    <row r="3855" spans="10:12" x14ac:dyDescent="0.2">
      <c r="J3855">
        <v>40010570</v>
      </c>
      <c r="K3855" t="s">
        <v>3553</v>
      </c>
      <c r="L3855">
        <v>3</v>
      </c>
    </row>
    <row r="3856" spans="10:12" x14ac:dyDescent="0.2">
      <c r="J3856">
        <v>40010571</v>
      </c>
      <c r="K3856" t="s">
        <v>5481</v>
      </c>
      <c r="L3856">
        <v>2</v>
      </c>
    </row>
    <row r="3857" spans="10:12" x14ac:dyDescent="0.2">
      <c r="J3857">
        <v>40010573</v>
      </c>
      <c r="K3857" t="s">
        <v>3863</v>
      </c>
      <c r="L3857">
        <v>14</v>
      </c>
    </row>
    <row r="3858" spans="10:12" x14ac:dyDescent="0.2">
      <c r="J3858">
        <v>40010574</v>
      </c>
      <c r="K3858" t="s">
        <v>3864</v>
      </c>
      <c r="L3858">
        <v>9</v>
      </c>
    </row>
    <row r="3859" spans="10:12" x14ac:dyDescent="0.2">
      <c r="J3859">
        <v>40010575</v>
      </c>
      <c r="K3859" t="s">
        <v>3554</v>
      </c>
      <c r="L3859">
        <v>19</v>
      </c>
    </row>
    <row r="3860" spans="10:12" x14ac:dyDescent="0.2">
      <c r="J3860">
        <v>40010576</v>
      </c>
      <c r="K3860" t="s">
        <v>3555</v>
      </c>
      <c r="L3860">
        <v>3</v>
      </c>
    </row>
    <row r="3861" spans="10:12" x14ac:dyDescent="0.2">
      <c r="J3861">
        <v>40010577</v>
      </c>
      <c r="K3861" t="s">
        <v>3556</v>
      </c>
      <c r="L3861">
        <v>10</v>
      </c>
    </row>
    <row r="3862" spans="10:12" x14ac:dyDescent="0.2">
      <c r="J3862">
        <v>40010580</v>
      </c>
      <c r="K3862" t="s">
        <v>3557</v>
      </c>
      <c r="L3862">
        <v>7</v>
      </c>
    </row>
    <row r="3863" spans="10:12" x14ac:dyDescent="0.2">
      <c r="J3863">
        <v>40010581</v>
      </c>
      <c r="K3863" t="s">
        <v>3558</v>
      </c>
      <c r="L3863">
        <v>102</v>
      </c>
    </row>
    <row r="3864" spans="10:12" x14ac:dyDescent="0.2">
      <c r="J3864">
        <v>40010582</v>
      </c>
      <c r="K3864" t="s">
        <v>3559</v>
      </c>
      <c r="L3864">
        <v>2</v>
      </c>
    </row>
    <row r="3865" spans="10:12" x14ac:dyDescent="0.2">
      <c r="J3865">
        <v>40010583</v>
      </c>
      <c r="K3865" t="s">
        <v>3560</v>
      </c>
      <c r="L3865">
        <v>1</v>
      </c>
    </row>
    <row r="3866" spans="10:12" x14ac:dyDescent="0.2">
      <c r="J3866">
        <v>40010588</v>
      </c>
      <c r="K3866" t="s">
        <v>10655</v>
      </c>
      <c r="L3866">
        <v>2</v>
      </c>
    </row>
    <row r="3867" spans="10:12" x14ac:dyDescent="0.2">
      <c r="J3867">
        <v>40010774</v>
      </c>
      <c r="K3867" t="s">
        <v>10656</v>
      </c>
      <c r="L3867">
        <v>6</v>
      </c>
    </row>
    <row r="3868" spans="10:12" x14ac:dyDescent="0.2">
      <c r="J3868">
        <v>40010776</v>
      </c>
      <c r="K3868" t="s">
        <v>5306</v>
      </c>
      <c r="L3868">
        <v>5</v>
      </c>
    </row>
    <row r="3869" spans="10:12" x14ac:dyDescent="0.2">
      <c r="J3869">
        <v>40010777</v>
      </c>
      <c r="K3869" t="s">
        <v>3562</v>
      </c>
      <c r="L3869">
        <v>20</v>
      </c>
    </row>
    <row r="3870" spans="10:12" x14ac:dyDescent="0.2">
      <c r="J3870">
        <v>40010780</v>
      </c>
      <c r="K3870" t="s">
        <v>3563</v>
      </c>
      <c r="L3870">
        <v>4</v>
      </c>
    </row>
    <row r="3871" spans="10:12" x14ac:dyDescent="0.2">
      <c r="J3871">
        <v>40010782</v>
      </c>
      <c r="K3871" t="s">
        <v>3564</v>
      </c>
      <c r="L3871">
        <v>2</v>
      </c>
    </row>
    <row r="3872" spans="10:12" x14ac:dyDescent="0.2">
      <c r="J3872">
        <v>40010783</v>
      </c>
      <c r="K3872" t="s">
        <v>3565</v>
      </c>
      <c r="L3872">
        <v>7</v>
      </c>
    </row>
    <row r="3873" spans="10:12" x14ac:dyDescent="0.2">
      <c r="J3873">
        <v>40010785</v>
      </c>
      <c r="K3873" t="s">
        <v>3566</v>
      </c>
      <c r="L3873">
        <v>18</v>
      </c>
    </row>
    <row r="3874" spans="10:12" x14ac:dyDescent="0.2">
      <c r="J3874">
        <v>40010786</v>
      </c>
      <c r="K3874" t="s">
        <v>3567</v>
      </c>
      <c r="L3874">
        <v>3</v>
      </c>
    </row>
    <row r="3875" spans="10:12" x14ac:dyDescent="0.2">
      <c r="J3875">
        <v>40010787</v>
      </c>
      <c r="K3875" t="s">
        <v>3568</v>
      </c>
      <c r="L3875">
        <v>3</v>
      </c>
    </row>
    <row r="3876" spans="10:12" x14ac:dyDescent="0.2">
      <c r="J3876">
        <v>40010788</v>
      </c>
      <c r="K3876" t="s">
        <v>3569</v>
      </c>
      <c r="L3876">
        <v>4</v>
      </c>
    </row>
    <row r="3877" spans="10:12" x14ac:dyDescent="0.2">
      <c r="J3877">
        <v>40010789</v>
      </c>
      <c r="K3877" t="s">
        <v>3570</v>
      </c>
      <c r="L3877">
        <v>9</v>
      </c>
    </row>
    <row r="3878" spans="10:12" x14ac:dyDescent="0.2">
      <c r="J3878">
        <v>40010790</v>
      </c>
      <c r="K3878" t="s">
        <v>3571</v>
      </c>
      <c r="L3878">
        <v>1</v>
      </c>
    </row>
    <row r="3879" spans="10:12" x14ac:dyDescent="0.2">
      <c r="J3879">
        <v>40010791</v>
      </c>
      <c r="K3879" t="s">
        <v>3572</v>
      </c>
      <c r="L3879">
        <v>1</v>
      </c>
    </row>
    <row r="3880" spans="10:12" x14ac:dyDescent="0.2">
      <c r="J3880">
        <v>40010801</v>
      </c>
      <c r="K3880" t="s">
        <v>3573</v>
      </c>
      <c r="L3880">
        <v>5</v>
      </c>
    </row>
    <row r="3881" spans="10:12" x14ac:dyDescent="0.2">
      <c r="J3881">
        <v>40010954</v>
      </c>
      <c r="K3881" t="s">
        <v>3574</v>
      </c>
      <c r="L3881">
        <v>1</v>
      </c>
    </row>
    <row r="3882" spans="10:12" x14ac:dyDescent="0.2">
      <c r="J3882">
        <v>40010956</v>
      </c>
      <c r="K3882" t="s">
        <v>3575</v>
      </c>
      <c r="L3882">
        <v>3</v>
      </c>
    </row>
    <row r="3883" spans="10:12" x14ac:dyDescent="0.2">
      <c r="J3883">
        <v>40010957</v>
      </c>
      <c r="K3883" t="s">
        <v>3576</v>
      </c>
      <c r="L3883">
        <v>5</v>
      </c>
    </row>
    <row r="3884" spans="10:12" x14ac:dyDescent="0.2">
      <c r="J3884">
        <v>40010958</v>
      </c>
      <c r="K3884" t="s">
        <v>3577</v>
      </c>
      <c r="L3884">
        <v>63</v>
      </c>
    </row>
    <row r="3885" spans="10:12" x14ac:dyDescent="0.2">
      <c r="J3885">
        <v>40010959</v>
      </c>
      <c r="K3885" t="s">
        <v>3578</v>
      </c>
      <c r="L3885">
        <v>1</v>
      </c>
    </row>
    <row r="3886" spans="10:12" x14ac:dyDescent="0.2">
      <c r="J3886">
        <v>40010960</v>
      </c>
      <c r="K3886" t="s">
        <v>3579</v>
      </c>
      <c r="L3886">
        <v>4</v>
      </c>
    </row>
    <row r="3887" spans="10:12" x14ac:dyDescent="0.2">
      <c r="J3887">
        <v>40010961</v>
      </c>
      <c r="K3887" t="s">
        <v>3580</v>
      </c>
      <c r="L3887">
        <v>5</v>
      </c>
    </row>
    <row r="3888" spans="10:12" x14ac:dyDescent="0.2">
      <c r="J3888">
        <v>40010962</v>
      </c>
      <c r="K3888" t="s">
        <v>3581</v>
      </c>
      <c r="L3888">
        <v>10</v>
      </c>
    </row>
    <row r="3889" spans="10:12" x14ac:dyDescent="0.2">
      <c r="J3889">
        <v>40010963</v>
      </c>
      <c r="K3889" t="s">
        <v>3582</v>
      </c>
      <c r="L3889">
        <v>5</v>
      </c>
    </row>
    <row r="3890" spans="10:12" x14ac:dyDescent="0.2">
      <c r="J3890">
        <v>40010964</v>
      </c>
      <c r="K3890" t="s">
        <v>3583</v>
      </c>
      <c r="L3890">
        <v>2</v>
      </c>
    </row>
    <row r="3891" spans="10:12" x14ac:dyDescent="0.2">
      <c r="J3891">
        <v>40010965</v>
      </c>
      <c r="K3891" t="s">
        <v>3584</v>
      </c>
      <c r="L3891">
        <v>5</v>
      </c>
    </row>
    <row r="3892" spans="10:12" x14ac:dyDescent="0.2">
      <c r="J3892">
        <v>40010966</v>
      </c>
      <c r="K3892" t="s">
        <v>3585</v>
      </c>
      <c r="L3892">
        <v>1</v>
      </c>
    </row>
    <row r="3893" spans="10:12" x14ac:dyDescent="0.2">
      <c r="J3893">
        <v>40010967</v>
      </c>
      <c r="K3893" t="s">
        <v>3586</v>
      </c>
      <c r="L3893">
        <v>-1</v>
      </c>
    </row>
    <row r="3894" spans="10:12" x14ac:dyDescent="0.2">
      <c r="J3894">
        <v>40010969</v>
      </c>
      <c r="K3894" t="s">
        <v>10587</v>
      </c>
      <c r="L3894">
        <v>10</v>
      </c>
    </row>
    <row r="3895" spans="10:12" x14ac:dyDescent="0.2">
      <c r="J3895">
        <v>40010977</v>
      </c>
      <c r="K3895" t="s">
        <v>3587</v>
      </c>
      <c r="L3895">
        <v>3</v>
      </c>
    </row>
    <row r="3896" spans="10:12" x14ac:dyDescent="0.2">
      <c r="J3896">
        <v>40010978</v>
      </c>
      <c r="K3896" t="s">
        <v>3588</v>
      </c>
      <c r="L3896">
        <v>2</v>
      </c>
    </row>
    <row r="3897" spans="10:12" x14ac:dyDescent="0.2">
      <c r="J3897">
        <v>40010979</v>
      </c>
      <c r="K3897" t="s">
        <v>3589</v>
      </c>
      <c r="L3897">
        <v>2</v>
      </c>
    </row>
    <row r="3898" spans="10:12" x14ac:dyDescent="0.2">
      <c r="J3898">
        <v>40010981</v>
      </c>
      <c r="K3898" t="s">
        <v>3591</v>
      </c>
      <c r="L3898">
        <v>1</v>
      </c>
    </row>
    <row r="3899" spans="10:12" x14ac:dyDescent="0.2">
      <c r="J3899">
        <v>40010984</v>
      </c>
      <c r="K3899" t="s">
        <v>3865</v>
      </c>
      <c r="L3899">
        <v>2</v>
      </c>
    </row>
    <row r="3900" spans="10:12" x14ac:dyDescent="0.2">
      <c r="J3900">
        <v>40010985</v>
      </c>
      <c r="K3900" t="s">
        <v>3592</v>
      </c>
      <c r="L3900">
        <v>8</v>
      </c>
    </row>
    <row r="3901" spans="10:12" x14ac:dyDescent="0.2">
      <c r="J3901">
        <v>40010986</v>
      </c>
      <c r="K3901" t="s">
        <v>3593</v>
      </c>
      <c r="L3901">
        <v>3</v>
      </c>
    </row>
    <row r="3902" spans="10:12" x14ac:dyDescent="0.2">
      <c r="J3902">
        <v>40011137</v>
      </c>
      <c r="K3902" t="s">
        <v>3707</v>
      </c>
      <c r="L3902">
        <v>5</v>
      </c>
    </row>
    <row r="3903" spans="10:12" x14ac:dyDescent="0.2">
      <c r="J3903">
        <v>40011138</v>
      </c>
      <c r="K3903" t="s">
        <v>3703</v>
      </c>
      <c r="L3903">
        <v>3</v>
      </c>
    </row>
    <row r="3904" spans="10:12" x14ac:dyDescent="0.2">
      <c r="J3904">
        <v>40011139</v>
      </c>
      <c r="K3904" t="s">
        <v>3704</v>
      </c>
      <c r="L3904">
        <v>13</v>
      </c>
    </row>
    <row r="3905" spans="10:12" x14ac:dyDescent="0.2">
      <c r="J3905">
        <v>40011140</v>
      </c>
      <c r="K3905" t="s">
        <v>3594</v>
      </c>
      <c r="L3905">
        <v>8</v>
      </c>
    </row>
    <row r="3906" spans="10:12" x14ac:dyDescent="0.2">
      <c r="J3906">
        <v>40011141</v>
      </c>
      <c r="K3906" t="s">
        <v>3705</v>
      </c>
      <c r="L3906">
        <v>5</v>
      </c>
    </row>
    <row r="3907" spans="10:12" x14ac:dyDescent="0.2">
      <c r="J3907">
        <v>40011142</v>
      </c>
      <c r="K3907" t="s">
        <v>3708</v>
      </c>
      <c r="L3907">
        <v>3</v>
      </c>
    </row>
    <row r="3908" spans="10:12" x14ac:dyDescent="0.2">
      <c r="J3908">
        <v>40011144</v>
      </c>
      <c r="K3908" t="s">
        <v>3710</v>
      </c>
      <c r="L3908">
        <v>18</v>
      </c>
    </row>
    <row r="3909" spans="10:12" x14ac:dyDescent="0.2">
      <c r="J3909">
        <v>40011145</v>
      </c>
      <c r="K3909" t="s">
        <v>3711</v>
      </c>
      <c r="L3909">
        <v>10</v>
      </c>
    </row>
    <row r="3910" spans="10:12" x14ac:dyDescent="0.2">
      <c r="J3910">
        <v>40011146</v>
      </c>
      <c r="K3910" t="s">
        <v>3712</v>
      </c>
      <c r="L3910">
        <v>2</v>
      </c>
    </row>
    <row r="3911" spans="10:12" x14ac:dyDescent="0.2">
      <c r="J3911">
        <v>40011147</v>
      </c>
      <c r="K3911" t="s">
        <v>5406</v>
      </c>
      <c r="L3911">
        <v>2</v>
      </c>
    </row>
    <row r="3912" spans="10:12" x14ac:dyDescent="0.2">
      <c r="J3912">
        <v>40011148</v>
      </c>
      <c r="K3912" t="s">
        <v>3595</v>
      </c>
      <c r="L3912">
        <v>25</v>
      </c>
    </row>
    <row r="3913" spans="10:12" x14ac:dyDescent="0.2">
      <c r="J3913">
        <v>40011149</v>
      </c>
      <c r="K3913" t="s">
        <v>3720</v>
      </c>
      <c r="L3913">
        <v>32</v>
      </c>
    </row>
    <row r="3914" spans="10:12" x14ac:dyDescent="0.2">
      <c r="J3914">
        <v>40011153</v>
      </c>
      <c r="K3914" t="s">
        <v>3597</v>
      </c>
      <c r="L3914">
        <v>1</v>
      </c>
    </row>
    <row r="3915" spans="10:12" x14ac:dyDescent="0.2">
      <c r="J3915">
        <v>40011154</v>
      </c>
      <c r="K3915" t="s">
        <v>3598</v>
      </c>
      <c r="L3915">
        <v>1</v>
      </c>
    </row>
    <row r="3916" spans="10:12" x14ac:dyDescent="0.2">
      <c r="J3916">
        <v>40011157</v>
      </c>
      <c r="K3916" t="s">
        <v>3599</v>
      </c>
      <c r="L3916">
        <v>10</v>
      </c>
    </row>
    <row r="3917" spans="10:12" x14ac:dyDescent="0.2">
      <c r="J3917">
        <v>40011158</v>
      </c>
      <c r="K3917" t="s">
        <v>3600</v>
      </c>
      <c r="L3917">
        <v>2</v>
      </c>
    </row>
    <row r="3918" spans="10:12" x14ac:dyDescent="0.2">
      <c r="J3918">
        <v>40011160</v>
      </c>
      <c r="K3918" t="s">
        <v>9781</v>
      </c>
      <c r="L3918">
        <v>19</v>
      </c>
    </row>
    <row r="3919" spans="10:12" x14ac:dyDescent="0.2">
      <c r="J3919">
        <v>40011161</v>
      </c>
      <c r="K3919" t="s">
        <v>3601</v>
      </c>
      <c r="L3919">
        <v>1</v>
      </c>
    </row>
    <row r="3920" spans="10:12" x14ac:dyDescent="0.2">
      <c r="J3920">
        <v>40011162</v>
      </c>
      <c r="K3920" t="s">
        <v>3602</v>
      </c>
      <c r="L3920">
        <v>2</v>
      </c>
    </row>
    <row r="3921" spans="10:12" x14ac:dyDescent="0.2">
      <c r="J3921">
        <v>40011164</v>
      </c>
      <c r="K3921" t="s">
        <v>3603</v>
      </c>
      <c r="L3921">
        <v>4</v>
      </c>
    </row>
    <row r="3922" spans="10:12" x14ac:dyDescent="0.2">
      <c r="J3922">
        <v>40011165</v>
      </c>
      <c r="K3922" t="s">
        <v>3604</v>
      </c>
      <c r="L3922">
        <v>1</v>
      </c>
    </row>
    <row r="3923" spans="10:12" x14ac:dyDescent="0.2">
      <c r="J3923">
        <v>40011166</v>
      </c>
      <c r="K3923" t="s">
        <v>3605</v>
      </c>
      <c r="L3923">
        <v>1</v>
      </c>
    </row>
    <row r="3924" spans="10:12" x14ac:dyDescent="0.2">
      <c r="J3924">
        <v>40011195</v>
      </c>
      <c r="K3924" t="s">
        <v>3765</v>
      </c>
      <c r="L3924">
        <v>8</v>
      </c>
    </row>
    <row r="3925" spans="10:12" x14ac:dyDescent="0.2">
      <c r="J3925">
        <v>40011196</v>
      </c>
      <c r="K3925" t="s">
        <v>3766</v>
      </c>
      <c r="L3925">
        <v>16</v>
      </c>
    </row>
    <row r="3926" spans="10:12" x14ac:dyDescent="0.2">
      <c r="J3926">
        <v>40011197</v>
      </c>
      <c r="K3926" t="s">
        <v>3767</v>
      </c>
      <c r="L3926">
        <v>3</v>
      </c>
    </row>
    <row r="3927" spans="10:12" x14ac:dyDescent="0.2">
      <c r="J3927">
        <v>40011198</v>
      </c>
      <c r="K3927" t="s">
        <v>3768</v>
      </c>
      <c r="L3927">
        <v>7</v>
      </c>
    </row>
    <row r="3928" spans="10:12" x14ac:dyDescent="0.2">
      <c r="J3928">
        <v>40011201</v>
      </c>
      <c r="K3928" t="s">
        <v>3771</v>
      </c>
      <c r="L3928">
        <v>10</v>
      </c>
    </row>
    <row r="3929" spans="10:12" x14ac:dyDescent="0.2">
      <c r="J3929">
        <v>40011202</v>
      </c>
      <c r="K3929" t="s">
        <v>3772</v>
      </c>
      <c r="L3929">
        <v>7</v>
      </c>
    </row>
    <row r="3930" spans="10:12" x14ac:dyDescent="0.2">
      <c r="J3930">
        <v>40011203</v>
      </c>
      <c r="K3930" t="s">
        <v>3773</v>
      </c>
      <c r="L3930">
        <v>7</v>
      </c>
    </row>
    <row r="3931" spans="10:12" x14ac:dyDescent="0.2">
      <c r="J3931">
        <v>40011204</v>
      </c>
      <c r="K3931" t="s">
        <v>3738</v>
      </c>
      <c r="L3931">
        <v>8</v>
      </c>
    </row>
    <row r="3932" spans="10:12" x14ac:dyDescent="0.2">
      <c r="J3932">
        <v>40011205</v>
      </c>
      <c r="K3932" t="s">
        <v>3774</v>
      </c>
      <c r="L3932">
        <v>5</v>
      </c>
    </row>
    <row r="3933" spans="10:12" x14ac:dyDescent="0.2">
      <c r="J3933">
        <v>40011206</v>
      </c>
      <c r="K3933" t="s">
        <v>3775</v>
      </c>
      <c r="L3933">
        <v>2</v>
      </c>
    </row>
    <row r="3934" spans="10:12" x14ac:dyDescent="0.2">
      <c r="J3934">
        <v>40011207</v>
      </c>
      <c r="K3934" t="s">
        <v>3739</v>
      </c>
      <c r="L3934">
        <v>4</v>
      </c>
    </row>
    <row r="3935" spans="10:12" x14ac:dyDescent="0.2">
      <c r="J3935">
        <v>40011208</v>
      </c>
      <c r="K3935" t="s">
        <v>3776</v>
      </c>
      <c r="L3935">
        <v>2</v>
      </c>
    </row>
    <row r="3936" spans="10:12" x14ac:dyDescent="0.2">
      <c r="J3936">
        <v>40011210</v>
      </c>
      <c r="K3936" t="s">
        <v>3777</v>
      </c>
      <c r="L3936">
        <v>13</v>
      </c>
    </row>
    <row r="3937" spans="10:12" x14ac:dyDescent="0.2">
      <c r="J3937">
        <v>40011211</v>
      </c>
      <c r="K3937" t="s">
        <v>3778</v>
      </c>
      <c r="L3937">
        <v>6</v>
      </c>
    </row>
    <row r="3938" spans="10:12" x14ac:dyDescent="0.2">
      <c r="J3938">
        <v>40011213</v>
      </c>
      <c r="K3938" t="s">
        <v>3780</v>
      </c>
      <c r="L3938">
        <v>3</v>
      </c>
    </row>
    <row r="3939" spans="10:12" x14ac:dyDescent="0.2">
      <c r="J3939">
        <v>40011214</v>
      </c>
      <c r="K3939" t="s">
        <v>3781</v>
      </c>
      <c r="L3939">
        <v>4</v>
      </c>
    </row>
    <row r="3940" spans="10:12" x14ac:dyDescent="0.2">
      <c r="J3940">
        <v>40011215</v>
      </c>
      <c r="K3940" t="s">
        <v>3782</v>
      </c>
      <c r="L3940">
        <v>3</v>
      </c>
    </row>
    <row r="3941" spans="10:12" x14ac:dyDescent="0.2">
      <c r="J3941">
        <v>40011216</v>
      </c>
      <c r="K3941" t="s">
        <v>3783</v>
      </c>
      <c r="L3941">
        <v>2</v>
      </c>
    </row>
    <row r="3942" spans="10:12" x14ac:dyDescent="0.2">
      <c r="J3942">
        <v>40011217</v>
      </c>
      <c r="K3942" t="s">
        <v>3784</v>
      </c>
      <c r="L3942">
        <v>2</v>
      </c>
    </row>
    <row r="3943" spans="10:12" x14ac:dyDescent="0.2">
      <c r="J3943">
        <v>40011218</v>
      </c>
      <c r="K3943" t="s">
        <v>3785</v>
      </c>
      <c r="L3943">
        <v>2</v>
      </c>
    </row>
    <row r="3944" spans="10:12" x14ac:dyDescent="0.2">
      <c r="J3944">
        <v>40011222</v>
      </c>
      <c r="K3944" t="s">
        <v>3786</v>
      </c>
      <c r="L3944">
        <v>5</v>
      </c>
    </row>
    <row r="3945" spans="10:12" x14ac:dyDescent="0.2">
      <c r="J3945">
        <v>40011223</v>
      </c>
      <c r="K3945" t="s">
        <v>3787</v>
      </c>
      <c r="L3945">
        <v>1</v>
      </c>
    </row>
    <row r="3946" spans="10:12" x14ac:dyDescent="0.2">
      <c r="J3946">
        <v>40011238</v>
      </c>
      <c r="K3946" t="s">
        <v>3866</v>
      </c>
      <c r="L3946">
        <v>1</v>
      </c>
    </row>
    <row r="3947" spans="10:12" x14ac:dyDescent="0.2">
      <c r="J3947">
        <v>40011239</v>
      </c>
      <c r="K3947" t="s">
        <v>3730</v>
      </c>
      <c r="L3947">
        <v>4</v>
      </c>
    </row>
    <row r="3948" spans="10:12" x14ac:dyDescent="0.2">
      <c r="J3948">
        <v>40011240</v>
      </c>
      <c r="K3948" t="s">
        <v>3867</v>
      </c>
      <c r="L3948">
        <v>1</v>
      </c>
    </row>
    <row r="3949" spans="10:12" x14ac:dyDescent="0.2">
      <c r="J3949">
        <v>40011242</v>
      </c>
      <c r="K3949" t="s">
        <v>3727</v>
      </c>
      <c r="L3949">
        <v>6</v>
      </c>
    </row>
    <row r="3950" spans="10:12" x14ac:dyDescent="0.2">
      <c r="J3950">
        <v>40011243</v>
      </c>
      <c r="K3950" t="s">
        <v>3868</v>
      </c>
      <c r="L3950">
        <v>9</v>
      </c>
    </row>
    <row r="3951" spans="10:12" x14ac:dyDescent="0.2">
      <c r="J3951">
        <v>40011244</v>
      </c>
      <c r="K3951" t="s">
        <v>3869</v>
      </c>
      <c r="L3951">
        <v>10</v>
      </c>
    </row>
    <row r="3952" spans="10:12" x14ac:dyDescent="0.2">
      <c r="J3952">
        <v>40011245</v>
      </c>
      <c r="K3952" t="s">
        <v>3870</v>
      </c>
      <c r="L3952">
        <v>5</v>
      </c>
    </row>
    <row r="3953" spans="10:12" x14ac:dyDescent="0.2">
      <c r="J3953">
        <v>40011246</v>
      </c>
      <c r="K3953" t="s">
        <v>3728</v>
      </c>
      <c r="L3953">
        <v>3</v>
      </c>
    </row>
    <row r="3954" spans="10:12" x14ac:dyDescent="0.2">
      <c r="J3954">
        <v>40011247</v>
      </c>
      <c r="K3954" t="s">
        <v>3729</v>
      </c>
      <c r="L3954">
        <v>4</v>
      </c>
    </row>
    <row r="3955" spans="10:12" x14ac:dyDescent="0.2">
      <c r="J3955">
        <v>40011248</v>
      </c>
      <c r="K3955" t="s">
        <v>3731</v>
      </c>
      <c r="L3955">
        <v>2</v>
      </c>
    </row>
    <row r="3956" spans="10:12" x14ac:dyDescent="0.2">
      <c r="J3956">
        <v>40011249</v>
      </c>
      <c r="K3956" t="s">
        <v>3732</v>
      </c>
      <c r="L3956">
        <v>3</v>
      </c>
    </row>
    <row r="3957" spans="10:12" x14ac:dyDescent="0.2">
      <c r="J3957">
        <v>40011328</v>
      </c>
      <c r="K3957" t="s">
        <v>3929</v>
      </c>
      <c r="L3957">
        <v>9</v>
      </c>
    </row>
    <row r="3958" spans="10:12" x14ac:dyDescent="0.2">
      <c r="J3958">
        <v>40011329</v>
      </c>
      <c r="K3958" t="s">
        <v>3930</v>
      </c>
      <c r="L3958">
        <v>1</v>
      </c>
    </row>
    <row r="3959" spans="10:12" x14ac:dyDescent="0.2">
      <c r="J3959">
        <v>40011333</v>
      </c>
      <c r="K3959" t="s">
        <v>3926</v>
      </c>
      <c r="L3959">
        <v>1</v>
      </c>
    </row>
    <row r="3960" spans="10:12" x14ac:dyDescent="0.2">
      <c r="J3960">
        <v>40011334</v>
      </c>
      <c r="K3960" t="s">
        <v>3927</v>
      </c>
      <c r="L3960">
        <v>5</v>
      </c>
    </row>
    <row r="3961" spans="10:12" x14ac:dyDescent="0.2">
      <c r="J3961">
        <v>40011335</v>
      </c>
      <c r="K3961" t="s">
        <v>3928</v>
      </c>
      <c r="L3961">
        <v>5</v>
      </c>
    </row>
    <row r="3962" spans="10:12" x14ac:dyDescent="0.2">
      <c r="J3962">
        <v>40011398</v>
      </c>
      <c r="K3962" t="s">
        <v>5407</v>
      </c>
      <c r="L3962">
        <v>2</v>
      </c>
    </row>
    <row r="3963" spans="10:12" x14ac:dyDescent="0.2">
      <c r="J3963">
        <v>40011399</v>
      </c>
      <c r="K3963" t="s">
        <v>5408</v>
      </c>
      <c r="L3963">
        <v>2</v>
      </c>
    </row>
    <row r="3964" spans="10:12" x14ac:dyDescent="0.2">
      <c r="J3964">
        <v>40011400</v>
      </c>
      <c r="K3964" t="s">
        <v>5483</v>
      </c>
      <c r="L3964">
        <v>4</v>
      </c>
    </row>
    <row r="3965" spans="10:12" x14ac:dyDescent="0.2">
      <c r="J3965">
        <v>40011401</v>
      </c>
      <c r="K3965" t="s">
        <v>5484</v>
      </c>
      <c r="L3965">
        <v>1</v>
      </c>
    </row>
    <row r="3966" spans="10:12" x14ac:dyDescent="0.2">
      <c r="J3966">
        <v>40011402</v>
      </c>
      <c r="K3966" t="s">
        <v>5409</v>
      </c>
      <c r="L3966">
        <v>2</v>
      </c>
    </row>
    <row r="3967" spans="10:12" x14ac:dyDescent="0.2">
      <c r="J3967">
        <v>40011403</v>
      </c>
      <c r="K3967" t="s">
        <v>5410</v>
      </c>
      <c r="L3967">
        <v>1</v>
      </c>
    </row>
    <row r="3968" spans="10:12" x14ac:dyDescent="0.2">
      <c r="J3968">
        <v>40011404</v>
      </c>
      <c r="K3968" t="s">
        <v>5411</v>
      </c>
      <c r="L3968">
        <v>2</v>
      </c>
    </row>
    <row r="3969" spans="10:12" x14ac:dyDescent="0.2">
      <c r="J3969">
        <v>40011405</v>
      </c>
      <c r="K3969" t="s">
        <v>5485</v>
      </c>
      <c r="L3969">
        <v>1</v>
      </c>
    </row>
    <row r="3970" spans="10:12" x14ac:dyDescent="0.2">
      <c r="J3970">
        <v>40011406</v>
      </c>
      <c r="K3970" t="s">
        <v>5486</v>
      </c>
      <c r="L3970">
        <v>2</v>
      </c>
    </row>
    <row r="3971" spans="10:12" x14ac:dyDescent="0.2">
      <c r="J3971">
        <v>40011407</v>
      </c>
      <c r="K3971" t="s">
        <v>5412</v>
      </c>
      <c r="L3971">
        <v>1</v>
      </c>
    </row>
    <row r="3972" spans="10:12" x14ac:dyDescent="0.2">
      <c r="J3972">
        <v>40011408</v>
      </c>
      <c r="K3972" t="s">
        <v>5413</v>
      </c>
      <c r="L3972">
        <v>1</v>
      </c>
    </row>
    <row r="3973" spans="10:12" x14ac:dyDescent="0.2">
      <c r="J3973">
        <v>40011409</v>
      </c>
      <c r="K3973" t="s">
        <v>9730</v>
      </c>
      <c r="L3973">
        <v>2</v>
      </c>
    </row>
    <row r="3974" spans="10:12" x14ac:dyDescent="0.2">
      <c r="J3974">
        <v>40011411</v>
      </c>
      <c r="K3974" t="s">
        <v>5307</v>
      </c>
      <c r="L3974">
        <v>1</v>
      </c>
    </row>
    <row r="3975" spans="10:12" x14ac:dyDescent="0.2">
      <c r="J3975">
        <v>40011414</v>
      </c>
      <c r="K3975" t="s">
        <v>5308</v>
      </c>
      <c r="L3975">
        <v>2</v>
      </c>
    </row>
    <row r="3976" spans="10:12" x14ac:dyDescent="0.2">
      <c r="J3976">
        <v>40011416</v>
      </c>
      <c r="K3976" t="s">
        <v>5310</v>
      </c>
      <c r="L3976">
        <v>4</v>
      </c>
    </row>
    <row r="3977" spans="10:12" x14ac:dyDescent="0.2">
      <c r="J3977">
        <v>40011417</v>
      </c>
      <c r="K3977" t="s">
        <v>5311</v>
      </c>
      <c r="L3977">
        <v>4</v>
      </c>
    </row>
    <row r="3978" spans="10:12" x14ac:dyDescent="0.2">
      <c r="J3978">
        <v>40011418</v>
      </c>
      <c r="K3978" t="s">
        <v>5312</v>
      </c>
      <c r="L3978">
        <v>1</v>
      </c>
    </row>
    <row r="3979" spans="10:12" x14ac:dyDescent="0.2">
      <c r="J3979">
        <v>40011419</v>
      </c>
      <c r="K3979" t="s">
        <v>5313</v>
      </c>
      <c r="L3979">
        <v>4</v>
      </c>
    </row>
    <row r="3980" spans="10:12" x14ac:dyDescent="0.2">
      <c r="J3980">
        <v>40011561</v>
      </c>
      <c r="K3980" t="s">
        <v>5450</v>
      </c>
      <c r="L3980">
        <v>1</v>
      </c>
    </row>
    <row r="3981" spans="10:12" x14ac:dyDescent="0.2">
      <c r="J3981">
        <v>40011562</v>
      </c>
      <c r="K3981" t="s">
        <v>5451</v>
      </c>
      <c r="L3981">
        <v>2</v>
      </c>
    </row>
    <row r="3982" spans="10:12" x14ac:dyDescent="0.2">
      <c r="J3982">
        <v>40011563</v>
      </c>
      <c r="K3982" t="s">
        <v>5449</v>
      </c>
      <c r="L3982">
        <v>1</v>
      </c>
    </row>
    <row r="3983" spans="10:12" x14ac:dyDescent="0.2">
      <c r="J3983">
        <v>40011584</v>
      </c>
      <c r="K3983" t="s">
        <v>9518</v>
      </c>
      <c r="L3983">
        <v>2</v>
      </c>
    </row>
    <row r="3984" spans="10:12" x14ac:dyDescent="0.2">
      <c r="J3984">
        <v>40011585</v>
      </c>
      <c r="K3984" t="s">
        <v>9519</v>
      </c>
      <c r="L3984">
        <v>2</v>
      </c>
    </row>
    <row r="3985" spans="10:12" x14ac:dyDescent="0.2">
      <c r="J3985">
        <v>40011587</v>
      </c>
      <c r="K3985" t="s">
        <v>9521</v>
      </c>
      <c r="L3985">
        <v>1</v>
      </c>
    </row>
    <row r="3986" spans="10:12" x14ac:dyDescent="0.2">
      <c r="J3986">
        <v>40011588</v>
      </c>
      <c r="K3986" t="s">
        <v>9522</v>
      </c>
      <c r="L3986">
        <v>3</v>
      </c>
    </row>
    <row r="3987" spans="10:12" x14ac:dyDescent="0.2">
      <c r="J3987">
        <v>40011592</v>
      </c>
      <c r="K3987" t="s">
        <v>9525</v>
      </c>
      <c r="L3987">
        <v>2</v>
      </c>
    </row>
    <row r="3988" spans="10:12" x14ac:dyDescent="0.2">
      <c r="J3988">
        <v>40011594</v>
      </c>
      <c r="K3988" t="s">
        <v>9526</v>
      </c>
      <c r="L3988">
        <v>2</v>
      </c>
    </row>
    <row r="3989" spans="10:12" x14ac:dyDescent="0.2">
      <c r="J3989">
        <v>40011595</v>
      </c>
      <c r="K3989" t="s">
        <v>9527</v>
      </c>
      <c r="L3989">
        <v>1</v>
      </c>
    </row>
    <row r="3990" spans="10:12" x14ac:dyDescent="0.2">
      <c r="J3990">
        <v>40011596</v>
      </c>
      <c r="K3990" t="s">
        <v>9528</v>
      </c>
      <c r="L3990">
        <v>4</v>
      </c>
    </row>
    <row r="3991" spans="10:12" x14ac:dyDescent="0.2">
      <c r="J3991">
        <v>40011597</v>
      </c>
      <c r="K3991" t="s">
        <v>9529</v>
      </c>
      <c r="L3991">
        <v>1</v>
      </c>
    </row>
    <row r="3992" spans="10:12" x14ac:dyDescent="0.2">
      <c r="J3992">
        <v>40011599</v>
      </c>
      <c r="K3992" t="s">
        <v>9530</v>
      </c>
      <c r="L3992">
        <v>2</v>
      </c>
    </row>
    <row r="3993" spans="10:12" x14ac:dyDescent="0.2">
      <c r="J3993">
        <v>40011600</v>
      </c>
      <c r="K3993" t="s">
        <v>9531</v>
      </c>
      <c r="L3993">
        <v>2</v>
      </c>
    </row>
    <row r="3994" spans="10:12" x14ac:dyDescent="0.2">
      <c r="J3994">
        <v>40011601</v>
      </c>
      <c r="K3994" t="s">
        <v>9532</v>
      </c>
      <c r="L3994">
        <v>3</v>
      </c>
    </row>
    <row r="3995" spans="10:12" x14ac:dyDescent="0.2">
      <c r="J3995">
        <v>40011603</v>
      </c>
      <c r="K3995" t="s">
        <v>9534</v>
      </c>
      <c r="L3995">
        <v>5</v>
      </c>
    </row>
    <row r="3996" spans="10:12" x14ac:dyDescent="0.2">
      <c r="J3996">
        <v>40011604</v>
      </c>
      <c r="K3996" t="s">
        <v>9535</v>
      </c>
      <c r="L3996">
        <v>1</v>
      </c>
    </row>
    <row r="3997" spans="10:12" x14ac:dyDescent="0.2">
      <c r="J3997">
        <v>40011605</v>
      </c>
      <c r="K3997" t="s">
        <v>9536</v>
      </c>
      <c r="L3997">
        <v>1</v>
      </c>
    </row>
    <row r="3998" spans="10:12" x14ac:dyDescent="0.2">
      <c r="J3998">
        <v>40011622</v>
      </c>
      <c r="K3998" t="s">
        <v>5494</v>
      </c>
      <c r="L3998">
        <v>5</v>
      </c>
    </row>
    <row r="3999" spans="10:12" x14ac:dyDescent="0.2">
      <c r="J3999">
        <v>40011623</v>
      </c>
      <c r="K3999" t="s">
        <v>5495</v>
      </c>
      <c r="L3999">
        <v>3</v>
      </c>
    </row>
    <row r="4000" spans="10:12" x14ac:dyDescent="0.2">
      <c r="J4000">
        <v>40011624</v>
      </c>
      <c r="K4000" t="s">
        <v>5496</v>
      </c>
      <c r="L4000">
        <v>3</v>
      </c>
    </row>
    <row r="4001" spans="10:12" x14ac:dyDescent="0.2">
      <c r="J4001">
        <v>40011625</v>
      </c>
      <c r="K4001" t="s">
        <v>5497</v>
      </c>
      <c r="L4001">
        <v>2</v>
      </c>
    </row>
    <row r="4002" spans="10:12" x14ac:dyDescent="0.2">
      <c r="J4002">
        <v>40011626</v>
      </c>
      <c r="K4002" t="s">
        <v>5498</v>
      </c>
      <c r="L4002">
        <v>3</v>
      </c>
    </row>
    <row r="4003" spans="10:12" x14ac:dyDescent="0.2">
      <c r="J4003">
        <v>40011652</v>
      </c>
      <c r="K4003" t="s">
        <v>9538</v>
      </c>
      <c r="L4003">
        <v>10</v>
      </c>
    </row>
    <row r="4004" spans="10:12" x14ac:dyDescent="0.2">
      <c r="J4004">
        <v>40011653</v>
      </c>
      <c r="K4004" t="s">
        <v>9539</v>
      </c>
      <c r="L4004">
        <v>3</v>
      </c>
    </row>
    <row r="4005" spans="10:12" x14ac:dyDescent="0.2">
      <c r="J4005">
        <v>40011654</v>
      </c>
      <c r="K4005" t="s">
        <v>9540</v>
      </c>
      <c r="L4005">
        <v>1</v>
      </c>
    </row>
    <row r="4006" spans="10:12" x14ac:dyDescent="0.2">
      <c r="J4006">
        <v>40011656</v>
      </c>
      <c r="K4006" t="s">
        <v>9541</v>
      </c>
      <c r="L4006">
        <v>2</v>
      </c>
    </row>
    <row r="4007" spans="10:12" x14ac:dyDescent="0.2">
      <c r="J4007">
        <v>40011657</v>
      </c>
      <c r="K4007" t="s">
        <v>9542</v>
      </c>
      <c r="L4007">
        <v>1</v>
      </c>
    </row>
    <row r="4008" spans="10:12" x14ac:dyDescent="0.2">
      <c r="J4008">
        <v>40011658</v>
      </c>
      <c r="K4008" t="s">
        <v>9543</v>
      </c>
      <c r="L4008">
        <v>1</v>
      </c>
    </row>
    <row r="4009" spans="10:12" x14ac:dyDescent="0.2">
      <c r="J4009">
        <v>40011659</v>
      </c>
      <c r="K4009" t="s">
        <v>9544</v>
      </c>
      <c r="L4009">
        <v>1</v>
      </c>
    </row>
    <row r="4010" spans="10:12" x14ac:dyDescent="0.2">
      <c r="J4010">
        <v>40011660</v>
      </c>
      <c r="K4010" t="s">
        <v>9545</v>
      </c>
      <c r="L4010">
        <v>1</v>
      </c>
    </row>
    <row r="4011" spans="10:12" x14ac:dyDescent="0.2">
      <c r="J4011">
        <v>40011661</v>
      </c>
      <c r="K4011" t="s">
        <v>9546</v>
      </c>
      <c r="L4011">
        <v>1</v>
      </c>
    </row>
    <row r="4012" spans="10:12" x14ac:dyDescent="0.2">
      <c r="J4012">
        <v>40011662</v>
      </c>
      <c r="K4012" t="s">
        <v>9547</v>
      </c>
      <c r="L4012">
        <v>1</v>
      </c>
    </row>
    <row r="4013" spans="10:12" x14ac:dyDescent="0.2">
      <c r="J4013">
        <v>40011664</v>
      </c>
      <c r="K4013" t="s">
        <v>9548</v>
      </c>
      <c r="L4013">
        <v>2</v>
      </c>
    </row>
    <row r="4014" spans="10:12" x14ac:dyDescent="0.2">
      <c r="J4014">
        <v>40011665</v>
      </c>
      <c r="K4014" t="s">
        <v>9549</v>
      </c>
      <c r="L4014">
        <v>3</v>
      </c>
    </row>
    <row r="4015" spans="10:12" x14ac:dyDescent="0.2">
      <c r="J4015">
        <v>40011723</v>
      </c>
      <c r="K4015" t="s">
        <v>9832</v>
      </c>
      <c r="L4015">
        <v>1</v>
      </c>
    </row>
    <row r="4016" spans="10:12" x14ac:dyDescent="0.2">
      <c r="J4016">
        <v>40011724</v>
      </c>
      <c r="K4016" t="s">
        <v>9833</v>
      </c>
      <c r="L4016">
        <v>8</v>
      </c>
    </row>
    <row r="4017" spans="10:12" x14ac:dyDescent="0.2">
      <c r="J4017">
        <v>40011725</v>
      </c>
      <c r="K4017" t="s">
        <v>9733</v>
      </c>
      <c r="L4017">
        <v>2</v>
      </c>
    </row>
    <row r="4018" spans="10:12" x14ac:dyDescent="0.2">
      <c r="J4018">
        <v>40011726</v>
      </c>
      <c r="K4018" t="s">
        <v>9755</v>
      </c>
      <c r="L4018">
        <v>2</v>
      </c>
    </row>
    <row r="4019" spans="10:12" x14ac:dyDescent="0.2">
      <c r="J4019">
        <v>40011727</v>
      </c>
      <c r="K4019" t="s">
        <v>9834</v>
      </c>
      <c r="L4019">
        <v>15</v>
      </c>
    </row>
    <row r="4020" spans="10:12" x14ac:dyDescent="0.2">
      <c r="J4020">
        <v>40011728</v>
      </c>
      <c r="K4020" t="s">
        <v>9742</v>
      </c>
      <c r="L4020">
        <v>2</v>
      </c>
    </row>
    <row r="4021" spans="10:12" x14ac:dyDescent="0.2">
      <c r="J4021">
        <v>40011731</v>
      </c>
      <c r="K4021" t="s">
        <v>9835</v>
      </c>
      <c r="L4021">
        <v>5</v>
      </c>
    </row>
    <row r="4022" spans="10:12" x14ac:dyDescent="0.2">
      <c r="J4022">
        <v>40011732</v>
      </c>
      <c r="K4022" t="s">
        <v>9836</v>
      </c>
      <c r="L4022">
        <v>3</v>
      </c>
    </row>
    <row r="4023" spans="10:12" x14ac:dyDescent="0.2">
      <c r="J4023">
        <v>40011733</v>
      </c>
      <c r="K4023" t="s">
        <v>9837</v>
      </c>
      <c r="L4023">
        <v>1</v>
      </c>
    </row>
    <row r="4024" spans="10:12" x14ac:dyDescent="0.2">
      <c r="J4024">
        <v>40011734</v>
      </c>
      <c r="K4024" t="s">
        <v>9838</v>
      </c>
      <c r="L4024">
        <v>2</v>
      </c>
    </row>
    <row r="4025" spans="10:12" x14ac:dyDescent="0.2">
      <c r="J4025">
        <v>40011735</v>
      </c>
      <c r="K4025" t="s">
        <v>9839</v>
      </c>
      <c r="L4025">
        <v>5</v>
      </c>
    </row>
    <row r="4026" spans="10:12" x14ac:dyDescent="0.2">
      <c r="J4026">
        <v>40011736</v>
      </c>
      <c r="K4026" t="s">
        <v>9840</v>
      </c>
      <c r="L4026">
        <v>2</v>
      </c>
    </row>
    <row r="4027" spans="10:12" x14ac:dyDescent="0.2">
      <c r="J4027">
        <v>40011738</v>
      </c>
      <c r="K4027" t="s">
        <v>9735</v>
      </c>
      <c r="L4027">
        <v>2</v>
      </c>
    </row>
    <row r="4028" spans="10:12" x14ac:dyDescent="0.2">
      <c r="J4028">
        <v>40011739</v>
      </c>
      <c r="K4028" t="s">
        <v>9757</v>
      </c>
      <c r="L4028">
        <v>1</v>
      </c>
    </row>
    <row r="4029" spans="10:12" x14ac:dyDescent="0.2">
      <c r="J4029">
        <v>40011740</v>
      </c>
      <c r="K4029" t="s">
        <v>9797</v>
      </c>
      <c r="L4029">
        <v>12</v>
      </c>
    </row>
    <row r="4030" spans="10:12" x14ac:dyDescent="0.2">
      <c r="J4030">
        <v>40011742</v>
      </c>
      <c r="K4030" t="s">
        <v>9819</v>
      </c>
      <c r="L4030">
        <v>29</v>
      </c>
    </row>
    <row r="4031" spans="10:12" x14ac:dyDescent="0.2">
      <c r="J4031">
        <v>40011745</v>
      </c>
      <c r="K4031" t="s">
        <v>9769</v>
      </c>
      <c r="L4031">
        <v>5</v>
      </c>
    </row>
    <row r="4032" spans="10:12" x14ac:dyDescent="0.2">
      <c r="J4032">
        <v>40011747</v>
      </c>
      <c r="K4032" t="s">
        <v>9783</v>
      </c>
      <c r="L4032">
        <v>5</v>
      </c>
    </row>
    <row r="4033" spans="10:12" x14ac:dyDescent="0.2">
      <c r="J4033">
        <v>40011748</v>
      </c>
      <c r="K4033" t="s">
        <v>9785</v>
      </c>
      <c r="L4033">
        <v>4</v>
      </c>
    </row>
    <row r="4034" spans="10:12" x14ac:dyDescent="0.2">
      <c r="J4034">
        <v>40011749</v>
      </c>
      <c r="K4034" t="s">
        <v>9787</v>
      </c>
      <c r="L4034">
        <v>5</v>
      </c>
    </row>
    <row r="4035" spans="10:12" x14ac:dyDescent="0.2">
      <c r="J4035">
        <v>40011751</v>
      </c>
      <c r="K4035" t="s">
        <v>9809</v>
      </c>
      <c r="L4035">
        <v>-1</v>
      </c>
    </row>
    <row r="4036" spans="10:12" x14ac:dyDescent="0.2">
      <c r="J4036">
        <v>40011752</v>
      </c>
      <c r="K4036" t="s">
        <v>9811</v>
      </c>
      <c r="L4036">
        <v>37</v>
      </c>
    </row>
    <row r="4037" spans="10:12" x14ac:dyDescent="0.2">
      <c r="J4037">
        <v>40011753</v>
      </c>
      <c r="K4037" t="s">
        <v>9815</v>
      </c>
      <c r="L4037">
        <v>4</v>
      </c>
    </row>
    <row r="4038" spans="10:12" x14ac:dyDescent="0.2">
      <c r="J4038">
        <v>40011754</v>
      </c>
      <c r="K4038" t="s">
        <v>9817</v>
      </c>
      <c r="L4038">
        <v>15</v>
      </c>
    </row>
    <row r="4039" spans="10:12" x14ac:dyDescent="0.2">
      <c r="J4039">
        <v>40011814</v>
      </c>
      <c r="K4039" t="s">
        <v>9916</v>
      </c>
      <c r="L4039">
        <v>1</v>
      </c>
    </row>
    <row r="4040" spans="10:12" x14ac:dyDescent="0.2">
      <c r="J4040">
        <v>40011815</v>
      </c>
      <c r="K4040" t="s">
        <v>9910</v>
      </c>
      <c r="L4040">
        <v>3</v>
      </c>
    </row>
    <row r="4041" spans="10:12" x14ac:dyDescent="0.2">
      <c r="J4041">
        <v>40011816</v>
      </c>
      <c r="K4041" t="s">
        <v>9921</v>
      </c>
      <c r="L4041">
        <v>1</v>
      </c>
    </row>
    <row r="4042" spans="10:12" x14ac:dyDescent="0.2">
      <c r="J4042">
        <v>40011818</v>
      </c>
      <c r="K4042" t="s">
        <v>9912</v>
      </c>
      <c r="L4042">
        <v>1</v>
      </c>
    </row>
    <row r="4043" spans="10:12" x14ac:dyDescent="0.2">
      <c r="J4043">
        <v>40011820</v>
      </c>
      <c r="K4043" t="s">
        <v>9913</v>
      </c>
      <c r="L4043">
        <v>3</v>
      </c>
    </row>
    <row r="4044" spans="10:12" x14ac:dyDescent="0.2">
      <c r="J4044">
        <v>40011823</v>
      </c>
      <c r="K4044" t="s">
        <v>9918</v>
      </c>
      <c r="L4044">
        <v>1</v>
      </c>
    </row>
    <row r="4045" spans="10:12" x14ac:dyDescent="0.2">
      <c r="J4045">
        <v>40011824</v>
      </c>
      <c r="K4045" t="s">
        <v>9919</v>
      </c>
      <c r="L4045">
        <v>2</v>
      </c>
    </row>
    <row r="4046" spans="10:12" x14ac:dyDescent="0.2">
      <c r="J4046">
        <v>40011825</v>
      </c>
      <c r="K4046" t="s">
        <v>9920</v>
      </c>
      <c r="L4046">
        <v>1</v>
      </c>
    </row>
    <row r="4047" spans="10:12" x14ac:dyDescent="0.2">
      <c r="J4047">
        <v>40011826</v>
      </c>
      <c r="K4047" t="s">
        <v>10657</v>
      </c>
      <c r="L4047">
        <v>1</v>
      </c>
    </row>
    <row r="4048" spans="10:12" x14ac:dyDescent="0.2">
      <c r="J4048">
        <v>40011829</v>
      </c>
      <c r="K4048" t="s">
        <v>9856</v>
      </c>
      <c r="L4048">
        <v>1</v>
      </c>
    </row>
    <row r="4049" spans="10:12" x14ac:dyDescent="0.2">
      <c r="J4049">
        <v>40011830</v>
      </c>
      <c r="K4049" t="s">
        <v>9842</v>
      </c>
      <c r="L4049">
        <v>8</v>
      </c>
    </row>
    <row r="4050" spans="10:12" x14ac:dyDescent="0.2">
      <c r="J4050">
        <v>40011832</v>
      </c>
      <c r="K4050" t="s">
        <v>9858</v>
      </c>
      <c r="L4050">
        <v>1</v>
      </c>
    </row>
    <row r="4051" spans="10:12" x14ac:dyDescent="0.2">
      <c r="J4051">
        <v>40011834</v>
      </c>
      <c r="K4051" t="s">
        <v>9841</v>
      </c>
      <c r="L4051">
        <v>2</v>
      </c>
    </row>
    <row r="4052" spans="10:12" x14ac:dyDescent="0.2">
      <c r="J4052">
        <v>40011882</v>
      </c>
      <c r="K4052" t="s">
        <v>9925</v>
      </c>
      <c r="L4052">
        <v>19</v>
      </c>
    </row>
    <row r="4053" spans="10:12" x14ac:dyDescent="0.2">
      <c r="J4053">
        <v>40011883</v>
      </c>
      <c r="K4053" t="s">
        <v>9926</v>
      </c>
      <c r="L4053">
        <v>4</v>
      </c>
    </row>
    <row r="4054" spans="10:12" x14ac:dyDescent="0.2">
      <c r="J4054">
        <v>40011886</v>
      </c>
      <c r="K4054" t="s">
        <v>9928</v>
      </c>
      <c r="L4054">
        <v>2</v>
      </c>
    </row>
    <row r="4055" spans="10:12" x14ac:dyDescent="0.2">
      <c r="J4055">
        <v>40011888</v>
      </c>
      <c r="K4055" t="s">
        <v>9930</v>
      </c>
      <c r="L4055">
        <v>3</v>
      </c>
    </row>
    <row r="4056" spans="10:12" x14ac:dyDescent="0.2">
      <c r="J4056">
        <v>40011914</v>
      </c>
      <c r="K4056" t="s">
        <v>10658</v>
      </c>
      <c r="L4056">
        <v>5</v>
      </c>
    </row>
    <row r="4057" spans="10:12" x14ac:dyDescent="0.2">
      <c r="J4057">
        <v>40011915</v>
      </c>
      <c r="K4057" t="s">
        <v>10659</v>
      </c>
      <c r="L4057">
        <v>4</v>
      </c>
    </row>
    <row r="4058" spans="10:12" x14ac:dyDescent="0.2">
      <c r="J4058">
        <v>40011916</v>
      </c>
      <c r="K4058" t="s">
        <v>10660</v>
      </c>
      <c r="L4058">
        <v>3</v>
      </c>
    </row>
    <row r="4059" spans="10:12" x14ac:dyDescent="0.2">
      <c r="J4059">
        <v>40011917</v>
      </c>
      <c r="K4059" t="s">
        <v>10661</v>
      </c>
      <c r="L4059">
        <v>5</v>
      </c>
    </row>
    <row r="4060" spans="10:12" x14ac:dyDescent="0.2">
      <c r="J4060">
        <v>40011918</v>
      </c>
      <c r="K4060" t="s">
        <v>10662</v>
      </c>
      <c r="L4060">
        <v>5</v>
      </c>
    </row>
    <row r="4061" spans="10:12" x14ac:dyDescent="0.2">
      <c r="J4061">
        <v>40011919</v>
      </c>
      <c r="K4061" t="s">
        <v>10663</v>
      </c>
      <c r="L4061">
        <v>9</v>
      </c>
    </row>
    <row r="4062" spans="10:12" x14ac:dyDescent="0.2">
      <c r="J4062">
        <v>40011920</v>
      </c>
      <c r="K4062" t="s">
        <v>10664</v>
      </c>
      <c r="L4062">
        <v>5</v>
      </c>
    </row>
    <row r="4063" spans="10:12" x14ac:dyDescent="0.2">
      <c r="J4063">
        <v>40011921</v>
      </c>
      <c r="K4063" t="s">
        <v>10665</v>
      </c>
      <c r="L4063">
        <v>2</v>
      </c>
    </row>
    <row r="4064" spans="10:12" x14ac:dyDescent="0.2">
      <c r="J4064">
        <v>40011946</v>
      </c>
      <c r="K4064" t="s">
        <v>10431</v>
      </c>
      <c r="L4064">
        <v>1</v>
      </c>
    </row>
    <row r="4065" spans="10:12" x14ac:dyDescent="0.2">
      <c r="J4065">
        <v>40011948</v>
      </c>
      <c r="K4065" t="s">
        <v>10433</v>
      </c>
      <c r="L4065">
        <v>2</v>
      </c>
    </row>
    <row r="4066" spans="10:12" x14ac:dyDescent="0.2">
      <c r="J4066">
        <v>40011953</v>
      </c>
      <c r="K4066" t="s">
        <v>10436</v>
      </c>
      <c r="L4066">
        <v>1</v>
      </c>
    </row>
    <row r="4067" spans="10:12" x14ac:dyDescent="0.2">
      <c r="J4067">
        <v>40011955</v>
      </c>
      <c r="K4067" t="s">
        <v>10430</v>
      </c>
      <c r="L4067">
        <v>2</v>
      </c>
    </row>
    <row r="4068" spans="10:12" x14ac:dyDescent="0.2">
      <c r="J4068">
        <v>40011956</v>
      </c>
      <c r="K4068" t="s">
        <v>10434</v>
      </c>
      <c r="L4068">
        <v>1</v>
      </c>
    </row>
    <row r="4069" spans="10:12" x14ac:dyDescent="0.2">
      <c r="J4069">
        <v>40011957</v>
      </c>
      <c r="K4069" t="s">
        <v>10435</v>
      </c>
      <c r="L4069">
        <v>1</v>
      </c>
    </row>
    <row r="4070" spans="10:12" x14ac:dyDescent="0.2">
      <c r="J4070">
        <v>40011961</v>
      </c>
      <c r="K4070" t="s">
        <v>10432</v>
      </c>
      <c r="L4070">
        <v>1</v>
      </c>
    </row>
    <row r="4071" spans="10:12" x14ac:dyDescent="0.2">
      <c r="J4071">
        <v>40012061</v>
      </c>
      <c r="K4071" t="s">
        <v>10597</v>
      </c>
      <c r="L4071">
        <v>1</v>
      </c>
    </row>
    <row r="4072" spans="10:12" x14ac:dyDescent="0.2">
      <c r="J4072">
        <v>40012062</v>
      </c>
      <c r="K4072" t="s">
        <v>10598</v>
      </c>
      <c r="L4072">
        <v>4</v>
      </c>
    </row>
    <row r="4073" spans="10:12" x14ac:dyDescent="0.2">
      <c r="J4073">
        <v>40012063</v>
      </c>
      <c r="K4073" t="s">
        <v>10599</v>
      </c>
      <c r="L4073">
        <v>1</v>
      </c>
    </row>
    <row r="4074" spans="10:12" x14ac:dyDescent="0.2">
      <c r="J4074">
        <v>40012064</v>
      </c>
      <c r="K4074" t="s">
        <v>10600</v>
      </c>
      <c r="L4074">
        <v>2</v>
      </c>
    </row>
    <row r="4075" spans="10:12" x14ac:dyDescent="0.2">
      <c r="J4075">
        <v>40012065</v>
      </c>
      <c r="K4075" t="s">
        <v>10601</v>
      </c>
      <c r="L4075">
        <v>4</v>
      </c>
    </row>
    <row r="4076" spans="10:12" x14ac:dyDescent="0.2">
      <c r="J4076">
        <v>40012066</v>
      </c>
      <c r="K4076" t="s">
        <v>10603</v>
      </c>
      <c r="L4076">
        <v>1</v>
      </c>
    </row>
    <row r="4077" spans="10:12" x14ac:dyDescent="0.2">
      <c r="J4077">
        <v>40012067</v>
      </c>
      <c r="K4077" t="s">
        <v>10604</v>
      </c>
      <c r="L4077">
        <v>1</v>
      </c>
    </row>
    <row r="4078" spans="10:12" x14ac:dyDescent="0.2">
      <c r="J4078">
        <v>40012068</v>
      </c>
      <c r="K4078" t="s">
        <v>10605</v>
      </c>
      <c r="L4078">
        <v>1</v>
      </c>
    </row>
    <row r="4079" spans="10:12" x14ac:dyDescent="0.2">
      <c r="J4079">
        <v>40012069</v>
      </c>
      <c r="K4079" t="s">
        <v>10606</v>
      </c>
      <c r="L4079">
        <v>1</v>
      </c>
    </row>
    <row r="4080" spans="10:12" x14ac:dyDescent="0.2">
      <c r="J4080">
        <v>40012070</v>
      </c>
      <c r="K4080" t="s">
        <v>10609</v>
      </c>
      <c r="L4080">
        <v>6</v>
      </c>
    </row>
    <row r="4081" spans="10:12" x14ac:dyDescent="0.2">
      <c r="J4081">
        <v>40012071</v>
      </c>
      <c r="K4081" t="s">
        <v>10611</v>
      </c>
      <c r="L4081">
        <v>2</v>
      </c>
    </row>
    <row r="4082" spans="10:12" x14ac:dyDescent="0.2">
      <c r="J4082">
        <v>40012072</v>
      </c>
      <c r="K4082" t="s">
        <v>10608</v>
      </c>
      <c r="L4082">
        <v>4</v>
      </c>
    </row>
    <row r="4083" spans="10:12" x14ac:dyDescent="0.2">
      <c r="J4083">
        <v>40012073</v>
      </c>
      <c r="K4083" t="s">
        <v>10607</v>
      </c>
      <c r="L4083">
        <v>1</v>
      </c>
    </row>
    <row r="4084" spans="10:12" x14ac:dyDescent="0.2">
      <c r="J4084">
        <v>40012074</v>
      </c>
      <c r="K4084" t="s">
        <v>10596</v>
      </c>
      <c r="L4084">
        <v>10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STOCK</vt:lpstr>
      <vt:lpstr>Sheet1</vt:lpstr>
      <vt:lpstr>Sheet3</vt:lpstr>
      <vt:lpstr>Sheet3!Print_Area</vt:lpstr>
      <vt:lpstr>STOCK!Print_Area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Ali Ishad</cp:lastModifiedBy>
  <cp:revision>1</cp:revision>
  <cp:lastPrinted>2026-02-01T06:54:20Z</cp:lastPrinted>
  <dcterms:created xsi:type="dcterms:W3CDTF">2025-01-23T05:09:28Z</dcterms:created>
  <dcterms:modified xsi:type="dcterms:W3CDTF">2026-02-02T06:44:30Z</dcterms:modified>
  <cp:category/>
</cp:coreProperties>
</file>